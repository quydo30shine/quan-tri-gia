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1" sheetId="1" r:id="rId1" state="hidden"/>
    <sheet name="Bảng giá UND update 07.03.2026" sheetId="2" r:id="rId5"/>
    <sheet name="Bảng giá DV Relax _ Spa _ SC cậ" sheetId="3" r:id="rId6"/>
    <sheet name="Giá DV Cắt-Relax có Cắt update " sheetId="4" r:id="rId7" state="hidden"/>
    <sheet name="CR Uốn Nhuộm Dưỡng ngày 1 đến 1" sheetId="5" r:id="rId8" state="hidden"/>
    <sheet name="Sheet4" sheetId="6" r:id="rId9" state="hidden"/>
    <sheet name="Sheet5" sheetId="7" r:id="rId10" state="hidden"/>
    <sheet name="Bảng giá Relax Spa" sheetId="8" r:id="rId11" state="hidden"/>
    <sheet name="Sheet7" sheetId="9" r:id="rId12" state="hidden"/>
    <sheet name="Điều chỉnh 1 2" sheetId="10" r:id="rId13" state="hidden"/>
    <sheet name="Điều chỉnh 2 2" sheetId="11" r:id="rId14" state="hidden"/>
    <sheet name="Sheet10" sheetId="12" r:id="rId15" state="hidden"/>
    <sheet name="Chi tiết thay đổi giá dịch vụ n" sheetId="13" r:id="rId16" state="hidden"/>
    <sheet name="Bảng giá Relax điều chỉnh ngày " sheetId="14" r:id="rId17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<sst xmlns="http://schemas.openxmlformats.org/spreadsheetml/2006/main" count="140" uniqueCount="140">
  <si>
    <t xml:space="preserve">  </t>
  </si>
  <si>
    <t/>
    <r>
      <rPr>
        <u/>
        <sz val="9.75"/>
        <color theme="10"/>
        <rFont val="Calibri"/>
        <family val="2"/>
      </rPr>
      <t>https://drive.google.com/file/d/1hHNiC6h11js-pg57y4geQOXa2g5Yh0un/view?usp=drive_link</t>
    </r>
  </si>
  <si>
    <t/>
    <r>
      <rPr>
        <u/>
        <sz val="9.75"/>
        <color theme="10"/>
        <rFont val="Calibri"/>
        <family val="2"/>
      </rPr>
      <t>https://drive.google.com/file/d/1qSZ5FPnQUnIC0tD74O41XAjMhFHj6wky/view?usp=drive_link</t>
    </r>
  </si>
  <si>
    <t/>
    <r>
      <rPr>
        <u/>
        <sz val="9.75"/>
        <color theme="10"/>
        <rFont val="Calibri"/>
        <family val="2"/>
      </rPr>
      <t>https://drive.google.com/file/d/1I4Q0PWubVqA_b1hqxvLTYvhl0xYz5ab1/view?usp=drive_link</t>
    </r>
  </si>
  <si>
    <t/>
    <r>
      <rPr>
        <u/>
        <sz val="9.75"/>
        <color theme="10"/>
        <rFont val="Calibri"/>
        <family val="2"/>
      </rPr>
      <t>https://drive.google.com/file/d/1kKw14SU4hSxR3swDRzzZgFpLeNt2qSIQ/view?usp=drive_link</t>
    </r>
  </si>
  <si>
    <t/>
    <r>
      <rPr>
        <u/>
        <sz val="9.75"/>
        <color theme="10"/>
        <rFont val="Calibri"/>
        <family val="2"/>
      </rPr>
      <t>https://drive.google.com/file/d/18YXZPG3rTSIuP_5Hayv10vElKxDTh2e1/view?usp=drive_link</t>
    </r>
  </si>
  <si>
    <t/>
    <r>
      <rPr>
        <u/>
        <sz val="9.75"/>
        <color theme="10"/>
        <rFont val="Calibri"/>
        <family val="2"/>
      </rPr>
      <t>https://drive.google.com/file/d/1KZt7PcJSu-9zO9IfEqic5q3qQge1vaSY/view?usp=drive_link</t>
    </r>
  </si>
  <si>
    <t/>
    <r>
      <rPr>
        <u/>
        <sz val="9.75"/>
        <color theme="10"/>
        <rFont val="Calibri"/>
        <family val="2"/>
      </rPr>
      <t>https://drive.google.com/file/d/1cb43G6rd0MXEdMVYnUjI5lKGAePQHWIe/view?usp=drive_link</t>
    </r>
  </si>
  <si>
    <t/>
    <r>
      <rPr>
        <u/>
        <sz val="9.75"/>
        <color theme="10"/>
        <rFont val="Calibri"/>
        <family val="2"/>
      </rPr>
      <t>https://drive.google.com/file/d/1qCtYj7oxkIuVJ5p_tfTzEoNwHYo4raN0/view?usp=drive_link</t>
    </r>
  </si>
  <si>
    <t/>
    <r>
      <rPr>
        <sz val="9"/>
        <color rgb="FF000000"/>
        <rFont val="Calibri"/>
        <family val="2"/>
      </rPr>
      <t xml:space="preserve">NHUỘM THIẾT KẾ PHỤC HỒI CHUYÊN SÂU LIPID BOND 2025</t>
    </r>
  </si>
  <si>
    <t/>
    <r>
      <rPr>
        <sz val="9"/>
        <color rgb="FF000000"/>
        <rFont val="Calibri"/>
        <family val="2"/>
      </rPr>
      <t xml:space="preserve">689.000 VNĐ - 759.000 VNĐ</t>
    </r>
  </si>
  <si>
    <t/>
    <r>
      <rPr>
        <sz val="9"/>
        <color rgb="FF000000"/>
        <rFont val="Calibri"/>
        <family val="2"/>
      </rPr>
      <t xml:space="preserve">399.000 VNĐ</t>
    </r>
  </si>
  <si>
    <t/>
    <r>
      <rPr>
        <sz val="9"/>
        <color rgb="FF000000"/>
        <rFont val="Calibri"/>
        <family val="2"/>
      </rPr>
      <t xml:space="preserve">VH Combo Gội Dưỡng Sinh Phục Hồi</t>
    </r>
  </si>
  <si>
    <t/>
    <r>
      <rPr>
        <sz val="9"/>
        <color rgb="FF000000"/>
        <rFont val="Calibri"/>
        <family val="2"/>
      </rPr>
      <t xml:space="preserve">VH Cắt gội dưỡng sinh Vip </t>
    </r>
  </si>
  <si>
    <t/>
    <r>
      <rPr>
        <sz val="9"/>
        <color rgb="FF000000"/>
        <rFont val="Calibri"/>
        <family val="2"/>
      </rPr>
      <t xml:space="preserve">249.000 VNĐ</t>
    </r>
  </si>
  <si>
    <t/>
    <r>
      <rPr>
        <sz val="9"/>
        <color rgb="FF000000"/>
        <rFont val="Calibri"/>
        <family val="2"/>
      </rPr>
      <t xml:space="preserve">379.000 VNĐ - 399.000 VNĐ</t>
    </r>
  </si>
  <si>
    <t/>
    <r>
      <rPr>
        <sz val="9"/>
        <color rgb="FF000000"/>
        <rFont val="Calibri"/>
        <family val="2"/>
      </rPr>
      <t xml:space="preserve">(NEW) Duỗi tạo phồng</t>
    </r>
  </si>
  <si>
    <t/>
    <r>
      <rPr>
        <sz val="9"/>
        <color rgb="FF000000"/>
        <rFont val="Calibri"/>
        <family val="2"/>
      </rPr>
      <t xml:space="preserve">(NEW) Nhuộm phủ bạc tiêu chuẩn 199K</t>
    </r>
  </si>
  <si>
    <t/>
    <r>
      <rPr>
        <sz val="9"/>
        <color rgb="FF000000"/>
        <rFont val="Calibri"/>
        <family val="2"/>
      </rPr>
      <t xml:space="preserve">199.000 VNĐ - 227.000 VNĐ</t>
    </r>
  </si>
  <si>
    <t/>
    <r>
      <rPr>
        <sz val="9"/>
        <color rgb="FF000000"/>
        <rFont val="Calibri"/>
        <family val="2"/>
      </rPr>
      <t xml:space="preserve">29.000 VNĐ - 35.000 VNĐ</t>
    </r>
  </si>
  <si>
    <t/>
    <r>
      <rPr>
        <sz val="9"/>
        <color rgb="FF000000"/>
        <rFont val="Calibri"/>
        <family val="2"/>
      </rPr>
      <t xml:space="preserve">[DV] Mặt nạ lạnh Hàn Quốc</t>
    </r>
  </si>
  <si>
    <t/>
    <r>
      <rPr>
        <sz val="9"/>
        <color rgb="FF000000"/>
        <rFont val="Calibri"/>
        <family val="2"/>
      </rPr>
      <t xml:space="preserve">[DV] Mặt nạ tẩy da chết sủi bọt cao cấp</t>
    </r>
  </si>
  <si>
    <t/>
    <r>
      <rPr>
        <sz val="9"/>
        <color rgb="FF000000"/>
        <rFont val="Calibri"/>
        <family val="2"/>
      </rPr>
      <t xml:space="preserve">50.000 VNĐ - 55.000 VNĐ</t>
    </r>
  </si>
  <si>
    <t/>
    <r>
      <rPr>
        <sz val="9"/>
        <color rgb="FF000000"/>
        <rFont val="Calibri"/>
        <family val="2"/>
      </rPr>
      <t xml:space="preserve">30.000 VNĐ - 35.000 VNĐ</t>
    </r>
  </si>
  <si>
    <t/>
    <r>
      <rPr>
        <sz val="9"/>
        <color rgb="FF000000"/>
        <rFont val="Calibri"/>
        <family val="2"/>
      </rPr>
      <t xml:space="preserve">[DV] Tẩy da chết sủi bọt Hàn Quốc</t>
    </r>
  </si>
  <si>
    <t/>
    <r>
      <rPr>
        <b/>
        <sz val="9"/>
        <color rgb="FFFFFFFF"/>
        <rFont val="Calibri"/>
        <family val="2"/>
      </rPr>
      <t xml:space="preserve">Giá chuẩn / Khoảng giá</t>
    </r>
  </si>
  <si>
    <t/>
    <r>
      <rPr>
        <b/>
        <sz val="9"/>
        <color rgb="FFFFFFFF"/>
        <rFont val="Calibri"/>
        <family val="2"/>
      </rPr>
      <t>#</t>
    </r>
  </si>
  <si>
    <t/>
    <r>
      <rPr>
        <b/>
        <sz val="9"/>
        <color rgb="FFFFFFFF"/>
        <rFont val="Calibri"/>
        <family val="2"/>
      </rPr>
      <t xml:space="preserve">Tên dịch vụ</t>
    </r>
  </si>
  <si>
    <t/>
    <r>
      <rPr>
        <b/>
        <sz val="9"/>
        <color rgb="FFFFFFFF"/>
        <rFont val="Calibri"/>
        <family val="2"/>
      </rPr>
      <t>ServiceId</t>
    </r>
  </si>
  <si>
    <t/>
    <r>
      <rPr>
        <sz val="9"/>
        <color rgb="FF000000"/>
        <rFont val="Calibri"/>
        <family val="2"/>
      </rPr>
      <t xml:space="preserve">299.000 VNĐ</t>
    </r>
  </si>
  <si>
    <t/>
    <r>
      <rPr>
        <sz val="9"/>
        <color rgb="FF000000"/>
        <rFont val="Calibri"/>
        <family val="2"/>
      </rPr>
      <t xml:space="preserve">VH Cắt gội dưỡng sinh Vip LRT</t>
    </r>
  </si>
  <si>
    <t/>
    <r>
      <rPr>
        <sz val="9"/>
        <color rgb="FF000000"/>
        <rFont val="Calibri"/>
        <family val="2"/>
      </rPr>
      <t xml:space="preserve">[DV] Ép side hai bên</t>
    </r>
  </si>
  <si>
    <t/>
    <r>
      <rPr>
        <sz val="9"/>
        <color rgb="FF000000"/>
        <rFont val="Calibri"/>
        <family val="2"/>
      </rPr>
      <t xml:space="preserve">179.000 VNĐ - 226.000 VNĐ</t>
    </r>
  </si>
  <si>
    <t/>
    <r>
      <rPr>
        <sz val="9"/>
        <color rgb="FF000000"/>
        <rFont val="Calibri"/>
        <family val="2"/>
      </rPr>
      <t xml:space="preserve">[DV] Nhuộm đen phủ bạc R&amp;B thảo dược</t>
    </r>
  </si>
  <si>
    <t/>
    <r>
      <rPr>
        <sz val="9"/>
        <color rgb="FF000000"/>
        <rFont val="Calibri"/>
        <family val="2"/>
      </rPr>
      <t xml:space="preserve">289.000 VNĐ - 329.000 VNĐ</t>
    </r>
  </si>
  <si>
    <t/>
    <r>
      <rPr>
        <sz val="9"/>
        <color rgb="FF000000"/>
        <rFont val="Calibri"/>
        <family val="2"/>
      </rPr>
      <t xml:space="preserve">150.000 VNĐ</t>
    </r>
  </si>
  <si>
    <t/>
    <r>
      <rPr>
        <sz val="9"/>
        <color rgb="FF000000"/>
        <rFont val="Calibri"/>
        <family val="2"/>
      </rPr>
      <t xml:space="preserve">Nhổ tóc bạc buổi trưa</t>
    </r>
  </si>
  <si>
    <t/>
    <r>
      <rPr>
        <sz val="9"/>
        <color rgb="FF000000"/>
        <rFont val="Calibri"/>
        <family val="2"/>
      </rPr>
      <t xml:space="preserve">Uốn/ Nhuộm thiết kế phục hồi 2025</t>
    </r>
  </si>
  <si>
    <t/>
    <r>
      <rPr>
        <sz val="9"/>
        <color rgb="FF000000"/>
        <rFont val="Calibri"/>
        <family val="2"/>
      </rPr>
      <t xml:space="preserve">1.199.000 VNĐ</t>
    </r>
  </si>
  <si>
    <t/>
    <r>
      <rPr>
        <sz val="9"/>
        <color rgb="FF000000"/>
        <rFont val="Calibri"/>
        <family val="2"/>
      </rPr>
      <t xml:space="preserve">449.000 VNĐ</t>
    </r>
  </si>
  <si>
    <t/>
    <r>
      <rPr>
        <sz val="9"/>
        <color rgb="FF000000"/>
        <rFont val="Calibri"/>
        <family val="2"/>
      </rPr>
      <t xml:space="preserve">VH Cắt gội thư giãn phục hồi</t>
    </r>
  </si>
  <si>
    <t/>
    <r>
      <rPr>
        <sz val="9"/>
        <color rgb="FF000000"/>
        <rFont val="Calibri"/>
        <family val="2"/>
      </rPr>
      <t xml:space="preserve">(2022T) ATS Control Buffer - Khử mùi tạo thơm cho tóc uốn nhuộm 40k</t>
    </r>
  </si>
  <si>
    <t/>
    <r>
      <rPr>
        <sz val="9"/>
        <color rgb="FF000000"/>
        <rFont val="Calibri"/>
        <family val="2"/>
      </rPr>
      <t xml:space="preserve">40.000 VNĐ</t>
    </r>
  </si>
  <si>
    <t/>
    <r>
      <rPr>
        <sz val="9"/>
        <color rgb="FF000000"/>
        <rFont val="Calibri"/>
        <family val="2"/>
      </rPr>
      <t xml:space="preserve">250.000 VNĐ - 269.000 VNĐ</t>
    </r>
  </si>
  <si>
    <t/>
    <r>
      <rPr>
        <sz val="9"/>
        <color rgb="FF000000"/>
        <rFont val="Calibri"/>
        <family val="2"/>
      </rPr>
      <t xml:space="preserve">[DV] Tẩy tóc bật tông Ý (1 lần)</t>
    </r>
  </si>
  <si>
    <t/>
    <r>
      <rPr>
        <sz val="9"/>
        <color rgb="FF000000"/>
        <rFont val="Calibri"/>
        <family val="2"/>
      </rPr>
      <t xml:space="preserve">40.000 VNĐ - 45.000 VNĐ</t>
    </r>
  </si>
  <si>
    <t/>
    <r>
      <rPr>
        <sz val="9"/>
        <color rgb="FF000000"/>
        <rFont val="Calibri"/>
        <family val="2"/>
      </rPr>
      <t xml:space="preserve">[DV] Detox tẩy da chết da đầu</t>
    </r>
  </si>
  <si>
    <t/>
    <r>
      <rPr>
        <sz val="9"/>
        <color rgb="FF000000"/>
        <rFont val="Calibri"/>
        <family val="2"/>
      </rPr>
      <t xml:space="preserve">98.000 VNĐ</t>
    </r>
  </si>
  <si>
    <t/>
    <r>
      <rPr>
        <sz val="9"/>
        <color rgb="FF000000"/>
        <rFont val="Calibri"/>
        <family val="2"/>
      </rPr>
      <t xml:space="preserve">Trẻ hóa da đầu - kích thích mọc tóc</t>
    </r>
  </si>
  <si>
    <t/>
    <r>
      <rPr>
        <sz val="9"/>
        <color rgb="FF000000"/>
        <rFont val="Calibri"/>
        <family val="2"/>
      </rPr>
      <t xml:space="preserve">Combo 1 - First Class 1</t>
    </r>
  </si>
  <si>
    <t/>
    <r>
      <rPr>
        <sz val="9"/>
        <color rgb="FF000000"/>
        <rFont val="Calibri"/>
        <family val="2"/>
      </rPr>
      <t xml:space="preserve">139.000 VNĐ - 159.000 VNĐ</t>
    </r>
  </si>
  <si>
    <t/>
    <r>
      <rPr>
        <sz val="9"/>
        <color rgb="FF000000"/>
        <rFont val="Calibri"/>
        <family val="2"/>
      </rPr>
      <t xml:space="preserve">Phục hồi trẻ hóa Lipid Bond</t>
    </r>
  </si>
  <si>
    <t/>
    <r>
      <rPr>
        <sz val="9"/>
        <color rgb="FF000000"/>
        <rFont val="Calibri"/>
        <family val="2"/>
      </rPr>
      <t xml:space="preserve">129.000 VNĐ - 146.000 VNĐ</t>
    </r>
  </si>
  <si>
    <t/>
    <r>
      <rPr>
        <sz val="9"/>
        <color rgb="FF000000"/>
        <rFont val="Calibri"/>
        <family val="2"/>
      </rPr>
      <t xml:space="preserve">500.000 VNĐ - 534.000 VNĐ</t>
    </r>
  </si>
  <si>
    <t/>
    <r>
      <rPr>
        <sz val="9"/>
        <color rgb="FF000000"/>
        <rFont val="Calibri"/>
        <family val="2"/>
      </rPr>
      <t xml:space="preserve">[DV] Tẩy tóc bật tông Ý (2 lần) 500k</t>
    </r>
  </si>
  <si>
    <t/>
    <r>
      <rPr>
        <sz val="9"/>
        <color rgb="FF000000"/>
        <rFont val="Calibri"/>
        <family val="2"/>
      </rPr>
      <t xml:space="preserve">29.000 VNĐ - 45.000 VNĐ</t>
    </r>
  </si>
  <si>
    <t/>
    <r>
      <rPr>
        <sz val="9"/>
        <color rgb="FF000000"/>
        <rFont val="Calibri"/>
        <family val="2"/>
      </rPr>
      <t xml:space="preserve">[DV] Thư giãn cổ, vai, gáy bạc hà cam ngọt - Thư giãn tai sảng khoái 9 tầng mây 45k</t>
    </r>
  </si>
  <si>
    <t/>
    <r>
      <rPr>
        <sz val="9"/>
        <color rgb="FF000000"/>
        <rFont val="Calibri"/>
        <family val="2"/>
      </rPr>
      <t xml:space="preserve">199.000 VNĐ</t>
    </r>
  </si>
  <si>
    <t/>
    <r>
      <rPr>
        <sz val="9"/>
        <color rgb="FF000000"/>
        <rFont val="Calibri"/>
        <family val="2"/>
      </rPr>
      <t xml:space="preserve">VH Gội Vip Dưỡng Sinh</t>
    </r>
  </si>
  <si>
    <t/>
    <r>
      <rPr>
        <sz val="9"/>
        <color rgb="FF000000"/>
        <rFont val="Calibri"/>
        <family val="2"/>
      </rPr>
      <t xml:space="preserve">209.000 VNĐ</t>
    </r>
  </si>
  <si>
    <t/>
    <r>
      <rPr>
        <sz val="9"/>
        <color rgb="FF000000"/>
        <rFont val="Calibri"/>
        <family val="2"/>
      </rPr>
      <t xml:space="preserve">GenZ - Combo 3</t>
    </r>
  </si>
  <si>
    <t/>
    <r>
      <rPr>
        <sz val="9"/>
        <color rgb="FF000000"/>
        <rFont val="Calibri"/>
        <family val="2"/>
      </rPr>
      <t xml:space="preserve">Gội Combo 2 </t>
    </r>
  </si>
  <si>
    <t/>
    <r>
      <rPr>
        <sz val="9"/>
        <color rgb="FF000000"/>
        <rFont val="Calibri"/>
        <family val="2"/>
      </rPr>
      <t xml:space="preserve">UỐN THIẾT KẾ PHỤC HỒI CHUYÊN SÂU LIPID BOND 2025</t>
    </r>
  </si>
  <si>
    <t/>
    <r>
      <rPr>
        <sz val="9"/>
        <color rgb="FF000000"/>
        <rFont val="Calibri"/>
        <family val="2"/>
      </rPr>
      <t xml:space="preserve">686.000 VNĐ - 759.000 VNĐ</t>
    </r>
  </si>
  <si>
    <t/>
    <r>
      <rPr>
        <sz val="9"/>
        <color rgb="FF000000"/>
        <rFont val="Calibri"/>
        <family val="2"/>
      </rPr>
      <t xml:space="preserve">259.000 VNĐ</t>
    </r>
  </si>
  <si>
    <t/>
    <r>
      <rPr>
        <sz val="9"/>
        <color rgb="FF000000"/>
        <rFont val="Calibri"/>
        <family val="2"/>
      </rPr>
      <t xml:space="preserve">VH Gội Vip Dưỡng Sinh LRT</t>
    </r>
  </si>
  <si>
    <t/>
    <r>
      <rPr>
        <sz val="9"/>
        <color rgb="FF000000"/>
        <rFont val="Calibri"/>
        <family val="2"/>
      </rPr>
      <t xml:space="preserve">GenZ - Shine combo</t>
    </r>
  </si>
  <si>
    <t/>
    <r>
      <rPr>
        <sz val="9"/>
        <color rgb="FF000000"/>
        <rFont val="Calibri"/>
        <family val="2"/>
      </rPr>
      <t xml:space="preserve">79.000 VNĐ</t>
    </r>
  </si>
  <si>
    <t/>
    <r>
      <rPr>
        <sz val="9"/>
        <color rgb="FF000000"/>
        <rFont val="Calibri"/>
        <family val="2"/>
      </rPr>
      <t xml:space="preserve">Gội Combo 3 - Chăm da</t>
    </r>
  </si>
  <si>
    <t/>
    <r>
      <rPr>
        <sz val="9"/>
        <color rgb="FF000000"/>
        <rFont val="Calibri"/>
        <family val="2"/>
      </rPr>
      <t xml:space="preserve">209.000 VNĐ - 239.000 VNĐ</t>
    </r>
  </si>
  <si>
    <t/>
    <r>
      <rPr>
        <sz val="9"/>
        <color rgb="FF000000"/>
        <rFont val="Calibri"/>
        <family val="2"/>
      </rPr>
      <t xml:space="preserve">Uốn định hình nếp tóc cao cấp (K-Perm Collection)</t>
    </r>
  </si>
  <si>
    <t/>
    <r>
      <rPr>
        <sz val="9"/>
        <color rgb="FF000000"/>
        <rFont val="Calibri"/>
        <family val="2"/>
      </rPr>
      <t xml:space="preserve">449.000 VNĐ - 529.000 VNĐ</t>
    </r>
  </si>
  <si>
    <t/>
    <r>
      <rPr>
        <sz val="9"/>
        <color rgb="FF000000"/>
        <rFont val="Calibri"/>
        <family val="2"/>
      </rPr>
      <t xml:space="preserve">Đánh bay mụn cám lột mụn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Calibri"/>
        <family val="2"/>
      </rPr>
      <t xml:space="preserve">(Full Face)</t>
    </r>
  </si>
  <si>
    <t/>
    <r>
      <rPr>
        <sz val="9"/>
        <color rgb="FF000000"/>
        <rFont val="Calibri"/>
        <family val="2"/>
      </rPr>
      <t xml:space="preserve">29.000 VNĐ - 49.000 VNĐ</t>
    </r>
  </si>
  <si>
    <t/>
    <r>
      <rPr>
        <sz val="9"/>
        <color rgb="FF000000"/>
        <rFont val="Calibri"/>
        <family val="2"/>
      </rPr>
      <t xml:space="preserve">Shine cut Genz</t>
    </r>
  </si>
  <si>
    <t/>
    <r>
      <rPr>
        <sz val="9"/>
        <color rgb="FF000000"/>
        <rFont val="Calibri"/>
        <family val="2"/>
      </rPr>
      <t xml:space="preserve">59.000 VNĐ</t>
    </r>
  </si>
  <si>
    <t/>
    <r>
      <rPr>
        <sz val="9"/>
        <color rgb="FF000000"/>
        <rFont val="Calibri"/>
        <family val="2"/>
      </rPr>
      <t xml:space="preserve">Gội Combo 4</t>
    </r>
  </si>
  <si>
    <t/>
    <r>
      <rPr>
        <sz val="9"/>
        <color rgb="FF000000"/>
        <rFont val="Calibri"/>
        <family val="2"/>
      </rPr>
      <t xml:space="preserve">499.000 VNĐ - 554.000 VNĐ</t>
    </r>
  </si>
  <si>
    <t/>
    <r>
      <rPr>
        <sz val="9"/>
        <color rgb="FF000000"/>
        <rFont val="Calibri"/>
        <family val="2"/>
      </rPr>
      <t xml:space="preserve">[DV] Uốn Texture con sâu/Uốn Ruffled</t>
    </r>
  </si>
  <si>
    <t/>
    <r>
      <rPr>
        <sz val="9"/>
        <color rgb="FF000000"/>
        <rFont val="Calibri"/>
        <family val="2"/>
      </rPr>
      <t xml:space="preserve">Combo 2 - First Class 2</t>
    </r>
  </si>
  <si>
    <t/>
    <r>
      <rPr>
        <sz val="9"/>
        <color rgb="FF000000"/>
        <rFont val="Calibri"/>
        <family val="2"/>
      </rPr>
      <t xml:space="preserve">229.000 VNĐ - 239.000 VNĐ</t>
    </r>
  </si>
  <si>
    <t/>
    <r>
      <rPr>
        <sz val="9"/>
        <color rgb="FF000000"/>
        <rFont val="Calibri"/>
        <family val="2"/>
      </rPr>
      <t xml:space="preserve">169.000 VNĐ - 199.000 VNĐ</t>
    </r>
  </si>
  <si>
    <t/>
    <r>
      <rPr>
        <sz val="9"/>
        <color rgb="FF000000"/>
        <rFont val="Calibri"/>
        <family val="2"/>
      </rPr>
      <t xml:space="preserve">Gội Combo 5 - Chăm da</t>
    </r>
  </si>
  <si>
    <t/>
    <r>
      <rPr>
        <sz val="9"/>
        <color rgb="FF000000"/>
        <rFont val="Calibri"/>
        <family val="2"/>
      </rPr>
      <t xml:space="preserve">359.000 VNĐ</t>
    </r>
  </si>
  <si>
    <t/>
    <r>
      <rPr>
        <sz val="9"/>
        <color rgb="FF000000"/>
        <rFont val="Calibri"/>
        <family val="2"/>
      </rPr>
      <t xml:space="preserve">(NEW) Uốn/Duỗi/Định hình full đầu tạo form vào nếp tự nhiên</t>
    </r>
  </si>
  <si>
    <t/>
    <r>
      <rPr>
        <sz val="9"/>
        <color rgb="FF000000"/>
        <rFont val="Calibri"/>
        <family val="2"/>
      </rPr>
      <t xml:space="preserve">379.000 VNĐ - 424.000 VNĐ</t>
    </r>
  </si>
  <si>
    <t/>
    <r>
      <rPr>
        <sz val="9"/>
        <color rgb="FF000000"/>
        <rFont val="Calibri"/>
        <family val="2"/>
      </rPr>
      <t xml:space="preserve">299.000 VNĐ - 309.000 VNĐ</t>
    </r>
  </si>
  <si>
    <t/>
    <r>
      <rPr>
        <sz val="9"/>
        <color rgb="FF000000"/>
        <rFont val="Calibri"/>
        <family val="2"/>
      </rPr>
      <t xml:space="preserve">Combo 3 - First Class 3</t>
    </r>
  </si>
  <si>
    <t/>
    <r>
      <rPr>
        <sz val="9"/>
        <color rgb="FF000000"/>
        <rFont val="Calibri"/>
        <family val="2"/>
      </rPr>
      <t xml:space="preserve">Shinecombo Genz</t>
    </r>
  </si>
  <si>
    <t/>
    <r>
      <rPr>
        <sz val="9"/>
        <color rgb="FF000000"/>
        <rFont val="Calibri"/>
        <family val="2"/>
      </rPr>
      <t xml:space="preserve">219.000 VNĐ - 229.000 VNĐ</t>
    </r>
  </si>
  <si>
    <t/>
    <r>
      <rPr>
        <sz val="9"/>
        <color rgb="FF000000"/>
        <rFont val="Calibri"/>
        <family val="2"/>
      </rPr>
      <t xml:space="preserve">Gội combo 3 - Dưỡng sinh</t>
    </r>
  </si>
  <si>
    <t/>
    <r>
      <rPr>
        <sz val="9"/>
        <color rgb="FF000000"/>
        <rFont val="Calibri"/>
        <family val="2"/>
      </rPr>
      <t xml:space="preserve">[DV] ShineCombo 10 bước Ultra Care 2023</t>
    </r>
  </si>
  <si>
    <t/>
    <r>
      <rPr>
        <sz val="9"/>
        <color rgb="FF000000"/>
        <rFont val="Calibri"/>
        <family val="2"/>
      </rPr>
      <t xml:space="preserve">100.000 VNĐ - 122.000 VNĐ</t>
    </r>
  </si>
  <si>
    <t/>
    <r>
      <rPr>
        <sz val="9"/>
        <color rgb="FF000000"/>
        <rFont val="Calibri"/>
        <family val="2"/>
      </rPr>
      <t xml:space="preserve">Gội Detox Scalp Pro</t>
    </r>
  </si>
  <si>
    <t/>
    <r>
      <rPr>
        <sz val="9"/>
        <color rgb="FF000000"/>
        <rFont val="Calibri"/>
        <family val="2"/>
      </rPr>
      <t xml:space="preserve">179.000 VNĐ</t>
    </r>
  </si>
  <si>
    <t/>
    <r>
      <rPr>
        <sz val="9"/>
        <color rgb="FF000000"/>
        <rFont val="Calibri"/>
        <family val="2"/>
      </rPr>
      <t xml:space="preserve">79.000 VNĐ - 129.000 VNĐ</t>
    </r>
  </si>
  <si>
    <t/>
    <r>
      <rPr>
        <sz val="9"/>
        <color rgb="FF000000"/>
        <rFont val="Calibri"/>
        <family val="2"/>
      </rPr>
      <t xml:space="preserve">Gội dưỡng sinh cổ vai gáy</t>
    </r>
  </si>
  <si>
    <t/>
    <r>
      <rPr>
        <sz val="9"/>
        <color rgb="FF000000"/>
        <rFont val="Calibri"/>
        <family val="2"/>
      </rPr>
      <t xml:space="preserve">389.000 VNĐ - 399.000 VNĐ</t>
    </r>
  </si>
  <si>
    <t/>
    <r>
      <rPr>
        <sz val="9"/>
        <color rgb="FF000000"/>
        <rFont val="Calibri"/>
        <family val="2"/>
      </rPr>
      <t xml:space="preserve">Gội combo 5 dưỡng sinh</t>
    </r>
  </si>
  <si>
    <t/>
    <r>
      <rPr>
        <sz val="9"/>
        <color rgb="FF000000"/>
        <rFont val="Calibri"/>
        <family val="2"/>
      </rPr>
      <t xml:space="preserve">Combo 4</t>
    </r>
  </si>
  <si>
    <t/>
    <r>
      <rPr>
        <sz val="9"/>
        <color rgb="FF000000"/>
        <rFont val="Calibri"/>
        <family val="2"/>
      </rPr>
      <t xml:space="preserve">379.000 VNĐ - 389.000 VNĐ</t>
    </r>
  </si>
  <si>
    <t/>
    <r>
      <rPr>
        <sz val="9"/>
        <color rgb="FF000000"/>
        <rFont val="Calibri"/>
        <family val="2"/>
      </rPr>
      <t xml:space="preserve">combo cắt gội tiện lợi</t>
    </r>
  </si>
  <si>
    <t/>
    <r>
      <rPr>
        <sz val="9"/>
        <color rgb="FF000000"/>
        <rFont val="Calibri"/>
        <family val="2"/>
      </rPr>
      <t xml:space="preserve">Gội paradise LRT plus</t>
    </r>
  </si>
  <si>
    <t/>
    <r>
      <rPr>
        <sz val="9"/>
        <color rgb="FF000000"/>
        <rFont val="Calibri"/>
        <family val="2"/>
      </rPr>
      <t xml:space="preserve">329.000 VNĐ</t>
    </r>
  </si>
  <si>
    <t/>
    <r>
      <rPr>
        <sz val="9"/>
        <color rgb="FF000000"/>
        <rFont val="Calibri"/>
        <family val="2"/>
      </rPr>
      <t xml:space="preserve">Gội trải nghiệm 115p</t>
    </r>
  </si>
  <si>
    <t/>
    <r>
      <rPr>
        <sz val="9"/>
        <color rgb="FF000000"/>
        <rFont val="Calibri"/>
        <family val="2"/>
      </rPr>
      <t xml:space="preserve">999.000 VNĐ</t>
    </r>
  </si>
  <si>
    <t/>
    <r>
      <rPr>
        <sz val="9"/>
        <color rgb="FF000000"/>
        <rFont val="Calibri"/>
        <family val="2"/>
      </rPr>
      <t xml:space="preserve">Combo 4- First Class 4</t>
    </r>
  </si>
  <si>
    <t/>
    <r>
      <rPr>
        <sz val="9"/>
        <color rgb="FF000000"/>
        <rFont val="Calibri"/>
        <family val="2"/>
      </rPr>
      <t xml:space="preserve">399.000 VNĐ - 409.000 VNĐ</t>
    </r>
  </si>
  <si>
    <t/>
    <r>
      <rPr>
        <sz val="9"/>
        <color rgb="FF000000"/>
        <rFont val="Calibri"/>
        <family val="2"/>
      </rPr>
      <t xml:space="preserve">500.000 VNĐ - 600.000 VNĐ</t>
    </r>
  </si>
  <si>
    <t/>
    <r>
      <rPr>
        <sz val="9"/>
        <color rgb="FF000000"/>
        <rFont val="Calibri"/>
        <family val="2"/>
      </rPr>
      <t xml:space="preserve">Combo cắt gội đỉnh cao thư giãn vip</t>
    </r>
  </si>
  <si>
    <t/>
    <r>
      <rPr>
        <sz val="9"/>
        <color rgb="FF000000"/>
        <rFont val="Calibri"/>
        <family val="2"/>
      </rPr>
      <t xml:space="preserve">Combo Cắt gội Kid</t>
    </r>
  </si>
  <si>
    <t/>
    <r>
      <rPr>
        <sz val="9"/>
        <color rgb="FF000000"/>
        <rFont val="Calibri"/>
        <family val="2"/>
      </rPr>
      <t xml:space="preserve">100.000 VNĐ</t>
    </r>
  </si>
  <si>
    <t/>
    <r>
      <rPr>
        <sz val="9"/>
        <color rgb="FF000000"/>
        <rFont val="Calibri"/>
        <family val="2"/>
      </rPr>
      <t xml:space="preserve">[NEW] Gội dưỡng sinh</t>
    </r>
  </si>
  <si>
    <t/>
    <r>
      <rPr>
        <sz val="9"/>
        <color rgb="FF000000"/>
        <rFont val="Calibri"/>
        <family val="2"/>
      </rPr>
      <t xml:space="preserve">50.000 VNĐ - 59.000 VNĐ</t>
    </r>
  </si>
  <si>
    <t/>
    <r>
      <rPr>
        <sz val="9"/>
        <color rgb="FF000000"/>
        <rFont val="Calibri"/>
        <family val="2"/>
      </rPr>
      <t xml:space="preserve">Gội trải nghiệm 140p</t>
    </r>
  </si>
  <si>
    <t/>
    <r>
      <rPr>
        <sz val="9"/>
        <color rgb="FF000000"/>
        <rFont val="Calibri"/>
        <family val="2"/>
      </rPr>
      <t xml:space="preserve">Combo Best choice</t>
    </r>
  </si>
  <si>
    <t/>
    <r>
      <rPr>
        <sz val="9"/>
        <color rgb="FF000000"/>
        <rFont val="Calibri"/>
        <family val="2"/>
      </rPr>
      <t xml:space="preserve">Cắt Gội Combo 3 - Chăm da</t>
    </r>
  </si>
  <si>
    <t/>
    <r>
      <rPr>
        <sz val="9"/>
        <color rgb="FF000000"/>
        <rFont val="Calibri"/>
        <family val="2"/>
      </rPr>
      <t xml:space="preserve">279.000 VNĐ - 299.000 VNĐ</t>
    </r>
  </si>
  <si>
    <t/>
    <r>
      <rPr>
        <sz val="9"/>
        <color rgb="FF000000"/>
        <rFont val="Calibri"/>
        <family val="2"/>
      </rPr>
      <t xml:space="preserve">135.000 VNĐ - 139.000 VNĐ</t>
    </r>
  </si>
  <si>
    <t/>
    <r>
      <rPr>
        <sz val="9"/>
        <color rgb="FF000000"/>
        <rFont val="Calibri"/>
        <family val="2"/>
      </rPr>
      <t xml:space="preserve">[NEW] Gội dưỡng sinh cổ vai gáy và chăm sóc da</t>
    </r>
  </si>
  <si>
    <t/>
    <r>
      <rPr>
        <sz val="9"/>
        <color rgb="FF000000"/>
        <rFont val="Calibri"/>
        <family val="2"/>
      </rPr>
      <t xml:space="preserve">Gội trải nghiệm 75p</t>
    </r>
  </si>
  <si>
    <t/>
    <r>
      <rPr>
        <sz val="9"/>
        <color rgb="FF000000"/>
        <rFont val="Calibri"/>
        <family val="2"/>
      </rPr>
      <t xml:space="preserve">439.000 VNĐ - 589.000 VNĐ</t>
    </r>
  </si>
  <si>
    <t/>
    <r>
      <rPr>
        <sz val="9"/>
        <color rgb="FF000000"/>
        <rFont val="Calibri"/>
        <family val="2"/>
      </rPr>
      <t xml:space="preserve">Cắt Gội Combo 3 - Dưỡng sinh</t>
    </r>
  </si>
  <si>
    <t/>
    <r>
      <rPr>
        <sz val="9"/>
        <color rgb="FF000000"/>
        <rFont val="Calibri"/>
        <family val="2"/>
      </rPr>
      <t xml:space="preserve">75.000 VNĐ</t>
    </r>
  </si>
  <si>
    <t/>
    <r>
      <rPr>
        <sz val="9"/>
        <color rgb="FF000000"/>
        <rFont val="Calibri"/>
        <family val="2"/>
      </rPr>
      <t xml:space="preserve">Kid Cắt</t>
    </r>
  </si>
  <si>
    <t/>
    <r>
      <rPr>
        <sz val="9"/>
        <color rgb="FF000000"/>
        <rFont val="Calibri"/>
        <family val="2"/>
      </rPr>
      <t xml:space="preserve">[NEW] Gội dưỡng sinh đá nóng - Paradise dưỡng sinh đá nóng</t>
    </r>
  </si>
  <si>
    <t/>
    <r>
      <rPr>
        <sz val="9"/>
        <color rgb="FF000000"/>
        <rFont val="Calibri"/>
        <family val="2"/>
      </rPr>
      <t xml:space="preserve">259.000 VNĐ - 289.000 VNĐ</t>
    </r>
  </si>
  <si>
    <t/>
    <r>
      <rPr>
        <sz val="9"/>
        <color rgb="FF000000"/>
        <rFont val="Calibri"/>
        <family val="2"/>
      </rPr>
      <t xml:space="preserve">Gội trải nghiệm 90p</t>
    </r>
  </si>
  <si>
    <t/>
    <r>
      <rPr>
        <sz val="9"/>
        <color rgb="FF000000"/>
        <rFont val="Calibri"/>
        <family val="2"/>
      </rPr>
      <t xml:space="preserve">789.000 VNĐ</t>
    </r>
  </si>
  <si>
    <t/>
    <r>
      <rPr>
        <sz val="9"/>
        <color rgb="FF000000"/>
        <rFont val="Calibri"/>
        <family val="2"/>
      </rPr>
      <t xml:space="preserve">Cắt Gội Combo 5 - Chăm da</t>
    </r>
  </si>
  <si>
    <t/>
    <r>
      <rPr>
        <sz val="9"/>
        <color rgb="FF000000"/>
        <rFont val="Calibri"/>
        <family val="2"/>
      </rPr>
      <t xml:space="preserve">70.000 VNĐ - 94.000 VNĐ</t>
    </r>
  </si>
  <si>
    <t/>
    <r>
      <rPr>
        <sz val="9"/>
        <color rgb="FF000000"/>
        <rFont val="Calibri"/>
        <family val="2"/>
      </rPr>
      <t xml:space="preserve">Cắt xả tạo kiểu</t>
    </r>
  </si>
  <si>
    <t/>
    <r>
      <rPr>
        <sz val="9"/>
        <color rgb="FF000000"/>
        <rFont val="Calibri"/>
        <family val="2"/>
      </rPr>
      <t xml:space="preserve">329.000 VNĐ - 369.000 VNĐ</t>
    </r>
  </si>
  <si>
    <t/>
    <r>
      <rPr>
        <sz val="9"/>
        <color rgb="FF000000"/>
        <rFont val="Calibri"/>
        <family val="2"/>
      </rPr>
      <t xml:space="preserve">(NEW) Nhuộm màu thời trang Milano</t>
    </r>
  </si>
  <si>
    <t/>
    <r>
      <rPr>
        <sz val="9"/>
        <color rgb="FF000000"/>
        <rFont val="Calibri"/>
        <family val="2"/>
      </rPr>
      <t xml:space="preserve">Thư giãn phục hồi (dưỡng sinh đá nóng)</t>
    </r>
  </si>
  <si>
    <t/>
    <r>
      <rPr>
        <sz val="9"/>
        <color rgb="FF000000"/>
        <rFont val="Calibri"/>
        <family val="2"/>
      </rPr>
      <t xml:space="preserve">450.000 VNĐ</t>
    </r>
  </si>
  <si>
    <t/>
    <r>
      <rPr>
        <sz val="9"/>
        <color rgb="FF000000"/>
        <rFont val="Calibri"/>
        <family val="2"/>
      </rPr>
      <t xml:space="preserve">459.000 VNĐ</t>
    </r>
  </si>
  <si>
    <t/>
    <r>
      <rPr>
        <sz val="9"/>
        <color rgb="FF000000"/>
        <rFont val="Calibri"/>
        <family val="2"/>
      </rPr>
      <t xml:space="preserve">Cắt Gội Combo 5 - Dưỡng sinh</t>
    </r>
  </si>
  <si>
    <t/>
    <r>
      <rPr>
        <sz val="9"/>
        <color rgb="FF000000"/>
        <rFont val="Calibri"/>
        <family val="2"/>
      </rPr>
      <t xml:space="preserve">[DV] Vuốt sáp - sấy tạo kiểu 10k</t>
    </r>
  </si>
  <si>
    <t/>
    <r>
      <rPr>
        <sz val="9"/>
        <color rgb="FF000000"/>
        <rFont val="Calibri"/>
        <family val="2"/>
      </rPr>
      <t xml:space="preserve">10.000 VNĐ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</si>
</sst>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164" formatCode="#,##0"/>
    <numFmt numFmtId="165" formatCode="#,##0"/>
    <numFmt numFmtId="166" formatCode="#,##0"/>
    <numFmt numFmtId="167" formatCode="#,##0"/>
    <numFmt numFmtId="168" formatCode="#,##0"/>
    <numFmt numFmtId="169" formatCode="General"/>
    <numFmt numFmtId="170" formatCode="General"/>
    <numFmt numFmtId="171" formatCode="General"/>
    <numFmt numFmtId="172" formatCode="General"/>
    <numFmt numFmtId="173" formatCode="#,##0"/>
    <numFmt numFmtId="174" formatCode="#,##0"/>
    <numFmt numFmtId="175" formatCode="#,##0"/>
    <numFmt numFmtId="176" formatCode="#,##0"/>
    <numFmt numFmtId="177" formatCode="0"/>
    <numFmt numFmtId="178" formatCode="#,##0"/>
    <numFmt numFmtId="179" formatCode="0"/>
    <numFmt numFmtId="180" formatCode="#,##0"/>
    <numFmt numFmtId="181" formatCode="#,##0"/>
    <numFmt numFmtId="182" formatCode="0"/>
    <numFmt numFmtId="183" formatCode="#,##0"/>
    <numFmt numFmtId="184" formatCode="#,##0.00"/>
    <numFmt numFmtId="185" formatCode="#,##0.00"/>
    <numFmt numFmtId="186" formatCode="#,##0.00"/>
    <numFmt numFmtId="187" formatCode="#,##0"/>
    <numFmt numFmtId="188" formatCode="General"/>
    <numFmt numFmtId="189" formatCode="#,##0"/>
    <numFmt numFmtId="190" formatCode="General"/>
    <numFmt numFmtId="191" formatCode="General"/>
  </numFmts>
  <fonts count="1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0"/>
      <color rgb="FFC00000"/>
      <name val="Calibri"/>
      <family val="2"/>
      <scheme val="minor"/>
    </font>
    <font>
      <b val="true"/>
      <sz val="10"/>
      <color rgb="FFFFFFFF"/>
      <name val="Calibri"/>
      <family val="2"/>
      <scheme val="minor"/>
    </font>
  </fonts>
  <fills count="2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EF6C6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D9F5D6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F8F9FA"/>
        <bgColor/>
      </patternFill>
    </fill>
    <fill>
      <patternFill patternType="solid">
        <fgColor rgb="FF1E88E5"/>
        <bgColor/>
      </patternFill>
    </fill>
    <fill>
      <patternFill patternType="solid">
        <fgColor rgb="FF1E88E5"/>
        <bgColor/>
      </patternFill>
    </fill>
    <fill>
      <patternFill patternType="solid">
        <fgColor rgb="FFF8F9FA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2F5496"/>
        <bgColor/>
      </patternFill>
    </fill>
    <fill>
      <patternFill patternType="solid">
        <fgColor rgb="FFC00000"/>
        <bgColor/>
      </patternFill>
    </fill>
    <fill>
      <patternFill patternType="solid">
        <fgColor rgb="FFC00000"/>
        <bgColor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true" applyFont="true" applyNumberFormat="false" applyProtection="false" borderId="3" fillId="2" fontId="3" numFmtId="0" xfId="0">
      <alignment horizontal="right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true" applyProtection="false" borderId="6" fillId="0" fontId="5" numFmtId="164" xfId="0">
      <alignment vertical="center"/>
    </xf>
    <xf applyAlignment="true" applyBorder="false" applyFill="true" applyFont="true" applyNumberFormat="true" applyProtection="false" borderId="7" fillId="3" fontId="5" numFmtId="165" xfId="0">
      <alignment vertical="center"/>
    </xf>
    <xf applyAlignment="true" applyBorder="false" applyFill="true" applyFont="true" applyNumberFormat="true" applyProtection="false" borderId="8" fillId="4" fontId="6" numFmtId="166" xfId="0">
      <alignment vertical="center"/>
    </xf>
    <xf applyAlignment="true" applyBorder="false" applyFill="false" applyFont="true" applyNumberFormat="false" applyProtection="false" borderId="9" fillId="0" fontId="4" numFmtId="0" xfId="0">
      <alignment horizontal="right" vertical="center"/>
    </xf>
    <xf applyAlignment="true" applyBorder="false" applyFill="false" applyFont="true" applyNumberFormat="false" applyProtection="false" borderId="10" fillId="0" fontId="3" numFmtId="0" xfId="0">
      <alignment horizontal="center" vertical="center"/>
    </xf>
    <xf applyAlignment="true" applyBorder="false" applyFill="false" applyFont="true" applyNumberFormat="false" applyProtection="false" borderId="11" fillId="0" fontId="6" numFmtId="0" xfId="0">
      <alignment horizontal="center" vertical="center"/>
    </xf>
    <xf applyAlignment="true" applyBorder="false" applyFill="false" applyFont="true" applyNumberFormat="true" applyProtection="false" borderId="12" fillId="0" fontId="6" numFmtId="167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vertical="center"/>
    </xf>
    <xf applyAlignment="true" applyBorder="false" applyFill="true" applyFont="true" applyNumberFormat="true" applyProtection="false" borderId="14" fillId="5" fontId="6" numFmtId="168" xfId="0">
      <alignment horizontal="center" vertical="center"/>
    </xf>
    <xf applyAlignment="true" applyBorder="false" applyFill="false" applyFont="true" applyNumberFormat="true" applyProtection="false" borderId="15" fillId="0" fontId="4" numFmtId="169" xfId="0">
      <alignment vertical="center"/>
    </xf>
    <xf applyAlignment="true" applyBorder="false" applyFill="false" applyFont="true" applyNumberFormat="true" applyProtection="false" borderId="16" fillId="0" fontId="4" numFmtId="17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center" vertical="center"/>
    </xf>
    <xf applyAlignment="true" applyBorder="false" applyFill="true" applyFont="true" applyNumberFormat="false" applyProtection="false" borderId="18" fillId="6" fontId="3" numFmtId="0" xfId="0">
      <alignment horizontal="center" vertical="center"/>
    </xf>
    <xf applyAlignment="true" applyBorder="false" applyFill="true" applyFont="true" applyNumberFormat="true" applyProtection="false" borderId="19" fillId="7" fontId="3" numFmtId="171" xfId="0">
      <alignment horizontal="center" vertical="center"/>
    </xf>
    <xf applyAlignment="true" applyBorder="false" applyFill="false" applyFont="true" applyNumberFormat="true" applyProtection="false" borderId="20" fillId="0" fontId="1" numFmtId="172" xfId="0">
      <alignment vertical="center"/>
    </xf>
    <xf applyAlignment="true" applyBorder="false" applyFill="false" applyFont="true" applyNumberFormat="true" applyProtection="false" borderId="21" fillId="0" fontId="4" numFmtId="173" xfId="0">
      <alignment vertical="center"/>
    </xf>
    <xf applyAlignment="true" applyBorder="false" applyFill="true" applyFont="true" applyNumberFormat="true" applyProtection="false" borderId="22" fillId="8" fontId="3" numFmtId="174" xfId="0">
      <alignment horizontal="center" vertical="center"/>
    </xf>
    <xf applyAlignment="true" applyBorder="false" applyFill="false" applyFont="true" applyNumberFormat="true" applyProtection="false" borderId="23" fillId="0" fontId="4" numFmtId="175" xfId="0">
      <alignment horizontal="right" vertical="center"/>
    </xf>
    <xf applyAlignment="true" applyBorder="false" applyFill="false" applyFont="true" applyNumberFormat="true" applyProtection="false" borderId="24" fillId="0" fontId="1" numFmtId="176" xfId="0">
      <alignment vertical="center"/>
    </xf>
    <xf applyAlignment="true" applyBorder="false" applyFill="false" applyFont="true" applyNumberFormat="false" applyProtection="false" borderId="25" fillId="0" fontId="7" numFmtId="0" xfId="0">
      <alignment vertical="center"/>
    </xf>
    <xf applyAlignment="true" applyBorder="false" applyFill="false" applyFont="true" applyNumberFormat="true" applyProtection="false" borderId="26" fillId="0" fontId="7" numFmtId="177" xfId="0">
      <alignment vertical="center"/>
    </xf>
    <xf applyAlignment="true" applyBorder="false" applyFill="false" applyFont="true" applyNumberFormat="true" applyProtection="false" borderId="27" fillId="0" fontId="7" numFmtId="178" xfId="0">
      <alignment vertical="center"/>
    </xf>
    <xf applyAlignment="true" applyBorder="false" applyFill="true" applyFont="true" applyNumberFormat="true" applyProtection="false" borderId="28" fillId="9" fontId="7" numFmtId="179" xfId="0">
      <alignment vertical="center"/>
    </xf>
    <xf applyAlignment="true" applyBorder="false" applyFill="false" applyFont="true" applyNumberFormat="false" applyProtection="false" borderId="29" fillId="0" fontId="8" numFmtId="0" xfId="0">
      <alignment vertical="center"/>
    </xf>
    <xf applyAlignment="true" applyBorder="false" applyFill="false" applyFont="true" applyNumberFormat="true" applyProtection="false" borderId="30" fillId="0" fontId="8" numFmtId="180" xfId="0">
      <alignment vertical="center"/>
    </xf>
    <xf applyAlignment="true" applyBorder="false" applyFill="false" applyFont="true" applyNumberFormat="true" applyProtection="false" borderId="31" fillId="0" fontId="2" numFmtId="181" xfId="0">
      <alignment vertical="center"/>
    </xf>
    <xf applyAlignment="true" applyBorder="false" applyFill="false" applyFont="true" applyNumberFormat="true" applyProtection="false" borderId="32" fillId="0" fontId="8" numFmtId="182" xfId="0">
      <alignment vertical="center"/>
    </xf>
    <xf applyAlignment="true" applyBorder="false" applyFill="false" applyFont="true" applyNumberFormat="false" applyProtection="false" borderId="33" fillId="0" fontId="1" numFmtId="0" xfId="0">
      <alignment vertical="center"/>
    </xf>
    <xf applyAlignment="true" applyBorder="false" applyFill="false" applyFont="true" applyNumberFormat="false" applyProtection="false" borderId="34" fillId="0" fontId="5" numFmtId="0" xfId="0">
      <alignment vertical="bottom"/>
    </xf>
    <xf applyAlignment="true" applyBorder="false" applyFill="false" applyFont="true" applyNumberFormat="false" applyProtection="false" borderId="35" fillId="0" fontId="5" numFmtId="0" xfId="0">
      <alignment vertical="bottom"/>
    </xf>
    <xf applyAlignment="true" applyBorder="false" applyFill="true" applyFont="true" applyNumberFormat="false" applyProtection="false" borderId="36" fillId="10" fontId="5" numFmtId="0" xfId="0">
      <alignment vertical="bottom"/>
    </xf>
    <xf applyAlignment="true" applyBorder="false" applyFill="true" applyFont="true" applyNumberFormat="false" applyProtection="false" borderId="37" fillId="11" fontId="5" numFmtId="0" xfId="0">
      <alignment vertical="bottom"/>
    </xf>
    <xf applyAlignment="true" applyBorder="false" applyFill="true" applyFont="true" applyNumberFormat="false" applyProtection="false" borderId="38" fillId="12" fontId="9" numFmtId="0" xfId="0">
      <alignment vertical="bottom"/>
    </xf>
    <xf applyAlignment="true" applyBorder="false" applyFill="true" applyFont="true" applyNumberFormat="false" applyProtection="false" borderId="39" fillId="13" fontId="9" numFmtId="0" xfId="0">
      <alignment vertical="bottom"/>
    </xf>
    <xf applyAlignment="true" applyBorder="false" applyFill="false" applyFont="true" applyNumberFormat="false" applyProtection="false" borderId="40" fillId="0" fontId="7" numFmtId="0" xfId="0">
      <alignment vertical="bottom"/>
    </xf>
    <xf applyAlignment="true" applyBorder="false" applyFill="true" applyFont="true" applyNumberFormat="false" applyProtection="false" borderId="41" fillId="14" fontId="7" numFmtId="0" xfId="0">
      <alignment vertical="top" wrapText="true"/>
    </xf>
    <xf applyAlignment="true" applyBorder="false" applyFill="false" applyFont="true" applyNumberFormat="false" applyProtection="false" borderId="42" fillId="0" fontId="7" numFmtId="0" xfId="0">
      <alignment vertical="top" wrapText="true"/>
    </xf>
    <xf applyAlignment="true" applyBorder="false" applyFill="true" applyFont="true" applyNumberFormat="false" applyProtection="false" borderId="43" fillId="15" fontId="7" numFmtId="0" xfId="0">
      <alignment vertical="top" wrapText="true"/>
    </xf>
    <xf applyAlignment="true" applyBorder="false" applyFill="true" applyFont="true" applyNumberFormat="false" applyProtection="false" borderId="44" fillId="16" fontId="10" numFmtId="0" xfId="0">
      <alignment vertical="top" wrapText="true"/>
    </xf>
    <xf applyAlignment="true" applyBorder="false" applyFill="true" applyFont="true" applyNumberFormat="false" applyProtection="false" borderId="45" fillId="17" fontId="11" numFmtId="0" xfId="0">
      <alignment vertical="top" wrapText="true"/>
    </xf>
    <xf applyAlignment="true" applyBorder="false" applyFill="true" applyFont="true" applyNumberFormat="true" applyProtection="false" borderId="46" fillId="18" fontId="7" numFmtId="183" xfId="0">
      <alignment vertical="center"/>
    </xf>
    <xf applyAlignment="true" applyBorder="false" applyFill="false" applyFont="true" applyNumberFormat="true" applyProtection="false" borderId="47" fillId="0" fontId="7" numFmtId="184" xfId="0">
      <alignment vertical="center"/>
    </xf>
    <xf applyAlignment="true" applyBorder="false" applyFill="true" applyFont="true" applyNumberFormat="true" applyProtection="false" borderId="48" fillId="19" fontId="7" numFmtId="185" xfId="0">
      <alignment vertical="center"/>
    </xf>
    <xf applyAlignment="true" applyBorder="false" applyFill="false" applyFont="true" applyNumberFormat="true" applyProtection="false" borderId="49" fillId="0" fontId="8" numFmtId="186" xfId="0">
      <alignment vertical="center"/>
    </xf>
    <xf applyAlignment="true" applyBorder="false" applyFill="false" applyFont="true" applyNumberFormat="false" applyProtection="false" borderId="50" fillId="0" fontId="7" numFmtId="0" xfId="0">
      <alignment vertical="bottom" wrapText="true"/>
    </xf>
    <xf applyAlignment="true" applyBorder="false" applyFill="false" applyFont="true" applyNumberFormat="false" applyProtection="false" borderId="51" fillId="0" fontId="7" numFmtId="0" xfId="0">
      <alignment horizontal="right" vertical="bottom" wrapText="true"/>
    </xf>
    <xf applyAlignment="true" applyBorder="false" applyFill="false" applyFont="true" applyNumberFormat="false" applyProtection="false" borderId="52" fillId="0" fontId="8" numFmtId="0" xfId="0">
      <alignment vertical="bottom" wrapText="true"/>
    </xf>
    <xf applyAlignment="true" applyBorder="false" applyFill="false" applyFont="true" applyNumberFormat="false" applyProtection="false" borderId="53" fillId="0" fontId="7" numFmtId="0" xfId="0">
      <alignment vertical="center" wrapText="true"/>
    </xf>
    <xf applyAlignment="true" applyBorder="false" applyFill="false" applyFont="true" applyNumberFormat="true" applyProtection="false" borderId="54" fillId="0" fontId="7" numFmtId="187" xfId="0">
      <alignment vertical="center" wrapText="true"/>
    </xf>
    <xf applyAlignment="true" applyBorder="false" applyFill="false" applyFont="true" applyNumberFormat="true" applyProtection="false" borderId="55" fillId="0" fontId="7" numFmtId="188" xfId="0">
      <alignment vertical="center" wrapText="true"/>
    </xf>
    <xf applyAlignment="true" applyBorder="false" applyFill="false" applyFont="true" applyNumberFormat="true" applyProtection="false" borderId="56" fillId="0" fontId="12" numFmtId="189" xfId="0">
      <alignment vertical="center" wrapText="true"/>
    </xf>
    <xf applyAlignment="true" applyBorder="false" applyFill="false" applyFont="true" applyNumberFormat="true" applyProtection="false" borderId="57" fillId="0" fontId="7" numFmtId="190" xfId="0">
      <alignment vertical="bottom"/>
    </xf>
    <xf applyAlignment="true" applyBorder="false" applyFill="true" applyFont="true" applyNumberFormat="false" applyProtection="false" borderId="58" fillId="20" fontId="13" numFmtId="0" xfId="0">
      <alignment horizontal="center" vertical="center" wrapText="true"/>
    </xf>
    <xf applyAlignment="true" applyBorder="false" applyFill="true" applyFont="true" applyNumberFormat="true" applyProtection="false" borderId="59" fillId="21" fontId="13" numFmtId="191" xfId="0">
      <alignment horizontal="center" vertical="center" wrapText="true"/>
    </xf>
    <xf applyAlignment="true" applyBorder="false" applyFill="true" applyFont="true" applyNumberFormat="false" applyProtection="false" borderId="60" fillId="22" fontId="1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drive.google.com/file/d/1qCtYj7oxkIuVJ5p_tfTzEoNwHYo4raN0/view?usp=drive_link" Type="http://schemas.openxmlformats.org/officeDocument/2006/relationships/hyperlink" TargetMode="External"></Relationship><Relationship Id="rId2" Target="https://drive.google.com/file/d/18YXZPG3rTSIuP_5Hayv10vElKxDTh2e1/view?usp=drive_link" Type="http://schemas.openxmlformats.org/officeDocument/2006/relationships/hyperlink" TargetMode="External"></Relationship><Relationship Id="rId3" Target="https://drive.google.com/file/d/1cb43G6rd0MXEdMVYnUjI5lKGAePQHWIe/view?usp=drive_link" Type="http://schemas.openxmlformats.org/officeDocument/2006/relationships/hyperlink" TargetMode="External"></Relationship><Relationship Id="rId4" Target="https://drive.google.com/file/d/1KZt7PcJSu-9zO9IfEqic5q3qQge1vaSY/view?usp=drive_link" Type="http://schemas.openxmlformats.org/officeDocument/2006/relationships/hyperlink" TargetMode="External"></Relationship><Relationship Id="rId5" Target="https://drive.google.com/file/d/1I4Q0PWubVqA_b1hqxvLTYvhl0xYz5ab1/view?usp=drive_link" Type="http://schemas.openxmlformats.org/officeDocument/2006/relationships/hyperlink" TargetMode="External"></Relationship><Relationship Id="rId6" Target="https://drive.google.com/file/d/1kKw14SU4hSxR3swDRzzZgFpLeNt2qSIQ/view?usp=drive_link" Type="http://schemas.openxmlformats.org/officeDocument/2006/relationships/hyperlink" TargetMode="External"></Relationship><Relationship Id="rId7" Target="https://drive.google.com/file/d/1hHNiC6h11js-pg57y4geQOXa2g5Yh0un/view?usp=drive_link" Type="http://schemas.openxmlformats.org/officeDocument/2006/relationships/hyperlink" TargetMode="External"></Relationship><Relationship Id="rId8" Target="https://drive.google.com/file/d/1qSZ5FPnQUnIC0tD74O41XAjMhFHj6wky/view?usp=drive_link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7"/>
    <col collapsed="false" customWidth="true" hidden="false" max="3" min="3" style="0" width="32"/>
    <col collapsed="false" customWidth="true" hidden="false" max="4" min="4" style="0" width="56"/>
    <col collapsed="false" customWidth="true" hidden="false" max="5" min="5" style="0" width="10"/>
    <col collapsed="false" customWidth="true" hidden="false" max="6" min="6" style="0" width="12"/>
    <col collapsed="false" customWidth="true" hidden="false" max="7" min="7" style="0" width="28"/>
    <col collapsed="false" customWidth="true" hidden="false" max="8" min="8" style="0" width="23"/>
    <col collapsed="false" customWidth="true" hidden="false" max="9" min="9" style="0" width="18"/>
  </cols>
  <sheetData>
    <row r="1">
      <c r="A1" s="2" t="str">
        <v>SalonName</v>
      </c>
      <c r="B1" s="2" t="str">
        <v>P_Category_Name</v>
      </c>
      <c r="C1" s="2" t="str">
        <v>Phân nhóm</v>
      </c>
      <c r="D1" s="2" t="str">
        <v>name</v>
      </c>
      <c r="E1" s="2" t="str">
        <v>SalonId</v>
      </c>
      <c r="F1" s="2" t="str">
        <v>ServiceId</v>
      </c>
      <c r="G1" s="2" t="str">
        <v>Giá cũ Salon trước 31/12</v>
      </c>
      <c r="H1" s="2" t="str">
        <v>Giá mới sau 31/12</v>
      </c>
      <c r="I1" s="2" t="str">
        <v>Link menu online</v>
      </c>
    </row>
    <row r="2">
      <c r="A2" t="str">
        <v>10 TP</v>
      </c>
      <c r="B2" t="str">
        <v>DV_Dưỡng</v>
      </c>
      <c r="C2" t="str">
        <v>DV Dưỡng</v>
      </c>
      <c r="D2" t="str">
        <v>(2022T) ATS Control Buffer - Khử mùi tạo thơm cho tóc uốn nhuộm 40k</v>
      </c>
      <c r="E2">
        <v>143</v>
      </c>
      <c r="F2">
        <v>610</v>
      </c>
      <c r="G2">
        <v>40000</v>
      </c>
      <c r="H2">
        <v>40000</v>
      </c>
      <c r="J2">
        <f>H2&amp;H3&amp;H4&amp;H5&amp;H6&amp;H7&amp;H8&amp;H9&amp;H10&amp;H11&amp;H12&amp;H13&amp;H14</f>
      </c>
    </row>
    <row r="3">
      <c r="A3" t="str">
        <v>10 TP</v>
      </c>
      <c r="B3" t="str">
        <v>DV_Uốn</v>
      </c>
      <c r="C3" t="str">
        <v>DV Uốn cao cấp (&gt;340k)</v>
      </c>
      <c r="D3" t="str">
        <v>[DV] Uốn Texture con sâu/Uốn Ruffled</v>
      </c>
      <c r="E3">
        <v>143</v>
      </c>
      <c r="F3">
        <v>674</v>
      </c>
      <c r="G3">
        <v>499000</v>
      </c>
      <c r="H3">
        <v>499000</v>
      </c>
    </row>
    <row r="4">
      <c r="A4" t="str">
        <v>10 TP</v>
      </c>
      <c r="B4" t="str">
        <v>DV_Uốn</v>
      </c>
      <c r="C4" t="str">
        <v>DV Duỗi Ép</v>
      </c>
      <c r="D4" t="str">
        <v>[DV] Ép side hai bên</v>
      </c>
      <c r="E4">
        <v>143</v>
      </c>
      <c r="F4">
        <v>902</v>
      </c>
      <c r="G4">
        <v>189000</v>
      </c>
      <c r="H4">
        <v>209000</v>
      </c>
    </row>
    <row r="5">
      <c r="A5" t="str">
        <v>10 TP</v>
      </c>
      <c r="B5" t="str">
        <v>DV_Nhuộm</v>
      </c>
      <c r="C5" t="str">
        <v>DV Nhuộm tiêu chuẩn (&lt;300k)</v>
      </c>
      <c r="D5" t="str">
        <v>[DV] Nhuộm đen phủ bạc R&amp;B thảo dược</v>
      </c>
      <c r="E5">
        <v>143</v>
      </c>
      <c r="F5">
        <v>912</v>
      </c>
      <c r="G5">
        <v>289000</v>
      </c>
      <c r="H5">
        <v>309000</v>
      </c>
    </row>
    <row r="6">
      <c r="A6" t="str">
        <v>10 TP</v>
      </c>
      <c r="B6" t="str">
        <v>DV_Nhuộm</v>
      </c>
      <c r="C6" t="str">
        <v>DV Nhuộm tiêu chuẩn (&lt;300k)</v>
      </c>
      <c r="D6" t="str">
        <v>[DV] Tẩy tóc bật tông Ý (1 lần)</v>
      </c>
      <c r="E6">
        <v>143</v>
      </c>
      <c r="F6">
        <v>915</v>
      </c>
      <c r="G6">
        <v>252000</v>
      </c>
      <c r="H6">
        <v>269000</v>
      </c>
    </row>
    <row r="7">
      <c r="A7" t="str">
        <v>10 TP</v>
      </c>
      <c r="B7" t="str">
        <v>DV_Nhuộm</v>
      </c>
      <c r="C7" t="str">
        <v>DV Nhuộm tiêu chuẩn (&lt;300k)</v>
      </c>
      <c r="D7" t="str">
        <v>[DV] Tẩy tóc bật tông Ý (2 lần) 500k</v>
      </c>
      <c r="E7">
        <v>143</v>
      </c>
      <c r="F7">
        <v>916</v>
      </c>
      <c r="G7">
        <v>500000</v>
      </c>
      <c r="H7">
        <v>529000</v>
      </c>
    </row>
    <row r="8">
      <c r="A8" t="str">
        <v>10 TP</v>
      </c>
      <c r="B8" t="str">
        <v>DV_Uốn</v>
      </c>
      <c r="C8" t="str">
        <v>DV Uốn cao cấp (&gt;340k)</v>
      </c>
      <c r="D8" t="str">
        <v>Uốn định hình nếp tóc cao cấp (K-Perm Collection)</v>
      </c>
      <c r="E8">
        <v>143</v>
      </c>
      <c r="F8">
        <v>952</v>
      </c>
      <c r="G8">
        <v>478000</v>
      </c>
      <c r="H8">
        <v>509000</v>
      </c>
    </row>
    <row r="9">
      <c r="A9" t="str">
        <v>10 TP</v>
      </c>
      <c r="B9" t="str">
        <v>DV_Nhuộm</v>
      </c>
      <c r="C9" t="str">
        <v>DV Nhuộm cao cấp (&gt;300k)</v>
      </c>
      <c r="D9" t="str">
        <v>(NEW) Nhuộm màu thời trang Milano</v>
      </c>
      <c r="E9">
        <v>143</v>
      </c>
      <c r="F9">
        <v>960</v>
      </c>
      <c r="G9">
        <v>332000</v>
      </c>
      <c r="H9">
        <v>369000</v>
      </c>
    </row>
    <row r="10">
      <c r="A10" t="str">
        <v>10 TP</v>
      </c>
      <c r="B10" t="str">
        <v>DV_Nhuộm</v>
      </c>
      <c r="C10" t="str">
        <v>DV Nhuộm tiêu chuẩn (&lt;300k)</v>
      </c>
      <c r="D10" t="str">
        <v>(NEW) Nhuộm phủ bạc tiêu chuẩn 199K</v>
      </c>
      <c r="E10">
        <v>143</v>
      </c>
      <c r="F10">
        <v>967</v>
      </c>
      <c r="G10">
        <v>199000</v>
      </c>
      <c r="H10">
        <v>209000</v>
      </c>
    </row>
    <row r="11">
      <c r="A11" t="str">
        <v>10 TP</v>
      </c>
      <c r="B11" t="str">
        <v>DV_Uốn</v>
      </c>
      <c r="C11" t="str">
        <v>DV Uốn tiêu chuẩn (&lt;340k)</v>
      </c>
      <c r="D11" t="str">
        <v>(NEW) Uốn/Duỗi/Định hình full đầu tạo form vào nếp tự nhiên</v>
      </c>
      <c r="E11">
        <v>143</v>
      </c>
      <c r="F11">
        <v>1009</v>
      </c>
      <c r="G11">
        <v>386000</v>
      </c>
      <c r="H11">
        <v>386000</v>
      </c>
    </row>
    <row r="12">
      <c r="A12" t="str">
        <v>10 TP</v>
      </c>
      <c r="B12" t="str">
        <v>DV_Dưỡng</v>
      </c>
      <c r="C12" t="str">
        <v>DV Dưỡng</v>
      </c>
      <c r="D12" t="str">
        <v>Phục hồi trẻ hóa Lipid Bond</v>
      </c>
      <c r="E12">
        <v>143</v>
      </c>
      <c r="F12">
        <v>1101</v>
      </c>
      <c r="G12">
        <v>132000</v>
      </c>
      <c r="H12">
        <v>146000</v>
      </c>
    </row>
    <row r="13">
      <c r="A13" t="str">
        <v>10 TP</v>
      </c>
      <c r="B13" t="str">
        <v>DV_Uốn</v>
      </c>
      <c r="C13" t="str">
        <v>DV Uốn cao cấp (&gt;340k)</v>
      </c>
      <c r="D13" t="str">
        <v>UỐN THIẾT KẾ PHỤC HỒI CHUYÊN SÂU LIPID BOND 2025</v>
      </c>
      <c r="E13">
        <v>143</v>
      </c>
      <c r="F13">
        <v>1148</v>
      </c>
      <c r="G13">
        <v>689000</v>
      </c>
      <c r="H13">
        <v>689000</v>
      </c>
    </row>
    <row r="14">
      <c r="A14" t="str">
        <v>10 TP</v>
      </c>
      <c r="B14" t="str">
        <v>DV_Nhuộm</v>
      </c>
      <c r="C14" t="str">
        <v>DV Nhuộm cao cấp (&gt;300k)</v>
      </c>
      <c r="D14" t="str">
        <v>NHUỘM THIẾT KẾ PHỤC HỒI CHUYÊN SÂU LIPID BOND 2025</v>
      </c>
      <c r="E14">
        <v>143</v>
      </c>
      <c r="F14">
        <v>1149</v>
      </c>
      <c r="G14">
        <v>689000</v>
      </c>
      <c r="H14">
        <v>759000</v>
      </c>
    </row>
    <row r="15">
      <c r="A15" t="str">
        <v>103 TN</v>
      </c>
      <c r="B15" t="str">
        <v>DV_Dưỡng</v>
      </c>
      <c r="C15" t="str">
        <v>DV Dưỡng</v>
      </c>
      <c r="D15" t="str">
        <v>(2022T) ATS Control Buffer - Khử mùi tạo thơm cho tóc uốn nhuộm 40k</v>
      </c>
      <c r="E15">
        <v>44</v>
      </c>
      <c r="F15">
        <v>610</v>
      </c>
      <c r="G15">
        <v>40000</v>
      </c>
      <c r="H15">
        <v>40000</v>
      </c>
      <c r="J15">
        <f>H15&amp;H16&amp;H17&amp;H18&amp;H19&amp;H20&amp;H21&amp;H22&amp;H23&amp;H24&amp;H25&amp;H26&amp;H27</f>
      </c>
    </row>
    <row r="16">
      <c r="A16" t="str">
        <v>103 TN</v>
      </c>
      <c r="B16" t="str">
        <v>DV_Uốn</v>
      </c>
      <c r="C16" t="str">
        <v>DV Uốn cao cấp (&gt;340k)</v>
      </c>
      <c r="D16" t="str">
        <v>[DV] Uốn Texture con sâu/Uốn Ruffled</v>
      </c>
      <c r="E16">
        <v>44</v>
      </c>
      <c r="F16">
        <v>674</v>
      </c>
      <c r="G16">
        <v>499000</v>
      </c>
      <c r="H16">
        <v>529000</v>
      </c>
    </row>
    <row r="17">
      <c r="A17" t="str">
        <v>103 TN</v>
      </c>
      <c r="B17" t="str">
        <v>DV_Uốn</v>
      </c>
      <c r="C17" t="str">
        <v>DV Duỗi Ép</v>
      </c>
      <c r="D17" t="str">
        <v>[DV] Ép side hai bên</v>
      </c>
      <c r="E17">
        <v>44</v>
      </c>
      <c r="F17">
        <v>902</v>
      </c>
      <c r="G17">
        <v>189000</v>
      </c>
      <c r="H17">
        <v>209000</v>
      </c>
    </row>
    <row r="18">
      <c r="A18" t="str">
        <v>103 TN</v>
      </c>
      <c r="B18" t="str">
        <v>DV_Nhuộm</v>
      </c>
      <c r="C18" t="str">
        <v>DV Nhuộm tiêu chuẩn (&lt;300k)</v>
      </c>
      <c r="D18" t="str">
        <v>[DV] Nhuộm đen phủ bạc R&amp;B thảo dược</v>
      </c>
      <c r="E18">
        <v>44</v>
      </c>
      <c r="F18">
        <v>912</v>
      </c>
      <c r="G18">
        <v>289000</v>
      </c>
      <c r="H18">
        <v>309000</v>
      </c>
    </row>
    <row r="19">
      <c r="A19" t="str">
        <v>103 TN</v>
      </c>
      <c r="B19" t="str">
        <v>DV_Nhuộm</v>
      </c>
      <c r="C19" t="str">
        <v>DV Nhuộm tiêu chuẩn (&lt;300k)</v>
      </c>
      <c r="D19" t="str">
        <v>[DV] Tẩy tóc bật tông Ý (1 lần)</v>
      </c>
      <c r="E19">
        <v>44</v>
      </c>
      <c r="F19">
        <v>915</v>
      </c>
      <c r="G19">
        <v>252000</v>
      </c>
      <c r="H19">
        <v>269000</v>
      </c>
    </row>
    <row r="20">
      <c r="A20" t="str">
        <v>103 TN</v>
      </c>
      <c r="B20" t="str">
        <v>DV_Nhuộm</v>
      </c>
      <c r="C20" t="str">
        <v>DV Nhuộm tiêu chuẩn (&lt;300k)</v>
      </c>
      <c r="D20" t="str">
        <v>[DV] Tẩy tóc bật tông Ý (2 lần) 500k</v>
      </c>
      <c r="E20">
        <v>44</v>
      </c>
      <c r="F20">
        <v>916</v>
      </c>
      <c r="G20">
        <v>500000</v>
      </c>
      <c r="H20">
        <v>529000</v>
      </c>
    </row>
    <row r="21">
      <c r="A21" t="str">
        <v>103 TN</v>
      </c>
      <c r="B21" t="str">
        <v>DV_Uốn</v>
      </c>
      <c r="C21" t="str">
        <v>DV Uốn cao cấp (&gt;340k)</v>
      </c>
      <c r="D21" t="str">
        <v>Uốn định hình nếp tóc cao cấp (K-Perm Collection)</v>
      </c>
      <c r="E21">
        <v>44</v>
      </c>
      <c r="F21">
        <v>952</v>
      </c>
      <c r="G21">
        <v>478000</v>
      </c>
      <c r="H21">
        <v>509000</v>
      </c>
    </row>
    <row r="22">
      <c r="A22" t="str">
        <v>103 TN</v>
      </c>
      <c r="B22" t="str">
        <v>DV_Nhuộm</v>
      </c>
      <c r="C22" t="str">
        <v>DV Nhuộm cao cấp (&gt;300k)</v>
      </c>
      <c r="D22" t="str">
        <v>(NEW) Nhuộm màu thời trang Milano</v>
      </c>
      <c r="E22">
        <v>44</v>
      </c>
      <c r="F22">
        <v>960</v>
      </c>
      <c r="G22">
        <v>332000</v>
      </c>
      <c r="H22">
        <v>349000</v>
      </c>
    </row>
    <row r="23">
      <c r="A23" t="str">
        <v>103 TN</v>
      </c>
      <c r="B23" t="str">
        <v>DV_Nhuộm</v>
      </c>
      <c r="C23" t="str">
        <v>DV Nhuộm tiêu chuẩn (&lt;300k)</v>
      </c>
      <c r="D23" t="str">
        <v>(NEW) Nhuộm phủ bạc tiêu chuẩn 199K</v>
      </c>
      <c r="E23">
        <v>44</v>
      </c>
      <c r="F23">
        <v>967</v>
      </c>
      <c r="G23">
        <v>199000</v>
      </c>
      <c r="H23">
        <v>209000</v>
      </c>
    </row>
    <row r="24">
      <c r="A24" t="str">
        <v>103 TN</v>
      </c>
      <c r="B24" t="str">
        <v>DV_Uốn</v>
      </c>
      <c r="C24" t="str">
        <v>DV Uốn tiêu chuẩn (&lt;340k)</v>
      </c>
      <c r="D24" t="str">
        <v>(NEW) Uốn/Duỗi/Định hình full đầu tạo form vào nếp tự nhiên</v>
      </c>
      <c r="E24">
        <v>44</v>
      </c>
      <c r="F24">
        <v>1009</v>
      </c>
      <c r="G24">
        <v>386000</v>
      </c>
      <c r="H24">
        <v>409000</v>
      </c>
    </row>
    <row r="25">
      <c r="A25" t="str">
        <v>103 TN</v>
      </c>
      <c r="B25" t="str">
        <v>DV_Dưỡng</v>
      </c>
      <c r="C25" t="str">
        <v>DV Dưỡng</v>
      </c>
      <c r="D25" t="str">
        <v>Phục hồi trẻ hóa Lipid Bond</v>
      </c>
      <c r="E25">
        <v>44</v>
      </c>
      <c r="F25">
        <v>1101</v>
      </c>
      <c r="G25">
        <v>132000</v>
      </c>
      <c r="H25">
        <v>146000</v>
      </c>
    </row>
    <row r="26">
      <c r="A26" t="str">
        <v>103 TN</v>
      </c>
      <c r="B26" t="str">
        <v>DV_Uốn</v>
      </c>
      <c r="C26" t="str">
        <v>DV Uốn cao cấp (&gt;340k)</v>
      </c>
      <c r="D26" t="str">
        <v>UỐN THIẾT KẾ PHỤC HỒI CHUYÊN SÂU LIPID BOND 2025</v>
      </c>
      <c r="E26">
        <v>44</v>
      </c>
      <c r="F26">
        <v>1148</v>
      </c>
      <c r="G26">
        <v>689000</v>
      </c>
      <c r="H26">
        <v>729000</v>
      </c>
    </row>
    <row r="27">
      <c r="A27" t="str">
        <v>103 TN</v>
      </c>
      <c r="B27" t="str">
        <v>DV_Nhuộm</v>
      </c>
      <c r="C27" t="str">
        <v>DV Nhuộm cao cấp (&gt;300k)</v>
      </c>
      <c r="D27" t="str">
        <v>NHUỘM THIẾT KẾ PHỤC HỒI CHUYÊN SÂU LIPID BOND 2025</v>
      </c>
      <c r="E27">
        <v>44</v>
      </c>
      <c r="F27">
        <v>1149</v>
      </c>
      <c r="G27">
        <v>689000</v>
      </c>
      <c r="H27">
        <v>759000</v>
      </c>
    </row>
    <row r="28">
      <c r="A28" t="str">
        <v>103 TN</v>
      </c>
      <c r="B28" t="str">
        <v>DV_Uốn</v>
      </c>
      <c r="C28" t="str">
        <v>Combo UND</v>
      </c>
      <c r="D28" t="str">
        <v>Uốn/ Nhuộm thiết kế phục hồi 2025</v>
      </c>
      <c r="E28">
        <v>44</v>
      </c>
      <c r="F28">
        <v>1193</v>
      </c>
      <c r="G28">
        <v>1199000</v>
      </c>
      <c r="H28">
        <v>1199000</v>
      </c>
    </row>
    <row r="29">
      <c r="A29" t="str">
        <v>109 TQH</v>
      </c>
      <c r="B29" t="str">
        <v>DV_Dưỡng</v>
      </c>
      <c r="C29" t="str">
        <v>DV Dưỡng</v>
      </c>
      <c r="D29" t="str">
        <v>(2022T) ATS Control Buffer - Khử mùi tạo thơm cho tóc uốn nhuộm 40k</v>
      </c>
      <c r="E29">
        <v>146</v>
      </c>
      <c r="F29">
        <v>610</v>
      </c>
      <c r="G29">
        <v>40000</v>
      </c>
      <c r="H29">
        <v>40000</v>
      </c>
      <c r="I29" s="1" t="s">
        <v>2</v>
      </c>
      <c r="J29">
        <f>G29&amp;G30&amp;G31&amp;G32&amp;G33&amp;G34&amp;G35&amp;G36&amp;G37&amp;G38&amp;G39&amp;G40&amp;G41</f>
      </c>
    </row>
    <row r="30">
      <c r="A30" t="str">
        <v>109 TQH</v>
      </c>
      <c r="B30" t="str">
        <v>DV_Uốn</v>
      </c>
      <c r="C30" t="str">
        <v>DV Uốn cao cấp (&gt;340k)</v>
      </c>
      <c r="D30" t="str">
        <v>[DV] Uốn Texture con sâu/Uốn Ruffled</v>
      </c>
      <c r="E30">
        <v>146</v>
      </c>
      <c r="F30">
        <v>674</v>
      </c>
      <c r="G30">
        <v>499000</v>
      </c>
      <c r="H30">
        <v>529000</v>
      </c>
      <c r="I30" s="1"/>
    </row>
    <row r="31">
      <c r="A31" t="str">
        <v>109 TQH</v>
      </c>
      <c r="B31" t="str">
        <v>DV_Uốn</v>
      </c>
      <c r="C31" t="str">
        <v>DV Duỗi Ép</v>
      </c>
      <c r="D31" t="str">
        <v>[DV] Ép side hai bên</v>
      </c>
      <c r="E31">
        <v>146</v>
      </c>
      <c r="F31">
        <v>902</v>
      </c>
      <c r="G31">
        <v>189000</v>
      </c>
      <c r="H31">
        <v>209000</v>
      </c>
      <c r="I31" s="1"/>
    </row>
    <row r="32">
      <c r="A32" t="str">
        <v>109 TQH</v>
      </c>
      <c r="B32" t="str">
        <v>DV_Nhuộm</v>
      </c>
      <c r="C32" t="str">
        <v>DV Nhuộm tiêu chuẩn (&lt;300k)</v>
      </c>
      <c r="D32" t="str">
        <v>[DV] Nhuộm đen phủ bạc R&amp;B thảo dược</v>
      </c>
      <c r="E32">
        <v>146</v>
      </c>
      <c r="F32">
        <v>912</v>
      </c>
      <c r="G32">
        <v>289000</v>
      </c>
      <c r="H32">
        <v>309000</v>
      </c>
      <c r="I32" s="1"/>
    </row>
    <row r="33">
      <c r="A33" t="str">
        <v>109 TQH</v>
      </c>
      <c r="B33" t="str">
        <v>DV_Nhuộm</v>
      </c>
      <c r="C33" t="str">
        <v>DV Nhuộm tiêu chuẩn (&lt;300k)</v>
      </c>
      <c r="D33" t="str">
        <v>[DV] Tẩy tóc bật tông Ý (1 lần)</v>
      </c>
      <c r="E33">
        <v>146</v>
      </c>
      <c r="F33">
        <v>915</v>
      </c>
      <c r="G33">
        <v>252000</v>
      </c>
      <c r="H33">
        <v>269000</v>
      </c>
      <c r="I33" s="1"/>
    </row>
    <row r="34">
      <c r="A34" t="str">
        <v>109 TQH</v>
      </c>
      <c r="B34" t="str">
        <v>DV_Nhuộm</v>
      </c>
      <c r="C34" t="str">
        <v>DV Nhuộm tiêu chuẩn (&lt;300k)</v>
      </c>
      <c r="D34" t="str">
        <v>[DV] Tẩy tóc bật tông Ý (2 lần) 500k</v>
      </c>
      <c r="E34">
        <v>146</v>
      </c>
      <c r="F34">
        <v>916</v>
      </c>
      <c r="G34">
        <v>500000</v>
      </c>
      <c r="H34">
        <v>529000</v>
      </c>
      <c r="I34" s="1"/>
    </row>
    <row r="35">
      <c r="A35" t="str">
        <v>109 TQH</v>
      </c>
      <c r="B35" t="str">
        <v>DV_Uốn</v>
      </c>
      <c r="C35" t="str">
        <v>DV Uốn cao cấp (&gt;340k)</v>
      </c>
      <c r="D35" t="str">
        <v>Uốn định hình nếp tóc cao cấp (K-Perm Collection)</v>
      </c>
      <c r="E35">
        <v>146</v>
      </c>
      <c r="F35">
        <v>952</v>
      </c>
      <c r="G35">
        <v>478000</v>
      </c>
      <c r="H35">
        <v>509000</v>
      </c>
      <c r="I35" s="1"/>
    </row>
    <row r="36">
      <c r="A36" t="str">
        <v>109 TQH</v>
      </c>
      <c r="B36" t="str">
        <v>DV_Nhuộm</v>
      </c>
      <c r="C36" t="str">
        <v>DV Nhuộm cao cấp (&gt;300k)</v>
      </c>
      <c r="D36" t="str">
        <v>(NEW) Nhuộm màu thời trang Milano</v>
      </c>
      <c r="E36">
        <v>146</v>
      </c>
      <c r="F36">
        <v>960</v>
      </c>
      <c r="G36">
        <v>332000</v>
      </c>
      <c r="H36">
        <v>349000</v>
      </c>
      <c r="I36" s="1"/>
    </row>
    <row r="37">
      <c r="A37" t="str">
        <v>109 TQH</v>
      </c>
      <c r="B37" t="str">
        <v>DV_Nhuộm</v>
      </c>
      <c r="C37" t="str">
        <v>DV Nhuộm tiêu chuẩn (&lt;300k)</v>
      </c>
      <c r="D37" t="str">
        <v>(NEW) Nhuộm phủ bạc tiêu chuẩn 199K</v>
      </c>
      <c r="E37">
        <v>146</v>
      </c>
      <c r="F37">
        <v>967</v>
      </c>
      <c r="G37">
        <v>199000</v>
      </c>
      <c r="H37">
        <v>209000</v>
      </c>
      <c r="I37" s="1"/>
    </row>
    <row r="38">
      <c r="A38" t="str">
        <v>109 TQH</v>
      </c>
      <c r="B38" t="str">
        <v>DV_Uốn</v>
      </c>
      <c r="C38" t="str">
        <v>DV Uốn tiêu chuẩn (&lt;340k)</v>
      </c>
      <c r="D38" t="str">
        <v>(NEW) Uốn/Duỗi/Định hình full đầu tạo form vào nếp tự nhiên</v>
      </c>
      <c r="E38">
        <v>146</v>
      </c>
      <c r="F38">
        <v>1009</v>
      </c>
      <c r="G38">
        <v>386000</v>
      </c>
      <c r="H38">
        <v>409000</v>
      </c>
      <c r="I38" s="1"/>
    </row>
    <row r="39">
      <c r="A39" t="str">
        <v>109 TQH</v>
      </c>
      <c r="B39" t="str">
        <v>DV_Dưỡng</v>
      </c>
      <c r="C39" t="str">
        <v>DV Dưỡng</v>
      </c>
      <c r="D39" t="str">
        <v>Phục hồi trẻ hóa Lipid Bond</v>
      </c>
      <c r="E39">
        <v>146</v>
      </c>
      <c r="F39">
        <v>1101</v>
      </c>
      <c r="G39">
        <v>132000</v>
      </c>
      <c r="H39">
        <v>146000</v>
      </c>
      <c r="I39" s="1"/>
    </row>
    <row r="40">
      <c r="A40" t="str">
        <v>109 TQH</v>
      </c>
      <c r="B40" t="str">
        <v>DV_Uốn</v>
      </c>
      <c r="C40" t="str">
        <v>DV Uốn cao cấp (&gt;340k)</v>
      </c>
      <c r="D40" t="str">
        <v>UỐN THIẾT KẾ PHỤC HỒI CHUYÊN SÂU LIPID BOND 2025</v>
      </c>
      <c r="E40">
        <v>146</v>
      </c>
      <c r="F40">
        <v>1148</v>
      </c>
      <c r="G40">
        <v>689000</v>
      </c>
      <c r="H40">
        <v>729000</v>
      </c>
      <c r="I40" s="1"/>
    </row>
    <row r="41">
      <c r="A41" t="str">
        <v>109 TQH</v>
      </c>
      <c r="B41" t="str">
        <v>DV_Nhuộm</v>
      </c>
      <c r="C41" t="str">
        <v>DV Nhuộm cao cấp (&gt;300k)</v>
      </c>
      <c r="D41" t="str">
        <v>NHUỘM THIẾT KẾ PHỤC HỒI CHUYÊN SÂU LIPID BOND 2025</v>
      </c>
      <c r="E41">
        <v>146</v>
      </c>
      <c r="F41">
        <v>1149</v>
      </c>
      <c r="G41">
        <v>689000</v>
      </c>
      <c r="H41">
        <v>729000</v>
      </c>
      <c r="I41" s="1"/>
    </row>
    <row r="42">
      <c r="A42" t="str">
        <v>11 PKT</v>
      </c>
      <c r="B42" t="str">
        <v>DV_Dưỡng</v>
      </c>
      <c r="C42" t="str">
        <v>DV Dưỡng</v>
      </c>
      <c r="D42" t="str">
        <v>(2022T) ATS Control Buffer - Khử mùi tạo thơm cho tóc uốn nhuộm 40k</v>
      </c>
      <c r="E42">
        <v>244</v>
      </c>
      <c r="F42">
        <v>610</v>
      </c>
      <c r="G42">
        <v>40000</v>
      </c>
      <c r="H42">
        <v>40000</v>
      </c>
      <c r="J42">
        <f>H42&amp;H43&amp;H44&amp;H45&amp;H46&amp;H47&amp;H48&amp;H49&amp;H50&amp;H51&amp;H52&amp;H53&amp;H54</f>
      </c>
    </row>
    <row r="43">
      <c r="A43" t="str">
        <v>11 PKT</v>
      </c>
      <c r="B43" t="str">
        <v>DV_Uốn</v>
      </c>
      <c r="C43" t="str">
        <v>DV Uốn cao cấp (&gt;340k)</v>
      </c>
      <c r="D43" t="str">
        <v>[DV] Uốn Texture con sâu/Uốn Ruffled</v>
      </c>
      <c r="E43">
        <v>244</v>
      </c>
      <c r="F43">
        <v>674</v>
      </c>
      <c r="G43">
        <v>499000</v>
      </c>
      <c r="H43">
        <v>529000</v>
      </c>
    </row>
    <row r="44">
      <c r="A44" t="str">
        <v>11 PKT</v>
      </c>
      <c r="B44" t="str">
        <v>DV_Uốn</v>
      </c>
      <c r="C44" t="str">
        <v>DV Duỗi Ép</v>
      </c>
      <c r="D44" t="str">
        <v>[DV] Ép side hai bên</v>
      </c>
      <c r="E44">
        <v>244</v>
      </c>
      <c r="F44">
        <v>902</v>
      </c>
      <c r="G44">
        <v>189000</v>
      </c>
      <c r="H44">
        <v>199000</v>
      </c>
    </row>
    <row r="45">
      <c r="A45" t="str">
        <v>11 PKT</v>
      </c>
      <c r="B45" t="str">
        <v>DV_Nhuộm</v>
      </c>
      <c r="C45" t="str">
        <v>DV Nhuộm tiêu chuẩn (&lt;300k)</v>
      </c>
      <c r="D45" t="str">
        <v>[DV] Nhuộm đen phủ bạc R&amp;B thảo dược</v>
      </c>
      <c r="E45">
        <v>244</v>
      </c>
      <c r="F45">
        <v>912</v>
      </c>
      <c r="G45">
        <v>289000</v>
      </c>
      <c r="H45">
        <v>289000</v>
      </c>
    </row>
    <row r="46">
      <c r="A46" t="str">
        <v>11 PKT</v>
      </c>
      <c r="B46" t="str">
        <v>DV_Nhuộm</v>
      </c>
      <c r="C46" t="str">
        <v>DV Nhuộm tiêu chuẩn (&lt;300k)</v>
      </c>
      <c r="D46" t="str">
        <v>[DV] Tẩy tóc bật tông Ý (1 lần)</v>
      </c>
      <c r="E46">
        <v>244</v>
      </c>
      <c r="F46">
        <v>915</v>
      </c>
      <c r="G46">
        <v>252000</v>
      </c>
      <c r="H46">
        <v>269000</v>
      </c>
    </row>
    <row r="47">
      <c r="A47" t="str">
        <v>11 PKT</v>
      </c>
      <c r="B47" t="str">
        <v>DV_Nhuộm</v>
      </c>
      <c r="C47" t="str">
        <v>DV Nhuộm tiêu chuẩn (&lt;300k)</v>
      </c>
      <c r="D47" t="str">
        <v>[DV] Tẩy tóc bật tông Ý (2 lần) 500k</v>
      </c>
      <c r="E47">
        <v>244</v>
      </c>
      <c r="F47">
        <v>916</v>
      </c>
      <c r="G47">
        <v>500000</v>
      </c>
      <c r="H47">
        <v>529000</v>
      </c>
    </row>
    <row r="48">
      <c r="A48" t="str">
        <v>11 PKT</v>
      </c>
      <c r="B48" t="str">
        <v>DV_Uốn</v>
      </c>
      <c r="C48" t="str">
        <v>DV Uốn cao cấp (&gt;340k)</v>
      </c>
      <c r="D48" t="str">
        <v>Uốn định hình nếp tóc cao cấp (K-Perm Collection)</v>
      </c>
      <c r="E48">
        <v>244</v>
      </c>
      <c r="F48">
        <v>952</v>
      </c>
      <c r="G48">
        <v>478000</v>
      </c>
      <c r="H48">
        <v>509000</v>
      </c>
    </row>
    <row r="49">
      <c r="A49" t="str">
        <v>11 PKT</v>
      </c>
      <c r="B49" t="str">
        <v>DV_Nhuộm</v>
      </c>
      <c r="C49" t="str">
        <v>DV Nhuộm cao cấp (&gt;300k)</v>
      </c>
      <c r="D49" t="str">
        <v>(NEW) Nhuộm màu thời trang Milano</v>
      </c>
      <c r="E49">
        <v>244</v>
      </c>
      <c r="F49">
        <v>960</v>
      </c>
      <c r="G49">
        <v>332000</v>
      </c>
      <c r="H49">
        <v>369000</v>
      </c>
    </row>
    <row r="50">
      <c r="A50" t="str">
        <v>11 PKT</v>
      </c>
      <c r="B50" t="str">
        <v>DV_Nhuộm</v>
      </c>
      <c r="C50" t="str">
        <v>DV Nhuộm tiêu chuẩn (&lt;300k)</v>
      </c>
      <c r="D50" t="str">
        <v>(NEW) Nhuộm phủ bạc tiêu chuẩn 199K</v>
      </c>
      <c r="E50">
        <v>244</v>
      </c>
      <c r="F50">
        <v>967</v>
      </c>
      <c r="G50">
        <v>199000</v>
      </c>
      <c r="H50">
        <v>209000</v>
      </c>
    </row>
    <row r="51">
      <c r="A51" t="str">
        <v>11 PKT</v>
      </c>
      <c r="B51" t="str">
        <v>DV_Uốn</v>
      </c>
      <c r="C51" t="str">
        <v>DV Uốn tiêu chuẩn (&lt;340k)</v>
      </c>
      <c r="D51" t="str">
        <v>(NEW) Uốn/Duỗi/Định hình full đầu tạo form vào nếp tự nhiên</v>
      </c>
      <c r="E51">
        <v>244</v>
      </c>
      <c r="F51">
        <v>1009</v>
      </c>
      <c r="G51">
        <v>386000</v>
      </c>
      <c r="H51">
        <v>409000</v>
      </c>
    </row>
    <row r="52">
      <c r="A52" t="str">
        <v>11 PKT</v>
      </c>
      <c r="B52" t="str">
        <v>DV_Dưỡng</v>
      </c>
      <c r="C52" t="str">
        <v>DV Dưỡng</v>
      </c>
      <c r="D52" t="str">
        <v>Phục hồi trẻ hóa Lipid Bond</v>
      </c>
      <c r="E52">
        <v>244</v>
      </c>
      <c r="F52">
        <v>1101</v>
      </c>
      <c r="G52">
        <v>132000</v>
      </c>
      <c r="H52">
        <v>146000</v>
      </c>
    </row>
    <row r="53">
      <c r="A53" t="str">
        <v>11 PKT</v>
      </c>
      <c r="B53" t="str">
        <v>DV_Uốn</v>
      </c>
      <c r="C53" t="str">
        <v>DV Uốn cao cấp (&gt;340k)</v>
      </c>
      <c r="D53" t="str">
        <v>UỐN THIẾT KẾ PHỤC HỒI CHUYÊN SÂU LIPID BOND 2025</v>
      </c>
      <c r="E53">
        <v>244</v>
      </c>
      <c r="F53">
        <v>1148</v>
      </c>
      <c r="G53">
        <v>689000</v>
      </c>
      <c r="H53">
        <v>729000</v>
      </c>
    </row>
    <row r="54">
      <c r="A54" t="str">
        <v>11 PKT</v>
      </c>
      <c r="B54" t="str">
        <v>DV_Nhuộm</v>
      </c>
      <c r="C54" t="str">
        <v>DV Nhuộm cao cấp (&gt;300k)</v>
      </c>
      <c r="D54" t="str">
        <v>NHUỘM THIẾT KẾ PHỤC HỒI CHUYÊN SÂU LIPID BOND 2025</v>
      </c>
      <c r="E54">
        <v>244</v>
      </c>
      <c r="F54">
        <v>1149</v>
      </c>
      <c r="G54">
        <v>689000</v>
      </c>
      <c r="H54">
        <v>759000</v>
      </c>
    </row>
    <row r="55">
      <c r="A55" t="str">
        <v>113 THD AG</v>
      </c>
      <c r="B55" t="str">
        <v>DV_Dưỡng</v>
      </c>
      <c r="C55" t="str">
        <v>DV Dưỡng</v>
      </c>
      <c r="D55" t="str">
        <v>(2022T) ATS Control Buffer - Khử mùi tạo thơm cho tóc uốn nhuộm 40k</v>
      </c>
      <c r="E55">
        <v>72</v>
      </c>
      <c r="F55">
        <v>610</v>
      </c>
      <c r="G55">
        <v>40000</v>
      </c>
      <c r="H55">
        <v>40000</v>
      </c>
      <c r="J55">
        <f>H55&amp;H56&amp;H57&amp;H58&amp;H59&amp;H60&amp;H61&amp;H62&amp;H63&amp;H64&amp;H65&amp;H66&amp;H67</f>
      </c>
    </row>
    <row r="56">
      <c r="A56" t="str">
        <v>113 THD AG</v>
      </c>
      <c r="B56" t="str">
        <v>DV_Uốn</v>
      </c>
      <c r="C56" t="str">
        <v>DV Uốn cao cấp (&gt;340k)</v>
      </c>
      <c r="D56" t="str">
        <v>[DV] Uốn Texture con sâu/Uốn Ruffled</v>
      </c>
      <c r="E56">
        <v>72</v>
      </c>
      <c r="F56">
        <v>674</v>
      </c>
      <c r="G56">
        <v>499000</v>
      </c>
      <c r="H56">
        <v>499000</v>
      </c>
    </row>
    <row r="57">
      <c r="A57" t="str">
        <v>113 THD AG</v>
      </c>
      <c r="B57" t="str">
        <v>DV_Uốn</v>
      </c>
      <c r="C57" t="str">
        <v>DV Duỗi Ép</v>
      </c>
      <c r="D57" t="str">
        <v>[DV] Ép side hai bên</v>
      </c>
      <c r="E57">
        <v>72</v>
      </c>
      <c r="F57">
        <v>902</v>
      </c>
      <c r="G57">
        <v>189000</v>
      </c>
      <c r="H57">
        <v>189000</v>
      </c>
    </row>
    <row r="58">
      <c r="A58" t="str">
        <v>113 THD AG</v>
      </c>
      <c r="B58" t="str">
        <v>DV_Nhuộm</v>
      </c>
      <c r="C58" t="str">
        <v>DV Nhuộm tiêu chuẩn (&lt;300k)</v>
      </c>
      <c r="D58" t="str">
        <v>[DV] Nhuộm đen phủ bạc R&amp;B thảo dược</v>
      </c>
      <c r="E58">
        <v>72</v>
      </c>
      <c r="F58">
        <v>912</v>
      </c>
      <c r="G58">
        <v>289000</v>
      </c>
      <c r="H58">
        <v>289000</v>
      </c>
    </row>
    <row r="59">
      <c r="A59" t="str">
        <v>113 THD AG</v>
      </c>
      <c r="B59" t="str">
        <v>DV_Nhuộm</v>
      </c>
      <c r="C59" t="str">
        <v>DV Nhuộm tiêu chuẩn (&lt;300k)</v>
      </c>
      <c r="D59" t="str">
        <v>[DV] Tẩy tóc bật tông Ý (1 lần)</v>
      </c>
      <c r="E59">
        <v>72</v>
      </c>
      <c r="F59">
        <v>915</v>
      </c>
      <c r="G59">
        <v>252000</v>
      </c>
      <c r="H59">
        <v>252000</v>
      </c>
    </row>
    <row r="60">
      <c r="A60" t="str">
        <v>113 THD AG</v>
      </c>
      <c r="B60" t="str">
        <v>DV_Nhuộm</v>
      </c>
      <c r="C60" t="str">
        <v>DV Nhuộm tiêu chuẩn (&lt;300k)</v>
      </c>
      <c r="D60" t="str">
        <v>[DV] Tẩy tóc bật tông Ý (2 lần) 500k</v>
      </c>
      <c r="E60">
        <v>72</v>
      </c>
      <c r="F60">
        <v>916</v>
      </c>
      <c r="G60">
        <v>500000</v>
      </c>
      <c r="H60">
        <v>500000</v>
      </c>
    </row>
    <row r="61">
      <c r="A61" t="str">
        <v>113 THD AG</v>
      </c>
      <c r="B61" t="str">
        <v>DV_Uốn</v>
      </c>
      <c r="C61" t="str">
        <v>DV Uốn cao cấp (&gt;340k)</v>
      </c>
      <c r="D61" t="str">
        <v>Uốn định hình nếp tóc cao cấp (K-Perm Collection)</v>
      </c>
      <c r="E61">
        <v>72</v>
      </c>
      <c r="F61">
        <v>952</v>
      </c>
      <c r="G61">
        <v>478000</v>
      </c>
      <c r="H61">
        <v>478000</v>
      </c>
    </row>
    <row r="62">
      <c r="A62" t="str">
        <v>113 THD AG</v>
      </c>
      <c r="B62" t="str">
        <v>DV_Nhuộm</v>
      </c>
      <c r="C62" t="str">
        <v>DV Nhuộm cao cấp (&gt;300k)</v>
      </c>
      <c r="D62" t="str">
        <v>(NEW) Nhuộm màu thời trang Milano</v>
      </c>
      <c r="E62">
        <v>72</v>
      </c>
      <c r="F62">
        <v>960</v>
      </c>
      <c r="G62">
        <v>332000</v>
      </c>
      <c r="H62">
        <v>332000</v>
      </c>
    </row>
    <row r="63">
      <c r="A63" t="str">
        <v>113 THD AG</v>
      </c>
      <c r="B63" t="str">
        <v>DV_Nhuộm</v>
      </c>
      <c r="C63" t="str">
        <v>DV Nhuộm tiêu chuẩn (&lt;300k)</v>
      </c>
      <c r="D63" t="str">
        <v>(NEW) Nhuộm phủ bạc tiêu chuẩn 199K</v>
      </c>
      <c r="E63">
        <v>72</v>
      </c>
      <c r="F63">
        <v>967</v>
      </c>
      <c r="G63">
        <v>199000</v>
      </c>
      <c r="H63">
        <v>199000</v>
      </c>
    </row>
    <row r="64">
      <c r="A64" t="str">
        <v>113 THD AG</v>
      </c>
      <c r="B64" t="str">
        <v>DV_Uốn</v>
      </c>
      <c r="C64" t="str">
        <v>DV Uốn tiêu chuẩn (&lt;340k)</v>
      </c>
      <c r="D64" t="str">
        <v>(NEW) Uốn/Duỗi/Định hình full đầu tạo form vào nếp tự nhiên</v>
      </c>
      <c r="E64">
        <v>72</v>
      </c>
      <c r="F64">
        <v>1009</v>
      </c>
      <c r="G64">
        <v>386000</v>
      </c>
      <c r="H64">
        <v>386000</v>
      </c>
    </row>
    <row r="65">
      <c r="A65" t="str">
        <v>113 THD AG</v>
      </c>
      <c r="B65" t="str">
        <v>DV_Dưỡng</v>
      </c>
      <c r="C65" t="str">
        <v>DV Dưỡng</v>
      </c>
      <c r="D65" t="str">
        <v>Phục hồi trẻ hóa Lipid Bond</v>
      </c>
      <c r="E65">
        <v>72</v>
      </c>
      <c r="F65">
        <v>1101</v>
      </c>
      <c r="G65">
        <v>132000</v>
      </c>
      <c r="H65">
        <v>146000</v>
      </c>
    </row>
    <row r="66">
      <c r="A66" t="str">
        <v>113 THD AG</v>
      </c>
      <c r="B66" t="str">
        <v>DV_Uốn</v>
      </c>
      <c r="C66" t="str">
        <v>DV Uốn cao cấp (&gt;340k)</v>
      </c>
      <c r="D66" t="str">
        <v>UỐN THIẾT KẾ PHỤC HỒI CHUYÊN SÂU LIPID BOND 2025</v>
      </c>
      <c r="E66">
        <v>72</v>
      </c>
      <c r="F66">
        <v>1148</v>
      </c>
      <c r="G66">
        <v>689000</v>
      </c>
      <c r="H66">
        <v>689000</v>
      </c>
    </row>
    <row r="67">
      <c r="A67" t="str">
        <v>113 THD AG</v>
      </c>
      <c r="B67" t="str">
        <v>DV_Nhuộm</v>
      </c>
      <c r="C67" t="str">
        <v>DV Nhuộm cao cấp (&gt;300k)</v>
      </c>
      <c r="D67" t="str">
        <v>NHUỘM THIẾT KẾ PHỤC HỒI CHUYÊN SÂU LIPID BOND 2025</v>
      </c>
      <c r="E67">
        <v>72</v>
      </c>
      <c r="F67">
        <v>1149</v>
      </c>
      <c r="G67">
        <v>689000</v>
      </c>
      <c r="H67">
        <v>689000</v>
      </c>
    </row>
    <row r="68">
      <c r="A68" t="str">
        <v>1146 KVC</v>
      </c>
      <c r="B68" t="str">
        <v>DV_Dưỡng</v>
      </c>
      <c r="C68" t="str">
        <v>DV Dưỡng</v>
      </c>
      <c r="D68" t="str">
        <v>(2022T) ATS Control Buffer - Khử mùi tạo thơm cho tóc uốn nhuộm 40k</v>
      </c>
      <c r="E68">
        <v>249</v>
      </c>
      <c r="F68">
        <v>610</v>
      </c>
      <c r="G68">
        <v>40000</v>
      </c>
      <c r="H68">
        <v>40000</v>
      </c>
      <c r="J68">
        <f>H68&amp;H69&amp;H70&amp;H71&amp;H72&amp;H73&amp;H74&amp;H75&amp;H76&amp;H77&amp;H78&amp;H79&amp;H80</f>
      </c>
    </row>
    <row r="69">
      <c r="A69" t="str">
        <v>1146 KVC</v>
      </c>
      <c r="B69" t="str">
        <v>DV_Uốn</v>
      </c>
      <c r="C69" t="str">
        <v>DV Uốn cao cấp (&gt;340k)</v>
      </c>
      <c r="D69" t="str">
        <v>[DV] Uốn Texture con sâu/Uốn Ruffled</v>
      </c>
      <c r="E69">
        <v>249</v>
      </c>
      <c r="F69">
        <v>674</v>
      </c>
      <c r="G69">
        <v>499000</v>
      </c>
      <c r="H69">
        <v>499000</v>
      </c>
    </row>
    <row r="70">
      <c r="A70" t="str">
        <v>1146 KVC</v>
      </c>
      <c r="B70" t="str">
        <v>DV_Uốn</v>
      </c>
      <c r="C70" t="str">
        <v>DV Duỗi Ép</v>
      </c>
      <c r="D70" t="str">
        <v>[DV] Ép side hai bên</v>
      </c>
      <c r="E70">
        <v>249</v>
      </c>
      <c r="F70">
        <v>902</v>
      </c>
      <c r="G70">
        <v>189000</v>
      </c>
      <c r="H70">
        <v>189000</v>
      </c>
    </row>
    <row r="71">
      <c r="A71" t="str">
        <v>1146 KVC</v>
      </c>
      <c r="B71" t="str">
        <v>DV_Nhuộm</v>
      </c>
      <c r="C71" t="str">
        <v>DV Nhuộm tiêu chuẩn (&lt;300k)</v>
      </c>
      <c r="D71" t="str">
        <v>[DV] Nhuộm đen phủ bạc R&amp;B thảo dược</v>
      </c>
      <c r="E71">
        <v>249</v>
      </c>
      <c r="F71">
        <v>912</v>
      </c>
      <c r="G71">
        <v>289000</v>
      </c>
      <c r="H71">
        <v>289000</v>
      </c>
    </row>
    <row r="72">
      <c r="A72" t="str">
        <v>1146 KVC</v>
      </c>
      <c r="B72" t="str">
        <v>DV_Nhuộm</v>
      </c>
      <c r="C72" t="str">
        <v>DV Nhuộm tiêu chuẩn (&lt;300k)</v>
      </c>
      <c r="D72" t="str">
        <v>[DV] Tẩy tóc bật tông Ý (1 lần)</v>
      </c>
      <c r="E72">
        <v>249</v>
      </c>
      <c r="F72">
        <v>915</v>
      </c>
      <c r="G72">
        <v>252000</v>
      </c>
      <c r="H72">
        <v>269000</v>
      </c>
    </row>
    <row r="73">
      <c r="A73" t="str">
        <v>1146 KVC</v>
      </c>
      <c r="B73" t="str">
        <v>DV_Nhuộm</v>
      </c>
      <c r="C73" t="str">
        <v>DV Nhuộm tiêu chuẩn (&lt;300k)</v>
      </c>
      <c r="D73" t="str">
        <v>[DV] Tẩy tóc bật tông Ý (2 lần) 500k</v>
      </c>
      <c r="E73">
        <v>249</v>
      </c>
      <c r="F73">
        <v>916</v>
      </c>
      <c r="G73">
        <v>500000</v>
      </c>
      <c r="H73">
        <v>529000</v>
      </c>
    </row>
    <row r="74">
      <c r="A74" t="str">
        <v>1146 KVC</v>
      </c>
      <c r="B74" t="str">
        <v>DV_Uốn</v>
      </c>
      <c r="C74" t="str">
        <v>DV Uốn cao cấp (&gt;340k)</v>
      </c>
      <c r="D74" t="str">
        <v>Uốn định hình nếp tóc cao cấp (K-Perm Collection)</v>
      </c>
      <c r="E74">
        <v>249</v>
      </c>
      <c r="F74">
        <v>952</v>
      </c>
      <c r="G74">
        <v>478000</v>
      </c>
      <c r="H74">
        <v>478000</v>
      </c>
    </row>
    <row r="75">
      <c r="A75" t="str">
        <v>1146 KVC</v>
      </c>
      <c r="B75" t="str">
        <v>DV_Nhuộm</v>
      </c>
      <c r="C75" t="str">
        <v>DV Nhuộm cao cấp (&gt;300k)</v>
      </c>
      <c r="D75" t="str">
        <v>(NEW) Nhuộm màu thời trang Milano</v>
      </c>
      <c r="E75">
        <v>249</v>
      </c>
      <c r="F75">
        <v>960</v>
      </c>
      <c r="G75">
        <v>332000</v>
      </c>
      <c r="H75">
        <v>332000</v>
      </c>
    </row>
    <row r="76">
      <c r="A76" t="str">
        <v>1146 KVC</v>
      </c>
      <c r="B76" t="str">
        <v>DV_Nhuộm</v>
      </c>
      <c r="C76" t="str">
        <v>DV Nhuộm tiêu chuẩn (&lt;300k)</v>
      </c>
      <c r="D76" t="str">
        <v>(NEW) Nhuộm phủ bạc tiêu chuẩn 199K</v>
      </c>
      <c r="E76">
        <v>249</v>
      </c>
      <c r="F76">
        <v>967</v>
      </c>
      <c r="G76">
        <v>199000</v>
      </c>
      <c r="H76">
        <v>199000</v>
      </c>
    </row>
    <row r="77">
      <c r="A77" t="str">
        <v>1146 KVC</v>
      </c>
      <c r="B77" t="str">
        <v>DV_Uốn</v>
      </c>
      <c r="C77" t="str">
        <v>DV Uốn tiêu chuẩn (&lt;340k)</v>
      </c>
      <c r="D77" t="str">
        <v>(NEW) Uốn/Duỗi/Định hình full đầu tạo form vào nếp tự nhiên</v>
      </c>
      <c r="E77">
        <v>249</v>
      </c>
      <c r="F77">
        <v>1009</v>
      </c>
      <c r="G77">
        <v>386000</v>
      </c>
      <c r="H77">
        <v>386000</v>
      </c>
    </row>
    <row r="78">
      <c r="A78" t="str">
        <v>1146 KVC</v>
      </c>
      <c r="B78" t="str">
        <v>DV_Dưỡng</v>
      </c>
      <c r="C78" t="str">
        <v>DV Dưỡng</v>
      </c>
      <c r="D78" t="str">
        <v>Phục hồi trẻ hóa Lipid Bond</v>
      </c>
      <c r="E78">
        <v>249</v>
      </c>
      <c r="F78">
        <v>1101</v>
      </c>
      <c r="G78">
        <v>132000</v>
      </c>
      <c r="H78">
        <v>146000</v>
      </c>
    </row>
    <row r="79">
      <c r="A79" t="str">
        <v>1146 KVC</v>
      </c>
      <c r="B79" t="str">
        <v>DV_Uốn</v>
      </c>
      <c r="C79" t="str">
        <v>DV Uốn cao cấp (&gt;340k)</v>
      </c>
      <c r="D79" t="str">
        <v>UỐN THIẾT KẾ PHỤC HỒI CHUYÊN SÂU LIPID BOND 2025</v>
      </c>
      <c r="E79">
        <v>249</v>
      </c>
      <c r="F79">
        <v>1148</v>
      </c>
      <c r="G79">
        <v>689000</v>
      </c>
      <c r="H79">
        <v>689000</v>
      </c>
    </row>
    <row r="80">
      <c r="A80" t="str">
        <v>1146 KVC</v>
      </c>
      <c r="B80" t="str">
        <v>DV_Nhuộm</v>
      </c>
      <c r="C80" t="str">
        <v>DV Nhuộm cao cấp (&gt;300k)</v>
      </c>
      <c r="D80" t="str">
        <v>NHUỘM THIẾT KẾ PHỤC HỒI CHUYÊN SÂU LIPID BOND 2025</v>
      </c>
      <c r="E80">
        <v>249</v>
      </c>
      <c r="F80">
        <v>1149</v>
      </c>
      <c r="G80">
        <v>689000</v>
      </c>
      <c r="H80">
        <v>689000</v>
      </c>
    </row>
    <row r="81">
      <c r="A81" t="str">
        <v>116 TK</v>
      </c>
      <c r="B81" t="str">
        <v>DV_Dưỡng</v>
      </c>
      <c r="C81" t="str">
        <v>DV Dưỡng</v>
      </c>
      <c r="D81" t="str">
        <v>(2022T) ATS Control Buffer - Khử mùi tạo thơm cho tóc uốn nhuộm 40k</v>
      </c>
      <c r="E81">
        <v>187</v>
      </c>
      <c r="F81">
        <v>610</v>
      </c>
      <c r="G81">
        <v>40000</v>
      </c>
      <c r="H81">
        <v>40000</v>
      </c>
      <c r="I81" s="1" t="s">
        <v>5</v>
      </c>
      <c r="J81">
        <f>H81&amp;H82&amp;H83&amp;H84&amp;H85&amp;H86&amp;H87&amp;H88&amp;H89&amp;H90&amp;H91&amp;H92&amp;H93</f>
      </c>
    </row>
    <row r="82">
      <c r="A82" t="str">
        <v>116 TK</v>
      </c>
      <c r="B82" t="str">
        <v>DV_Uốn</v>
      </c>
      <c r="C82" t="str">
        <v>DV Uốn cao cấp (&gt;340k)</v>
      </c>
      <c r="D82" t="str">
        <v>[DV] Uốn Texture con sâu/Uốn Ruffled</v>
      </c>
      <c r="E82">
        <v>187</v>
      </c>
      <c r="F82">
        <v>674</v>
      </c>
      <c r="G82">
        <v>499000</v>
      </c>
      <c r="H82">
        <v>499000</v>
      </c>
      <c r="I82" s="1"/>
    </row>
    <row r="83">
      <c r="A83" t="str">
        <v>116 TK</v>
      </c>
      <c r="B83" t="str">
        <v>DV_Uốn</v>
      </c>
      <c r="C83" t="str">
        <v>DV Duỗi Ép</v>
      </c>
      <c r="D83" t="str">
        <v>[DV] Ép side hai bên</v>
      </c>
      <c r="E83">
        <v>187</v>
      </c>
      <c r="F83">
        <v>902</v>
      </c>
      <c r="G83">
        <v>189000</v>
      </c>
      <c r="H83">
        <v>199000</v>
      </c>
      <c r="I83" s="1"/>
    </row>
    <row r="84">
      <c r="A84" t="str">
        <v>116 TK</v>
      </c>
      <c r="B84" t="str">
        <v>DV_Nhuộm</v>
      </c>
      <c r="C84" t="str">
        <v>DV Nhuộm tiêu chuẩn (&lt;300k)</v>
      </c>
      <c r="D84" t="str">
        <v>[DV] Nhuộm đen phủ bạc R&amp;B thảo dược</v>
      </c>
      <c r="E84">
        <v>187</v>
      </c>
      <c r="F84">
        <v>912</v>
      </c>
      <c r="G84">
        <v>289000</v>
      </c>
      <c r="H84">
        <v>289000</v>
      </c>
      <c r="I84" s="1"/>
    </row>
    <row r="85">
      <c r="A85" t="str">
        <v>116 TK</v>
      </c>
      <c r="B85" t="str">
        <v>DV_Nhuộm</v>
      </c>
      <c r="C85" t="str">
        <v>DV Nhuộm tiêu chuẩn (&lt;300k)</v>
      </c>
      <c r="D85" t="str">
        <v>[DV] Tẩy tóc bật tông Ý (1 lần)</v>
      </c>
      <c r="E85">
        <v>187</v>
      </c>
      <c r="F85">
        <v>915</v>
      </c>
      <c r="G85">
        <v>252000</v>
      </c>
      <c r="H85">
        <v>252000</v>
      </c>
      <c r="I85" s="1"/>
    </row>
    <row r="86">
      <c r="A86" t="str">
        <v>116 TK</v>
      </c>
      <c r="B86" t="str">
        <v>DV_Nhuộm</v>
      </c>
      <c r="C86" t="str">
        <v>DV Nhuộm tiêu chuẩn (&lt;300k)</v>
      </c>
      <c r="D86" t="str">
        <v>[DV] Tẩy tóc bật tông Ý (2 lần) 500k</v>
      </c>
      <c r="E86">
        <v>187</v>
      </c>
      <c r="F86">
        <v>916</v>
      </c>
      <c r="G86">
        <v>500000</v>
      </c>
      <c r="H86">
        <v>500000</v>
      </c>
      <c r="I86" s="1"/>
    </row>
    <row r="87">
      <c r="A87" t="str">
        <v>116 TK</v>
      </c>
      <c r="B87" t="str">
        <v>DV_Uốn</v>
      </c>
      <c r="C87" t="str">
        <v>DV Uốn cao cấp (&gt;340k)</v>
      </c>
      <c r="D87" t="str">
        <v>Uốn định hình nếp tóc cao cấp (K-Perm Collection)</v>
      </c>
      <c r="E87">
        <v>187</v>
      </c>
      <c r="F87">
        <v>952</v>
      </c>
      <c r="G87">
        <v>478000</v>
      </c>
      <c r="H87">
        <v>478000</v>
      </c>
      <c r="I87" s="1"/>
    </row>
    <row r="88">
      <c r="A88" t="str">
        <v>116 TK</v>
      </c>
      <c r="B88" t="str">
        <v>DV_Nhuộm</v>
      </c>
      <c r="C88" t="str">
        <v>DV Nhuộm cao cấp (&gt;300k)</v>
      </c>
      <c r="D88" t="str">
        <v>(NEW) Nhuộm màu thời trang Milano</v>
      </c>
      <c r="E88">
        <v>187</v>
      </c>
      <c r="F88">
        <v>960</v>
      </c>
      <c r="G88">
        <v>332000</v>
      </c>
      <c r="H88">
        <v>332000</v>
      </c>
      <c r="I88" s="1"/>
    </row>
    <row r="89">
      <c r="A89" t="str">
        <v>116 TK</v>
      </c>
      <c r="B89" t="str">
        <v>DV_Nhuộm</v>
      </c>
      <c r="C89" t="str">
        <v>DV Nhuộm tiêu chuẩn (&lt;300k)</v>
      </c>
      <c r="D89" t="str">
        <v>(NEW) Nhuộm phủ bạc tiêu chuẩn 199K</v>
      </c>
      <c r="E89">
        <v>187</v>
      </c>
      <c r="F89">
        <v>967</v>
      </c>
      <c r="G89">
        <v>199000</v>
      </c>
      <c r="H89">
        <v>209000</v>
      </c>
      <c r="I89" s="1"/>
    </row>
    <row r="90">
      <c r="A90" t="str">
        <v>116 TK</v>
      </c>
      <c r="B90" t="str">
        <v>DV_Uốn</v>
      </c>
      <c r="C90" t="str">
        <v>DV Uốn tiêu chuẩn (&lt;340k)</v>
      </c>
      <c r="D90" t="str">
        <v>(NEW) Uốn/Duỗi/Định hình full đầu tạo form vào nếp tự nhiên</v>
      </c>
      <c r="E90">
        <v>187</v>
      </c>
      <c r="F90">
        <v>1009</v>
      </c>
      <c r="G90">
        <v>386000</v>
      </c>
      <c r="H90">
        <v>386000</v>
      </c>
      <c r="I90" s="1"/>
    </row>
    <row r="91">
      <c r="A91" t="str">
        <v>116 TK</v>
      </c>
      <c r="B91" t="str">
        <v>DV_Dưỡng</v>
      </c>
      <c r="C91" t="str">
        <v>DV Dưỡng</v>
      </c>
      <c r="D91" t="str">
        <v>Phục hồi trẻ hóa Lipid Bond</v>
      </c>
      <c r="E91">
        <v>187</v>
      </c>
      <c r="F91">
        <v>1101</v>
      </c>
      <c r="G91">
        <v>132000</v>
      </c>
      <c r="H91">
        <v>146000</v>
      </c>
      <c r="I91" s="1"/>
    </row>
    <row r="92">
      <c r="A92" t="str">
        <v>116 TK</v>
      </c>
      <c r="B92" t="str">
        <v>DV_Uốn</v>
      </c>
      <c r="C92" t="str">
        <v>DV Uốn cao cấp (&gt;340k)</v>
      </c>
      <c r="D92" t="str">
        <v>UỐN THIẾT KẾ PHỤC HỒI CHUYÊN SÂU LIPID BOND 2025</v>
      </c>
      <c r="E92">
        <v>187</v>
      </c>
      <c r="F92">
        <v>1148</v>
      </c>
      <c r="G92">
        <v>689000</v>
      </c>
      <c r="H92">
        <v>689000</v>
      </c>
      <c r="I92" s="1"/>
    </row>
    <row r="93">
      <c r="A93" t="str">
        <v>116 TK</v>
      </c>
      <c r="B93" t="str">
        <v>DV_Nhuộm</v>
      </c>
      <c r="C93" t="str">
        <v>DV Nhuộm cao cấp (&gt;300k)</v>
      </c>
      <c r="D93" t="str">
        <v>NHUỘM THIẾT KẾ PHỤC HỒI CHUYÊN SÂU LIPID BOND 2025</v>
      </c>
      <c r="E93">
        <v>187</v>
      </c>
      <c r="F93">
        <v>1149</v>
      </c>
      <c r="G93">
        <v>689000</v>
      </c>
      <c r="H93">
        <v>729000</v>
      </c>
      <c r="I93" s="1"/>
    </row>
    <row r="94">
      <c r="A94" t="str">
        <v>1180 QT</v>
      </c>
      <c r="B94" t="str">
        <v>DV_Dưỡng</v>
      </c>
      <c r="C94" t="str">
        <v>DV Dưỡng</v>
      </c>
      <c r="D94" t="str">
        <v>(2022T) ATS Control Buffer - Khử mùi tạo thơm cho tóc uốn nhuộm 40k</v>
      </c>
      <c r="E94">
        <v>61</v>
      </c>
      <c r="F94">
        <v>610</v>
      </c>
      <c r="G94">
        <v>40000</v>
      </c>
      <c r="H94">
        <v>40000</v>
      </c>
      <c r="J94">
        <f>H94&amp;H95&amp;H96&amp;H97&amp;H98&amp;H99&amp;H100&amp;H101&amp;H102&amp;H103&amp;H104&amp;H105&amp;H106</f>
      </c>
    </row>
    <row r="95">
      <c r="A95" t="str">
        <v>1180 QT</v>
      </c>
      <c r="B95" t="str">
        <v>DV_Uốn</v>
      </c>
      <c r="C95" t="str">
        <v>DV Uốn cao cấp (&gt;340k)</v>
      </c>
      <c r="D95" t="str">
        <v>[DV] Uốn Texture con sâu/Uốn Ruffled</v>
      </c>
      <c r="E95">
        <v>61</v>
      </c>
      <c r="F95">
        <v>674</v>
      </c>
      <c r="G95">
        <v>499000</v>
      </c>
      <c r="H95">
        <v>499000</v>
      </c>
    </row>
    <row r="96">
      <c r="A96" t="str">
        <v>1180 QT</v>
      </c>
      <c r="B96" t="str">
        <v>DV_Uốn</v>
      </c>
      <c r="C96" t="str">
        <v>DV Duỗi Ép</v>
      </c>
      <c r="D96" t="str">
        <v>[DV] Ép side hai bên</v>
      </c>
      <c r="E96">
        <v>61</v>
      </c>
      <c r="F96">
        <v>902</v>
      </c>
      <c r="G96">
        <v>189000</v>
      </c>
      <c r="H96">
        <v>199000</v>
      </c>
    </row>
    <row r="97">
      <c r="A97" t="str">
        <v>1180 QT</v>
      </c>
      <c r="B97" t="str">
        <v>DV_Nhuộm</v>
      </c>
      <c r="C97" t="str">
        <v>DV Nhuộm tiêu chuẩn (&lt;300k)</v>
      </c>
      <c r="D97" t="str">
        <v>[DV] Nhuộm đen phủ bạc R&amp;B thảo dược</v>
      </c>
      <c r="E97">
        <v>61</v>
      </c>
      <c r="F97">
        <v>912</v>
      </c>
      <c r="G97">
        <v>289000</v>
      </c>
      <c r="H97">
        <v>289000</v>
      </c>
    </row>
    <row r="98">
      <c r="A98" t="str">
        <v>1180 QT</v>
      </c>
      <c r="B98" t="str">
        <v>DV_Nhuộm</v>
      </c>
      <c r="C98" t="str">
        <v>DV Nhuộm tiêu chuẩn (&lt;300k)</v>
      </c>
      <c r="D98" t="str">
        <v>[DV] Tẩy tóc bật tông Ý (1 lần)</v>
      </c>
      <c r="E98">
        <v>61</v>
      </c>
      <c r="F98">
        <v>915</v>
      </c>
      <c r="G98">
        <v>252000</v>
      </c>
      <c r="H98">
        <v>252000</v>
      </c>
    </row>
    <row r="99">
      <c r="A99" t="str">
        <v>1180 QT</v>
      </c>
      <c r="B99" t="str">
        <v>DV_Nhuộm</v>
      </c>
      <c r="C99" t="str">
        <v>DV Nhuộm tiêu chuẩn (&lt;300k)</v>
      </c>
      <c r="D99" t="str">
        <v>[DV] Tẩy tóc bật tông Ý (2 lần) 500k</v>
      </c>
      <c r="E99">
        <v>61</v>
      </c>
      <c r="F99">
        <v>916</v>
      </c>
      <c r="G99">
        <v>500000</v>
      </c>
      <c r="H99">
        <v>500000</v>
      </c>
    </row>
    <row r="100">
      <c r="A100" t="str">
        <v>1180 QT</v>
      </c>
      <c r="B100" t="str">
        <v>DV_Uốn</v>
      </c>
      <c r="C100" t="str">
        <v>DV Uốn cao cấp (&gt;340k)</v>
      </c>
      <c r="D100" t="str">
        <v>Uốn định hình nếp tóc cao cấp (K-Perm Collection)</v>
      </c>
      <c r="E100">
        <v>61</v>
      </c>
      <c r="F100">
        <v>952</v>
      </c>
      <c r="G100">
        <v>478000</v>
      </c>
      <c r="H100">
        <v>478000</v>
      </c>
    </row>
    <row r="101">
      <c r="A101" t="str">
        <v>1180 QT</v>
      </c>
      <c r="B101" t="str">
        <v>DV_Nhuộm</v>
      </c>
      <c r="C101" t="str">
        <v>DV Nhuộm cao cấp (&gt;300k)</v>
      </c>
      <c r="D101" t="str">
        <v>(NEW) Nhuộm màu thời trang Milano</v>
      </c>
      <c r="E101">
        <v>61</v>
      </c>
      <c r="F101">
        <v>960</v>
      </c>
      <c r="G101">
        <v>332000</v>
      </c>
      <c r="H101">
        <v>332000</v>
      </c>
    </row>
    <row r="102">
      <c r="A102" t="str">
        <v>1180 QT</v>
      </c>
      <c r="B102" t="str">
        <v>DV_Nhuộm</v>
      </c>
      <c r="C102" t="str">
        <v>DV Nhuộm tiêu chuẩn (&lt;300k)</v>
      </c>
      <c r="D102" t="str">
        <v>(NEW) Nhuộm phủ bạc tiêu chuẩn 199K</v>
      </c>
      <c r="E102">
        <v>61</v>
      </c>
      <c r="F102">
        <v>967</v>
      </c>
      <c r="G102">
        <v>199000</v>
      </c>
      <c r="H102">
        <v>199000</v>
      </c>
    </row>
    <row r="103">
      <c r="A103" t="str">
        <v>1180 QT</v>
      </c>
      <c r="B103" t="str">
        <v>DV_Uốn</v>
      </c>
      <c r="C103" t="str">
        <v>DV Uốn tiêu chuẩn (&lt;340k)</v>
      </c>
      <c r="D103" t="str">
        <v>(NEW) Uốn/Duỗi/Định hình full đầu tạo form vào nếp tự nhiên</v>
      </c>
      <c r="E103">
        <v>61</v>
      </c>
      <c r="F103">
        <v>1009</v>
      </c>
      <c r="G103">
        <v>386000</v>
      </c>
      <c r="H103">
        <v>386000</v>
      </c>
    </row>
    <row r="104">
      <c r="A104" t="str">
        <v>1180 QT</v>
      </c>
      <c r="B104" t="str">
        <v>DV_Dưỡng</v>
      </c>
      <c r="C104" t="str">
        <v>DV Dưỡng</v>
      </c>
      <c r="D104" t="str">
        <v>Phục hồi trẻ hóa Lipid Bond</v>
      </c>
      <c r="E104">
        <v>61</v>
      </c>
      <c r="F104">
        <v>1101</v>
      </c>
      <c r="G104">
        <v>132000</v>
      </c>
      <c r="H104">
        <v>146000</v>
      </c>
    </row>
    <row r="105">
      <c r="A105" t="str">
        <v>1180 QT</v>
      </c>
      <c r="B105" t="str">
        <v>DV_Uốn</v>
      </c>
      <c r="C105" t="str">
        <v>DV Uốn cao cấp (&gt;340k)</v>
      </c>
      <c r="D105" t="str">
        <v>UỐN THIẾT KẾ PHỤC HỒI CHUYÊN SÂU LIPID BOND 2025</v>
      </c>
      <c r="E105">
        <v>61</v>
      </c>
      <c r="F105">
        <v>1148</v>
      </c>
      <c r="G105">
        <v>689000</v>
      </c>
      <c r="H105">
        <v>689000</v>
      </c>
    </row>
    <row r="106">
      <c r="A106" t="str">
        <v>1180 QT</v>
      </c>
      <c r="B106" t="str">
        <v>DV_Nhuộm</v>
      </c>
      <c r="C106" t="str">
        <v>DV Nhuộm cao cấp (&gt;300k)</v>
      </c>
      <c r="D106" t="str">
        <v>NHUỘM THIẾT KẾ PHỤC HỒI CHUYÊN SÂU LIPID BOND 2025</v>
      </c>
      <c r="E106">
        <v>61</v>
      </c>
      <c r="F106">
        <v>1149</v>
      </c>
      <c r="G106">
        <v>689000</v>
      </c>
      <c r="H106">
        <v>689000</v>
      </c>
    </row>
    <row r="107">
      <c r="A107" t="str">
        <v>12 LDT</v>
      </c>
      <c r="B107" t="str">
        <v>DV_Dưỡng</v>
      </c>
      <c r="C107" t="str">
        <v>DV Dưỡng</v>
      </c>
      <c r="D107" t="str">
        <v>(2022T) ATS Control Buffer - Khử mùi tạo thơm cho tóc uốn nhuộm 40k</v>
      </c>
      <c r="E107">
        <v>12</v>
      </c>
      <c r="F107">
        <v>610</v>
      </c>
      <c r="G107">
        <v>40000</v>
      </c>
      <c r="H107">
        <v>40000</v>
      </c>
      <c r="J107">
        <f>H107&amp;H108&amp;H109&amp;H110&amp;H111&amp;H112&amp;H113&amp;H114&amp;H115&amp;H116&amp;H117&amp;H118&amp;H119</f>
      </c>
    </row>
    <row r="108">
      <c r="A108" t="str">
        <v>12 LDT</v>
      </c>
      <c r="B108" t="str">
        <v>DV_Uốn</v>
      </c>
      <c r="C108" t="str">
        <v>DV Uốn cao cấp (&gt;340k)</v>
      </c>
      <c r="D108" t="str">
        <v>[DV] Uốn Texture con sâu/Uốn Ruffled</v>
      </c>
      <c r="E108">
        <v>12</v>
      </c>
      <c r="F108">
        <v>674</v>
      </c>
      <c r="G108">
        <v>499000</v>
      </c>
      <c r="H108">
        <v>499000</v>
      </c>
    </row>
    <row r="109">
      <c r="A109" t="str">
        <v>12 LDT</v>
      </c>
      <c r="B109" t="str">
        <v>DV_Uốn</v>
      </c>
      <c r="C109" t="str">
        <v>DV Duỗi Ép</v>
      </c>
      <c r="D109" t="str">
        <v>[DV] Ép side hai bên</v>
      </c>
      <c r="E109">
        <v>12</v>
      </c>
      <c r="F109">
        <v>902</v>
      </c>
      <c r="G109">
        <v>189000</v>
      </c>
      <c r="H109">
        <v>209000</v>
      </c>
    </row>
    <row r="110">
      <c r="A110" t="str">
        <v>12 LDT</v>
      </c>
      <c r="B110" t="str">
        <v>DV_Nhuộm</v>
      </c>
      <c r="C110" t="str">
        <v>DV Nhuộm tiêu chuẩn (&lt;300k)</v>
      </c>
      <c r="D110" t="str">
        <v>[DV] Nhuộm đen phủ bạc R&amp;B thảo dược</v>
      </c>
      <c r="E110">
        <v>12</v>
      </c>
      <c r="F110">
        <v>912</v>
      </c>
      <c r="G110">
        <v>289000</v>
      </c>
      <c r="H110">
        <v>289000</v>
      </c>
    </row>
    <row r="111">
      <c r="A111" t="str">
        <v>12 LDT</v>
      </c>
      <c r="B111" t="str">
        <v>DV_Nhuộm</v>
      </c>
      <c r="C111" t="str">
        <v>DV Nhuộm tiêu chuẩn (&lt;300k)</v>
      </c>
      <c r="D111" t="str">
        <v>[DV] Tẩy tóc bật tông Ý (1 lần)</v>
      </c>
      <c r="E111">
        <v>12</v>
      </c>
      <c r="F111">
        <v>915</v>
      </c>
      <c r="G111">
        <v>252000</v>
      </c>
      <c r="H111">
        <v>252000</v>
      </c>
    </row>
    <row r="112">
      <c r="A112" t="str">
        <v>12 LDT</v>
      </c>
      <c r="B112" t="str">
        <v>DV_Nhuộm</v>
      </c>
      <c r="C112" t="str">
        <v>DV Nhuộm tiêu chuẩn (&lt;300k)</v>
      </c>
      <c r="D112" t="str">
        <v>[DV] Tẩy tóc bật tông Ý (2 lần) 500k</v>
      </c>
      <c r="E112">
        <v>12</v>
      </c>
      <c r="F112">
        <v>916</v>
      </c>
      <c r="G112">
        <v>500000</v>
      </c>
      <c r="H112">
        <v>500000</v>
      </c>
    </row>
    <row r="113">
      <c r="A113" t="str">
        <v>12 LDT</v>
      </c>
      <c r="B113" t="str">
        <v>DV_Uốn</v>
      </c>
      <c r="C113" t="str">
        <v>DV Uốn cao cấp (&gt;340k)</v>
      </c>
      <c r="D113" t="str">
        <v>Uốn định hình nếp tóc cao cấp (K-Perm Collection)</v>
      </c>
      <c r="E113">
        <v>12</v>
      </c>
      <c r="F113">
        <v>952</v>
      </c>
      <c r="G113">
        <v>478000</v>
      </c>
      <c r="H113">
        <v>478000</v>
      </c>
    </row>
    <row r="114">
      <c r="A114" t="str">
        <v>12 LDT</v>
      </c>
      <c r="B114" t="str">
        <v>DV_Nhuộm</v>
      </c>
      <c r="C114" t="str">
        <v>DV Nhuộm cao cấp (&gt;300k)</v>
      </c>
      <c r="D114" t="str">
        <v>(NEW) Nhuộm màu thời trang Milano</v>
      </c>
      <c r="E114">
        <v>12</v>
      </c>
      <c r="F114">
        <v>960</v>
      </c>
      <c r="G114">
        <v>332000</v>
      </c>
      <c r="H114">
        <v>349000</v>
      </c>
    </row>
    <row r="115">
      <c r="A115" t="str">
        <v>12 LDT</v>
      </c>
      <c r="B115" t="str">
        <v>DV_Nhuộm</v>
      </c>
      <c r="C115" t="str">
        <v>DV Nhuộm tiêu chuẩn (&lt;300k)</v>
      </c>
      <c r="D115" t="str">
        <v>(NEW) Nhuộm phủ bạc tiêu chuẩn 199K</v>
      </c>
      <c r="E115">
        <v>12</v>
      </c>
      <c r="F115">
        <v>967</v>
      </c>
      <c r="G115">
        <v>199000</v>
      </c>
      <c r="H115">
        <v>199000</v>
      </c>
    </row>
    <row r="116">
      <c r="A116" t="str">
        <v>12 LDT</v>
      </c>
      <c r="B116" t="str">
        <v>DV_Uốn</v>
      </c>
      <c r="C116" t="str">
        <v>DV Uốn tiêu chuẩn (&lt;340k)</v>
      </c>
      <c r="D116" t="str">
        <v>(NEW) Uốn/Duỗi/Định hình full đầu tạo form vào nếp tự nhiên</v>
      </c>
      <c r="E116">
        <v>12</v>
      </c>
      <c r="F116">
        <v>1009</v>
      </c>
      <c r="G116">
        <v>386000</v>
      </c>
      <c r="H116">
        <v>386000</v>
      </c>
    </row>
    <row r="117">
      <c r="A117" t="str">
        <v>12 LDT</v>
      </c>
      <c r="B117" t="str">
        <v>DV_Dưỡng</v>
      </c>
      <c r="C117" t="str">
        <v>DV Dưỡng</v>
      </c>
      <c r="D117" t="str">
        <v>Phục hồi trẻ hóa Lipid Bond</v>
      </c>
      <c r="E117">
        <v>12</v>
      </c>
      <c r="F117">
        <v>1101</v>
      </c>
      <c r="G117">
        <v>132000</v>
      </c>
      <c r="H117">
        <v>146000</v>
      </c>
    </row>
    <row r="118">
      <c r="A118" t="str">
        <v>12 LDT</v>
      </c>
      <c r="B118" t="str">
        <v>DV_Uốn</v>
      </c>
      <c r="C118" t="str">
        <v>DV Uốn cao cấp (&gt;340k)</v>
      </c>
      <c r="D118" t="str">
        <v>UỐN THIẾT KẾ PHỤC HỒI CHUYÊN SÂU LIPID BOND 2025</v>
      </c>
      <c r="E118">
        <v>12</v>
      </c>
      <c r="F118">
        <v>1148</v>
      </c>
      <c r="G118">
        <v>689000</v>
      </c>
      <c r="H118">
        <v>689000</v>
      </c>
    </row>
    <row r="119">
      <c r="A119" t="str">
        <v>12 LDT</v>
      </c>
      <c r="B119" t="str">
        <v>DV_Nhuộm</v>
      </c>
      <c r="C119" t="str">
        <v>DV Nhuộm cao cấp (&gt;300k)</v>
      </c>
      <c r="D119" t="str">
        <v>NHUỘM THIẾT KẾ PHỤC HỒI CHUYÊN SÂU LIPID BOND 2025</v>
      </c>
      <c r="E119">
        <v>12</v>
      </c>
      <c r="F119">
        <v>1149</v>
      </c>
      <c r="G119">
        <v>689000</v>
      </c>
      <c r="H119">
        <v>729000</v>
      </c>
    </row>
    <row r="120">
      <c r="A120" t="str">
        <v>1371 PVT</v>
      </c>
      <c r="B120" t="str">
        <v>DV_Dưỡng</v>
      </c>
      <c r="C120" t="str">
        <v>DV Dưỡng</v>
      </c>
      <c r="D120" t="str">
        <v>(2022T) ATS Control Buffer - Khử mùi tạo thơm cho tóc uốn nhuộm 40k</v>
      </c>
      <c r="E120">
        <v>247</v>
      </c>
      <c r="F120">
        <v>610</v>
      </c>
      <c r="G120">
        <v>40000</v>
      </c>
      <c r="H120">
        <v>40000</v>
      </c>
      <c r="J120">
        <f>H120&amp;H121&amp;H122&amp;H123&amp;H124&amp;H125&amp;H126&amp;H127&amp;H128&amp;H129&amp;H130&amp;H131&amp;H132</f>
      </c>
    </row>
    <row r="121">
      <c r="A121" t="str">
        <v>1371 PVT</v>
      </c>
      <c r="B121" t="str">
        <v>DV_Uốn</v>
      </c>
      <c r="C121" t="str">
        <v>DV Uốn cao cấp (&gt;340k)</v>
      </c>
      <c r="D121" t="str">
        <v>[DV] Uốn Texture con sâu/Uốn Ruffled</v>
      </c>
      <c r="E121">
        <v>247</v>
      </c>
      <c r="F121">
        <v>674</v>
      </c>
      <c r="G121">
        <v>499000</v>
      </c>
      <c r="H121">
        <v>499000</v>
      </c>
    </row>
    <row r="122">
      <c r="A122" t="str">
        <v>1371 PVT</v>
      </c>
      <c r="B122" t="str">
        <v>DV_Uốn</v>
      </c>
      <c r="C122" t="str">
        <v>DV Duỗi Ép</v>
      </c>
      <c r="D122" t="str">
        <v>[DV] Ép side hai bên</v>
      </c>
      <c r="E122">
        <v>247</v>
      </c>
      <c r="F122">
        <v>902</v>
      </c>
      <c r="G122">
        <v>189000</v>
      </c>
      <c r="H122">
        <v>189000</v>
      </c>
    </row>
    <row r="123">
      <c r="A123" t="str">
        <v>1371 PVT</v>
      </c>
      <c r="B123" t="str">
        <v>DV_Nhuộm</v>
      </c>
      <c r="C123" t="str">
        <v>DV Nhuộm tiêu chuẩn (&lt;300k)</v>
      </c>
      <c r="D123" t="str">
        <v>[DV] Nhuộm đen phủ bạc R&amp;B thảo dược</v>
      </c>
      <c r="E123">
        <v>247</v>
      </c>
      <c r="F123">
        <v>912</v>
      </c>
      <c r="G123">
        <v>289000</v>
      </c>
      <c r="H123">
        <v>289000</v>
      </c>
    </row>
    <row r="124">
      <c r="A124" t="str">
        <v>1371 PVT</v>
      </c>
      <c r="B124" t="str">
        <v>DV_Nhuộm</v>
      </c>
      <c r="C124" t="str">
        <v>DV Nhuộm tiêu chuẩn (&lt;300k)</v>
      </c>
      <c r="D124" t="str">
        <v>[DV] Tẩy tóc bật tông Ý (1 lần)</v>
      </c>
      <c r="E124">
        <v>247</v>
      </c>
      <c r="F124">
        <v>915</v>
      </c>
      <c r="G124">
        <v>252000</v>
      </c>
      <c r="H124">
        <v>252000</v>
      </c>
    </row>
    <row r="125">
      <c r="A125" t="str">
        <v>1371 PVT</v>
      </c>
      <c r="B125" t="str">
        <v>DV_Nhuộm</v>
      </c>
      <c r="C125" t="str">
        <v>DV Nhuộm tiêu chuẩn (&lt;300k)</v>
      </c>
      <c r="D125" t="str">
        <v>[DV] Tẩy tóc bật tông Ý (2 lần) 500k</v>
      </c>
      <c r="E125">
        <v>247</v>
      </c>
      <c r="F125">
        <v>916</v>
      </c>
      <c r="G125">
        <v>500000</v>
      </c>
      <c r="H125">
        <v>500000</v>
      </c>
    </row>
    <row r="126">
      <c r="A126" t="str">
        <v>1371 PVT</v>
      </c>
      <c r="B126" t="str">
        <v>DV_Uốn</v>
      </c>
      <c r="C126" t="str">
        <v>DV Uốn cao cấp (&gt;340k)</v>
      </c>
      <c r="D126" t="str">
        <v>Uốn định hình nếp tóc cao cấp (K-Perm Collection)</v>
      </c>
      <c r="E126">
        <v>247</v>
      </c>
      <c r="F126">
        <v>952</v>
      </c>
      <c r="G126">
        <v>478000</v>
      </c>
      <c r="H126">
        <v>478000</v>
      </c>
    </row>
    <row r="127">
      <c r="A127" t="str">
        <v>1371 PVT</v>
      </c>
      <c r="B127" t="str">
        <v>DV_Nhuộm</v>
      </c>
      <c r="C127" t="str">
        <v>DV Nhuộm cao cấp (&gt;300k)</v>
      </c>
      <c r="D127" t="str">
        <v>(NEW) Nhuộm màu thời trang Milano</v>
      </c>
      <c r="E127">
        <v>247</v>
      </c>
      <c r="F127">
        <v>960</v>
      </c>
      <c r="G127">
        <v>332000</v>
      </c>
      <c r="H127">
        <v>332000</v>
      </c>
    </row>
    <row r="128">
      <c r="A128" t="str">
        <v>1371 PVT</v>
      </c>
      <c r="B128" t="str">
        <v>DV_Nhuộm</v>
      </c>
      <c r="C128" t="str">
        <v>DV Nhuộm tiêu chuẩn (&lt;300k)</v>
      </c>
      <c r="D128" t="str">
        <v>(NEW) Nhuộm phủ bạc tiêu chuẩn 199K</v>
      </c>
      <c r="E128">
        <v>247</v>
      </c>
      <c r="F128">
        <v>967</v>
      </c>
      <c r="G128">
        <v>199000</v>
      </c>
      <c r="H128">
        <v>199000</v>
      </c>
    </row>
    <row r="129">
      <c r="A129" t="str">
        <v>1371 PVT</v>
      </c>
      <c r="B129" t="str">
        <v>DV_Uốn</v>
      </c>
      <c r="C129" t="str">
        <v>DV Uốn tiêu chuẩn (&lt;340k)</v>
      </c>
      <c r="D129" t="str">
        <v>(NEW) Uốn/Duỗi/Định hình full đầu tạo form vào nếp tự nhiên</v>
      </c>
      <c r="E129">
        <v>247</v>
      </c>
      <c r="F129">
        <v>1009</v>
      </c>
      <c r="G129">
        <v>386000</v>
      </c>
      <c r="H129">
        <v>386000</v>
      </c>
    </row>
    <row r="130">
      <c r="A130" t="str">
        <v>1371 PVT</v>
      </c>
      <c r="B130" t="str">
        <v>DV_Dưỡng</v>
      </c>
      <c r="C130" t="str">
        <v>DV Dưỡng</v>
      </c>
      <c r="D130" t="str">
        <v>Phục hồi trẻ hóa Lipid Bond</v>
      </c>
      <c r="E130">
        <v>247</v>
      </c>
      <c r="F130">
        <v>1101</v>
      </c>
      <c r="G130">
        <v>132000</v>
      </c>
      <c r="H130">
        <v>146000</v>
      </c>
    </row>
    <row r="131">
      <c r="A131" t="str">
        <v>1371 PVT</v>
      </c>
      <c r="B131" t="str">
        <v>DV_Uốn</v>
      </c>
      <c r="C131" t="str">
        <v>DV Uốn cao cấp (&gt;340k)</v>
      </c>
      <c r="D131" t="str">
        <v>UỐN THIẾT KẾ PHỤC HỒI CHUYÊN SÂU LIPID BOND 2025</v>
      </c>
      <c r="E131">
        <v>247</v>
      </c>
      <c r="F131">
        <v>1148</v>
      </c>
      <c r="G131">
        <v>689000</v>
      </c>
      <c r="H131">
        <v>689000</v>
      </c>
    </row>
    <row r="132">
      <c r="A132" t="str">
        <v>1371 PVT</v>
      </c>
      <c r="B132" t="str">
        <v>DV_Nhuộm</v>
      </c>
      <c r="C132" t="str">
        <v>DV Nhuộm cao cấp (&gt;300k)</v>
      </c>
      <c r="D132" t="str">
        <v>NHUỘM THIẾT KẾ PHỤC HỒI CHUYÊN SÂU LIPID BOND 2025</v>
      </c>
      <c r="E132">
        <v>247</v>
      </c>
      <c r="F132">
        <v>1149</v>
      </c>
      <c r="G132">
        <v>689000</v>
      </c>
      <c r="H132">
        <v>689000</v>
      </c>
    </row>
    <row r="133">
      <c r="A133" t="str">
        <v>145 THT</v>
      </c>
      <c r="B133" t="str">
        <v>DV_Dưỡng</v>
      </c>
      <c r="C133" t="str">
        <v>DV Dưỡng</v>
      </c>
      <c r="D133" t="str">
        <v>(2022T) ATS Control Buffer - Khử mùi tạo thơm cho tóc uốn nhuộm 40k</v>
      </c>
      <c r="E133">
        <v>193</v>
      </c>
      <c r="F133">
        <v>610</v>
      </c>
      <c r="G133">
        <v>40000</v>
      </c>
      <c r="H133">
        <v>40000</v>
      </c>
      <c r="J133">
        <f>H133&amp;H134&amp;H135&amp;H136&amp;H137&amp;H138&amp;H139&amp;H140&amp;H141&amp;H142&amp;H143&amp;H144&amp;H145</f>
      </c>
    </row>
    <row r="134">
      <c r="A134" t="str">
        <v>145 THT</v>
      </c>
      <c r="B134" t="str">
        <v>DV_Uốn</v>
      </c>
      <c r="C134" t="str">
        <v>DV Uốn cao cấp (&gt;340k)</v>
      </c>
      <c r="D134" t="str">
        <v>[DV] Uốn Texture con sâu/Uốn Ruffled</v>
      </c>
      <c r="E134">
        <v>193</v>
      </c>
      <c r="F134">
        <v>674</v>
      </c>
      <c r="G134">
        <v>499000</v>
      </c>
      <c r="H134">
        <v>499000</v>
      </c>
    </row>
    <row r="135">
      <c r="A135" t="str">
        <v>145 THT</v>
      </c>
      <c r="B135" t="str">
        <v>DV_Uốn</v>
      </c>
      <c r="C135" t="str">
        <v>DV Duỗi Ép</v>
      </c>
      <c r="D135" t="str">
        <v>[DV] Ép side hai bên</v>
      </c>
      <c r="E135">
        <v>193</v>
      </c>
      <c r="F135">
        <v>902</v>
      </c>
      <c r="G135">
        <v>189000</v>
      </c>
      <c r="H135">
        <v>199000</v>
      </c>
    </row>
    <row r="136">
      <c r="A136" t="str">
        <v>145 THT</v>
      </c>
      <c r="B136" t="str">
        <v>DV_Nhuộm</v>
      </c>
      <c r="C136" t="str">
        <v>DV Nhuộm tiêu chuẩn (&lt;300k)</v>
      </c>
      <c r="D136" t="str">
        <v>[DV] Nhuộm đen phủ bạc R&amp;B thảo dược</v>
      </c>
      <c r="E136">
        <v>193</v>
      </c>
      <c r="F136">
        <v>912</v>
      </c>
      <c r="G136">
        <v>289000</v>
      </c>
      <c r="H136">
        <v>289000</v>
      </c>
    </row>
    <row r="137">
      <c r="A137" t="str">
        <v>145 THT</v>
      </c>
      <c r="B137" t="str">
        <v>DV_Nhuộm</v>
      </c>
      <c r="C137" t="str">
        <v>DV Nhuộm tiêu chuẩn (&lt;300k)</v>
      </c>
      <c r="D137" t="str">
        <v>[DV] Tẩy tóc bật tông Ý (1 lần)</v>
      </c>
      <c r="E137">
        <v>193</v>
      </c>
      <c r="F137">
        <v>915</v>
      </c>
      <c r="G137">
        <v>252000</v>
      </c>
      <c r="H137">
        <v>252000</v>
      </c>
    </row>
    <row r="138">
      <c r="A138" t="str">
        <v>145 THT</v>
      </c>
      <c r="B138" t="str">
        <v>DV_Nhuộm</v>
      </c>
      <c r="C138" t="str">
        <v>DV Nhuộm tiêu chuẩn (&lt;300k)</v>
      </c>
      <c r="D138" t="str">
        <v>[DV] Tẩy tóc bật tông Ý (2 lần) 500k</v>
      </c>
      <c r="E138">
        <v>193</v>
      </c>
      <c r="F138">
        <v>916</v>
      </c>
      <c r="G138">
        <v>500000</v>
      </c>
      <c r="H138">
        <v>500000</v>
      </c>
    </row>
    <row r="139">
      <c r="A139" t="str">
        <v>145 THT</v>
      </c>
      <c r="B139" t="str">
        <v>DV_Uốn</v>
      </c>
      <c r="C139" t="str">
        <v>DV Uốn cao cấp (&gt;340k)</v>
      </c>
      <c r="D139" t="str">
        <v>Uốn định hình nếp tóc cao cấp (K-Perm Collection)</v>
      </c>
      <c r="E139">
        <v>193</v>
      </c>
      <c r="F139">
        <v>952</v>
      </c>
      <c r="G139">
        <v>478000</v>
      </c>
      <c r="H139">
        <v>478000</v>
      </c>
    </row>
    <row r="140">
      <c r="A140" t="str">
        <v>145 THT</v>
      </c>
      <c r="B140" t="str">
        <v>DV_Nhuộm</v>
      </c>
      <c r="C140" t="str">
        <v>DV Nhuộm cao cấp (&gt;300k)</v>
      </c>
      <c r="D140" t="str">
        <v>(NEW) Nhuộm màu thời trang Milano</v>
      </c>
      <c r="E140">
        <v>193</v>
      </c>
      <c r="F140">
        <v>960</v>
      </c>
      <c r="G140">
        <v>332000</v>
      </c>
      <c r="H140">
        <v>332000</v>
      </c>
    </row>
    <row r="141">
      <c r="A141" t="str">
        <v>145 THT</v>
      </c>
      <c r="B141" t="str">
        <v>DV_Nhuộm</v>
      </c>
      <c r="C141" t="str">
        <v>DV Nhuộm tiêu chuẩn (&lt;300k)</v>
      </c>
      <c r="D141" t="str">
        <v>(NEW) Nhuộm phủ bạc tiêu chuẩn 199K</v>
      </c>
      <c r="E141">
        <v>193</v>
      </c>
      <c r="F141">
        <v>967</v>
      </c>
      <c r="G141">
        <v>199000</v>
      </c>
      <c r="H141">
        <v>199000</v>
      </c>
    </row>
    <row r="142">
      <c r="A142" t="str">
        <v>145 THT</v>
      </c>
      <c r="B142" t="str">
        <v>DV_Uốn</v>
      </c>
      <c r="C142" t="str">
        <v>DV Uốn tiêu chuẩn (&lt;340k)</v>
      </c>
      <c r="D142" t="str">
        <v>(NEW) Uốn/Duỗi/Định hình full đầu tạo form vào nếp tự nhiên</v>
      </c>
      <c r="E142">
        <v>193</v>
      </c>
      <c r="F142">
        <v>1009</v>
      </c>
      <c r="G142">
        <v>386000</v>
      </c>
      <c r="H142">
        <v>386000</v>
      </c>
    </row>
    <row r="143">
      <c r="A143" t="str">
        <v>145 THT</v>
      </c>
      <c r="B143" t="str">
        <v>DV_Dưỡng</v>
      </c>
      <c r="C143" t="str">
        <v>DV Dưỡng</v>
      </c>
      <c r="D143" t="str">
        <v>Phục hồi trẻ hóa Lipid Bond</v>
      </c>
      <c r="E143">
        <v>193</v>
      </c>
      <c r="F143">
        <v>1101</v>
      </c>
      <c r="G143">
        <v>132000</v>
      </c>
      <c r="H143">
        <v>146000</v>
      </c>
    </row>
    <row r="144">
      <c r="A144" t="str">
        <v>145 THT</v>
      </c>
      <c r="B144" t="str">
        <v>DV_Uốn</v>
      </c>
      <c r="C144" t="str">
        <v>DV Uốn cao cấp (&gt;340k)</v>
      </c>
      <c r="D144" t="str">
        <v>UỐN THIẾT KẾ PHỤC HỒI CHUYÊN SÂU LIPID BOND 2025</v>
      </c>
      <c r="E144">
        <v>193</v>
      </c>
      <c r="F144">
        <v>1148</v>
      </c>
      <c r="G144">
        <v>689000</v>
      </c>
      <c r="H144">
        <v>689000</v>
      </c>
    </row>
    <row r="145">
      <c r="A145" t="str">
        <v>145 THT</v>
      </c>
      <c r="B145" t="str">
        <v>DV_Nhuộm</v>
      </c>
      <c r="C145" t="str">
        <v>DV Nhuộm cao cấp (&gt;300k)</v>
      </c>
      <c r="D145" t="str">
        <v>NHUỘM THIẾT KẾ PHỤC HỒI CHUYÊN SÂU LIPID BOND 2025</v>
      </c>
      <c r="E145">
        <v>193</v>
      </c>
      <c r="F145">
        <v>1149</v>
      </c>
      <c r="G145">
        <v>689000</v>
      </c>
      <c r="H145">
        <v>689000</v>
      </c>
    </row>
    <row r="146">
      <c r="A146" t="str">
        <v>148 TD</v>
      </c>
      <c r="B146" t="str">
        <v>DV_Dưỡng</v>
      </c>
      <c r="C146" t="str">
        <v>DV Dưỡng</v>
      </c>
      <c r="D146" t="str">
        <v>(2022T) ATS Control Buffer - Khử mùi tạo thơm cho tóc uốn nhuộm 40k</v>
      </c>
      <c r="E146">
        <v>210</v>
      </c>
      <c r="F146">
        <v>610</v>
      </c>
      <c r="G146">
        <v>40000</v>
      </c>
      <c r="H146">
        <v>40000</v>
      </c>
      <c r="J146">
        <f>H146&amp;H147&amp;H148&amp;H149&amp;H150&amp;H151&amp;H152&amp;H153&amp;H154&amp;H155&amp;H156&amp;H157&amp;H158</f>
      </c>
    </row>
    <row r="147">
      <c r="A147" t="str">
        <v>148 TD</v>
      </c>
      <c r="B147" t="str">
        <v>DV_Uốn</v>
      </c>
      <c r="C147" t="str">
        <v>DV Uốn cao cấp (&gt;340k)</v>
      </c>
      <c r="D147" t="str">
        <v>[DV] Uốn Texture con sâu/Uốn Ruffled</v>
      </c>
      <c r="E147">
        <v>210</v>
      </c>
      <c r="F147">
        <v>674</v>
      </c>
      <c r="G147">
        <v>499000</v>
      </c>
      <c r="H147">
        <v>499000</v>
      </c>
    </row>
    <row r="148">
      <c r="A148" t="str">
        <v>148 TD</v>
      </c>
      <c r="B148" t="str">
        <v>DV_Uốn</v>
      </c>
      <c r="C148" t="str">
        <v>DV Duỗi Ép</v>
      </c>
      <c r="D148" t="str">
        <v>[DV] Ép side hai bên</v>
      </c>
      <c r="E148">
        <v>210</v>
      </c>
      <c r="F148">
        <v>902</v>
      </c>
      <c r="G148">
        <v>189000</v>
      </c>
      <c r="H148">
        <v>189000</v>
      </c>
    </row>
    <row r="149">
      <c r="A149" t="str">
        <v>148 TD</v>
      </c>
      <c r="B149" t="str">
        <v>DV_Nhuộm</v>
      </c>
      <c r="C149" t="str">
        <v>DV Nhuộm tiêu chuẩn (&lt;300k)</v>
      </c>
      <c r="D149" t="str">
        <v>[DV] Nhuộm đen phủ bạc R&amp;B thảo dược</v>
      </c>
      <c r="E149">
        <v>210</v>
      </c>
      <c r="F149">
        <v>912</v>
      </c>
      <c r="G149">
        <v>289000</v>
      </c>
      <c r="H149">
        <v>289000</v>
      </c>
    </row>
    <row r="150">
      <c r="A150" t="str">
        <v>148 TD</v>
      </c>
      <c r="B150" t="str">
        <v>DV_Nhuộm</v>
      </c>
      <c r="C150" t="str">
        <v>DV Nhuộm tiêu chuẩn (&lt;300k)</v>
      </c>
      <c r="D150" t="str">
        <v>[DV] Tẩy tóc bật tông Ý (1 lần)</v>
      </c>
      <c r="E150">
        <v>210</v>
      </c>
      <c r="F150">
        <v>915</v>
      </c>
      <c r="G150">
        <v>252000</v>
      </c>
      <c r="H150">
        <v>252000</v>
      </c>
    </row>
    <row r="151">
      <c r="A151" t="str">
        <v>148 TD</v>
      </c>
      <c r="B151" t="str">
        <v>DV_Nhuộm</v>
      </c>
      <c r="C151" t="str">
        <v>DV Nhuộm tiêu chuẩn (&lt;300k)</v>
      </c>
      <c r="D151" t="str">
        <v>[DV] Tẩy tóc bật tông Ý (2 lần) 500k</v>
      </c>
      <c r="E151">
        <v>210</v>
      </c>
      <c r="F151">
        <v>916</v>
      </c>
      <c r="G151">
        <v>500000</v>
      </c>
      <c r="H151">
        <v>500000</v>
      </c>
    </row>
    <row r="152">
      <c r="A152" t="str">
        <v>148 TD</v>
      </c>
      <c r="B152" t="str">
        <v>DV_Uốn</v>
      </c>
      <c r="C152" t="str">
        <v>DV Uốn cao cấp (&gt;340k)</v>
      </c>
      <c r="D152" t="str">
        <v>Uốn định hình nếp tóc cao cấp (K-Perm Collection)</v>
      </c>
      <c r="E152">
        <v>210</v>
      </c>
      <c r="F152">
        <v>952</v>
      </c>
      <c r="G152">
        <v>478000</v>
      </c>
      <c r="H152">
        <v>478000</v>
      </c>
    </row>
    <row r="153">
      <c r="A153" t="str">
        <v>148 TD</v>
      </c>
      <c r="B153" t="str">
        <v>DV_Nhuộm</v>
      </c>
      <c r="C153" t="str">
        <v>DV Nhuộm cao cấp (&gt;300k)</v>
      </c>
      <c r="D153" t="str">
        <v>(NEW) Nhuộm màu thời trang Milano</v>
      </c>
      <c r="E153">
        <v>210</v>
      </c>
      <c r="F153">
        <v>960</v>
      </c>
      <c r="G153">
        <v>332000</v>
      </c>
      <c r="H153">
        <v>349000</v>
      </c>
    </row>
    <row r="154">
      <c r="A154" t="str">
        <v>148 TD</v>
      </c>
      <c r="B154" t="str">
        <v>DV_Nhuộm</v>
      </c>
      <c r="C154" t="str">
        <v>DV Nhuộm tiêu chuẩn (&lt;300k)</v>
      </c>
      <c r="D154" t="str">
        <v>(NEW) Nhuộm phủ bạc tiêu chuẩn 199K</v>
      </c>
      <c r="E154">
        <v>210</v>
      </c>
      <c r="F154">
        <v>967</v>
      </c>
      <c r="G154">
        <v>199000</v>
      </c>
      <c r="H154">
        <v>199000</v>
      </c>
    </row>
    <row r="155">
      <c r="A155" t="str">
        <v>148 TD</v>
      </c>
      <c r="B155" t="str">
        <v>DV_Uốn</v>
      </c>
      <c r="C155" t="str">
        <v>DV Uốn tiêu chuẩn (&lt;340k)</v>
      </c>
      <c r="D155" t="str">
        <v>(NEW) Uốn/Duỗi/Định hình full đầu tạo form vào nếp tự nhiên</v>
      </c>
      <c r="E155">
        <v>210</v>
      </c>
      <c r="F155">
        <v>1009</v>
      </c>
      <c r="G155">
        <v>386000</v>
      </c>
      <c r="H155">
        <v>386000</v>
      </c>
    </row>
    <row r="156">
      <c r="A156" t="str">
        <v>148 TD</v>
      </c>
      <c r="B156" t="str">
        <v>DV_Dưỡng</v>
      </c>
      <c r="C156" t="str">
        <v>DV Dưỡng</v>
      </c>
      <c r="D156" t="str">
        <v>Phục hồi trẻ hóa Lipid Bond</v>
      </c>
      <c r="E156">
        <v>210</v>
      </c>
      <c r="F156">
        <v>1101</v>
      </c>
      <c r="G156">
        <v>132000</v>
      </c>
      <c r="H156">
        <v>146000</v>
      </c>
    </row>
    <row r="157">
      <c r="A157" t="str">
        <v>148 TD</v>
      </c>
      <c r="B157" t="str">
        <v>DV_Uốn</v>
      </c>
      <c r="C157" t="str">
        <v>DV Uốn cao cấp (&gt;340k)</v>
      </c>
      <c r="D157" t="str">
        <v>UỐN THIẾT KẾ PHỤC HỒI CHUYÊN SÂU LIPID BOND 2025</v>
      </c>
      <c r="E157">
        <v>210</v>
      </c>
      <c r="F157">
        <v>1148</v>
      </c>
      <c r="G157">
        <v>689000</v>
      </c>
      <c r="H157">
        <v>689000</v>
      </c>
    </row>
    <row r="158">
      <c r="A158" t="str">
        <v>148 TD</v>
      </c>
      <c r="B158" t="str">
        <v>DV_Nhuộm</v>
      </c>
      <c r="C158" t="str">
        <v>DV Nhuộm cao cấp (&gt;300k)</v>
      </c>
      <c r="D158" t="str">
        <v>NHUỘM THIẾT KẾ PHỤC HỒI CHUYÊN SÂU LIPID BOND 2025</v>
      </c>
      <c r="E158">
        <v>210</v>
      </c>
      <c r="F158">
        <v>1149</v>
      </c>
      <c r="G158">
        <v>689000</v>
      </c>
      <c r="H158">
        <v>729000</v>
      </c>
    </row>
    <row r="159">
      <c r="A159" t="str">
        <v>151 CG</v>
      </c>
      <c r="B159" t="str">
        <v>DV_Dưỡng</v>
      </c>
      <c r="C159" t="str">
        <v>DV Dưỡng</v>
      </c>
      <c r="D159" t="str">
        <v>(2022T) ATS Control Buffer - Khử mùi tạo thơm cho tóc uốn nhuộm 40k</v>
      </c>
      <c r="E159">
        <v>39</v>
      </c>
      <c r="F159">
        <v>610</v>
      </c>
      <c r="G159">
        <v>40000</v>
      </c>
      <c r="H159">
        <v>40000</v>
      </c>
      <c r="I159" s="1" t="s">
        <v>3</v>
      </c>
      <c r="J159">
        <f>H159&amp;H160&amp;H161&amp;H162&amp;H163&amp;H164&amp;H165&amp;H166&amp;H167&amp;H168&amp;H169&amp;H170&amp;H171</f>
      </c>
    </row>
    <row r="160">
      <c r="A160" t="str">
        <v>151 CG</v>
      </c>
      <c r="B160" t="str">
        <v>DV_Uốn</v>
      </c>
      <c r="C160" t="str">
        <v>DV Uốn cao cấp (&gt;340k)</v>
      </c>
      <c r="D160" t="str">
        <v>[DV] Uốn Texture con sâu/Uốn Ruffled</v>
      </c>
      <c r="E160">
        <v>39</v>
      </c>
      <c r="F160">
        <v>674</v>
      </c>
      <c r="G160">
        <v>499000</v>
      </c>
      <c r="H160">
        <v>499000</v>
      </c>
      <c r="I160" s="1"/>
    </row>
    <row r="161">
      <c r="A161" t="str">
        <v>151 CG</v>
      </c>
      <c r="B161" t="str">
        <v>DV_Uốn</v>
      </c>
      <c r="C161" t="str">
        <v>DV Duỗi Ép</v>
      </c>
      <c r="D161" t="str">
        <v>[DV] Ép side hai bên</v>
      </c>
      <c r="E161">
        <v>39</v>
      </c>
      <c r="F161">
        <v>902</v>
      </c>
      <c r="G161">
        <v>189000</v>
      </c>
      <c r="H161">
        <v>199000</v>
      </c>
      <c r="I161" s="1"/>
    </row>
    <row r="162">
      <c r="A162" t="str">
        <v>151 CG</v>
      </c>
      <c r="B162" t="str">
        <v>DV_Nhuộm</v>
      </c>
      <c r="C162" t="str">
        <v>DV Nhuộm tiêu chuẩn (&lt;300k)</v>
      </c>
      <c r="D162" t="str">
        <v>[DV] Nhuộm đen phủ bạc R&amp;B thảo dược</v>
      </c>
      <c r="E162">
        <v>39</v>
      </c>
      <c r="F162">
        <v>912</v>
      </c>
      <c r="G162">
        <v>289000</v>
      </c>
      <c r="H162">
        <v>309000</v>
      </c>
      <c r="I162" s="1"/>
    </row>
    <row r="163">
      <c r="A163" t="str">
        <v>151 CG</v>
      </c>
      <c r="B163" t="str">
        <v>DV_Nhuộm</v>
      </c>
      <c r="C163" t="str">
        <v>DV Nhuộm tiêu chuẩn (&lt;300k)</v>
      </c>
      <c r="D163" t="str">
        <v>[DV] Tẩy tóc bật tông Ý (1 lần)</v>
      </c>
      <c r="E163">
        <v>39</v>
      </c>
      <c r="F163">
        <v>915</v>
      </c>
      <c r="G163">
        <v>252000</v>
      </c>
      <c r="H163">
        <v>252000</v>
      </c>
      <c r="I163" s="1"/>
    </row>
    <row r="164">
      <c r="A164" t="str">
        <v>151 CG</v>
      </c>
      <c r="B164" t="str">
        <v>DV_Nhuộm</v>
      </c>
      <c r="C164" t="str">
        <v>DV Nhuộm tiêu chuẩn (&lt;300k)</v>
      </c>
      <c r="D164" t="str">
        <v>[DV] Tẩy tóc bật tông Ý (2 lần) 500k</v>
      </c>
      <c r="E164">
        <v>39</v>
      </c>
      <c r="F164">
        <v>916</v>
      </c>
      <c r="G164">
        <v>500000</v>
      </c>
      <c r="H164">
        <v>500000</v>
      </c>
      <c r="I164" s="1"/>
    </row>
    <row r="165">
      <c r="A165" t="str">
        <v>151 CG</v>
      </c>
      <c r="B165" t="str">
        <v>DV_Uốn</v>
      </c>
      <c r="C165" t="str">
        <v>DV Uốn cao cấp (&gt;340k)</v>
      </c>
      <c r="D165" t="str">
        <v>Uốn định hình nếp tóc cao cấp (K-Perm Collection)</v>
      </c>
      <c r="E165">
        <v>39</v>
      </c>
      <c r="F165">
        <v>952</v>
      </c>
      <c r="G165">
        <v>478000</v>
      </c>
      <c r="H165">
        <v>478000</v>
      </c>
      <c r="I165" s="1"/>
    </row>
    <row r="166">
      <c r="A166" t="str">
        <v>151 CG</v>
      </c>
      <c r="B166" t="str">
        <v>DV_Nhuộm</v>
      </c>
      <c r="C166" t="str">
        <v>DV Nhuộm cao cấp (&gt;300k)</v>
      </c>
      <c r="D166" t="str">
        <v>(NEW) Nhuộm màu thời trang Milano</v>
      </c>
      <c r="E166">
        <v>39</v>
      </c>
      <c r="F166">
        <v>960</v>
      </c>
      <c r="G166">
        <v>332000</v>
      </c>
      <c r="H166">
        <v>349000</v>
      </c>
      <c r="I166" s="1"/>
    </row>
    <row r="167">
      <c r="A167" t="str">
        <v>151 CG</v>
      </c>
      <c r="B167" t="str">
        <v>DV_Nhuộm</v>
      </c>
      <c r="C167" t="str">
        <v>DV Nhuộm tiêu chuẩn (&lt;300k)</v>
      </c>
      <c r="D167" t="str">
        <v>(NEW) Nhuộm phủ bạc tiêu chuẩn 199K</v>
      </c>
      <c r="E167">
        <v>39</v>
      </c>
      <c r="F167">
        <v>967</v>
      </c>
      <c r="G167">
        <v>199000</v>
      </c>
      <c r="H167">
        <v>209000</v>
      </c>
      <c r="I167" s="1"/>
    </row>
    <row r="168">
      <c r="A168" t="str">
        <v>151 CG</v>
      </c>
      <c r="B168" t="str">
        <v>DV_Uốn</v>
      </c>
      <c r="C168" t="str">
        <v>DV Uốn tiêu chuẩn (&lt;340k)</v>
      </c>
      <c r="D168" t="str">
        <v>(NEW) Uốn/Duỗi/Định hình full đầu tạo form vào nếp tự nhiên</v>
      </c>
      <c r="E168">
        <v>39</v>
      </c>
      <c r="F168">
        <v>1009</v>
      </c>
      <c r="G168">
        <v>386000</v>
      </c>
      <c r="H168">
        <v>386000</v>
      </c>
      <c r="I168" s="1"/>
    </row>
    <row r="169">
      <c r="A169" t="str">
        <v>151 CG</v>
      </c>
      <c r="B169" t="str">
        <v>DV_Dưỡng</v>
      </c>
      <c r="C169" t="str">
        <v>DV Dưỡng</v>
      </c>
      <c r="D169" t="str">
        <v>Phục hồi trẻ hóa Lipid Bond</v>
      </c>
      <c r="E169">
        <v>39</v>
      </c>
      <c r="F169">
        <v>1101</v>
      </c>
      <c r="G169">
        <v>132000</v>
      </c>
      <c r="H169">
        <v>146000</v>
      </c>
      <c r="I169" s="1"/>
    </row>
    <row r="170">
      <c r="A170" t="str">
        <v>151 CG</v>
      </c>
      <c r="B170" t="str">
        <v>DV_Uốn</v>
      </c>
      <c r="C170" t="str">
        <v>DV Uốn cao cấp (&gt;340k)</v>
      </c>
      <c r="D170" t="str">
        <v>UỐN THIẾT KẾ PHỤC HỒI CHUYÊN SÂU LIPID BOND 2025</v>
      </c>
      <c r="E170">
        <v>39</v>
      </c>
      <c r="F170">
        <v>1148</v>
      </c>
      <c r="G170">
        <v>689000</v>
      </c>
      <c r="H170">
        <v>689000</v>
      </c>
      <c r="I170" s="1"/>
    </row>
    <row r="171">
      <c r="A171" t="str">
        <v>151 CG</v>
      </c>
      <c r="B171" t="str">
        <v>DV_Nhuộm</v>
      </c>
      <c r="C171" t="str">
        <v>DV Nhuộm cao cấp (&gt;300k)</v>
      </c>
      <c r="D171" t="str">
        <v>NHUỘM THIẾT KẾ PHỤC HỒI CHUYÊN SÂU LIPID BOND 2025</v>
      </c>
      <c r="E171">
        <v>39</v>
      </c>
      <c r="F171">
        <v>1149</v>
      </c>
      <c r="G171">
        <v>689000</v>
      </c>
      <c r="H171">
        <v>729000</v>
      </c>
      <c r="I171" s="1"/>
    </row>
    <row r="172">
      <c r="A172" t="str">
        <v>168 NVC</v>
      </c>
      <c r="B172" t="str">
        <v>DV_Dưỡng</v>
      </c>
      <c r="C172" t="str">
        <v>DV Dưỡng</v>
      </c>
      <c r="D172" t="str">
        <v>(2022T) ATS Control Buffer - Khử mùi tạo thơm cho tóc uốn nhuộm 40k</v>
      </c>
      <c r="E172">
        <v>144</v>
      </c>
      <c r="F172">
        <v>610</v>
      </c>
      <c r="G172">
        <v>40000</v>
      </c>
      <c r="H172">
        <v>40000</v>
      </c>
      <c r="J172">
        <f>H172&amp;H173&amp;H174&amp;H175&amp;H176&amp;H177&amp;H178&amp;H179&amp;H180&amp;H181&amp;H182&amp;H183&amp;H184</f>
      </c>
    </row>
    <row r="173">
      <c r="A173" t="str">
        <v>168 NVC</v>
      </c>
      <c r="B173" t="str">
        <v>DV_Uốn</v>
      </c>
      <c r="C173" t="str">
        <v>DV Uốn cao cấp (&gt;340k)</v>
      </c>
      <c r="D173" t="str">
        <v>[DV] Uốn Texture con sâu/Uốn Ruffled</v>
      </c>
      <c r="E173">
        <v>144</v>
      </c>
      <c r="F173">
        <v>674</v>
      </c>
      <c r="G173">
        <v>499000</v>
      </c>
      <c r="H173">
        <v>529000</v>
      </c>
    </row>
    <row r="174">
      <c r="A174" t="str">
        <v>168 NVC</v>
      </c>
      <c r="B174" t="str">
        <v>DV_Uốn</v>
      </c>
      <c r="C174" t="str">
        <v>DV Duỗi Ép</v>
      </c>
      <c r="D174" t="str">
        <v>[DV] Ép side hai bên</v>
      </c>
      <c r="E174">
        <v>144</v>
      </c>
      <c r="F174">
        <v>902</v>
      </c>
      <c r="G174">
        <v>189000</v>
      </c>
      <c r="H174">
        <v>189000</v>
      </c>
    </row>
    <row r="175">
      <c r="A175" t="str">
        <v>168 NVC</v>
      </c>
      <c r="B175" t="str">
        <v>DV_Nhuộm</v>
      </c>
      <c r="C175" t="str">
        <v>DV Nhuộm tiêu chuẩn (&lt;300k)</v>
      </c>
      <c r="D175" t="str">
        <v>[DV] Nhuộm đen phủ bạc R&amp;B thảo dược</v>
      </c>
      <c r="E175">
        <v>144</v>
      </c>
      <c r="F175">
        <v>912</v>
      </c>
      <c r="G175">
        <v>289000</v>
      </c>
      <c r="H175">
        <v>309000</v>
      </c>
    </row>
    <row r="176">
      <c r="A176" t="str">
        <v>168 NVC</v>
      </c>
      <c r="B176" t="str">
        <v>DV_Nhuộm</v>
      </c>
      <c r="C176" t="str">
        <v>DV Nhuộm tiêu chuẩn (&lt;300k)</v>
      </c>
      <c r="D176" t="str">
        <v>[DV] Tẩy tóc bật tông Ý (1 lần)</v>
      </c>
      <c r="E176">
        <v>144</v>
      </c>
      <c r="F176">
        <v>915</v>
      </c>
      <c r="G176">
        <v>252000</v>
      </c>
      <c r="H176">
        <v>269000</v>
      </c>
    </row>
    <row r="177">
      <c r="A177" t="str">
        <v>168 NVC</v>
      </c>
      <c r="B177" t="str">
        <v>DV_Nhuộm</v>
      </c>
      <c r="C177" t="str">
        <v>DV Nhuộm tiêu chuẩn (&lt;300k)</v>
      </c>
      <c r="D177" t="str">
        <v>[DV] Tẩy tóc bật tông Ý (2 lần) 500k</v>
      </c>
      <c r="E177">
        <v>144</v>
      </c>
      <c r="F177">
        <v>916</v>
      </c>
      <c r="G177">
        <v>500000</v>
      </c>
      <c r="H177">
        <v>529000</v>
      </c>
    </row>
    <row r="178">
      <c r="A178" t="str">
        <v>168 NVC</v>
      </c>
      <c r="B178" t="str">
        <v>DV_Uốn</v>
      </c>
      <c r="C178" t="str">
        <v>DV Uốn cao cấp (&gt;340k)</v>
      </c>
      <c r="D178" t="str">
        <v>Uốn định hình nếp tóc cao cấp (K-Perm Collection)</v>
      </c>
      <c r="E178">
        <v>144</v>
      </c>
      <c r="F178">
        <v>952</v>
      </c>
      <c r="G178">
        <v>478000</v>
      </c>
      <c r="H178">
        <v>509000</v>
      </c>
    </row>
    <row r="179">
      <c r="A179" t="str">
        <v>168 NVC</v>
      </c>
      <c r="B179" t="str">
        <v>DV_Nhuộm</v>
      </c>
      <c r="C179" t="str">
        <v>DV Nhuộm cao cấp (&gt;300k)</v>
      </c>
      <c r="D179" t="str">
        <v>(NEW) Nhuộm màu thời trang Milano</v>
      </c>
      <c r="E179">
        <v>144</v>
      </c>
      <c r="F179">
        <v>960</v>
      </c>
      <c r="G179">
        <v>332000</v>
      </c>
      <c r="H179">
        <v>349000</v>
      </c>
    </row>
    <row r="180">
      <c r="A180" t="str">
        <v>168 NVC</v>
      </c>
      <c r="B180" t="str">
        <v>DV_Nhuộm</v>
      </c>
      <c r="C180" t="str">
        <v>DV Nhuộm tiêu chuẩn (&lt;300k)</v>
      </c>
      <c r="D180" t="str">
        <v>(NEW) Nhuộm phủ bạc tiêu chuẩn 199K</v>
      </c>
      <c r="E180">
        <v>144</v>
      </c>
      <c r="F180">
        <v>967</v>
      </c>
      <c r="G180">
        <v>199000</v>
      </c>
      <c r="H180">
        <v>209000</v>
      </c>
    </row>
    <row r="181">
      <c r="A181" t="str">
        <v>168 NVC</v>
      </c>
      <c r="B181" t="str">
        <v>DV_Uốn</v>
      </c>
      <c r="C181" t="str">
        <v>DV Uốn tiêu chuẩn (&lt;340k)</v>
      </c>
      <c r="D181" t="str">
        <v>(NEW) Uốn/Duỗi/Định hình full đầu tạo form vào nếp tự nhiên</v>
      </c>
      <c r="E181">
        <v>144</v>
      </c>
      <c r="F181">
        <v>1009</v>
      </c>
      <c r="G181">
        <v>386000</v>
      </c>
      <c r="H181">
        <v>409000</v>
      </c>
    </row>
    <row r="182">
      <c r="A182" t="str">
        <v>168 NVC</v>
      </c>
      <c r="B182" t="str">
        <v>DV_Dưỡng</v>
      </c>
      <c r="C182" t="str">
        <v>DV Dưỡng</v>
      </c>
      <c r="D182" t="str">
        <v>Phục hồi trẻ hóa Lipid Bond</v>
      </c>
      <c r="E182">
        <v>144</v>
      </c>
      <c r="F182">
        <v>1101</v>
      </c>
      <c r="G182">
        <v>132000</v>
      </c>
      <c r="H182">
        <v>146000</v>
      </c>
    </row>
    <row r="183">
      <c r="A183" t="str">
        <v>168 NVC</v>
      </c>
      <c r="B183" t="str">
        <v>DV_Uốn</v>
      </c>
      <c r="C183" t="str">
        <v>DV Uốn cao cấp (&gt;340k)</v>
      </c>
      <c r="D183" t="str">
        <v>UỐN THIẾT KẾ PHỤC HỒI CHUYÊN SÂU LIPID BOND 2025</v>
      </c>
      <c r="E183">
        <v>144</v>
      </c>
      <c r="F183">
        <v>1148</v>
      </c>
      <c r="G183">
        <v>689000</v>
      </c>
      <c r="H183">
        <v>729000</v>
      </c>
    </row>
    <row r="184">
      <c r="A184" t="str">
        <v>168 NVC</v>
      </c>
      <c r="B184" t="str">
        <v>DV_Nhuộm</v>
      </c>
      <c r="C184" t="str">
        <v>DV Nhuộm cao cấp (&gt;300k)</v>
      </c>
      <c r="D184" t="str">
        <v>NHUỘM THIẾT KẾ PHỤC HỒI CHUYÊN SÂU LIPID BOND 2025</v>
      </c>
      <c r="E184">
        <v>144</v>
      </c>
      <c r="F184">
        <v>1149</v>
      </c>
      <c r="G184">
        <v>689000</v>
      </c>
      <c r="H184">
        <v>729000</v>
      </c>
    </row>
    <row r="185">
      <c r="A185" t="str">
        <v>173 TN</v>
      </c>
      <c r="B185" t="str">
        <v>DV_Dưỡng</v>
      </c>
      <c r="C185" t="str">
        <v>DV Dưỡng</v>
      </c>
      <c r="D185" t="str">
        <v>(2022T) ATS Control Buffer - Khử mùi tạo thơm cho tóc uốn nhuộm 40k</v>
      </c>
      <c r="E185">
        <v>250</v>
      </c>
      <c r="F185">
        <v>610</v>
      </c>
      <c r="G185">
        <v>40000</v>
      </c>
      <c r="H185">
        <v>40000</v>
      </c>
      <c r="J185">
        <f>H185&amp;H186&amp;H187&amp;H188&amp;H189&amp;H190&amp;H191&amp;H192&amp;H193&amp;H194&amp;H195&amp;H196&amp;H197</f>
      </c>
    </row>
    <row r="186">
      <c r="A186" t="str">
        <v>173 TN</v>
      </c>
      <c r="B186" t="str">
        <v>DV_Uốn</v>
      </c>
      <c r="C186" t="str">
        <v>DV Uốn cao cấp (&gt;340k)</v>
      </c>
      <c r="D186" t="str">
        <v>[DV] Uốn Texture con sâu/Uốn Ruffled</v>
      </c>
      <c r="E186">
        <v>250</v>
      </c>
      <c r="F186">
        <v>674</v>
      </c>
      <c r="G186">
        <v>499000</v>
      </c>
      <c r="H186">
        <v>499000</v>
      </c>
    </row>
    <row r="187">
      <c r="A187" t="str">
        <v>173 TN</v>
      </c>
      <c r="B187" t="str">
        <v>DV_Uốn</v>
      </c>
      <c r="C187" t="str">
        <v>DV Duỗi Ép</v>
      </c>
      <c r="D187" t="str">
        <v>[DV] Ép side hai bên</v>
      </c>
      <c r="E187">
        <v>250</v>
      </c>
      <c r="F187">
        <v>902</v>
      </c>
      <c r="G187">
        <v>189000</v>
      </c>
      <c r="H187">
        <v>209000</v>
      </c>
    </row>
    <row r="188">
      <c r="A188" t="str">
        <v>173 TN</v>
      </c>
      <c r="B188" t="str">
        <v>DV_Nhuộm</v>
      </c>
      <c r="C188" t="str">
        <v>DV Nhuộm tiêu chuẩn (&lt;300k)</v>
      </c>
      <c r="D188" t="str">
        <v>[DV] Nhuộm đen phủ bạc R&amp;B thảo dược</v>
      </c>
      <c r="E188">
        <v>250</v>
      </c>
      <c r="F188">
        <v>912</v>
      </c>
      <c r="G188">
        <v>289000</v>
      </c>
      <c r="H188">
        <v>289000</v>
      </c>
    </row>
    <row r="189">
      <c r="A189" t="str">
        <v>173 TN</v>
      </c>
      <c r="B189" t="str">
        <v>DV_Nhuộm</v>
      </c>
      <c r="C189" t="str">
        <v>DV Nhuộm tiêu chuẩn (&lt;300k)</v>
      </c>
      <c r="D189" t="str">
        <v>[DV] Tẩy tóc bật tông Ý (1 lần)</v>
      </c>
      <c r="E189">
        <v>250</v>
      </c>
      <c r="F189">
        <v>915</v>
      </c>
      <c r="G189">
        <v>252000</v>
      </c>
      <c r="H189">
        <v>252000</v>
      </c>
    </row>
    <row r="190">
      <c r="A190" t="str">
        <v>173 TN</v>
      </c>
      <c r="B190" t="str">
        <v>DV_Nhuộm</v>
      </c>
      <c r="C190" t="str">
        <v>DV Nhuộm tiêu chuẩn (&lt;300k)</v>
      </c>
      <c r="D190" t="str">
        <v>[DV] Tẩy tóc bật tông Ý (2 lần) 500k</v>
      </c>
      <c r="E190">
        <v>250</v>
      </c>
      <c r="F190">
        <v>916</v>
      </c>
      <c r="G190">
        <v>500000</v>
      </c>
      <c r="H190">
        <v>500000</v>
      </c>
    </row>
    <row r="191">
      <c r="A191" t="str">
        <v>173 TN</v>
      </c>
      <c r="B191" t="str">
        <v>DV_Uốn</v>
      </c>
      <c r="C191" t="str">
        <v>DV Uốn cao cấp (&gt;340k)</v>
      </c>
      <c r="D191" t="str">
        <v>Uốn định hình nếp tóc cao cấp (K-Perm Collection)</v>
      </c>
      <c r="E191">
        <v>250</v>
      </c>
      <c r="F191">
        <v>952</v>
      </c>
      <c r="G191">
        <v>478000</v>
      </c>
      <c r="H191">
        <v>478000</v>
      </c>
    </row>
    <row r="192">
      <c r="A192" t="str">
        <v>173 TN</v>
      </c>
      <c r="B192" t="str">
        <v>DV_Nhuộm</v>
      </c>
      <c r="C192" t="str">
        <v>DV Nhuộm cao cấp (&gt;300k)</v>
      </c>
      <c r="D192" t="str">
        <v>(NEW) Nhuộm màu thời trang Milano</v>
      </c>
      <c r="E192">
        <v>250</v>
      </c>
      <c r="F192">
        <v>960</v>
      </c>
      <c r="G192">
        <v>332000</v>
      </c>
      <c r="H192">
        <v>349000</v>
      </c>
    </row>
    <row r="193">
      <c r="A193" t="str">
        <v>173 TN</v>
      </c>
      <c r="B193" t="str">
        <v>DV_Nhuộm</v>
      </c>
      <c r="C193" t="str">
        <v>DV Nhuộm tiêu chuẩn (&lt;300k)</v>
      </c>
      <c r="D193" t="str">
        <v>(NEW) Nhuộm phủ bạc tiêu chuẩn 199K</v>
      </c>
      <c r="E193">
        <v>250</v>
      </c>
      <c r="F193">
        <v>967</v>
      </c>
      <c r="G193">
        <v>199000</v>
      </c>
      <c r="H193">
        <v>199000</v>
      </c>
    </row>
    <row r="194">
      <c r="A194" t="str">
        <v>173 TN</v>
      </c>
      <c r="B194" t="str">
        <v>DV_Uốn</v>
      </c>
      <c r="C194" t="str">
        <v>DV Uốn tiêu chuẩn (&lt;340k)</v>
      </c>
      <c r="D194" t="str">
        <v>(NEW) Uốn/Duỗi/Định hình full đầu tạo form vào nếp tự nhiên</v>
      </c>
      <c r="E194">
        <v>250</v>
      </c>
      <c r="F194">
        <v>1009</v>
      </c>
      <c r="G194">
        <v>386000</v>
      </c>
      <c r="H194">
        <v>386000</v>
      </c>
    </row>
    <row r="195">
      <c r="A195" t="str">
        <v>173 TN</v>
      </c>
      <c r="B195" t="str">
        <v>DV_Dưỡng</v>
      </c>
      <c r="C195" t="str">
        <v>DV Dưỡng</v>
      </c>
      <c r="D195" t="str">
        <v>Phục hồi trẻ hóa Lipid Bond</v>
      </c>
      <c r="E195">
        <v>250</v>
      </c>
      <c r="F195">
        <v>1101</v>
      </c>
      <c r="G195">
        <v>132000</v>
      </c>
      <c r="H195">
        <v>146000</v>
      </c>
    </row>
    <row r="196">
      <c r="A196" t="str">
        <v>173 TN</v>
      </c>
      <c r="B196" t="str">
        <v>DV_Uốn</v>
      </c>
      <c r="C196" t="str">
        <v>DV Uốn cao cấp (&gt;340k)</v>
      </c>
      <c r="D196" t="str">
        <v>UỐN THIẾT KẾ PHỤC HỒI CHUYÊN SÂU LIPID BOND 2025</v>
      </c>
      <c r="E196">
        <v>250</v>
      </c>
      <c r="F196">
        <v>1148</v>
      </c>
      <c r="G196">
        <v>689000</v>
      </c>
      <c r="H196">
        <v>689000</v>
      </c>
    </row>
    <row r="197">
      <c r="A197" t="str">
        <v>173 TN</v>
      </c>
      <c r="B197" t="str">
        <v>DV_Nhuộm</v>
      </c>
      <c r="C197" t="str">
        <v>DV Nhuộm cao cấp (&gt;300k)</v>
      </c>
      <c r="D197" t="str">
        <v>NHUỘM THIẾT KẾ PHỤC HỒI CHUYÊN SÂU LIPID BOND 2025</v>
      </c>
      <c r="E197">
        <v>250</v>
      </c>
      <c r="F197">
        <v>1149</v>
      </c>
      <c r="G197">
        <v>689000</v>
      </c>
      <c r="H197">
        <v>729000</v>
      </c>
    </row>
    <row r="198">
      <c r="A198" t="str">
        <v>186 DTH</v>
      </c>
      <c r="B198" t="str">
        <v>DV_Dưỡng</v>
      </c>
      <c r="C198" t="str">
        <v>DV Dưỡng</v>
      </c>
      <c r="D198" t="str">
        <v>(2022T) ATS Control Buffer - Khử mùi tạo thơm cho tóc uốn nhuộm 40k</v>
      </c>
      <c r="E198">
        <v>182</v>
      </c>
      <c r="F198">
        <v>610</v>
      </c>
      <c r="G198">
        <v>40000</v>
      </c>
      <c r="H198">
        <v>40000</v>
      </c>
      <c r="J198">
        <f>H198&amp;H199&amp;H200&amp;H201&amp;H202&amp;H203&amp;H204&amp;H205&amp;H206&amp;H207&amp;H208&amp;H209&amp;H210</f>
      </c>
    </row>
    <row r="199">
      <c r="A199" t="str">
        <v>186 DTH</v>
      </c>
      <c r="B199" t="str">
        <v>DV_Uốn</v>
      </c>
      <c r="C199" t="str">
        <v>DV Uốn cao cấp (&gt;340k)</v>
      </c>
      <c r="D199" t="str">
        <v>[DV] Uốn Texture con sâu/Uốn Ruffled</v>
      </c>
      <c r="E199">
        <v>182</v>
      </c>
      <c r="F199">
        <v>674</v>
      </c>
      <c r="G199">
        <v>499000</v>
      </c>
      <c r="H199">
        <v>499000</v>
      </c>
    </row>
    <row r="200">
      <c r="A200" t="str">
        <v>186 DTH</v>
      </c>
      <c r="B200" t="str">
        <v>DV_Uốn</v>
      </c>
      <c r="C200" t="str">
        <v>DV Duỗi Ép</v>
      </c>
      <c r="D200" t="str">
        <v>[DV] Ép side hai bên</v>
      </c>
      <c r="E200">
        <v>182</v>
      </c>
      <c r="F200">
        <v>902</v>
      </c>
      <c r="G200">
        <v>189000</v>
      </c>
      <c r="H200">
        <v>209000</v>
      </c>
    </row>
    <row r="201">
      <c r="A201" t="str">
        <v>186 DTH</v>
      </c>
      <c r="B201" t="str">
        <v>DV_Nhuộm</v>
      </c>
      <c r="C201" t="str">
        <v>DV Nhuộm tiêu chuẩn (&lt;300k)</v>
      </c>
      <c r="D201" t="str">
        <v>[DV] Nhuộm đen phủ bạc R&amp;B thảo dược</v>
      </c>
      <c r="E201">
        <v>182</v>
      </c>
      <c r="F201">
        <v>912</v>
      </c>
      <c r="G201">
        <v>289000</v>
      </c>
      <c r="H201">
        <v>289000</v>
      </c>
    </row>
    <row r="202">
      <c r="A202" t="str">
        <v>186 DTH</v>
      </c>
      <c r="B202" t="str">
        <v>DV_Nhuộm</v>
      </c>
      <c r="C202" t="str">
        <v>DV Nhuộm tiêu chuẩn (&lt;300k)</v>
      </c>
      <c r="D202" t="str">
        <v>[DV] Tẩy tóc bật tông Ý (1 lần)</v>
      </c>
      <c r="E202">
        <v>182</v>
      </c>
      <c r="F202">
        <v>915</v>
      </c>
      <c r="G202">
        <v>252000</v>
      </c>
      <c r="H202">
        <v>252000</v>
      </c>
    </row>
    <row r="203">
      <c r="A203" t="str">
        <v>186 DTH</v>
      </c>
      <c r="B203" t="str">
        <v>DV_Nhuộm</v>
      </c>
      <c r="C203" t="str">
        <v>DV Nhuộm tiêu chuẩn (&lt;300k)</v>
      </c>
      <c r="D203" t="str">
        <v>[DV] Tẩy tóc bật tông Ý (2 lần) 500k</v>
      </c>
      <c r="E203">
        <v>182</v>
      </c>
      <c r="F203">
        <v>916</v>
      </c>
      <c r="G203">
        <v>500000</v>
      </c>
      <c r="H203">
        <v>500000</v>
      </c>
    </row>
    <row r="204">
      <c r="A204" t="str">
        <v>186 DTH</v>
      </c>
      <c r="B204" t="str">
        <v>DV_Uốn</v>
      </c>
      <c r="C204" t="str">
        <v>DV Uốn cao cấp (&gt;340k)</v>
      </c>
      <c r="D204" t="str">
        <v>Uốn định hình nếp tóc cao cấp (K-Perm Collection)</v>
      </c>
      <c r="E204">
        <v>182</v>
      </c>
      <c r="F204">
        <v>952</v>
      </c>
      <c r="G204">
        <v>478000</v>
      </c>
      <c r="H204">
        <v>478000</v>
      </c>
    </row>
    <row r="205">
      <c r="A205" t="str">
        <v>186 DTH</v>
      </c>
      <c r="B205" t="str">
        <v>DV_Nhuộm</v>
      </c>
      <c r="C205" t="str">
        <v>DV Nhuộm cao cấp (&gt;300k)</v>
      </c>
      <c r="D205" t="str">
        <v>(NEW) Nhuộm màu thời trang Milano</v>
      </c>
      <c r="E205">
        <v>182</v>
      </c>
      <c r="F205">
        <v>960</v>
      </c>
      <c r="G205">
        <v>332000</v>
      </c>
      <c r="H205">
        <v>369000</v>
      </c>
    </row>
    <row r="206">
      <c r="A206" t="str">
        <v>186 DTH</v>
      </c>
      <c r="B206" t="str">
        <v>DV_Nhuộm</v>
      </c>
      <c r="C206" t="str">
        <v>DV Nhuộm tiêu chuẩn (&lt;300k)</v>
      </c>
      <c r="D206" t="str">
        <v>(NEW) Nhuộm phủ bạc tiêu chuẩn 199K</v>
      </c>
      <c r="E206">
        <v>182</v>
      </c>
      <c r="F206">
        <v>967</v>
      </c>
      <c r="G206">
        <v>199000</v>
      </c>
      <c r="H206">
        <v>199000</v>
      </c>
    </row>
    <row r="207">
      <c r="A207" t="str">
        <v>186 DTH</v>
      </c>
      <c r="B207" t="str">
        <v>DV_Uốn</v>
      </c>
      <c r="C207" t="str">
        <v>DV Uốn tiêu chuẩn (&lt;340k)</v>
      </c>
      <c r="D207" t="str">
        <v>(NEW) Uốn/Duỗi/Định hình full đầu tạo form vào nếp tự nhiên</v>
      </c>
      <c r="E207">
        <v>182</v>
      </c>
      <c r="F207">
        <v>1009</v>
      </c>
      <c r="G207">
        <v>386000</v>
      </c>
      <c r="H207">
        <v>386000</v>
      </c>
    </row>
    <row r="208">
      <c r="A208" t="str">
        <v>186 DTH</v>
      </c>
      <c r="B208" t="str">
        <v>DV_Dưỡng</v>
      </c>
      <c r="C208" t="str">
        <v>DV Dưỡng</v>
      </c>
      <c r="D208" t="str">
        <v>Phục hồi trẻ hóa Lipid Bond</v>
      </c>
      <c r="E208">
        <v>182</v>
      </c>
      <c r="F208">
        <v>1101</v>
      </c>
      <c r="G208">
        <v>132000</v>
      </c>
      <c r="H208">
        <v>146000</v>
      </c>
    </row>
    <row r="209">
      <c r="A209" t="str">
        <v>186 DTH</v>
      </c>
      <c r="B209" t="str">
        <v>DV_Uốn</v>
      </c>
      <c r="C209" t="str">
        <v>DV Uốn cao cấp (&gt;340k)</v>
      </c>
      <c r="D209" t="str">
        <v>UỐN THIẾT KẾ PHỤC HỒI CHUYÊN SÂU LIPID BOND 2025</v>
      </c>
      <c r="E209">
        <v>182</v>
      </c>
      <c r="F209">
        <v>1148</v>
      </c>
      <c r="G209">
        <v>689000</v>
      </c>
      <c r="H209">
        <v>689000</v>
      </c>
    </row>
    <row r="210">
      <c r="A210" t="str">
        <v>186 DTH</v>
      </c>
      <c r="B210" t="str">
        <v>DV_Nhuộm</v>
      </c>
      <c r="C210" t="str">
        <v>DV Nhuộm cao cấp (&gt;300k)</v>
      </c>
      <c r="D210" t="str">
        <v>NHUỘM THIẾT KẾ PHỤC HỒI CHUYÊN SÂU LIPID BOND 2025</v>
      </c>
      <c r="E210">
        <v>182</v>
      </c>
      <c r="F210">
        <v>1149</v>
      </c>
      <c r="G210">
        <v>689000</v>
      </c>
      <c r="H210">
        <v>729000</v>
      </c>
    </row>
    <row r="211">
      <c r="A211" t="str">
        <v>186 QT</v>
      </c>
      <c r="B211" t="str">
        <v>DV_Dưỡng</v>
      </c>
      <c r="C211" t="str">
        <v>DV Dưỡng</v>
      </c>
      <c r="D211" t="str">
        <v>(2022T) ATS Control Buffer - Khử mùi tạo thơm cho tóc uốn nhuộm 40k</v>
      </c>
      <c r="E211">
        <v>239</v>
      </c>
      <c r="F211">
        <v>610</v>
      </c>
      <c r="G211">
        <v>40000</v>
      </c>
      <c r="H211">
        <v>40000</v>
      </c>
      <c r="J211">
        <f>H211&amp;H212&amp;H213&amp;H214&amp;H215&amp;H216&amp;H217&amp;H218&amp;H219&amp;H220&amp;H221&amp;H222&amp;H223</f>
      </c>
    </row>
    <row r="212">
      <c r="A212" t="str">
        <v>186 QT</v>
      </c>
      <c r="B212" t="str">
        <v>DV_Uốn</v>
      </c>
      <c r="C212" t="str">
        <v>DV Uốn cao cấp (&gt;340k)</v>
      </c>
      <c r="D212" t="str">
        <v>[DV] Uốn Texture con sâu/Uốn Ruffled</v>
      </c>
      <c r="E212">
        <v>239</v>
      </c>
      <c r="F212">
        <v>674</v>
      </c>
      <c r="G212">
        <v>499000</v>
      </c>
      <c r="H212">
        <v>499000</v>
      </c>
    </row>
    <row r="213">
      <c r="A213" t="str">
        <v>186 QT</v>
      </c>
      <c r="B213" t="str">
        <v>DV_Uốn</v>
      </c>
      <c r="C213" t="str">
        <v>DV Duỗi Ép</v>
      </c>
      <c r="D213" t="str">
        <v>[DV] Ép side hai bên</v>
      </c>
      <c r="E213">
        <v>239</v>
      </c>
      <c r="F213">
        <v>902</v>
      </c>
      <c r="G213">
        <v>189000</v>
      </c>
      <c r="H213">
        <v>199000</v>
      </c>
    </row>
    <row r="214">
      <c r="A214" t="str">
        <v>186 QT</v>
      </c>
      <c r="B214" t="str">
        <v>DV_Nhuộm</v>
      </c>
      <c r="C214" t="str">
        <v>DV Nhuộm tiêu chuẩn (&lt;300k)</v>
      </c>
      <c r="D214" t="str">
        <v>[DV] Nhuộm đen phủ bạc R&amp;B thảo dược</v>
      </c>
      <c r="E214">
        <v>239</v>
      </c>
      <c r="F214">
        <v>912</v>
      </c>
      <c r="G214">
        <v>289000</v>
      </c>
      <c r="H214">
        <v>289000</v>
      </c>
    </row>
    <row r="215">
      <c r="A215" t="str">
        <v>186 QT</v>
      </c>
      <c r="B215" t="str">
        <v>DV_Nhuộm</v>
      </c>
      <c r="C215" t="str">
        <v>DV Nhuộm tiêu chuẩn (&lt;300k)</v>
      </c>
      <c r="D215" t="str">
        <v>[DV] Tẩy tóc bật tông Ý (1 lần)</v>
      </c>
      <c r="E215">
        <v>239</v>
      </c>
      <c r="F215">
        <v>915</v>
      </c>
      <c r="G215">
        <v>252000</v>
      </c>
      <c r="H215">
        <v>259000</v>
      </c>
    </row>
    <row r="216">
      <c r="A216" t="str">
        <v>186 QT</v>
      </c>
      <c r="B216" t="str">
        <v>DV_Nhuộm</v>
      </c>
      <c r="C216" t="str">
        <v>DV Nhuộm tiêu chuẩn (&lt;300k)</v>
      </c>
      <c r="D216" t="str">
        <v>[DV] Tẩy tóc bật tông Ý (2 lần) 500k</v>
      </c>
      <c r="E216">
        <v>239</v>
      </c>
      <c r="F216">
        <v>916</v>
      </c>
      <c r="G216">
        <v>500000</v>
      </c>
      <c r="H216">
        <v>500000</v>
      </c>
    </row>
    <row r="217">
      <c r="A217" t="str">
        <v>186 QT</v>
      </c>
      <c r="B217" t="str">
        <v>DV_Uốn</v>
      </c>
      <c r="C217" t="str">
        <v>DV Uốn cao cấp (&gt;340k)</v>
      </c>
      <c r="D217" t="str">
        <v>Uốn định hình nếp tóc cao cấp (K-Perm Collection)</v>
      </c>
      <c r="E217">
        <v>239</v>
      </c>
      <c r="F217">
        <v>952</v>
      </c>
      <c r="G217">
        <v>478000</v>
      </c>
      <c r="H217">
        <v>478000</v>
      </c>
    </row>
    <row r="218">
      <c r="A218" t="str">
        <v>186 QT</v>
      </c>
      <c r="B218" t="str">
        <v>DV_Nhuộm</v>
      </c>
      <c r="C218" t="str">
        <v>DV Nhuộm cao cấp (&gt;300k)</v>
      </c>
      <c r="D218" t="str">
        <v>(NEW) Nhuộm màu thời trang Milano</v>
      </c>
      <c r="E218">
        <v>239</v>
      </c>
      <c r="F218">
        <v>960</v>
      </c>
      <c r="G218">
        <v>332000</v>
      </c>
      <c r="H218">
        <v>332000</v>
      </c>
    </row>
    <row r="219">
      <c r="A219" t="str">
        <v>186 QT</v>
      </c>
      <c r="B219" t="str">
        <v>DV_Nhuộm</v>
      </c>
      <c r="C219" t="str">
        <v>DV Nhuộm tiêu chuẩn (&lt;300k)</v>
      </c>
      <c r="D219" t="str">
        <v>(NEW) Nhuộm phủ bạc tiêu chuẩn 199K</v>
      </c>
      <c r="E219">
        <v>239</v>
      </c>
      <c r="F219">
        <v>967</v>
      </c>
      <c r="G219">
        <v>199000</v>
      </c>
      <c r="H219">
        <v>199000</v>
      </c>
    </row>
    <row r="220">
      <c r="A220" t="str">
        <v>186 QT</v>
      </c>
      <c r="B220" t="str">
        <v>DV_Uốn</v>
      </c>
      <c r="C220" t="str">
        <v>DV Uốn tiêu chuẩn (&lt;340k)</v>
      </c>
      <c r="D220" t="str">
        <v>(NEW) Uốn/Duỗi/Định hình full đầu tạo form vào nếp tự nhiên</v>
      </c>
      <c r="E220">
        <v>239</v>
      </c>
      <c r="F220">
        <v>1009</v>
      </c>
      <c r="G220">
        <v>386000</v>
      </c>
      <c r="H220">
        <v>386000</v>
      </c>
    </row>
    <row r="221">
      <c r="A221" t="str">
        <v>186 QT</v>
      </c>
      <c r="B221" t="str">
        <v>DV_Dưỡng</v>
      </c>
      <c r="C221" t="str">
        <v>DV Dưỡng</v>
      </c>
      <c r="D221" t="str">
        <v>Phục hồi trẻ hóa Lipid Bond</v>
      </c>
      <c r="E221">
        <v>239</v>
      </c>
      <c r="F221">
        <v>1101</v>
      </c>
      <c r="G221">
        <v>132000</v>
      </c>
      <c r="H221">
        <v>146000</v>
      </c>
    </row>
    <row r="222">
      <c r="A222" t="str">
        <v>186 QT</v>
      </c>
      <c r="B222" t="str">
        <v>DV_Uốn</v>
      </c>
      <c r="C222" t="str">
        <v>DV Uốn cao cấp (&gt;340k)</v>
      </c>
      <c r="D222" t="str">
        <v>UỐN THIẾT KẾ PHỤC HỒI CHUYÊN SÂU LIPID BOND 2025</v>
      </c>
      <c r="E222">
        <v>239</v>
      </c>
      <c r="F222">
        <v>1148</v>
      </c>
      <c r="G222">
        <v>689000</v>
      </c>
      <c r="H222">
        <v>689000</v>
      </c>
    </row>
    <row r="223">
      <c r="A223" t="str">
        <v>186 QT</v>
      </c>
      <c r="B223" t="str">
        <v>DV_Nhuộm</v>
      </c>
      <c r="C223" t="str">
        <v>DV Nhuộm cao cấp (&gt;300k)</v>
      </c>
      <c r="D223" t="str">
        <v>NHUỘM THIẾT KẾ PHỤC HỒI CHUYÊN SÂU LIPID BOND 2025</v>
      </c>
      <c r="E223">
        <v>239</v>
      </c>
      <c r="F223">
        <v>1149</v>
      </c>
      <c r="G223">
        <v>689000</v>
      </c>
      <c r="H223">
        <v>689000</v>
      </c>
    </row>
    <row r="224">
      <c r="A224" t="str">
        <v>190 HB</v>
      </c>
      <c r="B224" t="str">
        <v>DV_Dưỡng</v>
      </c>
      <c r="C224" t="str">
        <v>DV Dưỡng</v>
      </c>
      <c r="D224" t="str">
        <v>(2022T) ATS Control Buffer - Khử mùi tạo thơm cho tóc uốn nhuộm 40k</v>
      </c>
      <c r="E224">
        <v>188</v>
      </c>
      <c r="F224">
        <v>610</v>
      </c>
      <c r="G224">
        <v>40000</v>
      </c>
      <c r="H224">
        <v>40000</v>
      </c>
      <c r="J224">
        <f>H224&amp;H225&amp;H226&amp;H227&amp;H228&amp;H229&amp;H230&amp;H231&amp;H232&amp;H233&amp;H234&amp;H235&amp;H236</f>
      </c>
    </row>
    <row r="225">
      <c r="A225" t="str">
        <v>190 HB</v>
      </c>
      <c r="B225" t="str">
        <v>DV_Uốn</v>
      </c>
      <c r="C225" t="str">
        <v>DV Uốn cao cấp (&gt;340k)</v>
      </c>
      <c r="D225" t="str">
        <v>[DV] Uốn Texture con sâu/Uốn Ruffled</v>
      </c>
      <c r="E225">
        <v>188</v>
      </c>
      <c r="F225">
        <v>674</v>
      </c>
      <c r="G225">
        <v>499000</v>
      </c>
      <c r="H225">
        <v>499000</v>
      </c>
    </row>
    <row r="226">
      <c r="A226" t="str">
        <v>190 HB</v>
      </c>
      <c r="B226" t="str">
        <v>DV_Uốn</v>
      </c>
      <c r="C226" t="str">
        <v>DV Duỗi Ép</v>
      </c>
      <c r="D226" t="str">
        <v>[DV] Ép side hai bên</v>
      </c>
      <c r="E226">
        <v>188</v>
      </c>
      <c r="F226">
        <v>902</v>
      </c>
      <c r="G226">
        <v>189000</v>
      </c>
      <c r="H226">
        <v>199000</v>
      </c>
    </row>
    <row r="227">
      <c r="A227" t="str">
        <v>190 HB</v>
      </c>
      <c r="B227" t="str">
        <v>DV_Nhuộm</v>
      </c>
      <c r="C227" t="str">
        <v>DV Nhuộm tiêu chuẩn (&lt;300k)</v>
      </c>
      <c r="D227" t="str">
        <v>[DV] Nhuộm đen phủ bạc R&amp;B thảo dược</v>
      </c>
      <c r="E227">
        <v>188</v>
      </c>
      <c r="F227">
        <v>912</v>
      </c>
      <c r="G227">
        <v>289000</v>
      </c>
      <c r="H227">
        <v>289000</v>
      </c>
    </row>
    <row r="228">
      <c r="A228" t="str">
        <v>190 HB</v>
      </c>
      <c r="B228" t="str">
        <v>DV_Nhuộm</v>
      </c>
      <c r="C228" t="str">
        <v>DV Nhuộm tiêu chuẩn (&lt;300k)</v>
      </c>
      <c r="D228" t="str">
        <v>[DV] Tẩy tóc bật tông Ý (1 lần)</v>
      </c>
      <c r="E228">
        <v>188</v>
      </c>
      <c r="F228">
        <v>915</v>
      </c>
      <c r="G228">
        <v>252000</v>
      </c>
      <c r="H228">
        <v>252000</v>
      </c>
    </row>
    <row r="229">
      <c r="A229" t="str">
        <v>190 HB</v>
      </c>
      <c r="B229" t="str">
        <v>DV_Nhuộm</v>
      </c>
      <c r="C229" t="str">
        <v>DV Nhuộm tiêu chuẩn (&lt;300k)</v>
      </c>
      <c r="D229" t="str">
        <v>[DV] Tẩy tóc bật tông Ý (2 lần) 500k</v>
      </c>
      <c r="E229">
        <v>188</v>
      </c>
      <c r="F229">
        <v>916</v>
      </c>
      <c r="G229">
        <v>500000</v>
      </c>
      <c r="H229">
        <v>500000</v>
      </c>
    </row>
    <row r="230">
      <c r="A230" t="str">
        <v>190 HB</v>
      </c>
      <c r="B230" t="str">
        <v>DV_Uốn</v>
      </c>
      <c r="C230" t="str">
        <v>DV Uốn cao cấp (&gt;340k)</v>
      </c>
      <c r="D230" t="str">
        <v>Uốn định hình nếp tóc cao cấp (K-Perm Collection)</v>
      </c>
      <c r="E230">
        <v>188</v>
      </c>
      <c r="F230">
        <v>952</v>
      </c>
      <c r="G230">
        <v>478000</v>
      </c>
      <c r="H230">
        <v>478000</v>
      </c>
    </row>
    <row r="231">
      <c r="A231" t="str">
        <v>190 HB</v>
      </c>
      <c r="B231" t="str">
        <v>DV_Nhuộm</v>
      </c>
      <c r="C231" t="str">
        <v>DV Nhuộm cao cấp (&gt;300k)</v>
      </c>
      <c r="D231" t="str">
        <v>(NEW) Nhuộm màu thời trang Milano</v>
      </c>
      <c r="E231">
        <v>188</v>
      </c>
      <c r="F231">
        <v>960</v>
      </c>
      <c r="G231">
        <v>332000</v>
      </c>
      <c r="H231">
        <v>332000</v>
      </c>
    </row>
    <row r="232">
      <c r="A232" t="str">
        <v>190 HB</v>
      </c>
      <c r="B232" t="str">
        <v>DV_Nhuộm</v>
      </c>
      <c r="C232" t="str">
        <v>DV Nhuộm tiêu chuẩn (&lt;300k)</v>
      </c>
      <c r="D232" t="str">
        <v>(NEW) Nhuộm phủ bạc tiêu chuẩn 199K</v>
      </c>
      <c r="E232">
        <v>188</v>
      </c>
      <c r="F232">
        <v>967</v>
      </c>
      <c r="G232">
        <v>199000</v>
      </c>
      <c r="H232">
        <v>199000</v>
      </c>
    </row>
    <row r="233">
      <c r="A233" t="str">
        <v>190 HB</v>
      </c>
      <c r="B233" t="str">
        <v>DV_Uốn</v>
      </c>
      <c r="C233" t="str">
        <v>DV Uốn tiêu chuẩn (&lt;340k)</v>
      </c>
      <c r="D233" t="str">
        <v>(NEW) Uốn/Duỗi/Định hình full đầu tạo form vào nếp tự nhiên</v>
      </c>
      <c r="E233">
        <v>188</v>
      </c>
      <c r="F233">
        <v>1009</v>
      </c>
      <c r="G233">
        <v>386000</v>
      </c>
      <c r="H233">
        <v>386000</v>
      </c>
    </row>
    <row r="234">
      <c r="A234" t="str">
        <v>190 HB</v>
      </c>
      <c r="B234" t="str">
        <v>DV_Dưỡng</v>
      </c>
      <c r="C234" t="str">
        <v>DV Dưỡng</v>
      </c>
      <c r="D234" t="str">
        <v>Phục hồi trẻ hóa Lipid Bond</v>
      </c>
      <c r="E234">
        <v>188</v>
      </c>
      <c r="F234">
        <v>1101</v>
      </c>
      <c r="G234">
        <v>132000</v>
      </c>
      <c r="H234">
        <v>146000</v>
      </c>
    </row>
    <row r="235">
      <c r="A235" t="str">
        <v>190 HB</v>
      </c>
      <c r="B235" t="str">
        <v>DV_Uốn</v>
      </c>
      <c r="C235" t="str">
        <v>DV Uốn cao cấp (&gt;340k)</v>
      </c>
      <c r="D235" t="str">
        <v>UỐN THIẾT KẾ PHỤC HỒI CHUYÊN SÂU LIPID BOND 2025</v>
      </c>
      <c r="E235">
        <v>188</v>
      </c>
      <c r="F235">
        <v>1148</v>
      </c>
      <c r="G235">
        <v>689000</v>
      </c>
      <c r="H235">
        <v>689000</v>
      </c>
    </row>
    <row r="236">
      <c r="A236" t="str">
        <v>190 HB</v>
      </c>
      <c r="B236" t="str">
        <v>DV_Nhuộm</v>
      </c>
      <c r="C236" t="str">
        <v>DV Nhuộm cao cấp (&gt;300k)</v>
      </c>
      <c r="D236" t="str">
        <v>NHUỘM THIẾT KẾ PHỤC HỒI CHUYÊN SÂU LIPID BOND 2025</v>
      </c>
      <c r="E236">
        <v>188</v>
      </c>
      <c r="F236">
        <v>1149</v>
      </c>
      <c r="G236">
        <v>689000</v>
      </c>
      <c r="H236">
        <v>689000</v>
      </c>
    </row>
    <row r="237">
      <c r="A237" t="str">
        <v>202 DC</v>
      </c>
      <c r="B237" t="str">
        <v>DV_Dưỡng</v>
      </c>
      <c r="C237" t="str">
        <v>DV Dưỡng</v>
      </c>
      <c r="D237" t="str">
        <v>(2022T) ATS Control Buffer - Khử mùi tạo thơm cho tóc uốn nhuộm 40k</v>
      </c>
      <c r="E237">
        <v>196</v>
      </c>
      <c r="F237">
        <v>610</v>
      </c>
      <c r="G237">
        <v>40000</v>
      </c>
      <c r="H237">
        <v>40000</v>
      </c>
      <c r="J237">
        <f>H237&amp;H238&amp;H239&amp;H240&amp;H241&amp;H242&amp;H243&amp;H244&amp;H245&amp;H246&amp;H247&amp;H248&amp;H249</f>
      </c>
    </row>
    <row r="238">
      <c r="A238" t="str">
        <v>202 DC</v>
      </c>
      <c r="B238" t="str">
        <v>DV_Uốn</v>
      </c>
      <c r="C238" t="str">
        <v>DV Uốn cao cấp (&gt;340k)</v>
      </c>
      <c r="D238" t="str">
        <v>[DV] Uốn Texture con sâu/Uốn Ruffled</v>
      </c>
      <c r="E238">
        <v>196</v>
      </c>
      <c r="F238">
        <v>674</v>
      </c>
      <c r="G238">
        <v>499000</v>
      </c>
      <c r="H238">
        <v>529000</v>
      </c>
    </row>
    <row r="239">
      <c r="A239" t="str">
        <v>202 DC</v>
      </c>
      <c r="B239" t="str">
        <v>DV_Uốn</v>
      </c>
      <c r="C239" t="str">
        <v>DV Duỗi Ép</v>
      </c>
      <c r="D239" t="str">
        <v>[DV] Ép side hai bên</v>
      </c>
      <c r="E239">
        <v>196</v>
      </c>
      <c r="F239">
        <v>902</v>
      </c>
      <c r="G239">
        <v>189000</v>
      </c>
      <c r="H239">
        <v>199000</v>
      </c>
    </row>
    <row r="240">
      <c r="A240" t="str">
        <v>202 DC</v>
      </c>
      <c r="B240" t="str">
        <v>DV_Nhuộm</v>
      </c>
      <c r="C240" t="str">
        <v>DV Nhuộm tiêu chuẩn (&lt;300k)</v>
      </c>
      <c r="D240" t="str">
        <v>[DV] Nhuộm đen phủ bạc R&amp;B thảo dược</v>
      </c>
      <c r="E240">
        <v>196</v>
      </c>
      <c r="F240">
        <v>912</v>
      </c>
      <c r="G240">
        <v>289000</v>
      </c>
      <c r="H240">
        <v>319000</v>
      </c>
    </row>
    <row r="241">
      <c r="A241" t="str">
        <v>202 DC</v>
      </c>
      <c r="B241" t="str">
        <v>DV_Nhuộm</v>
      </c>
      <c r="C241" t="str">
        <v>DV Nhuộm tiêu chuẩn (&lt;300k)</v>
      </c>
      <c r="D241" t="str">
        <v>[DV] Tẩy tóc bật tông Ý (1 lần)</v>
      </c>
      <c r="E241">
        <v>196</v>
      </c>
      <c r="F241">
        <v>915</v>
      </c>
      <c r="G241">
        <v>252000</v>
      </c>
      <c r="H241">
        <v>269000</v>
      </c>
    </row>
    <row r="242">
      <c r="A242" t="str">
        <v>202 DC</v>
      </c>
      <c r="B242" t="str">
        <v>DV_Nhuộm</v>
      </c>
      <c r="C242" t="str">
        <v>DV Nhuộm tiêu chuẩn (&lt;300k)</v>
      </c>
      <c r="D242" t="str">
        <v>[DV] Tẩy tóc bật tông Ý (2 lần) 500k</v>
      </c>
      <c r="E242">
        <v>196</v>
      </c>
      <c r="F242">
        <v>916</v>
      </c>
      <c r="G242">
        <v>500000</v>
      </c>
      <c r="H242">
        <v>529000</v>
      </c>
    </row>
    <row r="243">
      <c r="A243" t="str">
        <v>202 DC</v>
      </c>
      <c r="B243" t="str">
        <v>DV_Uốn</v>
      </c>
      <c r="C243" t="str">
        <v>DV Uốn cao cấp (&gt;340k)</v>
      </c>
      <c r="D243" t="str">
        <v>Uốn định hình nếp tóc cao cấp (K-Perm Collection)</v>
      </c>
      <c r="E243">
        <v>196</v>
      </c>
      <c r="F243">
        <v>952</v>
      </c>
      <c r="G243">
        <v>478000</v>
      </c>
      <c r="H243">
        <v>509000</v>
      </c>
    </row>
    <row r="244">
      <c r="A244" t="str">
        <v>202 DC</v>
      </c>
      <c r="B244" t="str">
        <v>DV_Nhuộm</v>
      </c>
      <c r="C244" t="str">
        <v>DV Nhuộm cao cấp (&gt;300k)</v>
      </c>
      <c r="D244" t="str">
        <v>(NEW) Nhuộm màu thời trang Milano</v>
      </c>
      <c r="E244">
        <v>196</v>
      </c>
      <c r="F244">
        <v>960</v>
      </c>
      <c r="G244">
        <v>332000</v>
      </c>
      <c r="H244">
        <v>369000</v>
      </c>
    </row>
    <row r="245">
      <c r="A245" t="str">
        <v>202 DC</v>
      </c>
      <c r="B245" t="str">
        <v>DV_Nhuộm</v>
      </c>
      <c r="C245" t="str">
        <v>DV Nhuộm tiêu chuẩn (&lt;300k)</v>
      </c>
      <c r="D245" t="str">
        <v>(NEW) Nhuộm phủ bạc tiêu chuẩn 199K</v>
      </c>
      <c r="E245">
        <v>196</v>
      </c>
      <c r="F245">
        <v>967</v>
      </c>
      <c r="G245">
        <v>199000</v>
      </c>
      <c r="H245">
        <v>219000</v>
      </c>
    </row>
    <row r="246">
      <c r="A246" t="str">
        <v>202 DC</v>
      </c>
      <c r="B246" t="str">
        <v>DV_Uốn</v>
      </c>
      <c r="C246" t="str">
        <v>DV Uốn tiêu chuẩn (&lt;340k)</v>
      </c>
      <c r="D246" t="str">
        <v>(NEW) Uốn/Duỗi/Định hình full đầu tạo form vào nếp tự nhiên</v>
      </c>
      <c r="E246">
        <v>196</v>
      </c>
      <c r="F246">
        <v>1009</v>
      </c>
      <c r="G246">
        <v>386000</v>
      </c>
      <c r="H246">
        <v>409000</v>
      </c>
    </row>
    <row r="247">
      <c r="A247" t="str">
        <v>202 DC</v>
      </c>
      <c r="B247" t="str">
        <v>DV_Dưỡng</v>
      </c>
      <c r="C247" t="str">
        <v>DV Dưỡng</v>
      </c>
      <c r="D247" t="str">
        <v>Phục hồi trẻ hóa Lipid Bond</v>
      </c>
      <c r="E247">
        <v>196</v>
      </c>
      <c r="F247">
        <v>1101</v>
      </c>
      <c r="G247">
        <v>132000</v>
      </c>
      <c r="H247">
        <v>146000</v>
      </c>
    </row>
    <row r="248">
      <c r="A248" t="str">
        <v>202 DC</v>
      </c>
      <c r="B248" t="str">
        <v>DV_Uốn</v>
      </c>
      <c r="C248" t="str">
        <v>DV Uốn cao cấp (&gt;340k)</v>
      </c>
      <c r="D248" t="str">
        <v>UỐN THIẾT KẾ PHỤC HỒI CHUYÊN SÂU LIPID BOND 2025</v>
      </c>
      <c r="E248">
        <v>196</v>
      </c>
      <c r="F248">
        <v>1148</v>
      </c>
      <c r="G248">
        <v>689000</v>
      </c>
      <c r="H248">
        <v>729000</v>
      </c>
    </row>
    <row r="249">
      <c r="A249" t="str">
        <v>202 DC</v>
      </c>
      <c r="B249" t="str">
        <v>DV_Nhuộm</v>
      </c>
      <c r="C249" t="str">
        <v>DV Nhuộm cao cấp (&gt;300k)</v>
      </c>
      <c r="D249" t="str">
        <v>NHUỘM THIẾT KẾ PHỤC HỒI CHUYÊN SÂU LIPID BOND 2025</v>
      </c>
      <c r="E249">
        <v>196</v>
      </c>
      <c r="F249">
        <v>1149</v>
      </c>
      <c r="G249">
        <v>689000</v>
      </c>
      <c r="H249">
        <v>759000</v>
      </c>
    </row>
    <row r="250">
      <c r="A250" t="str">
        <v>236 DBT</v>
      </c>
      <c r="B250" t="str">
        <v>DV_Dưỡng</v>
      </c>
      <c r="C250" t="str">
        <v>DV Dưỡng</v>
      </c>
      <c r="D250" t="str">
        <v>(2022T) ATS Control Buffer - Khử mùi tạo thơm cho tóc uốn nhuộm 40k</v>
      </c>
      <c r="E250">
        <v>141</v>
      </c>
      <c r="F250">
        <v>610</v>
      </c>
      <c r="G250">
        <v>40000</v>
      </c>
      <c r="H250">
        <v>40000</v>
      </c>
      <c r="J250">
        <f>H250&amp;H251&amp;H252&amp;H253&amp;H254&amp;H255&amp;H256&amp;H257&amp;H258&amp;H259&amp;H260&amp;H261&amp;H262</f>
      </c>
    </row>
    <row r="251">
      <c r="A251" t="str">
        <v>236 DBT</v>
      </c>
      <c r="B251" t="str">
        <v>DV_Uốn</v>
      </c>
      <c r="C251" t="str">
        <v>DV Uốn cao cấp (&gt;340k)</v>
      </c>
      <c r="D251" t="str">
        <v>[DV] Uốn Texture con sâu/Uốn Ruffled</v>
      </c>
      <c r="E251">
        <v>141</v>
      </c>
      <c r="F251">
        <v>674</v>
      </c>
      <c r="G251">
        <v>499000</v>
      </c>
      <c r="H251">
        <v>499000</v>
      </c>
    </row>
    <row r="252">
      <c r="A252" t="str">
        <v>236 DBT</v>
      </c>
      <c r="B252" t="str">
        <v>DV_Uốn</v>
      </c>
      <c r="C252" t="str">
        <v>DV Duỗi Ép</v>
      </c>
      <c r="D252" t="str">
        <v>[DV] Ép side hai bên</v>
      </c>
      <c r="E252">
        <v>141</v>
      </c>
      <c r="F252">
        <v>902</v>
      </c>
      <c r="G252">
        <v>189000</v>
      </c>
      <c r="H252">
        <v>209000</v>
      </c>
    </row>
    <row r="253">
      <c r="A253" t="str">
        <v>236 DBT</v>
      </c>
      <c r="B253" t="str">
        <v>DV_Nhuộm</v>
      </c>
      <c r="C253" t="str">
        <v>DV Nhuộm tiêu chuẩn (&lt;300k)</v>
      </c>
      <c r="D253" t="str">
        <v>[DV] Nhuộm đen phủ bạc R&amp;B thảo dược</v>
      </c>
      <c r="E253">
        <v>141</v>
      </c>
      <c r="F253">
        <v>912</v>
      </c>
      <c r="G253">
        <v>289000</v>
      </c>
      <c r="H253">
        <v>289000</v>
      </c>
    </row>
    <row r="254">
      <c r="A254" t="str">
        <v>236 DBT</v>
      </c>
      <c r="B254" t="str">
        <v>DV_Nhuộm</v>
      </c>
      <c r="C254" t="str">
        <v>DV Nhuộm tiêu chuẩn (&lt;300k)</v>
      </c>
      <c r="D254" t="str">
        <v>[DV] Tẩy tóc bật tông Ý (1 lần)</v>
      </c>
      <c r="E254">
        <v>141</v>
      </c>
      <c r="F254">
        <v>915</v>
      </c>
      <c r="G254">
        <v>252000</v>
      </c>
      <c r="H254">
        <v>252000</v>
      </c>
    </row>
    <row r="255">
      <c r="A255" t="str">
        <v>236 DBT</v>
      </c>
      <c r="B255" t="str">
        <v>DV_Nhuộm</v>
      </c>
      <c r="C255" t="str">
        <v>DV Nhuộm tiêu chuẩn (&lt;300k)</v>
      </c>
      <c r="D255" t="str">
        <v>[DV] Tẩy tóc bật tông Ý (2 lần) 500k</v>
      </c>
      <c r="E255">
        <v>141</v>
      </c>
      <c r="F255">
        <v>916</v>
      </c>
      <c r="G255">
        <v>500000</v>
      </c>
      <c r="H255">
        <v>500000</v>
      </c>
    </row>
    <row r="256">
      <c r="A256" t="str">
        <v>236 DBT</v>
      </c>
      <c r="B256" t="str">
        <v>DV_Uốn</v>
      </c>
      <c r="C256" t="str">
        <v>DV Uốn cao cấp (&gt;340k)</v>
      </c>
      <c r="D256" t="str">
        <v>Uốn định hình nếp tóc cao cấp (K-Perm Collection)</v>
      </c>
      <c r="E256">
        <v>141</v>
      </c>
      <c r="F256">
        <v>952</v>
      </c>
      <c r="G256">
        <v>478000</v>
      </c>
      <c r="H256">
        <v>478000</v>
      </c>
    </row>
    <row r="257">
      <c r="A257" t="str">
        <v>236 DBT</v>
      </c>
      <c r="B257" t="str">
        <v>DV_Nhuộm</v>
      </c>
      <c r="C257" t="str">
        <v>DV Nhuộm cao cấp (&gt;300k)</v>
      </c>
      <c r="D257" t="str">
        <v>(NEW) Nhuộm màu thời trang Milano</v>
      </c>
      <c r="E257">
        <v>141</v>
      </c>
      <c r="F257">
        <v>960</v>
      </c>
      <c r="G257">
        <v>332000</v>
      </c>
      <c r="H257">
        <v>349000</v>
      </c>
    </row>
    <row r="258">
      <c r="A258" t="str">
        <v>236 DBT</v>
      </c>
      <c r="B258" t="str">
        <v>DV_Nhuộm</v>
      </c>
      <c r="C258" t="str">
        <v>DV Nhuộm tiêu chuẩn (&lt;300k)</v>
      </c>
      <c r="D258" t="str">
        <v>(NEW) Nhuộm phủ bạc tiêu chuẩn 199K</v>
      </c>
      <c r="E258">
        <v>141</v>
      </c>
      <c r="F258">
        <v>967</v>
      </c>
      <c r="G258">
        <v>199000</v>
      </c>
      <c r="H258">
        <v>199000</v>
      </c>
    </row>
    <row r="259">
      <c r="A259" t="str">
        <v>236 DBT</v>
      </c>
      <c r="B259" t="str">
        <v>DV_Uốn</v>
      </c>
      <c r="C259" t="str">
        <v>DV Uốn tiêu chuẩn (&lt;340k)</v>
      </c>
      <c r="D259" t="str">
        <v>(NEW) Uốn/Duỗi/Định hình full đầu tạo form vào nếp tự nhiên</v>
      </c>
      <c r="E259">
        <v>141</v>
      </c>
      <c r="F259">
        <v>1009</v>
      </c>
      <c r="G259">
        <v>386000</v>
      </c>
      <c r="H259">
        <v>386000</v>
      </c>
    </row>
    <row r="260">
      <c r="A260" t="str">
        <v>236 DBT</v>
      </c>
      <c r="B260" t="str">
        <v>DV_Dưỡng</v>
      </c>
      <c r="C260" t="str">
        <v>DV Dưỡng</v>
      </c>
      <c r="D260" t="str">
        <v>Phục hồi trẻ hóa Lipid Bond</v>
      </c>
      <c r="E260">
        <v>141</v>
      </c>
      <c r="F260">
        <v>1101</v>
      </c>
      <c r="G260">
        <v>132000</v>
      </c>
      <c r="H260">
        <v>146000</v>
      </c>
    </row>
    <row r="261">
      <c r="A261" t="str">
        <v>236 DBT</v>
      </c>
      <c r="B261" t="str">
        <v>DV_Uốn</v>
      </c>
      <c r="C261" t="str">
        <v>DV Uốn cao cấp (&gt;340k)</v>
      </c>
      <c r="D261" t="str">
        <v>UỐN THIẾT KẾ PHỤC HỒI CHUYÊN SÂU LIPID BOND 2025</v>
      </c>
      <c r="E261">
        <v>141</v>
      </c>
      <c r="F261">
        <v>1148</v>
      </c>
      <c r="G261">
        <v>689000</v>
      </c>
      <c r="H261">
        <v>689000</v>
      </c>
    </row>
    <row r="262">
      <c r="A262" t="str">
        <v>236 DBT</v>
      </c>
      <c r="B262" t="str">
        <v>DV_Nhuộm</v>
      </c>
      <c r="C262" t="str">
        <v>DV Nhuộm cao cấp (&gt;300k)</v>
      </c>
      <c r="D262" t="str">
        <v>NHUỘM THIẾT KẾ PHỤC HỒI CHUYÊN SÂU LIPID BOND 2025</v>
      </c>
      <c r="E262">
        <v>141</v>
      </c>
      <c r="F262">
        <v>1149</v>
      </c>
      <c r="G262">
        <v>689000</v>
      </c>
      <c r="H262">
        <v>729000</v>
      </c>
    </row>
    <row r="263">
      <c r="A263" t="str">
        <v>237 NTT</v>
      </c>
      <c r="B263" t="str">
        <v>DV_Dưỡng</v>
      </c>
      <c r="C263" t="str">
        <v>DV Dưỡng</v>
      </c>
      <c r="D263" t="str">
        <v>(2022T) ATS Control Buffer - Khử mùi tạo thơm cho tóc uốn nhuộm 40k</v>
      </c>
      <c r="E263">
        <v>145</v>
      </c>
      <c r="F263">
        <v>610</v>
      </c>
      <c r="G263">
        <v>40000</v>
      </c>
      <c r="H263">
        <v>40000</v>
      </c>
      <c r="J263">
        <f>H263&amp;H264&amp;H265&amp;H266&amp;H267&amp;H268&amp;H269&amp;H270&amp;H271&amp;H272&amp;H273&amp;H274&amp;H275</f>
      </c>
    </row>
    <row r="264">
      <c r="A264" t="str">
        <v>237 NTT</v>
      </c>
      <c r="B264" t="str">
        <v>DV_Uốn</v>
      </c>
      <c r="C264" t="str">
        <v>DV Uốn cao cấp (&gt;340k)</v>
      </c>
      <c r="D264" t="str">
        <v>[DV] Uốn Texture con sâu/Uốn Ruffled</v>
      </c>
      <c r="E264">
        <v>145</v>
      </c>
      <c r="F264">
        <v>674</v>
      </c>
      <c r="G264">
        <v>499000</v>
      </c>
      <c r="H264">
        <v>499000</v>
      </c>
    </row>
    <row r="265">
      <c r="A265" t="str">
        <v>237 NTT</v>
      </c>
      <c r="B265" t="str">
        <v>DV_Uốn</v>
      </c>
      <c r="C265" t="str">
        <v>DV Duỗi Ép</v>
      </c>
      <c r="D265" t="str">
        <v>[DV] Ép side hai bên</v>
      </c>
      <c r="E265">
        <v>145</v>
      </c>
      <c r="F265">
        <v>902</v>
      </c>
      <c r="G265">
        <v>189000</v>
      </c>
      <c r="H265">
        <v>209000</v>
      </c>
    </row>
    <row r="266">
      <c r="A266" t="str">
        <v>237 NTT</v>
      </c>
      <c r="B266" t="str">
        <v>DV_Nhuộm</v>
      </c>
      <c r="C266" t="str">
        <v>DV Nhuộm tiêu chuẩn (&lt;300k)</v>
      </c>
      <c r="D266" t="str">
        <v>[DV] Nhuộm đen phủ bạc R&amp;B thảo dược</v>
      </c>
      <c r="E266">
        <v>145</v>
      </c>
      <c r="F266">
        <v>912</v>
      </c>
      <c r="G266">
        <v>289000</v>
      </c>
      <c r="H266">
        <v>289000</v>
      </c>
    </row>
    <row r="267">
      <c r="A267" t="str">
        <v>237 NTT</v>
      </c>
      <c r="B267" t="str">
        <v>DV_Nhuộm</v>
      </c>
      <c r="C267" t="str">
        <v>DV Nhuộm tiêu chuẩn (&lt;300k)</v>
      </c>
      <c r="D267" t="str">
        <v>[DV] Tẩy tóc bật tông Ý (1 lần)</v>
      </c>
      <c r="E267">
        <v>145</v>
      </c>
      <c r="F267">
        <v>915</v>
      </c>
      <c r="G267">
        <v>252000</v>
      </c>
      <c r="H267">
        <v>252000</v>
      </c>
    </row>
    <row r="268">
      <c r="A268" t="str">
        <v>237 NTT</v>
      </c>
      <c r="B268" t="str">
        <v>DV_Nhuộm</v>
      </c>
      <c r="C268" t="str">
        <v>DV Nhuộm tiêu chuẩn (&lt;300k)</v>
      </c>
      <c r="D268" t="str">
        <v>[DV] Tẩy tóc bật tông Ý (2 lần) 500k</v>
      </c>
      <c r="E268">
        <v>145</v>
      </c>
      <c r="F268">
        <v>916</v>
      </c>
      <c r="G268">
        <v>500000</v>
      </c>
      <c r="H268">
        <v>500000</v>
      </c>
    </row>
    <row r="269">
      <c r="A269" t="str">
        <v>237 NTT</v>
      </c>
      <c r="B269" t="str">
        <v>DV_Uốn</v>
      </c>
      <c r="C269" t="str">
        <v>DV Uốn cao cấp (&gt;340k)</v>
      </c>
      <c r="D269" t="str">
        <v>Uốn định hình nếp tóc cao cấp (K-Perm Collection)</v>
      </c>
      <c r="E269">
        <v>145</v>
      </c>
      <c r="F269">
        <v>952</v>
      </c>
      <c r="G269">
        <v>478000</v>
      </c>
      <c r="H269">
        <v>478000</v>
      </c>
    </row>
    <row r="270">
      <c r="A270" t="str">
        <v>237 NTT</v>
      </c>
      <c r="B270" t="str">
        <v>DV_Nhuộm</v>
      </c>
      <c r="C270" t="str">
        <v>DV Nhuộm cao cấp (&gt;300k)</v>
      </c>
      <c r="D270" t="str">
        <v>(NEW) Nhuộm màu thời trang Milano</v>
      </c>
      <c r="E270">
        <v>145</v>
      </c>
      <c r="F270">
        <v>960</v>
      </c>
      <c r="G270">
        <v>332000</v>
      </c>
      <c r="H270">
        <v>332000</v>
      </c>
    </row>
    <row r="271">
      <c r="A271" t="str">
        <v>237 NTT</v>
      </c>
      <c r="B271" t="str">
        <v>DV_Nhuộm</v>
      </c>
      <c r="C271" t="str">
        <v>DV Nhuộm tiêu chuẩn (&lt;300k)</v>
      </c>
      <c r="D271" t="str">
        <v>(NEW) Nhuộm phủ bạc tiêu chuẩn 199K</v>
      </c>
      <c r="E271">
        <v>145</v>
      </c>
      <c r="F271">
        <v>967</v>
      </c>
      <c r="G271">
        <v>199000</v>
      </c>
      <c r="H271">
        <v>199000</v>
      </c>
    </row>
    <row r="272">
      <c r="A272" t="str">
        <v>237 NTT</v>
      </c>
      <c r="B272" t="str">
        <v>DV_Uốn</v>
      </c>
      <c r="C272" t="str">
        <v>DV Uốn tiêu chuẩn (&lt;340k)</v>
      </c>
      <c r="D272" t="str">
        <v>(NEW) Uốn/Duỗi/Định hình full đầu tạo form vào nếp tự nhiên</v>
      </c>
      <c r="E272">
        <v>145</v>
      </c>
      <c r="F272">
        <v>1009</v>
      </c>
      <c r="G272">
        <v>386000</v>
      </c>
      <c r="H272">
        <v>386000</v>
      </c>
    </row>
    <row r="273">
      <c r="A273" t="str">
        <v>237 NTT</v>
      </c>
      <c r="B273" t="str">
        <v>DV_Dưỡng</v>
      </c>
      <c r="C273" t="str">
        <v>DV Dưỡng</v>
      </c>
      <c r="D273" t="str">
        <v>Phục hồi trẻ hóa Lipid Bond</v>
      </c>
      <c r="E273">
        <v>145</v>
      </c>
      <c r="F273">
        <v>1101</v>
      </c>
      <c r="G273">
        <v>132000</v>
      </c>
      <c r="H273">
        <v>146000</v>
      </c>
    </row>
    <row r="274">
      <c r="A274" t="str">
        <v>237 NTT</v>
      </c>
      <c r="B274" t="str">
        <v>DV_Uốn</v>
      </c>
      <c r="C274" t="str">
        <v>DV Uốn cao cấp (&gt;340k)</v>
      </c>
      <c r="D274" t="str">
        <v>UỐN THIẾT KẾ PHỤC HỒI CHUYÊN SÂU LIPID BOND 2025</v>
      </c>
      <c r="E274">
        <v>145</v>
      </c>
      <c r="F274">
        <v>1148</v>
      </c>
      <c r="G274">
        <v>689000</v>
      </c>
      <c r="H274">
        <v>689000</v>
      </c>
    </row>
    <row r="275">
      <c r="A275" t="str">
        <v>237 NTT</v>
      </c>
      <c r="B275" t="str">
        <v>DV_Nhuộm</v>
      </c>
      <c r="C275" t="str">
        <v>DV Nhuộm cao cấp (&gt;300k)</v>
      </c>
      <c r="D275" t="str">
        <v>NHUỘM THIẾT KẾ PHỤC HỒI CHUYÊN SÂU LIPID BOND 2025</v>
      </c>
      <c r="E275">
        <v>145</v>
      </c>
      <c r="F275">
        <v>1149</v>
      </c>
      <c r="G275">
        <v>689000</v>
      </c>
      <c r="H275">
        <v>689000</v>
      </c>
    </row>
    <row r="276">
      <c r="A276" t="str">
        <v>25 TD</v>
      </c>
      <c r="B276" t="str">
        <v>DV_Dưỡng</v>
      </c>
      <c r="C276" t="str">
        <v>DV Dưỡng</v>
      </c>
      <c r="D276" t="str">
        <v>(2022T) ATS Control Buffer - Khử mùi tạo thơm cho tóc uốn nhuộm 40k</v>
      </c>
      <c r="E276">
        <v>45</v>
      </c>
      <c r="F276">
        <v>610</v>
      </c>
      <c r="G276">
        <v>40000</v>
      </c>
      <c r="H276">
        <v>40000</v>
      </c>
      <c r="J276">
        <f>H276&amp;H277&amp;H278&amp;H279&amp;H280&amp;H281&amp;H282&amp;H283&amp;H284&amp;H285&amp;H286&amp;H287&amp;H288</f>
      </c>
    </row>
    <row r="277">
      <c r="A277" t="str">
        <v>25 TD</v>
      </c>
      <c r="B277" t="str">
        <v>DV_Uốn</v>
      </c>
      <c r="C277" t="str">
        <v>DV Uốn cao cấp (&gt;340k)</v>
      </c>
      <c r="D277" t="str">
        <v>[DV] Uốn Texture con sâu/Uốn Ruffled</v>
      </c>
      <c r="E277">
        <v>45</v>
      </c>
      <c r="F277">
        <v>674</v>
      </c>
      <c r="G277">
        <v>499000</v>
      </c>
      <c r="H277">
        <v>529000</v>
      </c>
    </row>
    <row r="278">
      <c r="A278" t="str">
        <v>25 TD</v>
      </c>
      <c r="B278" t="str">
        <v>DV_Uốn</v>
      </c>
      <c r="C278" t="str">
        <v>DV Duỗi Ép</v>
      </c>
      <c r="D278" t="str">
        <v>[DV] Ép side hai bên</v>
      </c>
      <c r="E278">
        <v>45</v>
      </c>
      <c r="F278">
        <v>902</v>
      </c>
      <c r="G278">
        <v>189000</v>
      </c>
      <c r="H278">
        <v>209000</v>
      </c>
    </row>
    <row r="279">
      <c r="A279" t="str">
        <v>25 TD</v>
      </c>
      <c r="B279" t="str">
        <v>DV_Nhuộm</v>
      </c>
      <c r="C279" t="str">
        <v>DV Nhuộm tiêu chuẩn (&lt;300k)</v>
      </c>
      <c r="D279" t="str">
        <v>[DV] Nhuộm đen phủ bạc R&amp;B thảo dược</v>
      </c>
      <c r="E279">
        <v>45</v>
      </c>
      <c r="F279">
        <v>912</v>
      </c>
      <c r="G279">
        <v>289000</v>
      </c>
      <c r="H279">
        <v>309000</v>
      </c>
    </row>
    <row r="280">
      <c r="A280" t="str">
        <v>25 TD</v>
      </c>
      <c r="B280" t="str">
        <v>DV_Nhuộm</v>
      </c>
      <c r="C280" t="str">
        <v>DV Nhuộm tiêu chuẩn (&lt;300k)</v>
      </c>
      <c r="D280" t="str">
        <v>[DV] Tẩy tóc bật tông Ý (1 lần)</v>
      </c>
      <c r="E280">
        <v>45</v>
      </c>
      <c r="F280">
        <v>915</v>
      </c>
      <c r="G280">
        <v>252000</v>
      </c>
      <c r="H280">
        <v>269000</v>
      </c>
    </row>
    <row r="281">
      <c r="A281" t="str">
        <v>25 TD</v>
      </c>
      <c r="B281" t="str">
        <v>DV_Nhuộm</v>
      </c>
      <c r="C281" t="str">
        <v>DV Nhuộm tiêu chuẩn (&lt;300k)</v>
      </c>
      <c r="D281" t="str">
        <v>[DV] Tẩy tóc bật tông Ý (2 lần) 500k</v>
      </c>
      <c r="E281">
        <v>45</v>
      </c>
      <c r="F281">
        <v>916</v>
      </c>
      <c r="G281">
        <v>500000</v>
      </c>
      <c r="H281">
        <v>529000</v>
      </c>
    </row>
    <row r="282">
      <c r="A282" t="str">
        <v>25 TD</v>
      </c>
      <c r="B282" t="str">
        <v>DV_Uốn</v>
      </c>
      <c r="C282" t="str">
        <v>DV Uốn cao cấp (&gt;340k)</v>
      </c>
      <c r="D282" t="str">
        <v>Uốn định hình nếp tóc cao cấp (K-Perm Collection)</v>
      </c>
      <c r="E282">
        <v>45</v>
      </c>
      <c r="F282">
        <v>952</v>
      </c>
      <c r="G282">
        <v>478000</v>
      </c>
      <c r="H282">
        <v>509000</v>
      </c>
    </row>
    <row r="283">
      <c r="A283" t="str">
        <v>25 TD</v>
      </c>
      <c r="B283" t="str">
        <v>DV_Nhuộm</v>
      </c>
      <c r="C283" t="str">
        <v>DV Nhuộm cao cấp (&gt;300k)</v>
      </c>
      <c r="D283" t="str">
        <v>(NEW) Nhuộm màu thời trang Milano</v>
      </c>
      <c r="E283">
        <v>45</v>
      </c>
      <c r="F283">
        <v>960</v>
      </c>
      <c r="G283">
        <v>332000</v>
      </c>
      <c r="H283">
        <v>349000</v>
      </c>
    </row>
    <row r="284">
      <c r="A284" t="str">
        <v>25 TD</v>
      </c>
      <c r="B284" t="str">
        <v>DV_Nhuộm</v>
      </c>
      <c r="C284" t="str">
        <v>DV Nhuộm tiêu chuẩn (&lt;300k)</v>
      </c>
      <c r="D284" t="str">
        <v>(NEW) Nhuộm phủ bạc tiêu chuẩn 199K</v>
      </c>
      <c r="E284">
        <v>45</v>
      </c>
      <c r="F284">
        <v>967</v>
      </c>
      <c r="G284">
        <v>199000</v>
      </c>
      <c r="H284">
        <v>209000</v>
      </c>
    </row>
    <row r="285">
      <c r="A285" t="str">
        <v>25 TD</v>
      </c>
      <c r="B285" t="str">
        <v>DV_Uốn</v>
      </c>
      <c r="C285" t="str">
        <v>DV Uốn tiêu chuẩn (&lt;340k)</v>
      </c>
      <c r="D285" t="str">
        <v>(NEW) Uốn/Duỗi/Định hình full đầu tạo form vào nếp tự nhiên</v>
      </c>
      <c r="E285">
        <v>45</v>
      </c>
      <c r="F285">
        <v>1009</v>
      </c>
      <c r="G285">
        <v>386000</v>
      </c>
      <c r="H285">
        <v>409000</v>
      </c>
    </row>
    <row r="286">
      <c r="A286" t="str">
        <v>25 TD</v>
      </c>
      <c r="B286" t="str">
        <v>DV_Dưỡng</v>
      </c>
      <c r="C286" t="str">
        <v>DV Dưỡng</v>
      </c>
      <c r="D286" t="str">
        <v>Phục hồi trẻ hóa Lipid Bond</v>
      </c>
      <c r="E286">
        <v>45</v>
      </c>
      <c r="F286">
        <v>1101</v>
      </c>
      <c r="G286">
        <v>132000</v>
      </c>
      <c r="H286">
        <v>146000</v>
      </c>
    </row>
    <row r="287">
      <c r="A287" t="str">
        <v>25 TD</v>
      </c>
      <c r="B287" t="str">
        <v>DV_Uốn</v>
      </c>
      <c r="C287" t="str">
        <v>DV Uốn cao cấp (&gt;340k)</v>
      </c>
      <c r="D287" t="str">
        <v>UỐN THIẾT KẾ PHỤC HỒI CHUYÊN SÂU LIPID BOND 2025</v>
      </c>
      <c r="E287">
        <v>45</v>
      </c>
      <c r="F287">
        <v>1148</v>
      </c>
      <c r="G287">
        <v>689000</v>
      </c>
      <c r="H287">
        <v>729000</v>
      </c>
    </row>
    <row r="288">
      <c r="A288" t="str">
        <v>25 TD</v>
      </c>
      <c r="B288" t="str">
        <v>DV_Nhuộm</v>
      </c>
      <c r="C288" t="str">
        <v>DV Nhuộm cao cấp (&gt;300k)</v>
      </c>
      <c r="D288" t="str">
        <v>NHUỘM THIẾT KẾ PHỤC HỒI CHUYÊN SÂU LIPID BOND 2025</v>
      </c>
      <c r="E288">
        <v>45</v>
      </c>
      <c r="F288">
        <v>1149</v>
      </c>
      <c r="G288">
        <v>689000</v>
      </c>
      <c r="H288">
        <v>729000</v>
      </c>
    </row>
    <row r="289">
      <c r="A289" t="str">
        <v>255 NAN</v>
      </c>
      <c r="B289" t="str">
        <v>DV_Dưỡng</v>
      </c>
      <c r="C289" t="str">
        <v>DV Dưỡng</v>
      </c>
      <c r="D289" t="str">
        <v>(2022T) ATS Control Buffer - Khử mùi tạo thơm cho tóc uốn nhuộm 40k</v>
      </c>
      <c r="E289">
        <v>65</v>
      </c>
      <c r="F289">
        <v>610</v>
      </c>
      <c r="G289">
        <v>40000</v>
      </c>
      <c r="H289">
        <v>40000</v>
      </c>
      <c r="J289">
        <f>H289&amp;H290&amp;H291&amp;H292&amp;H293&amp;H294&amp;H295&amp;H296&amp;H297&amp;H298&amp;H299&amp;H300&amp;H301</f>
      </c>
    </row>
    <row r="290">
      <c r="A290" t="str">
        <v>255 NAN</v>
      </c>
      <c r="B290" t="str">
        <v>DV_Uốn</v>
      </c>
      <c r="C290" t="str">
        <v>DV Uốn cao cấp (&gt;340k)</v>
      </c>
      <c r="D290" t="str">
        <v>[DV] Uốn Texture con sâu/Uốn Ruffled</v>
      </c>
      <c r="E290">
        <v>65</v>
      </c>
      <c r="F290">
        <v>674</v>
      </c>
      <c r="G290">
        <v>499000</v>
      </c>
      <c r="H290">
        <v>499000</v>
      </c>
    </row>
    <row r="291">
      <c r="A291" t="str">
        <v>255 NAN</v>
      </c>
      <c r="B291" t="str">
        <v>DV_Uốn</v>
      </c>
      <c r="C291" t="str">
        <v>DV Duỗi Ép</v>
      </c>
      <c r="D291" t="str">
        <v>[DV] Ép side hai bên</v>
      </c>
      <c r="E291">
        <v>65</v>
      </c>
      <c r="F291">
        <v>902</v>
      </c>
      <c r="G291">
        <v>189000</v>
      </c>
      <c r="H291">
        <v>189000</v>
      </c>
    </row>
    <row r="292">
      <c r="A292" t="str">
        <v>255 NAN</v>
      </c>
      <c r="B292" t="str">
        <v>DV_Nhuộm</v>
      </c>
      <c r="C292" t="str">
        <v>DV Nhuộm tiêu chuẩn (&lt;300k)</v>
      </c>
      <c r="D292" t="str">
        <v>[DV] Nhuộm đen phủ bạc R&amp;B thảo dược</v>
      </c>
      <c r="E292">
        <v>65</v>
      </c>
      <c r="F292">
        <v>912</v>
      </c>
      <c r="G292">
        <v>289000</v>
      </c>
      <c r="H292">
        <v>309000</v>
      </c>
    </row>
    <row r="293">
      <c r="A293" t="str">
        <v>255 NAN</v>
      </c>
      <c r="B293" t="str">
        <v>DV_Nhuộm</v>
      </c>
      <c r="C293" t="str">
        <v>DV Nhuộm tiêu chuẩn (&lt;300k)</v>
      </c>
      <c r="D293" t="str">
        <v>[DV] Tẩy tóc bật tông Ý (1 lần)</v>
      </c>
      <c r="E293">
        <v>65</v>
      </c>
      <c r="F293">
        <v>915</v>
      </c>
      <c r="G293">
        <v>252000</v>
      </c>
      <c r="H293">
        <v>252000</v>
      </c>
    </row>
    <row r="294">
      <c r="A294" t="str">
        <v>255 NAN</v>
      </c>
      <c r="B294" t="str">
        <v>DV_Nhuộm</v>
      </c>
      <c r="C294" t="str">
        <v>DV Nhuộm tiêu chuẩn (&lt;300k)</v>
      </c>
      <c r="D294" t="str">
        <v>[DV] Tẩy tóc bật tông Ý (2 lần) 500k</v>
      </c>
      <c r="E294">
        <v>65</v>
      </c>
      <c r="F294">
        <v>916</v>
      </c>
      <c r="G294">
        <v>500000</v>
      </c>
      <c r="H294">
        <v>500000</v>
      </c>
    </row>
    <row r="295">
      <c r="A295" t="str">
        <v>255 NAN</v>
      </c>
      <c r="B295" t="str">
        <v>DV_Uốn</v>
      </c>
      <c r="C295" t="str">
        <v>DV Uốn cao cấp (&gt;340k)</v>
      </c>
      <c r="D295" t="str">
        <v>Uốn định hình nếp tóc cao cấp (K-Perm Collection)</v>
      </c>
      <c r="E295">
        <v>65</v>
      </c>
      <c r="F295">
        <v>952</v>
      </c>
      <c r="G295">
        <v>478000</v>
      </c>
      <c r="H295">
        <v>478000</v>
      </c>
    </row>
    <row r="296">
      <c r="A296" t="str">
        <v>255 NAN</v>
      </c>
      <c r="B296" t="str">
        <v>DV_Nhuộm</v>
      </c>
      <c r="C296" t="str">
        <v>DV Nhuộm cao cấp (&gt;300k)</v>
      </c>
      <c r="D296" t="str">
        <v>(NEW) Nhuộm màu thời trang Milano</v>
      </c>
      <c r="E296">
        <v>65</v>
      </c>
      <c r="F296">
        <v>960</v>
      </c>
      <c r="G296">
        <v>332000</v>
      </c>
      <c r="H296">
        <v>349000</v>
      </c>
    </row>
    <row r="297">
      <c r="A297" t="str">
        <v>255 NAN</v>
      </c>
      <c r="B297" t="str">
        <v>DV_Nhuộm</v>
      </c>
      <c r="C297" t="str">
        <v>DV Nhuộm tiêu chuẩn (&lt;300k)</v>
      </c>
      <c r="D297" t="str">
        <v>(NEW) Nhuộm phủ bạc tiêu chuẩn 199K</v>
      </c>
      <c r="E297">
        <v>65</v>
      </c>
      <c r="F297">
        <v>967</v>
      </c>
      <c r="G297">
        <v>199000</v>
      </c>
      <c r="H297">
        <v>209000</v>
      </c>
    </row>
    <row r="298">
      <c r="A298" t="str">
        <v>255 NAN</v>
      </c>
      <c r="B298" t="str">
        <v>DV_Uốn</v>
      </c>
      <c r="C298" t="str">
        <v>DV Uốn tiêu chuẩn (&lt;340k)</v>
      </c>
      <c r="D298" t="str">
        <v>(NEW) Uốn/Duỗi/Định hình full đầu tạo form vào nếp tự nhiên</v>
      </c>
      <c r="E298">
        <v>65</v>
      </c>
      <c r="F298">
        <v>1009</v>
      </c>
      <c r="G298">
        <v>386000</v>
      </c>
      <c r="H298">
        <v>386000</v>
      </c>
    </row>
    <row r="299">
      <c r="A299" t="str">
        <v>255 NAN</v>
      </c>
      <c r="B299" t="str">
        <v>DV_Dưỡng</v>
      </c>
      <c r="C299" t="str">
        <v>DV Dưỡng</v>
      </c>
      <c r="D299" t="str">
        <v>Phục hồi trẻ hóa Lipid Bond</v>
      </c>
      <c r="E299">
        <v>65</v>
      </c>
      <c r="F299">
        <v>1101</v>
      </c>
      <c r="G299">
        <v>132000</v>
      </c>
      <c r="H299">
        <v>146000</v>
      </c>
    </row>
    <row r="300">
      <c r="A300" t="str">
        <v>255 NAN</v>
      </c>
      <c r="B300" t="str">
        <v>DV_Uốn</v>
      </c>
      <c r="C300" t="str">
        <v>DV Uốn cao cấp (&gt;340k)</v>
      </c>
      <c r="D300" t="str">
        <v>UỐN THIẾT KẾ PHỤC HỒI CHUYÊN SÂU LIPID BOND 2025</v>
      </c>
      <c r="E300">
        <v>65</v>
      </c>
      <c r="F300">
        <v>1148</v>
      </c>
      <c r="G300">
        <v>689000</v>
      </c>
      <c r="H300">
        <v>689000</v>
      </c>
    </row>
    <row r="301">
      <c r="A301" t="str">
        <v>255 NAN</v>
      </c>
      <c r="B301" t="str">
        <v>DV_Nhuộm</v>
      </c>
      <c r="C301" t="str">
        <v>DV Nhuộm cao cấp (&gt;300k)</v>
      </c>
      <c r="D301" t="str">
        <v>NHUỘM THIẾT KẾ PHỤC HỒI CHUYÊN SÂU LIPID BOND 2025</v>
      </c>
      <c r="E301">
        <v>65</v>
      </c>
      <c r="F301">
        <v>1149</v>
      </c>
      <c r="G301">
        <v>689000</v>
      </c>
      <c r="H301">
        <v>729000</v>
      </c>
    </row>
    <row r="302">
      <c r="A302" t="str">
        <v>264 LLQ</v>
      </c>
      <c r="B302" t="str">
        <v>DV_Dưỡng</v>
      </c>
      <c r="C302" t="str">
        <v>DV Dưỡng</v>
      </c>
      <c r="D302" t="str">
        <v>(2022T) ATS Control Buffer - Khử mùi tạo thơm cho tóc uốn nhuộm 40k</v>
      </c>
      <c r="E302">
        <v>192</v>
      </c>
      <c r="F302">
        <v>610</v>
      </c>
      <c r="G302">
        <v>40000</v>
      </c>
      <c r="H302">
        <v>40000</v>
      </c>
      <c r="I302" s="1" t="s">
        <v>6</v>
      </c>
      <c r="J302">
        <f>H302&amp;H303&amp;H304&amp;H305&amp;H306&amp;H307&amp;H308&amp;H309&amp;H310&amp;H311&amp;H312&amp;H313&amp;H314</f>
      </c>
    </row>
    <row r="303">
      <c r="A303" t="str">
        <v>264 LLQ</v>
      </c>
      <c r="B303" t="str">
        <v>DV_Uốn</v>
      </c>
      <c r="C303" t="str">
        <v>DV Uốn cao cấp (&gt;340k)</v>
      </c>
      <c r="D303" t="str">
        <v>[DV] Uốn Texture con sâu/Uốn Ruffled</v>
      </c>
      <c r="E303">
        <v>192</v>
      </c>
      <c r="F303">
        <v>674</v>
      </c>
      <c r="G303">
        <v>499000</v>
      </c>
      <c r="H303">
        <v>499000</v>
      </c>
      <c r="I303" s="1"/>
    </row>
    <row r="304">
      <c r="A304" t="str">
        <v>264 LLQ</v>
      </c>
      <c r="B304" t="str">
        <v>DV_Uốn</v>
      </c>
      <c r="C304" t="str">
        <v>DV Duỗi Ép</v>
      </c>
      <c r="D304" t="str">
        <v>[DV] Ép side hai bên</v>
      </c>
      <c r="E304">
        <v>192</v>
      </c>
      <c r="F304">
        <v>902</v>
      </c>
      <c r="G304">
        <v>189000</v>
      </c>
      <c r="H304">
        <v>209000</v>
      </c>
      <c r="I304" s="1"/>
    </row>
    <row r="305">
      <c r="A305" t="str">
        <v>264 LLQ</v>
      </c>
      <c r="B305" t="str">
        <v>DV_Nhuộm</v>
      </c>
      <c r="C305" t="str">
        <v>DV Nhuộm tiêu chuẩn (&lt;300k)</v>
      </c>
      <c r="D305" t="str">
        <v>[DV] Nhuộm đen phủ bạc R&amp;B thảo dược</v>
      </c>
      <c r="E305">
        <v>192</v>
      </c>
      <c r="F305">
        <v>912</v>
      </c>
      <c r="G305">
        <v>289000</v>
      </c>
      <c r="H305">
        <v>289000</v>
      </c>
      <c r="I305" s="1"/>
    </row>
    <row r="306">
      <c r="A306" t="str">
        <v>264 LLQ</v>
      </c>
      <c r="B306" t="str">
        <v>DV_Nhuộm</v>
      </c>
      <c r="C306" t="str">
        <v>DV Nhuộm tiêu chuẩn (&lt;300k)</v>
      </c>
      <c r="D306" t="str">
        <v>[DV] Tẩy tóc bật tông Ý (1 lần)</v>
      </c>
      <c r="E306">
        <v>192</v>
      </c>
      <c r="F306">
        <v>915</v>
      </c>
      <c r="G306">
        <v>252000</v>
      </c>
      <c r="H306">
        <v>269000</v>
      </c>
      <c r="I306" s="1"/>
    </row>
    <row r="307">
      <c r="A307" t="str">
        <v>264 LLQ</v>
      </c>
      <c r="B307" t="str">
        <v>DV_Nhuộm</v>
      </c>
      <c r="C307" t="str">
        <v>DV Nhuộm tiêu chuẩn (&lt;300k)</v>
      </c>
      <c r="D307" t="str">
        <v>[DV] Tẩy tóc bật tông Ý (2 lần) 500k</v>
      </c>
      <c r="E307">
        <v>192</v>
      </c>
      <c r="F307">
        <v>916</v>
      </c>
      <c r="G307">
        <v>500000</v>
      </c>
      <c r="H307">
        <v>529000</v>
      </c>
      <c r="I307" s="1"/>
    </row>
    <row r="308">
      <c r="A308" t="str">
        <v>264 LLQ</v>
      </c>
      <c r="B308" t="str">
        <v>DV_Uốn</v>
      </c>
      <c r="C308" t="str">
        <v>DV Uốn cao cấp (&gt;340k)</v>
      </c>
      <c r="D308" t="str">
        <v>Uốn định hình nếp tóc cao cấp (K-Perm Collection)</v>
      </c>
      <c r="E308">
        <v>192</v>
      </c>
      <c r="F308">
        <v>952</v>
      </c>
      <c r="G308">
        <v>478000</v>
      </c>
      <c r="H308">
        <v>478000</v>
      </c>
      <c r="I308" s="1"/>
    </row>
    <row r="309">
      <c r="A309" t="str">
        <v>264 LLQ</v>
      </c>
      <c r="B309" t="str">
        <v>DV_Nhuộm</v>
      </c>
      <c r="C309" t="str">
        <v>DV Nhuộm cao cấp (&gt;300k)</v>
      </c>
      <c r="D309" t="str">
        <v>(NEW) Nhuộm màu thời trang Milano</v>
      </c>
      <c r="E309">
        <v>192</v>
      </c>
      <c r="F309">
        <v>960</v>
      </c>
      <c r="G309">
        <v>332000</v>
      </c>
      <c r="H309">
        <v>349000</v>
      </c>
      <c r="I309" s="1"/>
    </row>
    <row r="310">
      <c r="A310" t="str">
        <v>264 LLQ</v>
      </c>
      <c r="B310" t="str">
        <v>DV_Nhuộm</v>
      </c>
      <c r="C310" t="str">
        <v>DV Nhuộm tiêu chuẩn (&lt;300k)</v>
      </c>
      <c r="D310" t="str">
        <v>(NEW) Nhuộm phủ bạc tiêu chuẩn 199K</v>
      </c>
      <c r="E310">
        <v>192</v>
      </c>
      <c r="F310">
        <v>967</v>
      </c>
      <c r="G310">
        <v>199000</v>
      </c>
      <c r="H310">
        <v>209000</v>
      </c>
      <c r="I310" s="1"/>
    </row>
    <row r="311">
      <c r="A311" t="str">
        <v>264 LLQ</v>
      </c>
      <c r="B311" t="str">
        <v>DV_Uốn</v>
      </c>
      <c r="C311" t="str">
        <v>DV Uốn tiêu chuẩn (&lt;340k)</v>
      </c>
      <c r="D311" t="str">
        <v>(NEW) Uốn/Duỗi/Định hình full đầu tạo form vào nếp tự nhiên</v>
      </c>
      <c r="E311">
        <v>192</v>
      </c>
      <c r="F311">
        <v>1009</v>
      </c>
      <c r="G311">
        <v>386000</v>
      </c>
      <c r="H311">
        <v>386000</v>
      </c>
      <c r="I311" s="1"/>
    </row>
    <row r="312">
      <c r="A312" t="str">
        <v>264 LLQ</v>
      </c>
      <c r="B312" t="str">
        <v>DV_Dưỡng</v>
      </c>
      <c r="C312" t="str">
        <v>DV Dưỡng</v>
      </c>
      <c r="D312" t="str">
        <v>Phục hồi trẻ hóa Lipid Bond</v>
      </c>
      <c r="E312">
        <v>192</v>
      </c>
      <c r="F312">
        <v>1101</v>
      </c>
      <c r="G312">
        <v>132000</v>
      </c>
      <c r="H312">
        <v>146000</v>
      </c>
      <c r="I312" s="1"/>
    </row>
    <row r="313">
      <c r="A313" t="str">
        <v>264 LLQ</v>
      </c>
      <c r="B313" t="str">
        <v>DV_Uốn</v>
      </c>
      <c r="C313" t="str">
        <v>DV Uốn cao cấp (&gt;340k)</v>
      </c>
      <c r="D313" t="str">
        <v>UỐN THIẾT KẾ PHỤC HỒI CHUYÊN SÂU LIPID BOND 2025</v>
      </c>
      <c r="E313">
        <v>192</v>
      </c>
      <c r="F313">
        <v>1148</v>
      </c>
      <c r="G313">
        <v>689000</v>
      </c>
      <c r="H313">
        <v>689000</v>
      </c>
      <c r="I313" s="1"/>
    </row>
    <row r="314">
      <c r="A314" t="str">
        <v>264 LLQ</v>
      </c>
      <c r="B314" t="str">
        <v>DV_Nhuộm</v>
      </c>
      <c r="C314" t="str">
        <v>DV Nhuộm cao cấp (&gt;300k)</v>
      </c>
      <c r="D314" t="str">
        <v>NHUỘM THIẾT KẾ PHỤC HỒI CHUYÊN SÂU LIPID BOND 2025</v>
      </c>
      <c r="E314">
        <v>192</v>
      </c>
      <c r="F314">
        <v>1149</v>
      </c>
      <c r="G314">
        <v>689000</v>
      </c>
      <c r="H314">
        <v>729000</v>
      </c>
      <c r="I314" s="1"/>
    </row>
    <row r="315">
      <c r="A315" t="str">
        <v>29 HB</v>
      </c>
      <c r="B315" t="str">
        <v>DV_Dưỡng</v>
      </c>
      <c r="C315" t="str">
        <v>DV Dưỡng</v>
      </c>
      <c r="D315" t="str">
        <v>(2022T) ATS Control Buffer - Khử mùi tạo thơm cho tóc uốn nhuộm 40k</v>
      </c>
      <c r="E315">
        <v>63</v>
      </c>
      <c r="F315">
        <v>610</v>
      </c>
      <c r="G315">
        <v>40000</v>
      </c>
      <c r="H315">
        <v>40000</v>
      </c>
      <c r="J315">
        <f>H315&amp;H316&amp;H317&amp;H318&amp;H319&amp;H320&amp;H321&amp;H322&amp;H323&amp;H324&amp;H325&amp;H326&amp;H327</f>
      </c>
    </row>
    <row r="316">
      <c r="A316" t="str">
        <v>29 HB</v>
      </c>
      <c r="B316" t="str">
        <v>DV_Uốn</v>
      </c>
      <c r="C316" t="str">
        <v>DV Uốn cao cấp (&gt;340k)</v>
      </c>
      <c r="D316" t="str">
        <v>[DV] Uốn Texture con sâu/Uốn Ruffled</v>
      </c>
      <c r="E316">
        <v>63</v>
      </c>
      <c r="F316">
        <v>674</v>
      </c>
      <c r="G316">
        <v>499000</v>
      </c>
      <c r="H316">
        <v>499000</v>
      </c>
    </row>
    <row r="317">
      <c r="A317" t="str">
        <v>29 HB</v>
      </c>
      <c r="B317" t="str">
        <v>DV_Uốn</v>
      </c>
      <c r="C317" t="str">
        <v>DV Duỗi Ép</v>
      </c>
      <c r="D317" t="str">
        <v>[DV] Ép side hai bên</v>
      </c>
      <c r="E317">
        <v>63</v>
      </c>
      <c r="F317">
        <v>902</v>
      </c>
      <c r="G317">
        <v>189000</v>
      </c>
      <c r="H317">
        <v>189000</v>
      </c>
    </row>
    <row r="318">
      <c r="A318" t="str">
        <v>29 HB</v>
      </c>
      <c r="B318" t="str">
        <v>DV_Nhuộm</v>
      </c>
      <c r="C318" t="str">
        <v>DV Nhuộm tiêu chuẩn (&lt;300k)</v>
      </c>
      <c r="D318" t="str">
        <v>[DV] Nhuộm đen phủ bạc R&amp;B thảo dược</v>
      </c>
      <c r="E318">
        <v>63</v>
      </c>
      <c r="F318">
        <v>912</v>
      </c>
      <c r="G318">
        <v>289000</v>
      </c>
      <c r="H318">
        <v>289000</v>
      </c>
    </row>
    <row r="319">
      <c r="A319" t="str">
        <v>29 HB</v>
      </c>
      <c r="B319" t="str">
        <v>DV_Nhuộm</v>
      </c>
      <c r="C319" t="str">
        <v>DV Nhuộm tiêu chuẩn (&lt;300k)</v>
      </c>
      <c r="D319" t="str">
        <v>[DV] Tẩy tóc bật tông Ý (1 lần)</v>
      </c>
      <c r="E319">
        <v>63</v>
      </c>
      <c r="F319">
        <v>915</v>
      </c>
      <c r="G319">
        <v>252000</v>
      </c>
      <c r="H319">
        <v>252000</v>
      </c>
    </row>
    <row r="320">
      <c r="A320" t="str">
        <v>29 HB</v>
      </c>
      <c r="B320" t="str">
        <v>DV_Nhuộm</v>
      </c>
      <c r="C320" t="str">
        <v>DV Nhuộm tiêu chuẩn (&lt;300k)</v>
      </c>
      <c r="D320" t="str">
        <v>[DV] Tẩy tóc bật tông Ý (2 lần) 500k</v>
      </c>
      <c r="E320">
        <v>63</v>
      </c>
      <c r="F320">
        <v>916</v>
      </c>
      <c r="G320">
        <v>500000</v>
      </c>
      <c r="H320">
        <v>500000</v>
      </c>
    </row>
    <row r="321">
      <c r="A321" t="str">
        <v>29 HB</v>
      </c>
      <c r="B321" t="str">
        <v>DV_Uốn</v>
      </c>
      <c r="C321" t="str">
        <v>DV Uốn cao cấp (&gt;340k)</v>
      </c>
      <c r="D321" t="str">
        <v>Uốn định hình nếp tóc cao cấp (K-Perm Collection)</v>
      </c>
      <c r="E321">
        <v>63</v>
      </c>
      <c r="F321">
        <v>952</v>
      </c>
      <c r="G321">
        <v>478000</v>
      </c>
      <c r="H321">
        <v>478000</v>
      </c>
    </row>
    <row r="322">
      <c r="A322" t="str">
        <v>29 HB</v>
      </c>
      <c r="B322" t="str">
        <v>DV_Nhuộm</v>
      </c>
      <c r="C322" t="str">
        <v>DV Nhuộm cao cấp (&gt;300k)</v>
      </c>
      <c r="D322" t="str">
        <v>(NEW) Nhuộm màu thời trang Milano</v>
      </c>
      <c r="E322">
        <v>63</v>
      </c>
      <c r="F322">
        <v>960</v>
      </c>
      <c r="G322">
        <v>332000</v>
      </c>
      <c r="H322">
        <v>332000</v>
      </c>
    </row>
    <row r="323">
      <c r="A323" t="str">
        <v>29 HB</v>
      </c>
      <c r="B323" t="str">
        <v>DV_Nhuộm</v>
      </c>
      <c r="C323" t="str">
        <v>DV Nhuộm tiêu chuẩn (&lt;300k)</v>
      </c>
      <c r="D323" t="str">
        <v>(NEW) Nhuộm phủ bạc tiêu chuẩn 199K</v>
      </c>
      <c r="E323">
        <v>63</v>
      </c>
      <c r="F323">
        <v>967</v>
      </c>
      <c r="G323">
        <v>199000</v>
      </c>
      <c r="H323">
        <v>199000</v>
      </c>
    </row>
    <row r="324">
      <c r="A324" t="str">
        <v>29 HB</v>
      </c>
      <c r="B324" t="str">
        <v>DV_Uốn</v>
      </c>
      <c r="C324" t="str">
        <v>DV Uốn tiêu chuẩn (&lt;340k)</v>
      </c>
      <c r="D324" t="str">
        <v>(NEW) Uốn/Duỗi/Định hình full đầu tạo form vào nếp tự nhiên</v>
      </c>
      <c r="E324">
        <v>63</v>
      </c>
      <c r="F324">
        <v>1009</v>
      </c>
      <c r="G324">
        <v>386000</v>
      </c>
      <c r="H324">
        <v>386000</v>
      </c>
    </row>
    <row r="325">
      <c r="A325" t="str">
        <v>29 HB</v>
      </c>
      <c r="B325" t="str">
        <v>DV_Dưỡng</v>
      </c>
      <c r="C325" t="str">
        <v>DV Dưỡng</v>
      </c>
      <c r="D325" t="str">
        <v>Phục hồi trẻ hóa Lipid Bond</v>
      </c>
      <c r="E325">
        <v>63</v>
      </c>
      <c r="F325">
        <v>1101</v>
      </c>
      <c r="G325">
        <v>132000</v>
      </c>
      <c r="H325">
        <v>146000</v>
      </c>
    </row>
    <row r="326">
      <c r="A326" t="str">
        <v>29 HB</v>
      </c>
      <c r="B326" t="str">
        <v>DV_Uốn</v>
      </c>
      <c r="C326" t="str">
        <v>DV Uốn cao cấp (&gt;340k)</v>
      </c>
      <c r="D326" t="str">
        <v>UỐN THIẾT KẾ PHỤC HỒI CHUYÊN SÂU LIPID BOND 2025</v>
      </c>
      <c r="E326">
        <v>63</v>
      </c>
      <c r="F326">
        <v>1148</v>
      </c>
      <c r="G326">
        <v>689000</v>
      </c>
      <c r="H326">
        <v>689000</v>
      </c>
    </row>
    <row r="327">
      <c r="A327" t="str">
        <v>29 HB</v>
      </c>
      <c r="B327" t="str">
        <v>DV_Nhuộm</v>
      </c>
      <c r="C327" t="str">
        <v>DV Nhuộm cao cấp (&gt;300k)</v>
      </c>
      <c r="D327" t="str">
        <v>NHUỘM THIẾT KẾ PHỤC HỒI CHUYÊN SÂU LIPID BOND 2025</v>
      </c>
      <c r="E327">
        <v>63</v>
      </c>
      <c r="F327">
        <v>1149</v>
      </c>
      <c r="G327">
        <v>689000</v>
      </c>
      <c r="H327">
        <v>689000</v>
      </c>
    </row>
    <row r="328">
      <c r="A328" t="str">
        <v>290 QT TH</v>
      </c>
      <c r="B328" t="str">
        <v>DV_Dưỡng</v>
      </c>
      <c r="C328" t="str">
        <v>DV Dưỡng</v>
      </c>
      <c r="D328" t="str">
        <v>(2022T) ATS Control Buffer - Khử mùi tạo thơm cho tóc uốn nhuộm 40k</v>
      </c>
      <c r="E328">
        <v>230</v>
      </c>
      <c r="F328">
        <v>610</v>
      </c>
      <c r="G328">
        <v>40000</v>
      </c>
      <c r="H328">
        <v>40000</v>
      </c>
      <c r="J328">
        <f>H328&amp;H329&amp;H330&amp;H331&amp;H332&amp;H333&amp;H334&amp;H335&amp;H336&amp;H337&amp;H338&amp;H339&amp;H340</f>
      </c>
    </row>
    <row r="329">
      <c r="A329" t="str">
        <v>290 QT TH</v>
      </c>
      <c r="B329" t="str">
        <v>DV_Uốn</v>
      </c>
      <c r="C329" t="str">
        <v>DV Uốn cao cấp (&gt;340k)</v>
      </c>
      <c r="D329" t="str">
        <v>[DV] Uốn Texture con sâu/Uốn Ruffled</v>
      </c>
      <c r="E329">
        <v>230</v>
      </c>
      <c r="F329">
        <v>674</v>
      </c>
      <c r="G329">
        <v>499000</v>
      </c>
      <c r="H329">
        <v>499000</v>
      </c>
    </row>
    <row r="330">
      <c r="A330" t="str">
        <v>290 QT TH</v>
      </c>
      <c r="B330" t="str">
        <v>DV_Uốn</v>
      </c>
      <c r="C330" t="str">
        <v>DV Duỗi Ép</v>
      </c>
      <c r="D330" t="str">
        <v>[DV] Ép side hai bên</v>
      </c>
      <c r="E330">
        <v>230</v>
      </c>
      <c r="F330">
        <v>902</v>
      </c>
      <c r="G330">
        <v>189000</v>
      </c>
      <c r="H330">
        <v>199000</v>
      </c>
    </row>
    <row r="331">
      <c r="A331" t="str">
        <v>290 QT TH</v>
      </c>
      <c r="B331" t="str">
        <v>DV_Nhuộm</v>
      </c>
      <c r="C331" t="str">
        <v>DV Nhuộm tiêu chuẩn (&lt;300k)</v>
      </c>
      <c r="D331" t="str">
        <v>[DV] Nhuộm đen phủ bạc R&amp;B thảo dược</v>
      </c>
      <c r="E331">
        <v>230</v>
      </c>
      <c r="F331">
        <v>912</v>
      </c>
      <c r="G331">
        <v>289000</v>
      </c>
      <c r="H331">
        <v>289000</v>
      </c>
    </row>
    <row r="332">
      <c r="A332" t="str">
        <v>290 QT TH</v>
      </c>
      <c r="B332" t="str">
        <v>DV_Nhuộm</v>
      </c>
      <c r="C332" t="str">
        <v>DV Nhuộm tiêu chuẩn (&lt;300k)</v>
      </c>
      <c r="D332" t="str">
        <v>[DV] Tẩy tóc bật tông Ý (1 lần)</v>
      </c>
      <c r="E332">
        <v>230</v>
      </c>
      <c r="F332">
        <v>915</v>
      </c>
      <c r="G332">
        <v>252000</v>
      </c>
      <c r="H332">
        <v>269000</v>
      </c>
    </row>
    <row r="333">
      <c r="A333" t="str">
        <v>290 QT TH</v>
      </c>
      <c r="B333" t="str">
        <v>DV_Nhuộm</v>
      </c>
      <c r="C333" t="str">
        <v>DV Nhuộm tiêu chuẩn (&lt;300k)</v>
      </c>
      <c r="D333" t="str">
        <v>[DV] Tẩy tóc bật tông Ý (2 lần) 500k</v>
      </c>
      <c r="E333">
        <v>230</v>
      </c>
      <c r="F333">
        <v>916</v>
      </c>
      <c r="G333">
        <v>500000</v>
      </c>
      <c r="H333">
        <v>529000</v>
      </c>
    </row>
    <row r="334">
      <c r="A334" t="str">
        <v>290 QT TH</v>
      </c>
      <c r="B334" t="str">
        <v>DV_Uốn</v>
      </c>
      <c r="C334" t="str">
        <v>DV Uốn cao cấp (&gt;340k)</v>
      </c>
      <c r="D334" t="str">
        <v>Uốn định hình nếp tóc cao cấp (K-Perm Collection)</v>
      </c>
      <c r="E334">
        <v>230</v>
      </c>
      <c r="F334">
        <v>952</v>
      </c>
      <c r="G334">
        <v>478000</v>
      </c>
      <c r="H334">
        <v>478000</v>
      </c>
    </row>
    <row r="335">
      <c r="A335" t="str">
        <v>290 QT TH</v>
      </c>
      <c r="B335" t="str">
        <v>DV_Nhuộm</v>
      </c>
      <c r="C335" t="str">
        <v>DV Nhuộm cao cấp (&gt;300k)</v>
      </c>
      <c r="D335" t="str">
        <v>(NEW) Nhuộm màu thời trang Milano</v>
      </c>
      <c r="E335">
        <v>230</v>
      </c>
      <c r="F335">
        <v>960</v>
      </c>
      <c r="G335">
        <v>332000</v>
      </c>
      <c r="H335">
        <v>332000</v>
      </c>
    </row>
    <row r="336">
      <c r="A336" t="str">
        <v>290 QT TH</v>
      </c>
      <c r="B336" t="str">
        <v>DV_Nhuộm</v>
      </c>
      <c r="C336" t="str">
        <v>DV Nhuộm tiêu chuẩn (&lt;300k)</v>
      </c>
      <c r="D336" t="str">
        <v>(NEW) Nhuộm phủ bạc tiêu chuẩn 199K</v>
      </c>
      <c r="E336">
        <v>230</v>
      </c>
      <c r="F336">
        <v>967</v>
      </c>
      <c r="G336">
        <v>199000</v>
      </c>
      <c r="H336">
        <v>199000</v>
      </c>
    </row>
    <row r="337">
      <c r="A337" t="str">
        <v>290 QT TH</v>
      </c>
      <c r="B337" t="str">
        <v>DV_Uốn</v>
      </c>
      <c r="C337" t="str">
        <v>DV Uốn tiêu chuẩn (&lt;340k)</v>
      </c>
      <c r="D337" t="str">
        <v>(NEW) Uốn/Duỗi/Định hình full đầu tạo form vào nếp tự nhiên</v>
      </c>
      <c r="E337">
        <v>230</v>
      </c>
      <c r="F337">
        <v>1009</v>
      </c>
      <c r="G337">
        <v>386000</v>
      </c>
      <c r="H337">
        <v>386000</v>
      </c>
    </row>
    <row r="338">
      <c r="A338" t="str">
        <v>290 QT TH</v>
      </c>
      <c r="B338" t="str">
        <v>DV_Dưỡng</v>
      </c>
      <c r="C338" t="str">
        <v>DV Dưỡng</v>
      </c>
      <c r="D338" t="str">
        <v>Phục hồi trẻ hóa Lipid Bond</v>
      </c>
      <c r="E338">
        <v>230</v>
      </c>
      <c r="F338">
        <v>1101</v>
      </c>
      <c r="G338">
        <v>132000</v>
      </c>
      <c r="H338">
        <v>146000</v>
      </c>
    </row>
    <row r="339">
      <c r="A339" t="str">
        <v>290 QT TH</v>
      </c>
      <c r="B339" t="str">
        <v>DV_Uốn</v>
      </c>
      <c r="C339" t="str">
        <v>DV Uốn cao cấp (&gt;340k)</v>
      </c>
      <c r="D339" t="str">
        <v>UỐN THIẾT KẾ PHỤC HỒI CHUYÊN SÂU LIPID BOND 2025</v>
      </c>
      <c r="E339">
        <v>230</v>
      </c>
      <c r="F339">
        <v>1148</v>
      </c>
      <c r="G339">
        <v>689000</v>
      </c>
      <c r="H339">
        <v>689000</v>
      </c>
    </row>
    <row r="340">
      <c r="A340" t="str">
        <v>290 QT TH</v>
      </c>
      <c r="B340" t="str">
        <v>DV_Nhuộm</v>
      </c>
      <c r="C340" t="str">
        <v>DV Nhuộm cao cấp (&gt;300k)</v>
      </c>
      <c r="D340" t="str">
        <v>NHUỘM THIẾT KẾ PHỤC HỒI CHUYÊN SÂU LIPID BOND 2025</v>
      </c>
      <c r="E340">
        <v>230</v>
      </c>
      <c r="F340">
        <v>1149</v>
      </c>
      <c r="G340">
        <v>689000</v>
      </c>
      <c r="H340">
        <v>689000</v>
      </c>
    </row>
    <row r="341">
      <c r="A341" t="str">
        <v>304 NT TH</v>
      </c>
      <c r="B341" t="str">
        <v>DV_Dưỡng</v>
      </c>
      <c r="C341" t="str">
        <v>DV Dưỡng</v>
      </c>
      <c r="D341" t="str">
        <v>(2022T) ATS Control Buffer - Khử mùi tạo thơm cho tóc uốn nhuộm 40k</v>
      </c>
      <c r="E341">
        <v>231</v>
      </c>
      <c r="F341">
        <v>610</v>
      </c>
      <c r="G341">
        <v>40000</v>
      </c>
      <c r="H341">
        <v>40000</v>
      </c>
      <c r="J341">
        <f>H341&amp;H342&amp;H343&amp;H344&amp;H345&amp;H346&amp;H347&amp;H348&amp;H349&amp;H350&amp;H351&amp;H352&amp;H353</f>
      </c>
    </row>
    <row r="342">
      <c r="A342" t="str">
        <v>304 NT TH</v>
      </c>
      <c r="B342" t="str">
        <v>DV_Uốn</v>
      </c>
      <c r="C342" t="str">
        <v>DV Uốn cao cấp (&gt;340k)</v>
      </c>
      <c r="D342" t="str">
        <v>[DV] Uốn Texture con sâu/Uốn Ruffled</v>
      </c>
      <c r="E342">
        <v>231</v>
      </c>
      <c r="F342">
        <v>674</v>
      </c>
      <c r="G342">
        <v>499000</v>
      </c>
      <c r="H342">
        <v>499000</v>
      </c>
    </row>
    <row r="343">
      <c r="A343" t="str">
        <v>304 NT TH</v>
      </c>
      <c r="B343" t="str">
        <v>DV_Uốn</v>
      </c>
      <c r="C343" t="str">
        <v>DV Duỗi Ép</v>
      </c>
      <c r="D343" t="str">
        <v>[DV] Ép side hai bên</v>
      </c>
      <c r="E343">
        <v>231</v>
      </c>
      <c r="F343">
        <v>902</v>
      </c>
      <c r="G343">
        <v>189000</v>
      </c>
      <c r="H343">
        <v>199000</v>
      </c>
    </row>
    <row r="344">
      <c r="A344" t="str">
        <v>304 NT TH</v>
      </c>
      <c r="B344" t="str">
        <v>DV_Nhuộm</v>
      </c>
      <c r="C344" t="str">
        <v>DV Nhuộm tiêu chuẩn (&lt;300k)</v>
      </c>
      <c r="D344" t="str">
        <v>[DV] Nhuộm đen phủ bạc R&amp;B thảo dược</v>
      </c>
      <c r="E344">
        <v>231</v>
      </c>
      <c r="F344">
        <v>912</v>
      </c>
      <c r="G344">
        <v>289000</v>
      </c>
      <c r="H344">
        <v>289000</v>
      </c>
    </row>
    <row r="345">
      <c r="A345" t="str">
        <v>304 NT TH</v>
      </c>
      <c r="B345" t="str">
        <v>DV_Nhuộm</v>
      </c>
      <c r="C345" t="str">
        <v>DV Nhuộm tiêu chuẩn (&lt;300k)</v>
      </c>
      <c r="D345" t="str">
        <v>[DV] Tẩy tóc bật tông Ý (1 lần)</v>
      </c>
      <c r="E345">
        <v>231</v>
      </c>
      <c r="F345">
        <v>915</v>
      </c>
      <c r="G345">
        <v>252000</v>
      </c>
      <c r="H345">
        <v>269000</v>
      </c>
    </row>
    <row r="346">
      <c r="A346" t="str">
        <v>304 NT TH</v>
      </c>
      <c r="B346" t="str">
        <v>DV_Nhuộm</v>
      </c>
      <c r="C346" t="str">
        <v>DV Nhuộm tiêu chuẩn (&lt;300k)</v>
      </c>
      <c r="D346" t="str">
        <v>[DV] Tẩy tóc bật tông Ý (2 lần) 500k</v>
      </c>
      <c r="E346">
        <v>231</v>
      </c>
      <c r="F346">
        <v>916</v>
      </c>
      <c r="G346">
        <v>500000</v>
      </c>
      <c r="H346">
        <v>529000</v>
      </c>
    </row>
    <row r="347">
      <c r="A347" t="str">
        <v>304 NT TH</v>
      </c>
      <c r="B347" t="str">
        <v>DV_Uốn</v>
      </c>
      <c r="C347" t="str">
        <v>DV Uốn cao cấp (&gt;340k)</v>
      </c>
      <c r="D347" t="str">
        <v>Uốn định hình nếp tóc cao cấp (K-Perm Collection)</v>
      </c>
      <c r="E347">
        <v>231</v>
      </c>
      <c r="F347">
        <v>952</v>
      </c>
      <c r="G347">
        <v>478000</v>
      </c>
      <c r="H347">
        <v>478000</v>
      </c>
    </row>
    <row r="348">
      <c r="A348" t="str">
        <v>304 NT TH</v>
      </c>
      <c r="B348" t="str">
        <v>DV_Nhuộm</v>
      </c>
      <c r="C348" t="str">
        <v>DV Nhuộm cao cấp (&gt;300k)</v>
      </c>
      <c r="D348" t="str">
        <v>(NEW) Nhuộm màu thời trang Milano</v>
      </c>
      <c r="E348">
        <v>231</v>
      </c>
      <c r="F348">
        <v>960</v>
      </c>
      <c r="G348">
        <v>332000</v>
      </c>
      <c r="H348">
        <v>332000</v>
      </c>
    </row>
    <row r="349">
      <c r="A349" t="str">
        <v>304 NT TH</v>
      </c>
      <c r="B349" t="str">
        <v>DV_Nhuộm</v>
      </c>
      <c r="C349" t="str">
        <v>DV Nhuộm tiêu chuẩn (&lt;300k)</v>
      </c>
      <c r="D349" t="str">
        <v>(NEW) Nhuộm phủ bạc tiêu chuẩn 199K</v>
      </c>
      <c r="E349">
        <v>231</v>
      </c>
      <c r="F349">
        <v>967</v>
      </c>
      <c r="G349">
        <v>199000</v>
      </c>
      <c r="H349">
        <v>199000</v>
      </c>
    </row>
    <row r="350">
      <c r="A350" t="str">
        <v>304 NT TH</v>
      </c>
      <c r="B350" t="str">
        <v>DV_Uốn</v>
      </c>
      <c r="C350" t="str">
        <v>DV Uốn tiêu chuẩn (&lt;340k)</v>
      </c>
      <c r="D350" t="str">
        <v>(NEW) Uốn/Duỗi/Định hình full đầu tạo form vào nếp tự nhiên</v>
      </c>
      <c r="E350">
        <v>231</v>
      </c>
      <c r="F350">
        <v>1009</v>
      </c>
      <c r="G350">
        <v>386000</v>
      </c>
      <c r="H350">
        <v>386000</v>
      </c>
    </row>
    <row r="351">
      <c r="A351" t="str">
        <v>304 NT TH</v>
      </c>
      <c r="B351" t="str">
        <v>DV_Dưỡng</v>
      </c>
      <c r="C351" t="str">
        <v>DV Dưỡng</v>
      </c>
      <c r="D351" t="str">
        <v>Phục hồi trẻ hóa Lipid Bond</v>
      </c>
      <c r="E351">
        <v>231</v>
      </c>
      <c r="F351">
        <v>1101</v>
      </c>
      <c r="G351">
        <v>132000</v>
      </c>
      <c r="H351">
        <v>146000</v>
      </c>
    </row>
    <row r="352">
      <c r="A352" t="str">
        <v>304 NT TH</v>
      </c>
      <c r="B352" t="str">
        <v>DV_Uốn</v>
      </c>
      <c r="C352" t="str">
        <v>DV Uốn cao cấp (&gt;340k)</v>
      </c>
      <c r="D352" t="str">
        <v>UỐN THIẾT KẾ PHỤC HỒI CHUYÊN SÂU LIPID BOND 2025</v>
      </c>
      <c r="E352">
        <v>231</v>
      </c>
      <c r="F352">
        <v>1148</v>
      </c>
      <c r="G352">
        <v>689000</v>
      </c>
      <c r="H352">
        <v>689000</v>
      </c>
    </row>
    <row r="353">
      <c r="A353" t="str">
        <v>304 NT TH</v>
      </c>
      <c r="B353" t="str">
        <v>DV_Nhuộm</v>
      </c>
      <c r="C353" t="str">
        <v>DV Nhuộm cao cấp (&gt;300k)</v>
      </c>
      <c r="D353" t="str">
        <v>NHUỘM THIẾT KẾ PHỤC HỒI CHUYÊN SÂU LIPID BOND 2025</v>
      </c>
      <c r="E353">
        <v>231</v>
      </c>
      <c r="F353">
        <v>1149</v>
      </c>
      <c r="G353">
        <v>689000</v>
      </c>
      <c r="H353">
        <v>689000</v>
      </c>
    </row>
    <row r="354">
      <c r="A354" t="str">
        <v>312 LVS</v>
      </c>
      <c r="B354" t="str">
        <v>DV_Dưỡng</v>
      </c>
      <c r="C354" t="str">
        <v>DV Dưỡng</v>
      </c>
      <c r="D354" t="str">
        <v>(2022T) ATS Control Buffer - Khử mùi tạo thơm cho tóc uốn nhuộm 40k</v>
      </c>
      <c r="E354">
        <v>69</v>
      </c>
      <c r="F354">
        <v>610</v>
      </c>
      <c r="G354">
        <v>40000</v>
      </c>
      <c r="H354">
        <v>40000</v>
      </c>
      <c r="J354">
        <f>H354&amp;H355&amp;H356&amp;H357&amp;H358&amp;H359&amp;H360&amp;H361&amp;H362&amp;H363&amp;H364&amp;H365&amp;H366</f>
      </c>
    </row>
    <row r="355">
      <c r="A355" t="str">
        <v>312 LVS</v>
      </c>
      <c r="B355" t="str">
        <v>DV_Uốn</v>
      </c>
      <c r="C355" t="str">
        <v>DV Uốn cao cấp (&gt;340k)</v>
      </c>
      <c r="D355" t="str">
        <v>[DV] Uốn Texture con sâu/Uốn Ruffled</v>
      </c>
      <c r="E355">
        <v>69</v>
      </c>
      <c r="F355">
        <v>674</v>
      </c>
      <c r="G355">
        <v>499000</v>
      </c>
      <c r="H355">
        <v>499000</v>
      </c>
    </row>
    <row r="356">
      <c r="A356" t="str">
        <v>312 LVS</v>
      </c>
      <c r="B356" t="str">
        <v>DV_Uốn</v>
      </c>
      <c r="C356" t="str">
        <v>DV Duỗi Ép</v>
      </c>
      <c r="D356" t="str">
        <v>[DV] Ép side hai bên</v>
      </c>
      <c r="E356">
        <v>69</v>
      </c>
      <c r="F356">
        <v>902</v>
      </c>
      <c r="G356">
        <v>189000</v>
      </c>
      <c r="H356">
        <v>209000</v>
      </c>
    </row>
    <row r="357">
      <c r="A357" t="str">
        <v>312 LVS</v>
      </c>
      <c r="B357" t="str">
        <v>DV_Nhuộm</v>
      </c>
      <c r="C357" t="str">
        <v>DV Nhuộm tiêu chuẩn (&lt;300k)</v>
      </c>
      <c r="D357" t="str">
        <v>[DV] Nhuộm đen phủ bạc R&amp;B thảo dược</v>
      </c>
      <c r="E357">
        <v>69</v>
      </c>
      <c r="F357">
        <v>912</v>
      </c>
      <c r="G357">
        <v>289000</v>
      </c>
      <c r="H357">
        <v>289000</v>
      </c>
    </row>
    <row r="358">
      <c r="A358" t="str">
        <v>312 LVS</v>
      </c>
      <c r="B358" t="str">
        <v>DV_Nhuộm</v>
      </c>
      <c r="C358" t="str">
        <v>DV Nhuộm tiêu chuẩn (&lt;300k)</v>
      </c>
      <c r="D358" t="str">
        <v>[DV] Tẩy tóc bật tông Ý (1 lần)</v>
      </c>
      <c r="E358">
        <v>69</v>
      </c>
      <c r="F358">
        <v>915</v>
      </c>
      <c r="G358">
        <v>252000</v>
      </c>
      <c r="H358">
        <v>252000</v>
      </c>
    </row>
    <row r="359">
      <c r="A359" t="str">
        <v>312 LVS</v>
      </c>
      <c r="B359" t="str">
        <v>DV_Nhuộm</v>
      </c>
      <c r="C359" t="str">
        <v>DV Nhuộm tiêu chuẩn (&lt;300k)</v>
      </c>
      <c r="D359" t="str">
        <v>[DV] Tẩy tóc bật tông Ý (2 lần) 500k</v>
      </c>
      <c r="E359">
        <v>69</v>
      </c>
      <c r="F359">
        <v>916</v>
      </c>
      <c r="G359">
        <v>500000</v>
      </c>
      <c r="H359">
        <v>500000</v>
      </c>
    </row>
    <row r="360">
      <c r="A360" t="str">
        <v>312 LVS</v>
      </c>
      <c r="B360" t="str">
        <v>DV_Uốn</v>
      </c>
      <c r="C360" t="str">
        <v>DV Uốn cao cấp (&gt;340k)</v>
      </c>
      <c r="D360" t="str">
        <v>Uốn định hình nếp tóc cao cấp (K-Perm Collection)</v>
      </c>
      <c r="E360">
        <v>69</v>
      </c>
      <c r="F360">
        <v>952</v>
      </c>
      <c r="G360">
        <v>478000</v>
      </c>
      <c r="H360">
        <v>478000</v>
      </c>
    </row>
    <row r="361">
      <c r="A361" t="str">
        <v>312 LVS</v>
      </c>
      <c r="B361" t="str">
        <v>DV_Nhuộm</v>
      </c>
      <c r="C361" t="str">
        <v>DV Nhuộm cao cấp (&gt;300k)</v>
      </c>
      <c r="D361" t="str">
        <v>(NEW) Nhuộm màu thời trang Milano</v>
      </c>
      <c r="E361">
        <v>69</v>
      </c>
      <c r="F361">
        <v>960</v>
      </c>
      <c r="G361">
        <v>332000</v>
      </c>
      <c r="H361">
        <v>349000</v>
      </c>
    </row>
    <row r="362">
      <c r="A362" t="str">
        <v>312 LVS</v>
      </c>
      <c r="B362" t="str">
        <v>DV_Nhuộm</v>
      </c>
      <c r="C362" t="str">
        <v>DV Nhuộm tiêu chuẩn (&lt;300k)</v>
      </c>
      <c r="D362" t="str">
        <v>(NEW) Nhuộm phủ bạc tiêu chuẩn 199K</v>
      </c>
      <c r="E362">
        <v>69</v>
      </c>
      <c r="F362">
        <v>967</v>
      </c>
      <c r="G362">
        <v>199000</v>
      </c>
      <c r="H362">
        <v>199000</v>
      </c>
    </row>
    <row r="363">
      <c r="A363" t="str">
        <v>312 LVS</v>
      </c>
      <c r="B363" t="str">
        <v>DV_Uốn</v>
      </c>
      <c r="C363" t="str">
        <v>DV Uốn tiêu chuẩn (&lt;340k)</v>
      </c>
      <c r="D363" t="str">
        <v>(NEW) Uốn/Duỗi/Định hình full đầu tạo form vào nếp tự nhiên</v>
      </c>
      <c r="E363">
        <v>69</v>
      </c>
      <c r="F363">
        <v>1009</v>
      </c>
      <c r="G363">
        <v>386000</v>
      </c>
      <c r="H363">
        <v>386000</v>
      </c>
    </row>
    <row r="364">
      <c r="A364" t="str">
        <v>312 LVS</v>
      </c>
      <c r="B364" t="str">
        <v>DV_Dưỡng</v>
      </c>
      <c r="C364" t="str">
        <v>DV Dưỡng</v>
      </c>
      <c r="D364" t="str">
        <v>Phục hồi trẻ hóa Lipid Bond</v>
      </c>
      <c r="E364">
        <v>69</v>
      </c>
      <c r="F364">
        <v>1101</v>
      </c>
      <c r="G364">
        <v>132000</v>
      </c>
      <c r="H364">
        <v>146000</v>
      </c>
    </row>
    <row r="365">
      <c r="A365" t="str">
        <v>312 LVS</v>
      </c>
      <c r="B365" t="str">
        <v>DV_Uốn</v>
      </c>
      <c r="C365" t="str">
        <v>DV Uốn cao cấp (&gt;340k)</v>
      </c>
      <c r="D365" t="str">
        <v>UỐN THIẾT KẾ PHỤC HỒI CHUYÊN SÂU LIPID BOND 2025</v>
      </c>
      <c r="E365">
        <v>69</v>
      </c>
      <c r="F365">
        <v>1148</v>
      </c>
      <c r="G365">
        <v>689000</v>
      </c>
      <c r="H365">
        <v>689000</v>
      </c>
    </row>
    <row r="366">
      <c r="A366" t="str">
        <v>312 LVS</v>
      </c>
      <c r="B366" t="str">
        <v>DV_Nhuộm</v>
      </c>
      <c r="C366" t="str">
        <v>DV Nhuộm cao cấp (&gt;300k)</v>
      </c>
      <c r="D366" t="str">
        <v>NHUỘM THIẾT KẾ PHỤC HỒI CHUYÊN SÂU LIPID BOND 2025</v>
      </c>
      <c r="E366">
        <v>69</v>
      </c>
      <c r="F366">
        <v>1149</v>
      </c>
      <c r="G366">
        <v>689000</v>
      </c>
      <c r="H366">
        <v>729000</v>
      </c>
    </row>
    <row r="367">
      <c r="A367" t="str">
        <v>32 NAT</v>
      </c>
      <c r="B367" t="str">
        <v>DV_Dưỡng</v>
      </c>
      <c r="C367" t="str">
        <v>DV Dưỡng</v>
      </c>
      <c r="D367" t="str">
        <v>(2022T) ATS Control Buffer - Khử mùi tạo thơm cho tóc uốn nhuộm 40k</v>
      </c>
      <c r="E367">
        <v>274</v>
      </c>
      <c r="F367">
        <v>610</v>
      </c>
      <c r="G367">
        <v>40000</v>
      </c>
      <c r="H367">
        <v>40000</v>
      </c>
      <c r="J367">
        <f>H367&amp;H368&amp;H369&amp;H370&amp;H371&amp;H372&amp;H373&amp;H374&amp;H375&amp;H376&amp;H377&amp;H378&amp;H379</f>
      </c>
    </row>
    <row r="368">
      <c r="A368" t="str">
        <v>32 NAT</v>
      </c>
      <c r="B368" t="str">
        <v>DV_Uốn</v>
      </c>
      <c r="C368" t="str">
        <v>DV Uốn cao cấp (&gt;340k)</v>
      </c>
      <c r="D368" t="str">
        <v>[DV] Uốn Texture con sâu/Uốn Ruffled</v>
      </c>
      <c r="E368">
        <v>274</v>
      </c>
      <c r="F368">
        <v>674</v>
      </c>
      <c r="G368">
        <v>499000</v>
      </c>
      <c r="H368">
        <v>499000</v>
      </c>
    </row>
    <row r="369">
      <c r="A369" t="str">
        <v>32 NAT</v>
      </c>
      <c r="B369" t="str">
        <v>DV_Uốn</v>
      </c>
      <c r="C369" t="str">
        <v>DV Duỗi Ép</v>
      </c>
      <c r="D369" t="str">
        <v>[DV] Ép side hai bên</v>
      </c>
      <c r="E369">
        <v>274</v>
      </c>
      <c r="F369">
        <v>902</v>
      </c>
      <c r="G369">
        <v>189000</v>
      </c>
      <c r="H369">
        <v>209000</v>
      </c>
    </row>
    <row r="370">
      <c r="A370" t="str">
        <v>32 NAT</v>
      </c>
      <c r="B370" t="str">
        <v>DV_Nhuộm</v>
      </c>
      <c r="C370" t="str">
        <v>DV Nhuộm tiêu chuẩn (&lt;300k)</v>
      </c>
      <c r="D370" t="str">
        <v>[DV] Nhuộm đen phủ bạc R&amp;B thảo dược</v>
      </c>
      <c r="E370">
        <v>274</v>
      </c>
      <c r="F370">
        <v>912</v>
      </c>
      <c r="G370">
        <v>289000</v>
      </c>
      <c r="H370">
        <v>289000</v>
      </c>
    </row>
    <row r="371">
      <c r="A371" t="str">
        <v>32 NAT</v>
      </c>
      <c r="B371" t="str">
        <v>DV_Nhuộm</v>
      </c>
      <c r="C371" t="str">
        <v>DV Nhuộm tiêu chuẩn (&lt;300k)</v>
      </c>
      <c r="D371" t="str">
        <v>[DV] Tẩy tóc bật tông Ý (1 lần)</v>
      </c>
      <c r="E371">
        <v>274</v>
      </c>
      <c r="F371">
        <v>915</v>
      </c>
      <c r="G371">
        <v>252000</v>
      </c>
      <c r="H371">
        <v>269000</v>
      </c>
    </row>
    <row r="372">
      <c r="A372" t="str">
        <v>32 NAT</v>
      </c>
      <c r="B372" t="str">
        <v>DV_Nhuộm</v>
      </c>
      <c r="C372" t="str">
        <v>DV Nhuộm tiêu chuẩn (&lt;300k)</v>
      </c>
      <c r="D372" t="str">
        <v>[DV] Tẩy tóc bật tông Ý (2 lần) 500k</v>
      </c>
      <c r="E372">
        <v>274</v>
      </c>
      <c r="F372">
        <v>916</v>
      </c>
      <c r="G372">
        <v>500000</v>
      </c>
      <c r="H372">
        <v>529000</v>
      </c>
    </row>
    <row r="373">
      <c r="A373" t="str">
        <v>32 NAT</v>
      </c>
      <c r="B373" t="str">
        <v>DV_Uốn</v>
      </c>
      <c r="C373" t="str">
        <v>DV Uốn cao cấp (&gt;340k)</v>
      </c>
      <c r="D373" t="str">
        <v>Uốn định hình nếp tóc cao cấp (K-Perm Collection)</v>
      </c>
      <c r="E373">
        <v>274</v>
      </c>
      <c r="F373">
        <v>952</v>
      </c>
      <c r="G373">
        <v>478000</v>
      </c>
      <c r="H373">
        <v>478000</v>
      </c>
    </row>
    <row r="374">
      <c r="A374" t="str">
        <v>32 NAT</v>
      </c>
      <c r="B374" t="str">
        <v>DV_Nhuộm</v>
      </c>
      <c r="C374" t="str">
        <v>DV Nhuộm cao cấp (&gt;300k)</v>
      </c>
      <c r="D374" t="str">
        <v>(NEW) Nhuộm màu thời trang Milano</v>
      </c>
      <c r="E374">
        <v>274</v>
      </c>
      <c r="F374">
        <v>960</v>
      </c>
      <c r="G374">
        <v>332000</v>
      </c>
      <c r="H374">
        <v>332000</v>
      </c>
    </row>
    <row r="375">
      <c r="A375" t="str">
        <v>32 NAT</v>
      </c>
      <c r="B375" t="str">
        <v>DV_Nhuộm</v>
      </c>
      <c r="C375" t="str">
        <v>DV Nhuộm tiêu chuẩn (&lt;300k)</v>
      </c>
      <c r="D375" t="str">
        <v>(NEW) Nhuộm phủ bạc tiêu chuẩn 199K</v>
      </c>
      <c r="E375">
        <v>274</v>
      </c>
      <c r="F375">
        <v>967</v>
      </c>
      <c r="G375">
        <v>199000</v>
      </c>
      <c r="H375">
        <v>199000</v>
      </c>
    </row>
    <row r="376">
      <c r="A376" t="str">
        <v>32 NAT</v>
      </c>
      <c r="B376" t="str">
        <v>DV_Uốn</v>
      </c>
      <c r="C376" t="str">
        <v>DV Uốn tiêu chuẩn (&lt;340k)</v>
      </c>
      <c r="D376" t="str">
        <v>(NEW) Uốn/Duỗi/Định hình full đầu tạo form vào nếp tự nhiên</v>
      </c>
      <c r="E376">
        <v>274</v>
      </c>
      <c r="F376">
        <v>1009</v>
      </c>
      <c r="G376">
        <v>386000</v>
      </c>
      <c r="H376">
        <v>386000</v>
      </c>
    </row>
    <row r="377">
      <c r="A377" t="str">
        <v>32 NAT</v>
      </c>
      <c r="B377" t="str">
        <v>DV_Dưỡng</v>
      </c>
      <c r="C377" t="str">
        <v>DV Dưỡng</v>
      </c>
      <c r="D377" t="str">
        <v>Phục hồi trẻ hóa Lipid Bond</v>
      </c>
      <c r="E377">
        <v>274</v>
      </c>
      <c r="F377">
        <v>1101</v>
      </c>
      <c r="G377">
        <v>132000</v>
      </c>
      <c r="H377">
        <v>146000</v>
      </c>
    </row>
    <row r="378">
      <c r="A378" t="str">
        <v>32 NAT</v>
      </c>
      <c r="B378" t="str">
        <v>DV_Uốn</v>
      </c>
      <c r="C378" t="str">
        <v>DV Uốn cao cấp (&gt;340k)</v>
      </c>
      <c r="D378" t="str">
        <v>UỐN THIẾT KẾ PHỤC HỒI CHUYÊN SÂU LIPID BOND 2025</v>
      </c>
      <c r="E378">
        <v>274</v>
      </c>
      <c r="F378">
        <v>1148</v>
      </c>
      <c r="G378">
        <v>689000</v>
      </c>
      <c r="H378">
        <v>689000</v>
      </c>
    </row>
    <row r="379">
      <c r="A379" t="str">
        <v>32 NAT</v>
      </c>
      <c r="B379" t="str">
        <v>DV_Nhuộm</v>
      </c>
      <c r="C379" t="str">
        <v>DV Nhuộm cao cấp (&gt;300k)</v>
      </c>
      <c r="D379" t="str">
        <v>NHUỘM THIẾT KẾ PHỤC HỒI CHUYÊN SÂU LIPID BOND 2025</v>
      </c>
      <c r="E379">
        <v>274</v>
      </c>
      <c r="F379">
        <v>1149</v>
      </c>
      <c r="G379">
        <v>689000</v>
      </c>
      <c r="H379">
        <v>689000</v>
      </c>
    </row>
    <row r="380">
      <c r="A380" t="str">
        <v>341 XVNT</v>
      </c>
      <c r="B380" t="str">
        <v>DV_Dưỡng</v>
      </c>
      <c r="C380" t="str">
        <v>DV Dưỡng</v>
      </c>
      <c r="D380" t="str">
        <v>(2022T) ATS Control Buffer - Khử mùi tạo thơm cho tóc uốn nhuộm 40k</v>
      </c>
      <c r="E380">
        <v>205</v>
      </c>
      <c r="F380">
        <v>610</v>
      </c>
      <c r="G380">
        <v>40000</v>
      </c>
      <c r="H380">
        <v>40000</v>
      </c>
      <c r="J380">
        <f>H380&amp;H381&amp;H382&amp;H383&amp;H384&amp;H385&amp;H386&amp;H387&amp;H388&amp;H389&amp;H390&amp;H391&amp;H392</f>
      </c>
    </row>
    <row r="381">
      <c r="A381" t="str">
        <v>341 XVNT</v>
      </c>
      <c r="B381" t="str">
        <v>DV_Uốn</v>
      </c>
      <c r="C381" t="str">
        <v>DV Uốn cao cấp (&gt;340k)</v>
      </c>
      <c r="D381" t="str">
        <v>[DV] Uốn Texture con sâu/Uốn Ruffled</v>
      </c>
      <c r="E381">
        <v>205</v>
      </c>
      <c r="F381">
        <v>674</v>
      </c>
      <c r="G381">
        <v>499000</v>
      </c>
      <c r="H381">
        <v>499000</v>
      </c>
    </row>
    <row r="382">
      <c r="A382" t="str">
        <v>341 XVNT</v>
      </c>
      <c r="B382" t="str">
        <v>DV_Uốn</v>
      </c>
      <c r="C382" t="str">
        <v>DV Duỗi Ép</v>
      </c>
      <c r="D382" t="str">
        <v>[DV] Ép side hai bên</v>
      </c>
      <c r="E382">
        <v>205</v>
      </c>
      <c r="F382">
        <v>902</v>
      </c>
      <c r="G382">
        <v>189000</v>
      </c>
      <c r="H382">
        <v>189000</v>
      </c>
    </row>
    <row r="383">
      <c r="A383" t="str">
        <v>341 XVNT</v>
      </c>
      <c r="B383" t="str">
        <v>DV_Nhuộm</v>
      </c>
      <c r="C383" t="str">
        <v>DV Nhuộm tiêu chuẩn (&lt;300k)</v>
      </c>
      <c r="D383" t="str">
        <v>[DV] Nhuộm đen phủ bạc R&amp;B thảo dược</v>
      </c>
      <c r="E383">
        <v>205</v>
      </c>
      <c r="F383">
        <v>912</v>
      </c>
      <c r="G383">
        <v>289000</v>
      </c>
      <c r="H383">
        <v>289000</v>
      </c>
    </row>
    <row r="384">
      <c r="A384" t="str">
        <v>341 XVNT</v>
      </c>
      <c r="B384" t="str">
        <v>DV_Nhuộm</v>
      </c>
      <c r="C384" t="str">
        <v>DV Nhuộm tiêu chuẩn (&lt;300k)</v>
      </c>
      <c r="D384" t="str">
        <v>[DV] Tẩy tóc bật tông Ý (1 lần)</v>
      </c>
      <c r="E384">
        <v>205</v>
      </c>
      <c r="F384">
        <v>915</v>
      </c>
      <c r="G384">
        <v>252000</v>
      </c>
      <c r="H384">
        <v>252000</v>
      </c>
    </row>
    <row r="385">
      <c r="A385" t="str">
        <v>341 XVNT</v>
      </c>
      <c r="B385" t="str">
        <v>DV_Nhuộm</v>
      </c>
      <c r="C385" t="str">
        <v>DV Nhuộm tiêu chuẩn (&lt;300k)</v>
      </c>
      <c r="D385" t="str">
        <v>[DV] Tẩy tóc bật tông Ý (2 lần) 500k</v>
      </c>
      <c r="E385">
        <v>205</v>
      </c>
      <c r="F385">
        <v>916</v>
      </c>
      <c r="G385">
        <v>500000</v>
      </c>
      <c r="H385">
        <v>500000</v>
      </c>
    </row>
    <row r="386">
      <c r="A386" t="str">
        <v>341 XVNT</v>
      </c>
      <c r="B386" t="str">
        <v>DV_Uốn</v>
      </c>
      <c r="C386" t="str">
        <v>DV Uốn cao cấp (&gt;340k)</v>
      </c>
      <c r="D386" t="str">
        <v>Uốn định hình nếp tóc cao cấp (K-Perm Collection)</v>
      </c>
      <c r="E386">
        <v>205</v>
      </c>
      <c r="F386">
        <v>952</v>
      </c>
      <c r="G386">
        <v>478000</v>
      </c>
      <c r="H386">
        <v>478000</v>
      </c>
    </row>
    <row r="387">
      <c r="A387" t="str">
        <v>341 XVNT</v>
      </c>
      <c r="B387" t="str">
        <v>DV_Nhuộm</v>
      </c>
      <c r="C387" t="str">
        <v>DV Nhuộm cao cấp (&gt;300k)</v>
      </c>
      <c r="D387" t="str">
        <v>(NEW) Nhuộm màu thời trang Milano</v>
      </c>
      <c r="E387">
        <v>205</v>
      </c>
      <c r="F387">
        <v>960</v>
      </c>
      <c r="G387">
        <v>332000</v>
      </c>
      <c r="H387">
        <v>332000</v>
      </c>
    </row>
    <row r="388">
      <c r="A388" t="str">
        <v>341 XVNT</v>
      </c>
      <c r="B388" t="str">
        <v>DV_Nhuộm</v>
      </c>
      <c r="C388" t="str">
        <v>DV Nhuộm tiêu chuẩn (&lt;300k)</v>
      </c>
      <c r="D388" t="str">
        <v>(NEW) Nhuộm phủ bạc tiêu chuẩn 199K</v>
      </c>
      <c r="E388">
        <v>205</v>
      </c>
      <c r="F388">
        <v>967</v>
      </c>
      <c r="G388">
        <v>199000</v>
      </c>
      <c r="H388">
        <v>199000</v>
      </c>
    </row>
    <row r="389">
      <c r="A389" t="str">
        <v>341 XVNT</v>
      </c>
      <c r="B389" t="str">
        <v>DV_Uốn</v>
      </c>
      <c r="C389" t="str">
        <v>DV Uốn tiêu chuẩn (&lt;340k)</v>
      </c>
      <c r="D389" t="str">
        <v>(NEW) Uốn/Duỗi/Định hình full đầu tạo form vào nếp tự nhiên</v>
      </c>
      <c r="E389">
        <v>205</v>
      </c>
      <c r="F389">
        <v>1009</v>
      </c>
      <c r="G389">
        <v>386000</v>
      </c>
      <c r="H389">
        <v>386000</v>
      </c>
    </row>
    <row r="390">
      <c r="A390" t="str">
        <v>341 XVNT</v>
      </c>
      <c r="B390" t="str">
        <v>DV_Dưỡng</v>
      </c>
      <c r="C390" t="str">
        <v>DV Dưỡng</v>
      </c>
      <c r="D390" t="str">
        <v>Phục hồi trẻ hóa Lipid Bond</v>
      </c>
      <c r="E390">
        <v>205</v>
      </c>
      <c r="F390">
        <v>1101</v>
      </c>
      <c r="G390">
        <v>132000</v>
      </c>
      <c r="H390">
        <v>146000</v>
      </c>
    </row>
    <row r="391">
      <c r="A391" t="str">
        <v>341 XVNT</v>
      </c>
      <c r="B391" t="str">
        <v>DV_Uốn</v>
      </c>
      <c r="C391" t="str">
        <v>DV Uốn cao cấp (&gt;340k)</v>
      </c>
      <c r="D391" t="str">
        <v>UỐN THIẾT KẾ PHỤC HỒI CHUYÊN SÂU LIPID BOND 2025</v>
      </c>
      <c r="E391">
        <v>205</v>
      </c>
      <c r="F391">
        <v>1148</v>
      </c>
      <c r="G391">
        <v>689000</v>
      </c>
      <c r="H391">
        <v>689000</v>
      </c>
    </row>
    <row r="392">
      <c r="A392" t="str">
        <v>341 XVNT</v>
      </c>
      <c r="B392" t="str">
        <v>DV_Nhuộm</v>
      </c>
      <c r="C392" t="str">
        <v>DV Nhuộm cao cấp (&gt;300k)</v>
      </c>
      <c r="D392" t="str">
        <v>NHUỘM THIẾT KẾ PHỤC HỒI CHUYÊN SÂU LIPID BOND 2025</v>
      </c>
      <c r="E392">
        <v>205</v>
      </c>
      <c r="F392">
        <v>1149</v>
      </c>
      <c r="G392">
        <v>689000</v>
      </c>
      <c r="H392">
        <v>689000</v>
      </c>
    </row>
    <row r="393">
      <c r="A393" t="str">
        <v>346 KT</v>
      </c>
      <c r="B393" t="str">
        <v>DV_Dưỡng</v>
      </c>
      <c r="C393" t="str">
        <v>DV Dưỡng</v>
      </c>
      <c r="D393" t="str">
        <v>(2022T) ATS Control Buffer - Khử mùi tạo thơm cho tóc uốn nhuộm 40k</v>
      </c>
      <c r="E393">
        <v>2</v>
      </c>
      <c r="F393">
        <v>610</v>
      </c>
      <c r="G393">
        <v>40000</v>
      </c>
      <c r="H393">
        <v>40000</v>
      </c>
      <c r="I393" s="1" t="s">
        <v>1</v>
      </c>
      <c r="J393">
        <f>H393&amp;H394&amp;H395&amp;H396&amp;H397&amp;H398&amp;H399&amp;H400&amp;H401&amp;H402&amp;H403&amp;H404&amp;H405</f>
      </c>
    </row>
    <row r="394">
      <c r="A394" t="str">
        <v>346 KT</v>
      </c>
      <c r="B394" t="str">
        <v>DV_Uốn</v>
      </c>
      <c r="C394" t="str">
        <v>DV Uốn cao cấp (&gt;340k)</v>
      </c>
      <c r="D394" t="str">
        <v>[DV] Uốn Texture con sâu/Uốn Ruffled</v>
      </c>
      <c r="E394">
        <v>2</v>
      </c>
      <c r="F394">
        <v>674</v>
      </c>
      <c r="G394">
        <v>499000</v>
      </c>
      <c r="H394">
        <v>529000</v>
      </c>
      <c r="I394" s="1"/>
    </row>
    <row r="395">
      <c r="A395" t="str">
        <v>346 KT</v>
      </c>
      <c r="B395" t="str">
        <v>DV_Uốn</v>
      </c>
      <c r="C395" t="str">
        <v>DV Duỗi Ép</v>
      </c>
      <c r="D395" t="str">
        <v>[DV] Ép side hai bên</v>
      </c>
      <c r="E395">
        <v>2</v>
      </c>
      <c r="F395">
        <v>902</v>
      </c>
      <c r="G395">
        <v>189000</v>
      </c>
      <c r="H395">
        <v>199000</v>
      </c>
      <c r="I395" s="1"/>
    </row>
    <row r="396">
      <c r="A396" t="str">
        <v>346 KT</v>
      </c>
      <c r="B396" t="str">
        <v>DV_Nhuộm</v>
      </c>
      <c r="C396" t="str">
        <v>DV Nhuộm tiêu chuẩn (&lt;300k)</v>
      </c>
      <c r="D396" t="str">
        <v>[DV] Nhuộm đen phủ bạc R&amp;B thảo dược</v>
      </c>
      <c r="E396">
        <v>2</v>
      </c>
      <c r="F396">
        <v>912</v>
      </c>
      <c r="G396">
        <v>289000</v>
      </c>
      <c r="H396">
        <v>319000</v>
      </c>
      <c r="I396" s="1"/>
    </row>
    <row r="397">
      <c r="A397" t="str">
        <v>346 KT</v>
      </c>
      <c r="B397" t="str">
        <v>DV_Nhuộm</v>
      </c>
      <c r="C397" t="str">
        <v>DV Nhuộm tiêu chuẩn (&lt;300k)</v>
      </c>
      <c r="D397" t="str">
        <v>[DV] Tẩy tóc bật tông Ý (1 lần)</v>
      </c>
      <c r="E397">
        <v>2</v>
      </c>
      <c r="F397">
        <v>915</v>
      </c>
      <c r="G397">
        <v>252000</v>
      </c>
      <c r="H397">
        <v>269000</v>
      </c>
      <c r="I397" s="1"/>
    </row>
    <row r="398">
      <c r="A398" t="str">
        <v>346 KT</v>
      </c>
      <c r="B398" t="str">
        <v>DV_Nhuộm</v>
      </c>
      <c r="C398" t="str">
        <v>DV Nhuộm tiêu chuẩn (&lt;300k)</v>
      </c>
      <c r="D398" t="str">
        <v>[DV] Tẩy tóc bật tông Ý (2 lần) 500k</v>
      </c>
      <c r="E398">
        <v>2</v>
      </c>
      <c r="F398">
        <v>916</v>
      </c>
      <c r="G398">
        <v>500000</v>
      </c>
      <c r="H398">
        <v>529000</v>
      </c>
      <c r="I398" s="1"/>
    </row>
    <row r="399">
      <c r="A399" t="str">
        <v>346 KT</v>
      </c>
      <c r="B399" t="str">
        <v>DV_Uốn</v>
      </c>
      <c r="C399" t="str">
        <v>DV Uốn cao cấp (&gt;340k)</v>
      </c>
      <c r="D399" t="str">
        <v>Uốn định hình nếp tóc cao cấp (K-Perm Collection)</v>
      </c>
      <c r="E399">
        <v>2</v>
      </c>
      <c r="F399">
        <v>952</v>
      </c>
      <c r="G399">
        <v>478000</v>
      </c>
      <c r="H399">
        <v>509000</v>
      </c>
      <c r="I399" s="1"/>
    </row>
    <row r="400">
      <c r="A400" t="str">
        <v>346 KT</v>
      </c>
      <c r="B400" t="str">
        <v>DV_Nhuộm</v>
      </c>
      <c r="C400" t="str">
        <v>DV Nhuộm cao cấp (&gt;300k)</v>
      </c>
      <c r="D400" t="str">
        <v>(NEW) Nhuộm màu thời trang Milano</v>
      </c>
      <c r="E400">
        <v>2</v>
      </c>
      <c r="F400">
        <v>960</v>
      </c>
      <c r="G400">
        <v>332000</v>
      </c>
      <c r="H400">
        <v>369000</v>
      </c>
      <c r="I400" s="1"/>
    </row>
    <row r="401">
      <c r="A401" t="str">
        <v>346 KT</v>
      </c>
      <c r="B401" t="str">
        <v>DV_Nhuộm</v>
      </c>
      <c r="C401" t="str">
        <v>DV Nhuộm tiêu chuẩn (&lt;300k)</v>
      </c>
      <c r="D401" t="str">
        <v>(NEW) Nhuộm phủ bạc tiêu chuẩn 199K</v>
      </c>
      <c r="E401">
        <v>2</v>
      </c>
      <c r="F401">
        <v>967</v>
      </c>
      <c r="G401">
        <v>199000</v>
      </c>
      <c r="H401">
        <v>219000</v>
      </c>
      <c r="I401" s="1"/>
    </row>
    <row r="402">
      <c r="A402" t="str">
        <v>346 KT</v>
      </c>
      <c r="B402" t="str">
        <v>DV_Uốn</v>
      </c>
      <c r="C402" t="str">
        <v>DV Uốn tiêu chuẩn (&lt;340k)</v>
      </c>
      <c r="D402" t="str">
        <v>(NEW) Uốn/Duỗi/Định hình full đầu tạo form vào nếp tự nhiên</v>
      </c>
      <c r="E402">
        <v>2</v>
      </c>
      <c r="F402">
        <v>1009</v>
      </c>
      <c r="G402">
        <v>386000</v>
      </c>
      <c r="H402">
        <v>409000</v>
      </c>
      <c r="I402" s="1"/>
    </row>
    <row r="403">
      <c r="A403" t="str">
        <v>346 KT</v>
      </c>
      <c r="B403" t="str">
        <v>DV_Dưỡng</v>
      </c>
      <c r="C403" t="str">
        <v>DV Dưỡng</v>
      </c>
      <c r="D403" t="str">
        <v>Phục hồi trẻ hóa Lipid Bond</v>
      </c>
      <c r="E403">
        <v>2</v>
      </c>
      <c r="F403">
        <v>1101</v>
      </c>
      <c r="G403">
        <v>132000</v>
      </c>
      <c r="H403">
        <v>146000</v>
      </c>
      <c r="I403" s="1"/>
    </row>
    <row r="404">
      <c r="A404" t="str">
        <v>346 KT</v>
      </c>
      <c r="B404" t="str">
        <v>DV_Uốn</v>
      </c>
      <c r="C404" t="str">
        <v>DV Uốn cao cấp (&gt;340k)</v>
      </c>
      <c r="D404" t="str">
        <v>UỐN THIẾT KẾ PHỤC HỒI CHUYÊN SÂU LIPID BOND 2025</v>
      </c>
      <c r="E404">
        <v>2</v>
      </c>
      <c r="F404">
        <v>1148</v>
      </c>
      <c r="G404">
        <v>689000</v>
      </c>
      <c r="H404">
        <v>729000</v>
      </c>
      <c r="I404" s="1"/>
    </row>
    <row r="405">
      <c r="A405" t="str">
        <v>346 KT</v>
      </c>
      <c r="B405" t="str">
        <v>DV_Nhuộm</v>
      </c>
      <c r="C405" t="str">
        <v>DV Nhuộm cao cấp (&gt;300k)</v>
      </c>
      <c r="D405" t="str">
        <v>NHUỘM THIẾT KẾ PHỤC HỒI CHUYÊN SÂU LIPID BOND 2025</v>
      </c>
      <c r="E405">
        <v>2</v>
      </c>
      <c r="F405">
        <v>1149</v>
      </c>
      <c r="G405">
        <v>689000</v>
      </c>
      <c r="H405">
        <v>759000</v>
      </c>
      <c r="I405" s="1"/>
    </row>
    <row r="406">
      <c r="A406" t="str">
        <v>36 N1 BD</v>
      </c>
      <c r="B406" t="str">
        <v>DV_Dưỡng</v>
      </c>
      <c r="C406" t="str">
        <v>DV Dưỡng</v>
      </c>
      <c r="D406" t="str">
        <v>(2022T) ATS Control Buffer - Khử mùi tạo thơm cho tóc uốn nhuộm 40k</v>
      </c>
      <c r="E406">
        <v>184</v>
      </c>
      <c r="F406">
        <v>610</v>
      </c>
      <c r="G406">
        <v>40000</v>
      </c>
      <c r="H406">
        <v>40000</v>
      </c>
      <c r="J406">
        <f>H406&amp;H407&amp;H408&amp;H409&amp;H410&amp;H411&amp;H412&amp;H413&amp;H414&amp;H415&amp;H416&amp;H417&amp;H418</f>
      </c>
    </row>
    <row r="407">
      <c r="A407" t="str">
        <v>36 N1 BD</v>
      </c>
      <c r="B407" t="str">
        <v>DV_Uốn</v>
      </c>
      <c r="C407" t="str">
        <v>DV Uốn cao cấp (&gt;340k)</v>
      </c>
      <c r="D407" t="str">
        <v>[DV] Uốn Texture con sâu/Uốn Ruffled</v>
      </c>
      <c r="E407">
        <v>184</v>
      </c>
      <c r="F407">
        <v>674</v>
      </c>
      <c r="G407">
        <v>499000</v>
      </c>
      <c r="H407">
        <v>499000</v>
      </c>
    </row>
    <row r="408">
      <c r="A408" t="str">
        <v>36 N1 BD</v>
      </c>
      <c r="B408" t="str">
        <v>DV_Uốn</v>
      </c>
      <c r="C408" t="str">
        <v>DV Duỗi Ép</v>
      </c>
      <c r="D408" t="str">
        <v>[DV] Ép side hai bên</v>
      </c>
      <c r="E408">
        <v>184</v>
      </c>
      <c r="F408">
        <v>902</v>
      </c>
      <c r="G408">
        <v>189000</v>
      </c>
      <c r="H408">
        <v>189000</v>
      </c>
    </row>
    <row r="409">
      <c r="A409" t="str">
        <v>36 N1 BD</v>
      </c>
      <c r="B409" t="str">
        <v>DV_Nhuộm</v>
      </c>
      <c r="C409" t="str">
        <v>DV Nhuộm tiêu chuẩn (&lt;300k)</v>
      </c>
      <c r="D409" t="str">
        <v>[DV] Nhuộm đen phủ bạc R&amp;B thảo dược</v>
      </c>
      <c r="E409">
        <v>184</v>
      </c>
      <c r="F409">
        <v>912</v>
      </c>
      <c r="G409">
        <v>289000</v>
      </c>
      <c r="H409">
        <v>289000</v>
      </c>
    </row>
    <row r="410">
      <c r="A410" t="str">
        <v>36 N1 BD</v>
      </c>
      <c r="B410" t="str">
        <v>DV_Nhuộm</v>
      </c>
      <c r="C410" t="str">
        <v>DV Nhuộm tiêu chuẩn (&lt;300k)</v>
      </c>
      <c r="D410" t="str">
        <v>[DV] Tẩy tóc bật tông Ý (1 lần)</v>
      </c>
      <c r="E410">
        <v>184</v>
      </c>
      <c r="F410">
        <v>915</v>
      </c>
      <c r="G410">
        <v>252000</v>
      </c>
      <c r="H410">
        <v>252000</v>
      </c>
    </row>
    <row r="411">
      <c r="A411" t="str">
        <v>36 N1 BD</v>
      </c>
      <c r="B411" t="str">
        <v>DV_Nhuộm</v>
      </c>
      <c r="C411" t="str">
        <v>DV Nhuộm tiêu chuẩn (&lt;300k)</v>
      </c>
      <c r="D411" t="str">
        <v>[DV] Tẩy tóc bật tông Ý (2 lần) 500k</v>
      </c>
      <c r="E411">
        <v>184</v>
      </c>
      <c r="F411">
        <v>916</v>
      </c>
      <c r="G411">
        <v>500000</v>
      </c>
      <c r="H411">
        <v>500000</v>
      </c>
    </row>
    <row r="412">
      <c r="A412" t="str">
        <v>36 N1 BD</v>
      </c>
      <c r="B412" t="str">
        <v>DV_Uốn</v>
      </c>
      <c r="C412" t="str">
        <v>DV Uốn cao cấp (&gt;340k)</v>
      </c>
      <c r="D412" t="str">
        <v>Uốn định hình nếp tóc cao cấp (K-Perm Collection)</v>
      </c>
      <c r="E412">
        <v>184</v>
      </c>
      <c r="F412">
        <v>952</v>
      </c>
      <c r="G412">
        <v>478000</v>
      </c>
      <c r="H412">
        <v>478000</v>
      </c>
    </row>
    <row r="413">
      <c r="A413" t="str">
        <v>36 N1 BD</v>
      </c>
      <c r="B413" t="str">
        <v>DV_Nhuộm</v>
      </c>
      <c r="C413" t="str">
        <v>DV Nhuộm cao cấp (&gt;300k)</v>
      </c>
      <c r="D413" t="str">
        <v>(NEW) Nhuộm màu thời trang Milano</v>
      </c>
      <c r="E413">
        <v>184</v>
      </c>
      <c r="F413">
        <v>960</v>
      </c>
      <c r="G413">
        <v>332000</v>
      </c>
      <c r="H413">
        <v>332000</v>
      </c>
    </row>
    <row r="414">
      <c r="A414" t="str">
        <v>36 N1 BD</v>
      </c>
      <c r="B414" t="str">
        <v>DV_Nhuộm</v>
      </c>
      <c r="C414" t="str">
        <v>DV Nhuộm tiêu chuẩn (&lt;300k)</v>
      </c>
      <c r="D414" t="str">
        <v>(NEW) Nhuộm phủ bạc tiêu chuẩn 199K</v>
      </c>
      <c r="E414">
        <v>184</v>
      </c>
      <c r="F414">
        <v>967</v>
      </c>
      <c r="G414">
        <v>199000</v>
      </c>
      <c r="H414">
        <v>199000</v>
      </c>
    </row>
    <row r="415">
      <c r="A415" t="str">
        <v>36 N1 BD</v>
      </c>
      <c r="B415" t="str">
        <v>DV_Uốn</v>
      </c>
      <c r="C415" t="str">
        <v>DV Uốn tiêu chuẩn (&lt;340k)</v>
      </c>
      <c r="D415" t="str">
        <v>(NEW) Uốn/Duỗi/Định hình full đầu tạo form vào nếp tự nhiên</v>
      </c>
      <c r="E415">
        <v>184</v>
      </c>
      <c r="F415">
        <v>1009</v>
      </c>
      <c r="G415">
        <v>386000</v>
      </c>
      <c r="H415">
        <v>386000</v>
      </c>
    </row>
    <row r="416">
      <c r="A416" t="str">
        <v>36 N1 BD</v>
      </c>
      <c r="B416" t="str">
        <v>DV_Dưỡng</v>
      </c>
      <c r="C416" t="str">
        <v>DV Dưỡng</v>
      </c>
      <c r="D416" t="str">
        <v>Phục hồi trẻ hóa Lipid Bond</v>
      </c>
      <c r="E416">
        <v>184</v>
      </c>
      <c r="F416">
        <v>1101</v>
      </c>
      <c r="G416">
        <v>132000</v>
      </c>
      <c r="H416">
        <v>146000</v>
      </c>
    </row>
    <row r="417">
      <c r="A417" t="str">
        <v>36 N1 BD</v>
      </c>
      <c r="B417" t="str">
        <v>DV_Uốn</v>
      </c>
      <c r="C417" t="str">
        <v>DV Uốn cao cấp (&gt;340k)</v>
      </c>
      <c r="D417" t="str">
        <v>UỐN THIẾT KẾ PHỤC HỒI CHUYÊN SÂU LIPID BOND 2025</v>
      </c>
      <c r="E417">
        <v>184</v>
      </c>
      <c r="F417">
        <v>1148</v>
      </c>
      <c r="G417">
        <v>689000</v>
      </c>
      <c r="H417">
        <v>689000</v>
      </c>
    </row>
    <row r="418">
      <c r="A418" t="str">
        <v>36 N1 BD</v>
      </c>
      <c r="B418" t="str">
        <v>DV_Nhuộm</v>
      </c>
      <c r="C418" t="str">
        <v>DV Nhuộm cao cấp (&gt;300k)</v>
      </c>
      <c r="D418" t="str">
        <v>NHUỘM THIẾT KẾ PHỤC HỒI CHUYÊN SÂU LIPID BOND 2025</v>
      </c>
      <c r="E418">
        <v>184</v>
      </c>
      <c r="F418">
        <v>1149</v>
      </c>
      <c r="G418">
        <v>689000</v>
      </c>
      <c r="H418">
        <v>689000</v>
      </c>
    </row>
    <row r="419">
      <c r="A419" t="str">
        <v>36 N1 BD</v>
      </c>
      <c r="B419" t="str">
        <v>DV_Uốn</v>
      </c>
      <c r="C419" t="str">
        <v>Combo UND</v>
      </c>
      <c r="D419" t="str">
        <v>Uốn/ Nhuộm thiết kế phục hồi 2025</v>
      </c>
      <c r="E419">
        <v>184</v>
      </c>
      <c r="F419">
        <v>1193</v>
      </c>
      <c r="G419">
        <v>1199000</v>
      </c>
      <c r="H419">
        <v>1199000</v>
      </c>
    </row>
    <row r="420">
      <c r="A420" t="str">
        <v>362 NGT BN</v>
      </c>
      <c r="B420" t="str">
        <v>DV_Dưỡng</v>
      </c>
      <c r="C420" t="str">
        <v>DV Dưỡng</v>
      </c>
      <c r="D420" t="str">
        <v>(2022T) ATS Control Buffer - Khử mùi tạo thơm cho tóc uốn nhuộm 40k</v>
      </c>
      <c r="E420">
        <v>302</v>
      </c>
      <c r="F420">
        <v>610</v>
      </c>
      <c r="G420">
        <v>40000</v>
      </c>
      <c r="H420">
        <v>40000</v>
      </c>
      <c r="I420" s="1" t="s">
        <v>7</v>
      </c>
      <c r="J420">
        <f>H420&amp;H421&amp;H422&amp;H423&amp;H424&amp;H425&amp;H426&amp;H427&amp;H428&amp;H429&amp;H430&amp;H431&amp;H432</f>
      </c>
    </row>
    <row r="421">
      <c r="A421" t="str">
        <v>362 NGT BN</v>
      </c>
      <c r="B421" t="str">
        <v>DV_Uốn</v>
      </c>
      <c r="C421" t="str">
        <v>DV Uốn cao cấp (&gt;340k)</v>
      </c>
      <c r="D421" t="str">
        <v>[DV] Uốn Texture con sâu/Uốn Ruffled</v>
      </c>
      <c r="E421">
        <v>302</v>
      </c>
      <c r="F421">
        <v>674</v>
      </c>
      <c r="G421">
        <v>499000</v>
      </c>
      <c r="H421">
        <v>499000</v>
      </c>
      <c r="I421" s="1"/>
    </row>
    <row r="422">
      <c r="A422" t="str">
        <v>362 NGT BN</v>
      </c>
      <c r="B422" t="str">
        <v>DV_Uốn</v>
      </c>
      <c r="C422" t="str">
        <v>DV Duỗi Ép</v>
      </c>
      <c r="D422" t="str">
        <v>[DV] Ép side hai bên</v>
      </c>
      <c r="E422">
        <v>302</v>
      </c>
      <c r="F422">
        <v>902</v>
      </c>
      <c r="G422">
        <v>189000</v>
      </c>
      <c r="H422">
        <v>209000</v>
      </c>
      <c r="I422" s="1"/>
    </row>
    <row r="423">
      <c r="A423" t="str">
        <v>362 NGT BN</v>
      </c>
      <c r="B423" t="str">
        <v>DV_Nhuộm</v>
      </c>
      <c r="C423" t="str">
        <v>DV Nhuộm tiêu chuẩn (&lt;300k)</v>
      </c>
      <c r="D423" t="str">
        <v>[DV] Nhuộm đen phủ bạc R&amp;B thảo dược</v>
      </c>
      <c r="E423">
        <v>302</v>
      </c>
      <c r="F423">
        <v>912</v>
      </c>
      <c r="G423">
        <v>289000</v>
      </c>
      <c r="H423">
        <v>289000</v>
      </c>
      <c r="I423" s="1"/>
    </row>
    <row r="424">
      <c r="A424" t="str">
        <v>362 NGT BN</v>
      </c>
      <c r="B424" t="str">
        <v>DV_Nhuộm</v>
      </c>
      <c r="C424" t="str">
        <v>DV Nhuộm tiêu chuẩn (&lt;300k)</v>
      </c>
      <c r="D424" t="str">
        <v>[DV] Tẩy tóc bật tông Ý (1 lần)</v>
      </c>
      <c r="E424">
        <v>302</v>
      </c>
      <c r="F424">
        <v>915</v>
      </c>
      <c r="G424">
        <v>252000</v>
      </c>
      <c r="H424">
        <v>252000</v>
      </c>
      <c r="I424" s="1"/>
    </row>
    <row r="425">
      <c r="A425" t="str">
        <v>362 NGT BN</v>
      </c>
      <c r="B425" t="str">
        <v>DV_Nhuộm</v>
      </c>
      <c r="C425" t="str">
        <v>DV Nhuộm tiêu chuẩn (&lt;300k)</v>
      </c>
      <c r="D425" t="str">
        <v>[DV] Tẩy tóc bật tông Ý (2 lần) 500k</v>
      </c>
      <c r="E425">
        <v>302</v>
      </c>
      <c r="F425">
        <v>916</v>
      </c>
      <c r="G425">
        <v>500000</v>
      </c>
      <c r="H425">
        <v>500000</v>
      </c>
      <c r="I425" s="1"/>
    </row>
    <row r="426">
      <c r="A426" t="str">
        <v>362 NGT BN</v>
      </c>
      <c r="B426" t="str">
        <v>DV_Uốn</v>
      </c>
      <c r="C426" t="str">
        <v>DV Uốn cao cấp (&gt;340k)</v>
      </c>
      <c r="D426" t="str">
        <v>Uốn định hình nếp tóc cao cấp (K-Perm Collection)</v>
      </c>
      <c r="E426">
        <v>302</v>
      </c>
      <c r="F426">
        <v>952</v>
      </c>
      <c r="G426">
        <v>478000</v>
      </c>
      <c r="H426">
        <v>478000</v>
      </c>
      <c r="I426" s="1"/>
    </row>
    <row r="427">
      <c r="A427" t="str">
        <v>362 NGT BN</v>
      </c>
      <c r="B427" t="str">
        <v>DV_Nhuộm</v>
      </c>
      <c r="C427" t="str">
        <v>DV Nhuộm cao cấp (&gt;300k)</v>
      </c>
      <c r="D427" t="str">
        <v>(NEW) Nhuộm màu thời trang Milano</v>
      </c>
      <c r="E427">
        <v>302</v>
      </c>
      <c r="F427">
        <v>960</v>
      </c>
      <c r="G427">
        <v>332000</v>
      </c>
      <c r="H427">
        <v>349000</v>
      </c>
      <c r="I427" s="1"/>
    </row>
    <row r="428">
      <c r="A428" t="str">
        <v>362 NGT BN</v>
      </c>
      <c r="B428" t="str">
        <v>DV_Nhuộm</v>
      </c>
      <c r="C428" t="str">
        <v>DV Nhuộm tiêu chuẩn (&lt;300k)</v>
      </c>
      <c r="D428" t="str">
        <v>(NEW) Nhuộm phủ bạc tiêu chuẩn 199K</v>
      </c>
      <c r="E428">
        <v>302</v>
      </c>
      <c r="F428">
        <v>967</v>
      </c>
      <c r="G428">
        <v>199000</v>
      </c>
      <c r="H428">
        <v>199000</v>
      </c>
      <c r="I428" s="1"/>
    </row>
    <row r="429">
      <c r="A429" t="str">
        <v>362 NGT BN</v>
      </c>
      <c r="B429" t="str">
        <v>DV_Uốn</v>
      </c>
      <c r="C429" t="str">
        <v>DV Uốn tiêu chuẩn (&lt;340k)</v>
      </c>
      <c r="D429" t="str">
        <v>(NEW) Uốn/Duỗi/Định hình full đầu tạo form vào nếp tự nhiên</v>
      </c>
      <c r="E429">
        <v>302</v>
      </c>
      <c r="F429">
        <v>1009</v>
      </c>
      <c r="G429">
        <v>386000</v>
      </c>
      <c r="H429">
        <v>386000</v>
      </c>
      <c r="I429" s="1"/>
    </row>
    <row r="430">
      <c r="A430" t="str">
        <v>362 NGT BN</v>
      </c>
      <c r="B430" t="str">
        <v>DV_Dưỡng</v>
      </c>
      <c r="C430" t="str">
        <v>DV Dưỡng</v>
      </c>
      <c r="D430" t="str">
        <v>Phục hồi trẻ hóa Lipid Bond</v>
      </c>
      <c r="E430">
        <v>302</v>
      </c>
      <c r="F430">
        <v>1101</v>
      </c>
      <c r="G430">
        <v>132000</v>
      </c>
      <c r="H430">
        <v>146000</v>
      </c>
      <c r="I430" s="1"/>
    </row>
    <row r="431">
      <c r="A431" t="str">
        <v>362 NGT BN</v>
      </c>
      <c r="B431" t="str">
        <v>DV_Uốn</v>
      </c>
      <c r="C431" t="str">
        <v>DV Uốn cao cấp (&gt;340k)</v>
      </c>
      <c r="D431" t="str">
        <v>UỐN THIẾT KẾ PHỤC HỒI CHUYÊN SÂU LIPID BOND 2025</v>
      </c>
      <c r="E431">
        <v>302</v>
      </c>
      <c r="F431">
        <v>1148</v>
      </c>
      <c r="G431">
        <v>689000</v>
      </c>
      <c r="H431">
        <v>689000</v>
      </c>
      <c r="I431" s="1"/>
    </row>
    <row r="432">
      <c r="A432" t="str">
        <v>362 NGT BN</v>
      </c>
      <c r="B432" t="str">
        <v>DV_Nhuộm</v>
      </c>
      <c r="C432" t="str">
        <v>DV Nhuộm cao cấp (&gt;300k)</v>
      </c>
      <c r="D432" t="str">
        <v>NHUỘM THIẾT KẾ PHỤC HỒI CHUYÊN SÂU LIPID BOND 2025</v>
      </c>
      <c r="E432">
        <v>302</v>
      </c>
      <c r="F432">
        <v>1149</v>
      </c>
      <c r="G432">
        <v>689000</v>
      </c>
      <c r="H432">
        <v>729000</v>
      </c>
      <c r="I432" s="1"/>
    </row>
    <row r="433">
      <c r="A433" t="str">
        <v>363 LNQ TN</v>
      </c>
      <c r="B433" t="str">
        <v>DV_Dưỡng</v>
      </c>
      <c r="C433" t="str">
        <v>DV Dưỡng</v>
      </c>
      <c r="D433" t="str">
        <v>(2022T) ATS Control Buffer - Khử mùi tạo thơm cho tóc uốn nhuộm 40k</v>
      </c>
      <c r="E433">
        <v>85</v>
      </c>
      <c r="F433">
        <v>610</v>
      </c>
      <c r="G433">
        <v>40000</v>
      </c>
      <c r="H433">
        <v>40000</v>
      </c>
      <c r="J433">
        <f>H433&amp;H434&amp;H435&amp;H436&amp;H437&amp;H438&amp;H439&amp;H440&amp;H441&amp;H442&amp;H443&amp;H444&amp;H445</f>
      </c>
    </row>
    <row r="434">
      <c r="A434" t="str">
        <v>363 LNQ TN</v>
      </c>
      <c r="B434" t="str">
        <v>DV_Uốn</v>
      </c>
      <c r="C434" t="str">
        <v>DV Uốn cao cấp (&gt;340k)</v>
      </c>
      <c r="D434" t="str">
        <v>[DV] Uốn Texture con sâu/Uốn Ruffled</v>
      </c>
      <c r="E434">
        <v>85</v>
      </c>
      <c r="F434">
        <v>674</v>
      </c>
      <c r="G434">
        <v>499000</v>
      </c>
      <c r="H434">
        <v>529000</v>
      </c>
    </row>
    <row r="435">
      <c r="A435" t="str">
        <v>363 LNQ TN</v>
      </c>
      <c r="B435" t="str">
        <v>DV_Uốn</v>
      </c>
      <c r="C435" t="str">
        <v>DV Duỗi Ép</v>
      </c>
      <c r="D435" t="str">
        <v>[DV] Ép side hai bên</v>
      </c>
      <c r="E435">
        <v>85</v>
      </c>
      <c r="F435">
        <v>902</v>
      </c>
      <c r="G435">
        <v>189000</v>
      </c>
      <c r="H435">
        <v>199000</v>
      </c>
    </row>
    <row r="436">
      <c r="A436" t="str">
        <v>363 LNQ TN</v>
      </c>
      <c r="B436" t="str">
        <v>DV_Nhuộm</v>
      </c>
      <c r="C436" t="str">
        <v>DV Nhuộm tiêu chuẩn (&lt;300k)</v>
      </c>
      <c r="D436" t="str">
        <v>[DV] Nhuộm đen phủ bạc R&amp;B thảo dược</v>
      </c>
      <c r="E436">
        <v>85</v>
      </c>
      <c r="F436">
        <v>912</v>
      </c>
      <c r="G436">
        <v>289000</v>
      </c>
      <c r="H436">
        <v>309000</v>
      </c>
    </row>
    <row r="437">
      <c r="A437" t="str">
        <v>363 LNQ TN</v>
      </c>
      <c r="B437" t="str">
        <v>DV_Nhuộm</v>
      </c>
      <c r="C437" t="str">
        <v>DV Nhuộm tiêu chuẩn (&lt;300k)</v>
      </c>
      <c r="D437" t="str">
        <v>[DV] Tẩy tóc bật tông Ý (1 lần)</v>
      </c>
      <c r="E437">
        <v>85</v>
      </c>
      <c r="F437">
        <v>915</v>
      </c>
      <c r="G437">
        <v>252000</v>
      </c>
      <c r="H437">
        <v>269000</v>
      </c>
    </row>
    <row r="438">
      <c r="A438" t="str">
        <v>363 LNQ TN</v>
      </c>
      <c r="B438" t="str">
        <v>DV_Nhuộm</v>
      </c>
      <c r="C438" t="str">
        <v>DV Nhuộm tiêu chuẩn (&lt;300k)</v>
      </c>
      <c r="D438" t="str">
        <v>[DV] Tẩy tóc bật tông Ý (2 lần) 500k</v>
      </c>
      <c r="E438">
        <v>85</v>
      </c>
      <c r="F438">
        <v>916</v>
      </c>
      <c r="G438">
        <v>500000</v>
      </c>
      <c r="H438">
        <v>529000</v>
      </c>
    </row>
    <row r="439">
      <c r="A439" t="str">
        <v>363 LNQ TN</v>
      </c>
      <c r="B439" t="str">
        <v>DV_Uốn</v>
      </c>
      <c r="C439" t="str">
        <v>DV Uốn cao cấp (&gt;340k)</v>
      </c>
      <c r="D439" t="str">
        <v>Uốn định hình nếp tóc cao cấp (K-Perm Collection)</v>
      </c>
      <c r="E439">
        <v>85</v>
      </c>
      <c r="F439">
        <v>952</v>
      </c>
      <c r="G439">
        <v>478000</v>
      </c>
      <c r="H439">
        <v>509000</v>
      </c>
    </row>
    <row r="440">
      <c r="A440" t="str">
        <v>363 LNQ TN</v>
      </c>
      <c r="B440" t="str">
        <v>DV_Nhuộm</v>
      </c>
      <c r="C440" t="str">
        <v>DV Nhuộm cao cấp (&gt;300k)</v>
      </c>
      <c r="D440" t="str">
        <v>(NEW) Nhuộm màu thời trang Milano</v>
      </c>
      <c r="E440">
        <v>85</v>
      </c>
      <c r="F440">
        <v>960</v>
      </c>
      <c r="G440">
        <v>332000</v>
      </c>
      <c r="H440">
        <v>349000</v>
      </c>
    </row>
    <row r="441">
      <c r="A441" t="str">
        <v>363 LNQ TN</v>
      </c>
      <c r="B441" t="str">
        <v>DV_Nhuộm</v>
      </c>
      <c r="C441" t="str">
        <v>DV Nhuộm tiêu chuẩn (&lt;300k)</v>
      </c>
      <c r="D441" t="str">
        <v>(NEW) Nhuộm phủ bạc tiêu chuẩn 199K</v>
      </c>
      <c r="E441">
        <v>85</v>
      </c>
      <c r="F441">
        <v>967</v>
      </c>
      <c r="G441">
        <v>199000</v>
      </c>
      <c r="H441">
        <v>209000</v>
      </c>
    </row>
    <row r="442">
      <c r="A442" t="str">
        <v>363 LNQ TN</v>
      </c>
      <c r="B442" t="str">
        <v>DV_Uốn</v>
      </c>
      <c r="C442" t="str">
        <v>DV Uốn tiêu chuẩn (&lt;340k)</v>
      </c>
      <c r="D442" t="str">
        <v>(NEW) Uốn/Duỗi/Định hình full đầu tạo form vào nếp tự nhiên</v>
      </c>
      <c r="E442">
        <v>85</v>
      </c>
      <c r="F442">
        <v>1009</v>
      </c>
      <c r="G442">
        <v>386000</v>
      </c>
      <c r="H442">
        <v>409000</v>
      </c>
    </row>
    <row r="443">
      <c r="A443" t="str">
        <v>363 LNQ TN</v>
      </c>
      <c r="B443" t="str">
        <v>DV_Dưỡng</v>
      </c>
      <c r="C443" t="str">
        <v>DV Dưỡng</v>
      </c>
      <c r="D443" t="str">
        <v>Phục hồi trẻ hóa Lipid Bond</v>
      </c>
      <c r="E443">
        <v>85</v>
      </c>
      <c r="F443">
        <v>1101</v>
      </c>
      <c r="G443">
        <v>132000</v>
      </c>
      <c r="H443">
        <v>146000</v>
      </c>
    </row>
    <row r="444">
      <c r="A444" t="str">
        <v>363 LNQ TN</v>
      </c>
      <c r="B444" t="str">
        <v>DV_Uốn</v>
      </c>
      <c r="C444" t="str">
        <v>DV Uốn cao cấp (&gt;340k)</v>
      </c>
      <c r="D444" t="str">
        <v>UỐN THIẾT KẾ PHỤC HỒI CHUYÊN SÂU LIPID BOND 2025</v>
      </c>
      <c r="E444">
        <v>85</v>
      </c>
      <c r="F444">
        <v>1148</v>
      </c>
      <c r="G444">
        <v>689000</v>
      </c>
      <c r="H444">
        <v>729000</v>
      </c>
    </row>
    <row r="445">
      <c r="A445" t="str">
        <v>363 LNQ TN</v>
      </c>
      <c r="B445" t="str">
        <v>DV_Nhuộm</v>
      </c>
      <c r="C445" t="str">
        <v>DV Nhuộm cao cấp (&gt;300k)</v>
      </c>
      <c r="D445" t="str">
        <v>NHUỘM THIẾT KẾ PHỤC HỒI CHUYÊN SÂU LIPID BOND 2025</v>
      </c>
      <c r="E445">
        <v>85</v>
      </c>
      <c r="F445">
        <v>1149</v>
      </c>
      <c r="G445">
        <v>689000</v>
      </c>
      <c r="H445">
        <v>729000</v>
      </c>
    </row>
    <row r="446">
      <c r="A446" t="str">
        <v>382 NT</v>
      </c>
      <c r="B446" t="str">
        <v>DV_Dưỡng</v>
      </c>
      <c r="C446" t="str">
        <v>DV Dưỡng</v>
      </c>
      <c r="D446" t="str">
        <v>(2022T) ATS Control Buffer - Khử mùi tạo thơm cho tóc uốn nhuộm 40k</v>
      </c>
      <c r="E446">
        <v>20</v>
      </c>
      <c r="F446">
        <v>610</v>
      </c>
      <c r="G446">
        <v>40000</v>
      </c>
      <c r="H446">
        <v>40000</v>
      </c>
      <c r="J446">
        <f>H446&amp;H447&amp;H448&amp;H449&amp;H450&amp;H451&amp;H452&amp;H453&amp;H454&amp;H455&amp;H456&amp;H457&amp;H458</f>
      </c>
    </row>
    <row r="447">
      <c r="A447" t="str">
        <v>382 NT</v>
      </c>
      <c r="B447" t="str">
        <v>DV_Uốn</v>
      </c>
      <c r="C447" t="str">
        <v>DV Uốn cao cấp (&gt;340k)</v>
      </c>
      <c r="D447" t="str">
        <v>[DV] Uốn Texture con sâu/Uốn Ruffled</v>
      </c>
      <c r="E447">
        <v>20</v>
      </c>
      <c r="F447">
        <v>674</v>
      </c>
      <c r="G447">
        <v>499000</v>
      </c>
      <c r="H447">
        <v>499000</v>
      </c>
    </row>
    <row r="448">
      <c r="A448" t="str">
        <v>382 NT</v>
      </c>
      <c r="B448" t="str">
        <v>DV_Uốn</v>
      </c>
      <c r="C448" t="str">
        <v>DV Duỗi Ép</v>
      </c>
      <c r="D448" t="str">
        <v>[DV] Ép side hai bên</v>
      </c>
      <c r="E448">
        <v>20</v>
      </c>
      <c r="F448">
        <v>902</v>
      </c>
      <c r="G448">
        <v>189000</v>
      </c>
      <c r="H448">
        <v>209000</v>
      </c>
    </row>
    <row r="449">
      <c r="A449" t="str">
        <v>382 NT</v>
      </c>
      <c r="B449" t="str">
        <v>DV_Nhuộm</v>
      </c>
      <c r="C449" t="str">
        <v>DV Nhuộm tiêu chuẩn (&lt;300k)</v>
      </c>
      <c r="D449" t="str">
        <v>[DV] Nhuộm đen phủ bạc R&amp;B thảo dược</v>
      </c>
      <c r="E449">
        <v>20</v>
      </c>
      <c r="F449">
        <v>912</v>
      </c>
      <c r="G449">
        <v>289000</v>
      </c>
      <c r="H449">
        <v>309000</v>
      </c>
    </row>
    <row r="450">
      <c r="A450" t="str">
        <v>382 NT</v>
      </c>
      <c r="B450" t="str">
        <v>DV_Nhuộm</v>
      </c>
      <c r="C450" t="str">
        <v>DV Nhuộm tiêu chuẩn (&lt;300k)</v>
      </c>
      <c r="D450" t="str">
        <v>[DV] Tẩy tóc bật tông Ý (1 lần)</v>
      </c>
      <c r="E450">
        <v>20</v>
      </c>
      <c r="F450">
        <v>915</v>
      </c>
      <c r="G450">
        <v>252000</v>
      </c>
      <c r="H450">
        <v>269000</v>
      </c>
    </row>
    <row r="451">
      <c r="A451" t="str">
        <v>382 NT</v>
      </c>
      <c r="B451" t="str">
        <v>DV_Nhuộm</v>
      </c>
      <c r="C451" t="str">
        <v>DV Nhuộm tiêu chuẩn (&lt;300k)</v>
      </c>
      <c r="D451" t="str">
        <v>[DV] Tẩy tóc bật tông Ý (2 lần) 500k</v>
      </c>
      <c r="E451">
        <v>20</v>
      </c>
      <c r="F451">
        <v>916</v>
      </c>
      <c r="G451">
        <v>500000</v>
      </c>
      <c r="H451">
        <v>529000</v>
      </c>
    </row>
    <row r="452">
      <c r="A452" t="str">
        <v>382 NT</v>
      </c>
      <c r="B452" t="str">
        <v>DV_Uốn</v>
      </c>
      <c r="C452" t="str">
        <v>DV Uốn cao cấp (&gt;340k)</v>
      </c>
      <c r="D452" t="str">
        <v>Uốn định hình nếp tóc cao cấp (K-Perm Collection)</v>
      </c>
      <c r="E452">
        <v>20</v>
      </c>
      <c r="F452">
        <v>952</v>
      </c>
      <c r="G452">
        <v>478000</v>
      </c>
      <c r="H452">
        <v>478000</v>
      </c>
    </row>
    <row r="453">
      <c r="A453" t="str">
        <v>382 NT</v>
      </c>
      <c r="B453" t="str">
        <v>DV_Nhuộm</v>
      </c>
      <c r="C453" t="str">
        <v>DV Nhuộm cao cấp (&gt;300k)</v>
      </c>
      <c r="D453" t="str">
        <v>(NEW) Nhuộm màu thời trang Milano</v>
      </c>
      <c r="E453">
        <v>20</v>
      </c>
      <c r="F453">
        <v>960</v>
      </c>
      <c r="G453">
        <v>332000</v>
      </c>
      <c r="H453">
        <v>369000</v>
      </c>
    </row>
    <row r="454">
      <c r="A454" t="str">
        <v>382 NT</v>
      </c>
      <c r="B454" t="str">
        <v>DV_Nhuộm</v>
      </c>
      <c r="C454" t="str">
        <v>DV Nhuộm tiêu chuẩn (&lt;300k)</v>
      </c>
      <c r="D454" t="str">
        <v>(NEW) Nhuộm phủ bạc tiêu chuẩn 199K</v>
      </c>
      <c r="E454">
        <v>20</v>
      </c>
      <c r="F454">
        <v>967</v>
      </c>
      <c r="G454">
        <v>199000</v>
      </c>
      <c r="H454">
        <v>209000</v>
      </c>
    </row>
    <row r="455">
      <c r="A455" t="str">
        <v>382 NT</v>
      </c>
      <c r="B455" t="str">
        <v>DV_Uốn</v>
      </c>
      <c r="C455" t="str">
        <v>DV Uốn tiêu chuẩn (&lt;340k)</v>
      </c>
      <c r="D455" t="str">
        <v>(NEW) Uốn/Duỗi/Định hình full đầu tạo form vào nếp tự nhiên</v>
      </c>
      <c r="E455">
        <v>20</v>
      </c>
      <c r="F455">
        <v>1009</v>
      </c>
      <c r="G455">
        <v>386000</v>
      </c>
      <c r="H455">
        <v>386000</v>
      </c>
    </row>
    <row r="456">
      <c r="A456" t="str">
        <v>382 NT</v>
      </c>
      <c r="B456" t="str">
        <v>DV_Dưỡng</v>
      </c>
      <c r="C456" t="str">
        <v>DV Dưỡng</v>
      </c>
      <c r="D456" t="str">
        <v>Phục hồi trẻ hóa Lipid Bond</v>
      </c>
      <c r="E456">
        <v>20</v>
      </c>
      <c r="F456">
        <v>1101</v>
      </c>
      <c r="G456">
        <v>132000</v>
      </c>
      <c r="H456">
        <v>146000</v>
      </c>
    </row>
    <row r="457">
      <c r="A457" t="str">
        <v>382 NT</v>
      </c>
      <c r="B457" t="str">
        <v>DV_Uốn</v>
      </c>
      <c r="C457" t="str">
        <v>DV Uốn cao cấp (&gt;340k)</v>
      </c>
      <c r="D457" t="str">
        <v>UỐN THIẾT KẾ PHỤC HỒI CHUYÊN SÂU LIPID BOND 2025</v>
      </c>
      <c r="E457">
        <v>20</v>
      </c>
      <c r="F457">
        <v>1148</v>
      </c>
      <c r="G457">
        <v>689000</v>
      </c>
      <c r="H457">
        <v>689000</v>
      </c>
    </row>
    <row r="458">
      <c r="A458" t="str">
        <v>382 NT</v>
      </c>
      <c r="B458" t="str">
        <v>DV_Nhuộm</v>
      </c>
      <c r="C458" t="str">
        <v>DV Nhuộm cao cấp (&gt;300k)</v>
      </c>
      <c r="D458" t="str">
        <v>NHUỘM THIẾT KẾ PHỤC HỒI CHUYÊN SÂU LIPID BOND 2025</v>
      </c>
      <c r="E458">
        <v>20</v>
      </c>
      <c r="F458">
        <v>1149</v>
      </c>
      <c r="G458">
        <v>689000</v>
      </c>
      <c r="H458">
        <v>729000</v>
      </c>
    </row>
    <row r="459">
      <c r="A459" t="str">
        <v>39 HBT</v>
      </c>
      <c r="B459" t="str">
        <v>DV_Dưỡng</v>
      </c>
      <c r="C459" t="str">
        <v>DV Dưỡng</v>
      </c>
      <c r="D459" t="str">
        <v>(2022T) ATS Control Buffer - Khử mùi tạo thơm cho tóc uốn nhuộm 40k</v>
      </c>
      <c r="E459">
        <v>200</v>
      </c>
      <c r="F459">
        <v>610</v>
      </c>
      <c r="G459">
        <v>40000</v>
      </c>
      <c r="H459">
        <v>40000</v>
      </c>
      <c r="J459">
        <f>H459&amp;H460&amp;H461&amp;H462&amp;H463&amp;H464&amp;H465&amp;H466&amp;H467&amp;H468&amp;H469&amp;H470&amp;H471</f>
      </c>
    </row>
    <row r="460">
      <c r="A460" t="str">
        <v>39 HBT</v>
      </c>
      <c r="B460" t="str">
        <v>DV_Uốn</v>
      </c>
      <c r="C460" t="str">
        <v>DV Uốn cao cấp (&gt;340k)</v>
      </c>
      <c r="D460" t="str">
        <v>[DV] Uốn Texture con sâu/Uốn Ruffled</v>
      </c>
      <c r="E460">
        <v>200</v>
      </c>
      <c r="F460">
        <v>674</v>
      </c>
      <c r="G460">
        <v>499000</v>
      </c>
      <c r="H460">
        <v>499000</v>
      </c>
    </row>
    <row r="461">
      <c r="A461" t="str">
        <v>39 HBT</v>
      </c>
      <c r="B461" t="str">
        <v>DV_Uốn</v>
      </c>
      <c r="C461" t="str">
        <v>DV Duỗi Ép</v>
      </c>
      <c r="D461" t="str">
        <v>[DV] Ép side hai bên</v>
      </c>
      <c r="E461">
        <v>200</v>
      </c>
      <c r="F461">
        <v>902</v>
      </c>
      <c r="G461">
        <v>189000</v>
      </c>
      <c r="H461">
        <v>189000</v>
      </c>
    </row>
    <row r="462">
      <c r="A462" t="str">
        <v>39 HBT</v>
      </c>
      <c r="B462" t="str">
        <v>DV_Nhuộm</v>
      </c>
      <c r="C462" t="str">
        <v>DV Nhuộm tiêu chuẩn (&lt;300k)</v>
      </c>
      <c r="D462" t="str">
        <v>[DV] Nhuộm đen phủ bạc R&amp;B thảo dược</v>
      </c>
      <c r="E462">
        <v>200</v>
      </c>
      <c r="F462">
        <v>912</v>
      </c>
      <c r="G462">
        <v>289000</v>
      </c>
      <c r="H462">
        <v>289000</v>
      </c>
    </row>
    <row r="463">
      <c r="A463" t="str">
        <v>39 HBT</v>
      </c>
      <c r="B463" t="str">
        <v>DV_Nhuộm</v>
      </c>
      <c r="C463" t="str">
        <v>DV Nhuộm tiêu chuẩn (&lt;300k)</v>
      </c>
      <c r="D463" t="str">
        <v>[DV] Tẩy tóc bật tông Ý (1 lần)</v>
      </c>
      <c r="E463">
        <v>200</v>
      </c>
      <c r="F463">
        <v>915</v>
      </c>
      <c r="G463">
        <v>252000</v>
      </c>
      <c r="H463">
        <v>252000</v>
      </c>
    </row>
    <row r="464">
      <c r="A464" t="str">
        <v>39 HBT</v>
      </c>
      <c r="B464" t="str">
        <v>DV_Nhuộm</v>
      </c>
      <c r="C464" t="str">
        <v>DV Nhuộm tiêu chuẩn (&lt;300k)</v>
      </c>
      <c r="D464" t="str">
        <v>[DV] Tẩy tóc bật tông Ý (2 lần) 500k</v>
      </c>
      <c r="E464">
        <v>200</v>
      </c>
      <c r="F464">
        <v>916</v>
      </c>
      <c r="G464">
        <v>500000</v>
      </c>
      <c r="H464">
        <v>500000</v>
      </c>
    </row>
    <row r="465">
      <c r="A465" t="str">
        <v>39 HBT</v>
      </c>
      <c r="B465" t="str">
        <v>DV_Uốn</v>
      </c>
      <c r="C465" t="str">
        <v>DV Uốn cao cấp (&gt;340k)</v>
      </c>
      <c r="D465" t="str">
        <v>Uốn định hình nếp tóc cao cấp (K-Perm Collection)</v>
      </c>
      <c r="E465">
        <v>200</v>
      </c>
      <c r="F465">
        <v>952</v>
      </c>
      <c r="G465">
        <v>478000</v>
      </c>
      <c r="H465">
        <v>478000</v>
      </c>
    </row>
    <row r="466">
      <c r="A466" t="str">
        <v>39 HBT</v>
      </c>
      <c r="B466" t="str">
        <v>DV_Nhuộm</v>
      </c>
      <c r="C466" t="str">
        <v>DV Nhuộm cao cấp (&gt;300k)</v>
      </c>
      <c r="D466" t="str">
        <v>(NEW) Nhuộm màu thời trang Milano</v>
      </c>
      <c r="E466">
        <v>200</v>
      </c>
      <c r="F466">
        <v>960</v>
      </c>
      <c r="G466">
        <v>332000</v>
      </c>
      <c r="H466">
        <v>332000</v>
      </c>
    </row>
    <row r="467">
      <c r="A467" t="str">
        <v>39 HBT</v>
      </c>
      <c r="B467" t="str">
        <v>DV_Nhuộm</v>
      </c>
      <c r="C467" t="str">
        <v>DV Nhuộm tiêu chuẩn (&lt;300k)</v>
      </c>
      <c r="D467" t="str">
        <v>(NEW) Nhuộm phủ bạc tiêu chuẩn 199K</v>
      </c>
      <c r="E467">
        <v>200</v>
      </c>
      <c r="F467">
        <v>967</v>
      </c>
      <c r="G467">
        <v>199000</v>
      </c>
      <c r="H467">
        <v>199000</v>
      </c>
    </row>
    <row r="468">
      <c r="A468" t="str">
        <v>39 HBT</v>
      </c>
      <c r="B468" t="str">
        <v>DV_Uốn</v>
      </c>
      <c r="C468" t="str">
        <v>DV Uốn tiêu chuẩn (&lt;340k)</v>
      </c>
      <c r="D468" t="str">
        <v>(NEW) Uốn/Duỗi/Định hình full đầu tạo form vào nếp tự nhiên</v>
      </c>
      <c r="E468">
        <v>200</v>
      </c>
      <c r="F468">
        <v>1009</v>
      </c>
      <c r="G468">
        <v>386000</v>
      </c>
      <c r="H468">
        <v>386000</v>
      </c>
    </row>
    <row r="469">
      <c r="A469" t="str">
        <v>39 HBT</v>
      </c>
      <c r="B469" t="str">
        <v>DV_Dưỡng</v>
      </c>
      <c r="C469" t="str">
        <v>DV Dưỡng</v>
      </c>
      <c r="D469" t="str">
        <v>Phục hồi trẻ hóa Lipid Bond</v>
      </c>
      <c r="E469">
        <v>200</v>
      </c>
      <c r="F469">
        <v>1101</v>
      </c>
      <c r="G469">
        <v>132000</v>
      </c>
      <c r="H469">
        <v>146000</v>
      </c>
    </row>
    <row r="470">
      <c r="A470" t="str">
        <v>39 HBT</v>
      </c>
      <c r="B470" t="str">
        <v>DV_Uốn</v>
      </c>
      <c r="C470" t="str">
        <v>DV Uốn cao cấp (&gt;340k)</v>
      </c>
      <c r="D470" t="str">
        <v>UỐN THIẾT KẾ PHỤC HỒI CHUYÊN SÂU LIPID BOND 2025</v>
      </c>
      <c r="E470">
        <v>200</v>
      </c>
      <c r="F470">
        <v>1148</v>
      </c>
      <c r="G470">
        <v>689000</v>
      </c>
      <c r="H470">
        <v>689000</v>
      </c>
    </row>
    <row r="471">
      <c r="A471" t="str">
        <v>39 HBT</v>
      </c>
      <c r="B471" t="str">
        <v>DV_Nhuộm</v>
      </c>
      <c r="C471" t="str">
        <v>DV Nhuộm cao cấp (&gt;300k)</v>
      </c>
      <c r="D471" t="str">
        <v>NHUỘM THIẾT KẾ PHỤC HỒI CHUYÊN SÂU LIPID BOND 2025</v>
      </c>
      <c r="E471">
        <v>200</v>
      </c>
      <c r="F471">
        <v>1149</v>
      </c>
      <c r="G471">
        <v>689000</v>
      </c>
      <c r="H471">
        <v>729000</v>
      </c>
    </row>
    <row r="472">
      <c r="A472" t="str">
        <v>4 LQD BN</v>
      </c>
      <c r="B472" t="str">
        <v>DV_Dưỡng</v>
      </c>
      <c r="C472" t="str">
        <v>DV Dưỡng</v>
      </c>
      <c r="D472" t="str">
        <v>(2022T) ATS Control Buffer - Khử mùi tạo thơm cho tóc uốn nhuộm 40k</v>
      </c>
      <c r="E472">
        <v>201</v>
      </c>
      <c r="F472">
        <v>610</v>
      </c>
      <c r="G472">
        <v>40000</v>
      </c>
      <c r="H472">
        <v>40000</v>
      </c>
      <c r="J472">
        <f>H472&amp;H473&amp;H474&amp;H475&amp;H476&amp;H477&amp;H478&amp;H479&amp;H480&amp;H481&amp;H482&amp;H483&amp;H484</f>
      </c>
    </row>
    <row r="473">
      <c r="A473" t="str">
        <v>4 LQD BN</v>
      </c>
      <c r="B473" t="str">
        <v>DV_Uốn</v>
      </c>
      <c r="C473" t="str">
        <v>DV Uốn cao cấp (&gt;340k)</v>
      </c>
      <c r="D473" t="str">
        <v>[DV] Uốn Texture con sâu/Uốn Ruffled</v>
      </c>
      <c r="E473">
        <v>201</v>
      </c>
      <c r="F473">
        <v>674</v>
      </c>
      <c r="G473">
        <v>499000</v>
      </c>
      <c r="H473">
        <v>499000</v>
      </c>
    </row>
    <row r="474">
      <c r="A474" t="str">
        <v>4 LQD BN</v>
      </c>
      <c r="B474" t="str">
        <v>DV_Uốn</v>
      </c>
      <c r="C474" t="str">
        <v>DV Duỗi Ép</v>
      </c>
      <c r="D474" t="str">
        <v>[DV] Ép side hai bên</v>
      </c>
      <c r="E474">
        <v>201</v>
      </c>
      <c r="F474">
        <v>902</v>
      </c>
      <c r="G474">
        <v>189000</v>
      </c>
      <c r="H474">
        <v>209000</v>
      </c>
    </row>
    <row r="475">
      <c r="A475" t="str">
        <v>4 LQD BN</v>
      </c>
      <c r="B475" t="str">
        <v>DV_Nhuộm</v>
      </c>
      <c r="C475" t="str">
        <v>DV Nhuộm tiêu chuẩn (&lt;300k)</v>
      </c>
      <c r="D475" t="str">
        <v>[DV] Nhuộm đen phủ bạc R&amp;B thảo dược</v>
      </c>
      <c r="E475">
        <v>201</v>
      </c>
      <c r="F475">
        <v>912</v>
      </c>
      <c r="G475">
        <v>289000</v>
      </c>
      <c r="H475">
        <v>289000</v>
      </c>
    </row>
    <row r="476">
      <c r="A476" t="str">
        <v>4 LQD BN</v>
      </c>
      <c r="B476" t="str">
        <v>DV_Nhuộm</v>
      </c>
      <c r="C476" t="str">
        <v>DV Nhuộm tiêu chuẩn (&lt;300k)</v>
      </c>
      <c r="D476" t="str">
        <v>[DV] Tẩy tóc bật tông Ý (1 lần)</v>
      </c>
      <c r="E476">
        <v>201</v>
      </c>
      <c r="F476">
        <v>915</v>
      </c>
      <c r="G476">
        <v>252000</v>
      </c>
      <c r="H476">
        <v>252000</v>
      </c>
    </row>
    <row r="477">
      <c r="A477" t="str">
        <v>4 LQD BN</v>
      </c>
      <c r="B477" t="str">
        <v>DV_Nhuộm</v>
      </c>
      <c r="C477" t="str">
        <v>DV Nhuộm tiêu chuẩn (&lt;300k)</v>
      </c>
      <c r="D477" t="str">
        <v>[DV] Tẩy tóc bật tông Ý (2 lần) 500k</v>
      </c>
      <c r="E477">
        <v>201</v>
      </c>
      <c r="F477">
        <v>916</v>
      </c>
      <c r="G477">
        <v>500000</v>
      </c>
      <c r="H477">
        <v>500000</v>
      </c>
    </row>
    <row r="478">
      <c r="A478" t="str">
        <v>4 LQD BN</v>
      </c>
      <c r="B478" t="str">
        <v>DV_Uốn</v>
      </c>
      <c r="C478" t="str">
        <v>DV Uốn cao cấp (&gt;340k)</v>
      </c>
      <c r="D478" t="str">
        <v>Uốn định hình nếp tóc cao cấp (K-Perm Collection)</v>
      </c>
      <c r="E478">
        <v>201</v>
      </c>
      <c r="F478">
        <v>952</v>
      </c>
      <c r="G478">
        <v>478000</v>
      </c>
      <c r="H478">
        <v>478000</v>
      </c>
    </row>
    <row r="479">
      <c r="A479" t="str">
        <v>4 LQD BN</v>
      </c>
      <c r="B479" t="str">
        <v>DV_Nhuộm</v>
      </c>
      <c r="C479" t="str">
        <v>DV Nhuộm cao cấp (&gt;300k)</v>
      </c>
      <c r="D479" t="str">
        <v>(NEW) Nhuộm màu thời trang Milano</v>
      </c>
      <c r="E479">
        <v>201</v>
      </c>
      <c r="F479">
        <v>960</v>
      </c>
      <c r="G479">
        <v>332000</v>
      </c>
      <c r="H479">
        <v>332000</v>
      </c>
    </row>
    <row r="480">
      <c r="A480" t="str">
        <v>4 LQD BN</v>
      </c>
      <c r="B480" t="str">
        <v>DV_Nhuộm</v>
      </c>
      <c r="C480" t="str">
        <v>DV Nhuộm tiêu chuẩn (&lt;300k)</v>
      </c>
      <c r="D480" t="str">
        <v>(NEW) Nhuộm phủ bạc tiêu chuẩn 199K</v>
      </c>
      <c r="E480">
        <v>201</v>
      </c>
      <c r="F480">
        <v>967</v>
      </c>
      <c r="G480">
        <v>199000</v>
      </c>
      <c r="H480">
        <v>199000</v>
      </c>
    </row>
    <row r="481">
      <c r="A481" t="str">
        <v>4 LQD BN</v>
      </c>
      <c r="B481" t="str">
        <v>DV_Uốn</v>
      </c>
      <c r="C481" t="str">
        <v>DV Uốn tiêu chuẩn (&lt;340k)</v>
      </c>
      <c r="D481" t="str">
        <v>(NEW) Uốn/Duỗi/Định hình full đầu tạo form vào nếp tự nhiên</v>
      </c>
      <c r="E481">
        <v>201</v>
      </c>
      <c r="F481">
        <v>1009</v>
      </c>
      <c r="G481">
        <v>386000</v>
      </c>
      <c r="H481">
        <v>386000</v>
      </c>
    </row>
    <row r="482">
      <c r="A482" t="str">
        <v>4 LQD BN</v>
      </c>
      <c r="B482" t="str">
        <v>DV_Dưỡng</v>
      </c>
      <c r="C482" t="str">
        <v>DV Dưỡng</v>
      </c>
      <c r="D482" t="str">
        <v>Phục hồi trẻ hóa Lipid Bond</v>
      </c>
      <c r="E482">
        <v>201</v>
      </c>
      <c r="F482">
        <v>1101</v>
      </c>
      <c r="G482">
        <v>132000</v>
      </c>
      <c r="H482">
        <v>146000</v>
      </c>
    </row>
    <row r="483">
      <c r="A483" t="str">
        <v>4 LQD BN</v>
      </c>
      <c r="B483" t="str">
        <v>DV_Uốn</v>
      </c>
      <c r="C483" t="str">
        <v>DV Uốn cao cấp (&gt;340k)</v>
      </c>
      <c r="D483" t="str">
        <v>UỐN THIẾT KẾ PHỤC HỒI CHUYÊN SÂU LIPID BOND 2025</v>
      </c>
      <c r="E483">
        <v>201</v>
      </c>
      <c r="F483">
        <v>1148</v>
      </c>
      <c r="G483">
        <v>689000</v>
      </c>
      <c r="H483">
        <v>689000</v>
      </c>
    </row>
    <row r="484">
      <c r="A484" t="str">
        <v>4 LQD BN</v>
      </c>
      <c r="B484" t="str">
        <v>DV_Nhuộm</v>
      </c>
      <c r="C484" t="str">
        <v>DV Nhuộm cao cấp (&gt;300k)</v>
      </c>
      <c r="D484" t="str">
        <v>NHUỘM THIẾT KẾ PHỤC HỒI CHUYÊN SÂU LIPID BOND 2025</v>
      </c>
      <c r="E484">
        <v>201</v>
      </c>
      <c r="F484">
        <v>1149</v>
      </c>
      <c r="G484">
        <v>689000</v>
      </c>
      <c r="H484">
        <v>689000</v>
      </c>
    </row>
    <row r="485">
      <c r="A485" t="str">
        <v>401/1 NDT</v>
      </c>
      <c r="B485" t="str">
        <v>DV_Dưỡng</v>
      </c>
      <c r="C485" t="str">
        <v>DV Dưỡng</v>
      </c>
      <c r="D485" t="str">
        <v>(2022T) ATS Control Buffer - Khử mùi tạo thơm cho tóc uốn nhuộm 40k</v>
      </c>
      <c r="E485">
        <v>204</v>
      </c>
      <c r="F485">
        <v>610</v>
      </c>
      <c r="G485">
        <v>40000</v>
      </c>
      <c r="H485">
        <v>40000</v>
      </c>
      <c r="J485">
        <f>H485&amp;H486&amp;H487&amp;H488&amp;H489&amp;H490&amp;H491&amp;H492&amp;H493&amp;H494&amp;H495&amp;H496&amp;H497</f>
      </c>
    </row>
    <row r="486">
      <c r="A486" t="str">
        <v>401/1 NDT</v>
      </c>
      <c r="B486" t="str">
        <v>DV_Uốn</v>
      </c>
      <c r="C486" t="str">
        <v>DV Uốn cao cấp (&gt;340k)</v>
      </c>
      <c r="D486" t="str">
        <v>[DV] Uốn Texture con sâu/Uốn Ruffled</v>
      </c>
      <c r="E486">
        <v>204</v>
      </c>
      <c r="F486">
        <v>674</v>
      </c>
      <c r="G486">
        <v>499000</v>
      </c>
      <c r="H486">
        <v>499000</v>
      </c>
    </row>
    <row r="487">
      <c r="A487" t="str">
        <v>401/1 NDT</v>
      </c>
      <c r="B487" t="str">
        <v>DV_Uốn</v>
      </c>
      <c r="C487" t="str">
        <v>DV Duỗi Ép</v>
      </c>
      <c r="D487" t="str">
        <v>[DV] Ép side hai bên</v>
      </c>
      <c r="E487">
        <v>204</v>
      </c>
      <c r="F487">
        <v>902</v>
      </c>
      <c r="G487">
        <v>189000</v>
      </c>
      <c r="H487">
        <v>189000</v>
      </c>
    </row>
    <row r="488">
      <c r="A488" t="str">
        <v>401/1 NDT</v>
      </c>
      <c r="B488" t="str">
        <v>DV_Nhuộm</v>
      </c>
      <c r="C488" t="str">
        <v>DV Nhuộm tiêu chuẩn (&lt;300k)</v>
      </c>
      <c r="D488" t="str">
        <v>[DV] Nhuộm đen phủ bạc R&amp;B thảo dược</v>
      </c>
      <c r="E488">
        <v>204</v>
      </c>
      <c r="F488">
        <v>912</v>
      </c>
      <c r="G488">
        <v>289000</v>
      </c>
      <c r="H488">
        <v>309000</v>
      </c>
    </row>
    <row r="489">
      <c r="A489" t="str">
        <v>401/1 NDT</v>
      </c>
      <c r="B489" t="str">
        <v>DV_Nhuộm</v>
      </c>
      <c r="C489" t="str">
        <v>DV Nhuộm tiêu chuẩn (&lt;300k)</v>
      </c>
      <c r="D489" t="str">
        <v>[DV] Tẩy tóc bật tông Ý (1 lần)</v>
      </c>
      <c r="E489">
        <v>204</v>
      </c>
      <c r="F489">
        <v>915</v>
      </c>
      <c r="G489">
        <v>252000</v>
      </c>
      <c r="H489">
        <v>269000</v>
      </c>
    </row>
    <row r="490">
      <c r="A490" t="str">
        <v>401/1 NDT</v>
      </c>
      <c r="B490" t="str">
        <v>DV_Nhuộm</v>
      </c>
      <c r="C490" t="str">
        <v>DV Nhuộm tiêu chuẩn (&lt;300k)</v>
      </c>
      <c r="D490" t="str">
        <v>[DV] Tẩy tóc bật tông Ý (2 lần) 500k</v>
      </c>
      <c r="E490">
        <v>204</v>
      </c>
      <c r="F490">
        <v>916</v>
      </c>
      <c r="G490">
        <v>500000</v>
      </c>
      <c r="H490">
        <v>529000</v>
      </c>
    </row>
    <row r="491">
      <c r="A491" t="str">
        <v>401/1 NDT</v>
      </c>
      <c r="B491" t="str">
        <v>DV_Uốn</v>
      </c>
      <c r="C491" t="str">
        <v>DV Uốn cao cấp (&gt;340k)</v>
      </c>
      <c r="D491" t="str">
        <v>Uốn định hình nếp tóc cao cấp (K-Perm Collection)</v>
      </c>
      <c r="E491">
        <v>204</v>
      </c>
      <c r="F491">
        <v>952</v>
      </c>
      <c r="G491">
        <v>478000</v>
      </c>
      <c r="H491">
        <v>478000</v>
      </c>
    </row>
    <row r="492">
      <c r="A492" t="str">
        <v>401/1 NDT</v>
      </c>
      <c r="B492" t="str">
        <v>DV_Nhuộm</v>
      </c>
      <c r="C492" t="str">
        <v>DV Nhuộm cao cấp (&gt;300k)</v>
      </c>
      <c r="D492" t="str">
        <v>(NEW) Nhuộm màu thời trang Milano</v>
      </c>
      <c r="E492">
        <v>204</v>
      </c>
      <c r="F492">
        <v>960</v>
      </c>
      <c r="G492">
        <v>332000</v>
      </c>
      <c r="H492">
        <v>349000</v>
      </c>
    </row>
    <row r="493">
      <c r="A493" t="str">
        <v>401/1 NDT</v>
      </c>
      <c r="B493" t="str">
        <v>DV_Nhuộm</v>
      </c>
      <c r="C493" t="str">
        <v>DV Nhuộm tiêu chuẩn (&lt;300k)</v>
      </c>
      <c r="D493" t="str">
        <v>(NEW) Nhuộm phủ bạc tiêu chuẩn 199K</v>
      </c>
      <c r="E493">
        <v>204</v>
      </c>
      <c r="F493">
        <v>967</v>
      </c>
      <c r="G493">
        <v>199000</v>
      </c>
      <c r="H493">
        <v>209000</v>
      </c>
    </row>
    <row r="494">
      <c r="A494" t="str">
        <v>401/1 NDT</v>
      </c>
      <c r="B494" t="str">
        <v>DV_Uốn</v>
      </c>
      <c r="C494" t="str">
        <v>DV Uốn tiêu chuẩn (&lt;340k)</v>
      </c>
      <c r="D494" t="str">
        <v>(NEW) Uốn/Duỗi/Định hình full đầu tạo form vào nếp tự nhiên</v>
      </c>
      <c r="E494">
        <v>204</v>
      </c>
      <c r="F494">
        <v>1009</v>
      </c>
      <c r="G494">
        <v>386000</v>
      </c>
      <c r="H494">
        <v>386000</v>
      </c>
    </row>
    <row r="495">
      <c r="A495" t="str">
        <v>401/1 NDT</v>
      </c>
      <c r="B495" t="str">
        <v>DV_Dưỡng</v>
      </c>
      <c r="C495" t="str">
        <v>DV Dưỡng</v>
      </c>
      <c r="D495" t="str">
        <v>Phục hồi trẻ hóa Lipid Bond</v>
      </c>
      <c r="E495">
        <v>204</v>
      </c>
      <c r="F495">
        <v>1101</v>
      </c>
      <c r="G495">
        <v>132000</v>
      </c>
      <c r="H495">
        <v>146000</v>
      </c>
    </row>
    <row r="496">
      <c r="A496" t="str">
        <v>401/1 NDT</v>
      </c>
      <c r="B496" t="str">
        <v>DV_Uốn</v>
      </c>
      <c r="C496" t="str">
        <v>DV Uốn cao cấp (&gt;340k)</v>
      </c>
      <c r="D496" t="str">
        <v>UỐN THIẾT KẾ PHỤC HỒI CHUYÊN SÂU LIPID BOND 2025</v>
      </c>
      <c r="E496">
        <v>204</v>
      </c>
      <c r="F496">
        <v>1148</v>
      </c>
      <c r="G496">
        <v>689000</v>
      </c>
      <c r="H496">
        <v>689000</v>
      </c>
    </row>
    <row r="497">
      <c r="A497" t="str">
        <v>401/1 NDT</v>
      </c>
      <c r="B497" t="str">
        <v>DV_Nhuộm</v>
      </c>
      <c r="C497" t="str">
        <v>DV Nhuộm cao cấp (&gt;300k)</v>
      </c>
      <c r="D497" t="str">
        <v>NHUỘM THIẾT KẾ PHỤC HỒI CHUYÊN SÂU LIPID BOND 2025</v>
      </c>
      <c r="E497">
        <v>204</v>
      </c>
      <c r="F497">
        <v>1149</v>
      </c>
      <c r="G497">
        <v>689000</v>
      </c>
      <c r="H497">
        <v>729000</v>
      </c>
    </row>
    <row r="498">
      <c r="A498" t="str">
        <v>420 HTP</v>
      </c>
      <c r="B498" t="str">
        <v>DV_Dưỡng</v>
      </c>
      <c r="C498" t="str">
        <v>DV Dưỡng</v>
      </c>
      <c r="D498" t="str">
        <v>(2022T) ATS Control Buffer - Khử mùi tạo thơm cho tóc uốn nhuộm 40k</v>
      </c>
      <c r="E498">
        <v>51</v>
      </c>
      <c r="F498">
        <v>610</v>
      </c>
      <c r="G498">
        <v>40000</v>
      </c>
      <c r="H498">
        <v>40000</v>
      </c>
      <c r="J498">
        <f>H498&amp;H499&amp;H500&amp;H501&amp;H502&amp;H503&amp;H504&amp;H505&amp;H506&amp;H507&amp;H508&amp;H509&amp;H510</f>
      </c>
    </row>
    <row r="499">
      <c r="A499" t="str">
        <v>420 HTP</v>
      </c>
      <c r="B499" t="str">
        <v>DV_Uốn</v>
      </c>
      <c r="C499" t="str">
        <v>DV Uốn cao cấp (&gt;340k)</v>
      </c>
      <c r="D499" t="str">
        <v>[DV] Uốn Texture con sâu/Uốn Ruffled</v>
      </c>
      <c r="E499">
        <v>51</v>
      </c>
      <c r="F499">
        <v>674</v>
      </c>
      <c r="G499">
        <v>499000</v>
      </c>
      <c r="H499">
        <v>499000</v>
      </c>
    </row>
    <row r="500">
      <c r="A500" t="str">
        <v>420 HTP</v>
      </c>
      <c r="B500" t="str">
        <v>DV_Uốn</v>
      </c>
      <c r="C500" t="str">
        <v>DV Duỗi Ép</v>
      </c>
      <c r="D500" t="str">
        <v>[DV] Ép side hai bên</v>
      </c>
      <c r="E500">
        <v>51</v>
      </c>
      <c r="F500">
        <v>902</v>
      </c>
      <c r="G500">
        <v>189000</v>
      </c>
      <c r="H500">
        <v>209000</v>
      </c>
    </row>
    <row r="501">
      <c r="A501" t="str">
        <v>420 HTP</v>
      </c>
      <c r="B501" t="str">
        <v>DV_Nhuộm</v>
      </c>
      <c r="C501" t="str">
        <v>DV Nhuộm tiêu chuẩn (&lt;300k)</v>
      </c>
      <c r="D501" t="str">
        <v>[DV] Nhuộm đen phủ bạc R&amp;B thảo dược</v>
      </c>
      <c r="E501">
        <v>51</v>
      </c>
      <c r="F501">
        <v>912</v>
      </c>
      <c r="G501">
        <v>289000</v>
      </c>
      <c r="H501">
        <v>309000</v>
      </c>
    </row>
    <row r="502">
      <c r="A502" t="str">
        <v>420 HTP</v>
      </c>
      <c r="B502" t="str">
        <v>DV_Nhuộm</v>
      </c>
      <c r="C502" t="str">
        <v>DV Nhuộm tiêu chuẩn (&lt;300k)</v>
      </c>
      <c r="D502" t="str">
        <v>[DV] Tẩy tóc bật tông Ý (1 lần)</v>
      </c>
      <c r="E502">
        <v>51</v>
      </c>
      <c r="F502">
        <v>915</v>
      </c>
      <c r="G502">
        <v>252000</v>
      </c>
      <c r="H502">
        <v>252000</v>
      </c>
    </row>
    <row r="503">
      <c r="A503" t="str">
        <v>420 HTP</v>
      </c>
      <c r="B503" t="str">
        <v>DV_Nhuộm</v>
      </c>
      <c r="C503" t="str">
        <v>DV Nhuộm tiêu chuẩn (&lt;300k)</v>
      </c>
      <c r="D503" t="str">
        <v>[DV] Tẩy tóc bật tông Ý (2 lần) 500k</v>
      </c>
      <c r="E503">
        <v>51</v>
      </c>
      <c r="F503">
        <v>916</v>
      </c>
      <c r="G503">
        <v>500000</v>
      </c>
      <c r="H503">
        <v>500000</v>
      </c>
    </row>
    <row r="504">
      <c r="A504" t="str">
        <v>420 HTP</v>
      </c>
      <c r="B504" t="str">
        <v>DV_Uốn</v>
      </c>
      <c r="C504" t="str">
        <v>DV Uốn cao cấp (&gt;340k)</v>
      </c>
      <c r="D504" t="str">
        <v>Uốn định hình nếp tóc cao cấp (K-Perm Collection)</v>
      </c>
      <c r="E504">
        <v>51</v>
      </c>
      <c r="F504">
        <v>952</v>
      </c>
      <c r="G504">
        <v>478000</v>
      </c>
      <c r="H504">
        <v>478000</v>
      </c>
    </row>
    <row r="505">
      <c r="A505" t="str">
        <v>420 HTP</v>
      </c>
      <c r="B505" t="str">
        <v>DV_Nhuộm</v>
      </c>
      <c r="C505" t="str">
        <v>DV Nhuộm cao cấp (&gt;300k)</v>
      </c>
      <c r="D505" t="str">
        <v>(NEW) Nhuộm màu thời trang Milano</v>
      </c>
      <c r="E505">
        <v>51</v>
      </c>
      <c r="F505">
        <v>960</v>
      </c>
      <c r="G505">
        <v>332000</v>
      </c>
      <c r="H505">
        <v>349000</v>
      </c>
    </row>
    <row r="506">
      <c r="A506" t="str">
        <v>420 HTP</v>
      </c>
      <c r="B506" t="str">
        <v>DV_Nhuộm</v>
      </c>
      <c r="C506" t="str">
        <v>DV Nhuộm tiêu chuẩn (&lt;300k)</v>
      </c>
      <c r="D506" t="str">
        <v>(NEW) Nhuộm phủ bạc tiêu chuẩn 199K</v>
      </c>
      <c r="E506">
        <v>51</v>
      </c>
      <c r="F506">
        <v>967</v>
      </c>
      <c r="G506">
        <v>199000</v>
      </c>
      <c r="H506">
        <v>209000</v>
      </c>
    </row>
    <row r="507">
      <c r="A507" t="str">
        <v>420 HTP</v>
      </c>
      <c r="B507" t="str">
        <v>DV_Uốn</v>
      </c>
      <c r="C507" t="str">
        <v>DV Uốn tiêu chuẩn (&lt;340k)</v>
      </c>
      <c r="D507" t="str">
        <v>(NEW) Uốn/Duỗi/Định hình full đầu tạo form vào nếp tự nhiên</v>
      </c>
      <c r="E507">
        <v>51</v>
      </c>
      <c r="F507">
        <v>1009</v>
      </c>
      <c r="G507">
        <v>386000</v>
      </c>
      <c r="H507">
        <v>386000</v>
      </c>
    </row>
    <row r="508">
      <c r="A508" t="str">
        <v>420 HTP</v>
      </c>
      <c r="B508" t="str">
        <v>DV_Dưỡng</v>
      </c>
      <c r="C508" t="str">
        <v>DV Dưỡng</v>
      </c>
      <c r="D508" t="str">
        <v>Phục hồi trẻ hóa Lipid Bond</v>
      </c>
      <c r="E508">
        <v>51</v>
      </c>
      <c r="F508">
        <v>1101</v>
      </c>
      <c r="G508">
        <v>132000</v>
      </c>
      <c r="H508">
        <v>146000</v>
      </c>
    </row>
    <row r="509">
      <c r="A509" t="str">
        <v>420 HTP</v>
      </c>
      <c r="B509" t="str">
        <v>DV_Uốn</v>
      </c>
      <c r="C509" t="str">
        <v>DV Uốn cao cấp (&gt;340k)</v>
      </c>
      <c r="D509" t="str">
        <v>UỐN THIẾT KẾ PHỤC HỒI CHUYÊN SÂU LIPID BOND 2025</v>
      </c>
      <c r="E509">
        <v>51</v>
      </c>
      <c r="F509">
        <v>1148</v>
      </c>
      <c r="G509">
        <v>689000</v>
      </c>
      <c r="H509">
        <v>689000</v>
      </c>
    </row>
    <row r="510">
      <c r="A510" t="str">
        <v>420 HTP</v>
      </c>
      <c r="B510" t="str">
        <v>DV_Nhuộm</v>
      </c>
      <c r="C510" t="str">
        <v>DV Nhuộm cao cấp (&gt;300k)</v>
      </c>
      <c r="D510" t="str">
        <v>NHUỘM THIẾT KẾ PHỤC HỒI CHUYÊN SÂU LIPID BOND 2025</v>
      </c>
      <c r="E510">
        <v>51</v>
      </c>
      <c r="F510">
        <v>1149</v>
      </c>
      <c r="G510">
        <v>689000</v>
      </c>
      <c r="H510">
        <v>729000</v>
      </c>
    </row>
    <row r="511">
      <c r="A511" t="str">
        <v>451 PVT</v>
      </c>
      <c r="B511" t="str">
        <v>DV_Dưỡng</v>
      </c>
      <c r="C511" t="str">
        <v>DV Dưỡng</v>
      </c>
      <c r="D511" t="str">
        <v>(2022T) ATS Control Buffer - Khử mùi tạo thơm cho tóc uốn nhuộm 40k</v>
      </c>
      <c r="E511">
        <v>52</v>
      </c>
      <c r="F511">
        <v>610</v>
      </c>
      <c r="G511">
        <v>40000</v>
      </c>
      <c r="H511">
        <v>40000</v>
      </c>
      <c r="J511">
        <f>H511&amp;H512&amp;H513&amp;H514&amp;H515&amp;H516&amp;H517&amp;H518&amp;H519&amp;H520&amp;H521&amp;H522&amp;H523</f>
      </c>
    </row>
    <row r="512">
      <c r="A512" t="str">
        <v>451 PVT</v>
      </c>
      <c r="B512" t="str">
        <v>DV_Uốn</v>
      </c>
      <c r="C512" t="str">
        <v>DV Uốn cao cấp (&gt;340k)</v>
      </c>
      <c r="D512" t="str">
        <v>[DV] Uốn Texture con sâu/Uốn Ruffled</v>
      </c>
      <c r="E512">
        <v>52</v>
      </c>
      <c r="F512">
        <v>674</v>
      </c>
      <c r="G512">
        <v>499000</v>
      </c>
      <c r="H512">
        <v>499000</v>
      </c>
    </row>
    <row r="513">
      <c r="A513" t="str">
        <v>451 PVT</v>
      </c>
      <c r="B513" t="str">
        <v>DV_Uốn</v>
      </c>
      <c r="C513" t="str">
        <v>DV Duỗi Ép</v>
      </c>
      <c r="D513" t="str">
        <v>[DV] Ép side hai bên</v>
      </c>
      <c r="E513">
        <v>52</v>
      </c>
      <c r="F513">
        <v>902</v>
      </c>
      <c r="G513">
        <v>189000</v>
      </c>
      <c r="H513">
        <v>189000</v>
      </c>
    </row>
    <row r="514">
      <c r="A514" t="str">
        <v>451 PVT</v>
      </c>
      <c r="B514" t="str">
        <v>DV_Nhuộm</v>
      </c>
      <c r="C514" t="str">
        <v>DV Nhuộm tiêu chuẩn (&lt;300k)</v>
      </c>
      <c r="D514" t="str">
        <v>[DV] Nhuộm đen phủ bạc R&amp;B thảo dược</v>
      </c>
      <c r="E514">
        <v>52</v>
      </c>
      <c r="F514">
        <v>912</v>
      </c>
      <c r="G514">
        <v>289000</v>
      </c>
      <c r="H514">
        <v>289000</v>
      </c>
    </row>
    <row r="515">
      <c r="A515" t="str">
        <v>451 PVT</v>
      </c>
      <c r="B515" t="str">
        <v>DV_Nhuộm</v>
      </c>
      <c r="C515" t="str">
        <v>DV Nhuộm tiêu chuẩn (&lt;300k)</v>
      </c>
      <c r="D515" t="str">
        <v>[DV] Tẩy tóc bật tông Ý (1 lần)</v>
      </c>
      <c r="E515">
        <v>52</v>
      </c>
      <c r="F515">
        <v>915</v>
      </c>
      <c r="G515">
        <v>252000</v>
      </c>
      <c r="H515">
        <v>252000</v>
      </c>
    </row>
    <row r="516">
      <c r="A516" t="str">
        <v>451 PVT</v>
      </c>
      <c r="B516" t="str">
        <v>DV_Nhuộm</v>
      </c>
      <c r="C516" t="str">
        <v>DV Nhuộm tiêu chuẩn (&lt;300k)</v>
      </c>
      <c r="D516" t="str">
        <v>[DV] Tẩy tóc bật tông Ý (2 lần) 500k</v>
      </c>
      <c r="E516">
        <v>52</v>
      </c>
      <c r="F516">
        <v>916</v>
      </c>
      <c r="G516">
        <v>500000</v>
      </c>
      <c r="H516">
        <v>500000</v>
      </c>
    </row>
    <row r="517">
      <c r="A517" t="str">
        <v>451 PVT</v>
      </c>
      <c r="B517" t="str">
        <v>DV_Uốn</v>
      </c>
      <c r="C517" t="str">
        <v>DV Uốn cao cấp (&gt;340k)</v>
      </c>
      <c r="D517" t="str">
        <v>Uốn định hình nếp tóc cao cấp (K-Perm Collection)</v>
      </c>
      <c r="E517">
        <v>52</v>
      </c>
      <c r="F517">
        <v>952</v>
      </c>
      <c r="G517">
        <v>478000</v>
      </c>
      <c r="H517">
        <v>478000</v>
      </c>
    </row>
    <row r="518">
      <c r="A518" t="str">
        <v>451 PVT</v>
      </c>
      <c r="B518" t="str">
        <v>DV_Nhuộm</v>
      </c>
      <c r="C518" t="str">
        <v>DV Nhuộm cao cấp (&gt;300k)</v>
      </c>
      <c r="D518" t="str">
        <v>(NEW) Nhuộm màu thời trang Milano</v>
      </c>
      <c r="E518">
        <v>52</v>
      </c>
      <c r="F518">
        <v>960</v>
      </c>
      <c r="G518">
        <v>332000</v>
      </c>
      <c r="H518">
        <v>332000</v>
      </c>
    </row>
    <row r="519">
      <c r="A519" t="str">
        <v>451 PVT</v>
      </c>
      <c r="B519" t="str">
        <v>DV_Nhuộm</v>
      </c>
      <c r="C519" t="str">
        <v>DV Nhuộm tiêu chuẩn (&lt;300k)</v>
      </c>
      <c r="D519" t="str">
        <v>(NEW) Nhuộm phủ bạc tiêu chuẩn 199K</v>
      </c>
      <c r="E519">
        <v>52</v>
      </c>
      <c r="F519">
        <v>967</v>
      </c>
      <c r="G519">
        <v>199000</v>
      </c>
      <c r="H519">
        <v>199000</v>
      </c>
    </row>
    <row r="520">
      <c r="A520" t="str">
        <v>451 PVT</v>
      </c>
      <c r="B520" t="str">
        <v>DV_Uốn</v>
      </c>
      <c r="C520" t="str">
        <v>DV Uốn tiêu chuẩn (&lt;340k)</v>
      </c>
      <c r="D520" t="str">
        <v>(NEW) Uốn/Duỗi/Định hình full đầu tạo form vào nếp tự nhiên</v>
      </c>
      <c r="E520">
        <v>52</v>
      </c>
      <c r="F520">
        <v>1009</v>
      </c>
      <c r="G520">
        <v>386000</v>
      </c>
      <c r="H520">
        <v>386000</v>
      </c>
    </row>
    <row r="521">
      <c r="A521" t="str">
        <v>451 PVT</v>
      </c>
      <c r="B521" t="str">
        <v>DV_Dưỡng</v>
      </c>
      <c r="C521" t="str">
        <v>DV Dưỡng</v>
      </c>
      <c r="D521" t="str">
        <v>Phục hồi trẻ hóa Lipid Bond</v>
      </c>
      <c r="E521">
        <v>52</v>
      </c>
      <c r="F521">
        <v>1101</v>
      </c>
      <c r="G521">
        <v>132000</v>
      </c>
      <c r="H521">
        <v>146000</v>
      </c>
    </row>
    <row r="522">
      <c r="A522" t="str">
        <v>451 PVT</v>
      </c>
      <c r="B522" t="str">
        <v>DV_Uốn</v>
      </c>
      <c r="C522" t="str">
        <v>DV Uốn cao cấp (&gt;340k)</v>
      </c>
      <c r="D522" t="str">
        <v>UỐN THIẾT KẾ PHỤC HỒI CHUYÊN SÂU LIPID BOND 2025</v>
      </c>
      <c r="E522">
        <v>52</v>
      </c>
      <c r="F522">
        <v>1148</v>
      </c>
      <c r="G522">
        <v>689000</v>
      </c>
      <c r="H522">
        <v>689000</v>
      </c>
    </row>
    <row r="523">
      <c r="A523" t="str">
        <v>451 PVT</v>
      </c>
      <c r="B523" t="str">
        <v>DV_Nhuộm</v>
      </c>
      <c r="C523" t="str">
        <v>DV Nhuộm cao cấp (&gt;300k)</v>
      </c>
      <c r="D523" t="str">
        <v>NHUỘM THIẾT KẾ PHỤC HỒI CHUYÊN SÂU LIPID BOND 2025</v>
      </c>
      <c r="E523">
        <v>52</v>
      </c>
      <c r="F523">
        <v>1149</v>
      </c>
      <c r="G523">
        <v>689000</v>
      </c>
      <c r="H523">
        <v>689000</v>
      </c>
    </row>
    <row r="524">
      <c r="A524" t="str">
        <v>483 TN</v>
      </c>
      <c r="B524" t="str">
        <v>DV_Dưỡng</v>
      </c>
      <c r="C524" t="str">
        <v>DV Dưỡng</v>
      </c>
      <c r="D524" t="str">
        <v>(2022T) ATS Control Buffer - Khử mùi tạo thơm cho tóc uốn nhuộm 40k</v>
      </c>
      <c r="E524">
        <v>46</v>
      </c>
      <c r="F524">
        <v>610</v>
      </c>
      <c r="G524">
        <v>40000</v>
      </c>
      <c r="H524">
        <v>40000</v>
      </c>
      <c r="J524">
        <f>H524&amp;H525&amp;H526&amp;H527&amp;H528&amp;H529&amp;H530&amp;H531&amp;H532&amp;H533&amp;H534&amp;H535&amp;H536</f>
      </c>
    </row>
    <row r="525">
      <c r="A525" t="str">
        <v>483 TN</v>
      </c>
      <c r="B525" t="str">
        <v>DV_Uốn</v>
      </c>
      <c r="C525" t="str">
        <v>DV Uốn cao cấp (&gt;340k)</v>
      </c>
      <c r="D525" t="str">
        <v>[DV] Uốn Texture con sâu/Uốn Ruffled</v>
      </c>
      <c r="E525">
        <v>46</v>
      </c>
      <c r="F525">
        <v>674</v>
      </c>
      <c r="G525">
        <v>499000</v>
      </c>
      <c r="H525">
        <v>499000</v>
      </c>
    </row>
    <row r="526">
      <c r="A526" t="str">
        <v>483 TN</v>
      </c>
      <c r="B526" t="str">
        <v>DV_Uốn</v>
      </c>
      <c r="C526" t="str">
        <v>DV Duỗi Ép</v>
      </c>
      <c r="D526" t="str">
        <v>[DV] Ép side hai bên</v>
      </c>
      <c r="E526">
        <v>46</v>
      </c>
      <c r="F526">
        <v>902</v>
      </c>
      <c r="G526">
        <v>189000</v>
      </c>
      <c r="H526">
        <v>209000</v>
      </c>
    </row>
    <row r="527">
      <c r="A527" t="str">
        <v>483 TN</v>
      </c>
      <c r="B527" t="str">
        <v>DV_Nhuộm</v>
      </c>
      <c r="C527" t="str">
        <v>DV Nhuộm tiêu chuẩn (&lt;300k)</v>
      </c>
      <c r="D527" t="str">
        <v>[DV] Nhuộm đen phủ bạc R&amp;B thảo dược</v>
      </c>
      <c r="E527">
        <v>46</v>
      </c>
      <c r="F527">
        <v>912</v>
      </c>
      <c r="G527">
        <v>289000</v>
      </c>
      <c r="H527">
        <v>289000</v>
      </c>
    </row>
    <row r="528">
      <c r="A528" t="str">
        <v>483 TN</v>
      </c>
      <c r="B528" t="str">
        <v>DV_Nhuộm</v>
      </c>
      <c r="C528" t="str">
        <v>DV Nhuộm tiêu chuẩn (&lt;300k)</v>
      </c>
      <c r="D528" t="str">
        <v>[DV] Tẩy tóc bật tông Ý (1 lần)</v>
      </c>
      <c r="E528">
        <v>46</v>
      </c>
      <c r="F528">
        <v>915</v>
      </c>
      <c r="G528">
        <v>252000</v>
      </c>
      <c r="H528">
        <v>252000</v>
      </c>
    </row>
    <row r="529">
      <c r="A529" t="str">
        <v>483 TN</v>
      </c>
      <c r="B529" t="str">
        <v>DV_Nhuộm</v>
      </c>
      <c r="C529" t="str">
        <v>DV Nhuộm tiêu chuẩn (&lt;300k)</v>
      </c>
      <c r="D529" t="str">
        <v>[DV] Tẩy tóc bật tông Ý (2 lần) 500k</v>
      </c>
      <c r="E529">
        <v>46</v>
      </c>
      <c r="F529">
        <v>916</v>
      </c>
      <c r="G529">
        <v>500000</v>
      </c>
      <c r="H529">
        <v>500000</v>
      </c>
    </row>
    <row r="530">
      <c r="A530" t="str">
        <v>483 TN</v>
      </c>
      <c r="B530" t="str">
        <v>DV_Uốn</v>
      </c>
      <c r="C530" t="str">
        <v>DV Uốn cao cấp (&gt;340k)</v>
      </c>
      <c r="D530" t="str">
        <v>Uốn định hình nếp tóc cao cấp (K-Perm Collection)</v>
      </c>
      <c r="E530">
        <v>46</v>
      </c>
      <c r="F530">
        <v>952</v>
      </c>
      <c r="G530">
        <v>478000</v>
      </c>
      <c r="H530">
        <v>478000</v>
      </c>
    </row>
    <row r="531">
      <c r="A531" t="str">
        <v>483 TN</v>
      </c>
      <c r="B531" t="str">
        <v>DV_Nhuộm</v>
      </c>
      <c r="C531" t="str">
        <v>DV Nhuộm cao cấp (&gt;300k)</v>
      </c>
      <c r="D531" t="str">
        <v>(NEW) Nhuộm màu thời trang Milano</v>
      </c>
      <c r="E531">
        <v>46</v>
      </c>
      <c r="F531">
        <v>960</v>
      </c>
      <c r="G531">
        <v>332000</v>
      </c>
      <c r="H531">
        <v>349000</v>
      </c>
    </row>
    <row r="532">
      <c r="A532" t="str">
        <v>483 TN</v>
      </c>
      <c r="B532" t="str">
        <v>DV_Nhuộm</v>
      </c>
      <c r="C532" t="str">
        <v>DV Nhuộm tiêu chuẩn (&lt;300k)</v>
      </c>
      <c r="D532" t="str">
        <v>(NEW) Nhuộm phủ bạc tiêu chuẩn 199K</v>
      </c>
      <c r="E532">
        <v>46</v>
      </c>
      <c r="F532">
        <v>967</v>
      </c>
      <c r="G532">
        <v>199000</v>
      </c>
      <c r="H532">
        <v>199000</v>
      </c>
    </row>
    <row r="533">
      <c r="A533" t="str">
        <v>483 TN</v>
      </c>
      <c r="B533" t="str">
        <v>DV_Uốn</v>
      </c>
      <c r="C533" t="str">
        <v>DV Uốn tiêu chuẩn (&lt;340k)</v>
      </c>
      <c r="D533" t="str">
        <v>(NEW) Uốn/Duỗi/Định hình full đầu tạo form vào nếp tự nhiên</v>
      </c>
      <c r="E533">
        <v>46</v>
      </c>
      <c r="F533">
        <v>1009</v>
      </c>
      <c r="G533">
        <v>386000</v>
      </c>
      <c r="H533">
        <v>386000</v>
      </c>
    </row>
    <row r="534">
      <c r="A534" t="str">
        <v>483 TN</v>
      </c>
      <c r="B534" t="str">
        <v>DV_Dưỡng</v>
      </c>
      <c r="C534" t="str">
        <v>DV Dưỡng</v>
      </c>
      <c r="D534" t="str">
        <v>Phục hồi trẻ hóa Lipid Bond</v>
      </c>
      <c r="E534">
        <v>46</v>
      </c>
      <c r="F534">
        <v>1101</v>
      </c>
      <c r="G534">
        <v>132000</v>
      </c>
      <c r="H534">
        <v>146000</v>
      </c>
    </row>
    <row r="535">
      <c r="A535" t="str">
        <v>483 TN</v>
      </c>
      <c r="B535" t="str">
        <v>DV_Uốn</v>
      </c>
      <c r="C535" t="str">
        <v>DV Uốn cao cấp (&gt;340k)</v>
      </c>
      <c r="D535" t="str">
        <v>UỐN THIẾT KẾ PHỤC HỒI CHUYÊN SÂU LIPID BOND 2025</v>
      </c>
      <c r="E535">
        <v>46</v>
      </c>
      <c r="F535">
        <v>1148</v>
      </c>
      <c r="G535">
        <v>689000</v>
      </c>
      <c r="H535">
        <v>689000</v>
      </c>
    </row>
    <row r="536">
      <c r="A536" t="str">
        <v>483 TN</v>
      </c>
      <c r="B536" t="str">
        <v>DV_Nhuộm</v>
      </c>
      <c r="C536" t="str">
        <v>DV Nhuộm cao cấp (&gt;300k)</v>
      </c>
      <c r="D536" t="str">
        <v>NHUỘM THIẾT KẾ PHỤC HỒI CHUYÊN SÂU LIPID BOND 2025</v>
      </c>
      <c r="E536">
        <v>46</v>
      </c>
      <c r="F536">
        <v>1149</v>
      </c>
      <c r="G536">
        <v>689000</v>
      </c>
      <c r="H536">
        <v>729000</v>
      </c>
    </row>
    <row r="537">
      <c r="A537" t="str">
        <v>50BT4 NPC LD</v>
      </c>
      <c r="B537" t="str">
        <v>DV_Dưỡng</v>
      </c>
      <c r="C537" t="str">
        <v>DV Dưỡng</v>
      </c>
      <c r="D537" t="str">
        <v>(2022T) ATS Control Buffer - Khử mùi tạo thơm cho tóc uốn nhuộm 40k</v>
      </c>
      <c r="E537">
        <v>179</v>
      </c>
      <c r="F537">
        <v>610</v>
      </c>
      <c r="G537">
        <v>40000</v>
      </c>
      <c r="H537">
        <v>40000</v>
      </c>
      <c r="J537">
        <f>H537&amp;H538&amp;H539&amp;H540&amp;H541&amp;H542&amp;H543&amp;H544&amp;H545&amp;H546&amp;H547&amp;H548&amp;H549</f>
      </c>
    </row>
    <row r="538">
      <c r="A538" t="str">
        <v>50BT4 NPC LD</v>
      </c>
      <c r="B538" t="str">
        <v>DV_Uốn</v>
      </c>
      <c r="C538" t="str">
        <v>DV Uốn cao cấp (&gt;340k)</v>
      </c>
      <c r="D538" t="str">
        <v>[DV] Uốn Texture con sâu/Uốn Ruffled</v>
      </c>
      <c r="E538">
        <v>179</v>
      </c>
      <c r="F538">
        <v>674</v>
      </c>
      <c r="G538">
        <v>499000</v>
      </c>
      <c r="H538">
        <v>499000</v>
      </c>
    </row>
    <row r="539">
      <c r="A539" t="str">
        <v>50BT4 NPC LD</v>
      </c>
      <c r="B539" t="str">
        <v>DV_Uốn</v>
      </c>
      <c r="C539" t="str">
        <v>DV Duỗi Ép</v>
      </c>
      <c r="D539" t="str">
        <v>[DV] Ép side hai bên</v>
      </c>
      <c r="E539">
        <v>179</v>
      </c>
      <c r="F539">
        <v>902</v>
      </c>
      <c r="G539">
        <v>189000</v>
      </c>
      <c r="H539">
        <v>189000</v>
      </c>
    </row>
    <row r="540">
      <c r="A540" t="str">
        <v>50BT4 NPC LD</v>
      </c>
      <c r="B540" t="str">
        <v>DV_Nhuộm</v>
      </c>
      <c r="C540" t="str">
        <v>DV Nhuộm tiêu chuẩn (&lt;300k)</v>
      </c>
      <c r="D540" t="str">
        <v>[DV] Nhuộm đen phủ bạc R&amp;B thảo dược</v>
      </c>
      <c r="E540">
        <v>179</v>
      </c>
      <c r="F540">
        <v>912</v>
      </c>
      <c r="G540">
        <v>289000</v>
      </c>
      <c r="H540">
        <v>289000</v>
      </c>
    </row>
    <row r="541">
      <c r="A541" t="str">
        <v>50BT4 NPC LD</v>
      </c>
      <c r="B541" t="str">
        <v>DV_Nhuộm</v>
      </c>
      <c r="C541" t="str">
        <v>DV Nhuộm tiêu chuẩn (&lt;300k)</v>
      </c>
      <c r="D541" t="str">
        <v>[DV] Tẩy tóc bật tông Ý (1 lần)</v>
      </c>
      <c r="E541">
        <v>179</v>
      </c>
      <c r="F541">
        <v>915</v>
      </c>
      <c r="G541">
        <v>252000</v>
      </c>
      <c r="H541">
        <v>252000</v>
      </c>
    </row>
    <row r="542">
      <c r="A542" t="str">
        <v>50BT4 NPC LD</v>
      </c>
      <c r="B542" t="str">
        <v>DV_Nhuộm</v>
      </c>
      <c r="C542" t="str">
        <v>DV Nhuộm tiêu chuẩn (&lt;300k)</v>
      </c>
      <c r="D542" t="str">
        <v>[DV] Tẩy tóc bật tông Ý (2 lần) 500k</v>
      </c>
      <c r="E542">
        <v>179</v>
      </c>
      <c r="F542">
        <v>916</v>
      </c>
      <c r="G542">
        <v>500000</v>
      </c>
      <c r="H542">
        <v>500000</v>
      </c>
    </row>
    <row r="543">
      <c r="A543" t="str">
        <v>50BT4 NPC LD</v>
      </c>
      <c r="B543" t="str">
        <v>DV_Uốn</v>
      </c>
      <c r="C543" t="str">
        <v>DV Uốn cao cấp (&gt;340k)</v>
      </c>
      <c r="D543" t="str">
        <v>Uốn định hình nếp tóc cao cấp (K-Perm Collection)</v>
      </c>
      <c r="E543">
        <v>179</v>
      </c>
      <c r="F543">
        <v>952</v>
      </c>
      <c r="G543">
        <v>478000</v>
      </c>
      <c r="H543">
        <v>478000</v>
      </c>
    </row>
    <row r="544">
      <c r="A544" t="str">
        <v>50BT4 NPC LD</v>
      </c>
      <c r="B544" t="str">
        <v>DV_Nhuộm</v>
      </c>
      <c r="C544" t="str">
        <v>DV Nhuộm cao cấp (&gt;300k)</v>
      </c>
      <c r="D544" t="str">
        <v>(NEW) Nhuộm màu thời trang Milano</v>
      </c>
      <c r="E544">
        <v>179</v>
      </c>
      <c r="F544">
        <v>960</v>
      </c>
      <c r="G544">
        <v>332000</v>
      </c>
      <c r="H544">
        <v>332000</v>
      </c>
    </row>
    <row r="545">
      <c r="A545" t="str">
        <v>50BT4 NPC LD</v>
      </c>
      <c r="B545" t="str">
        <v>DV_Nhuộm</v>
      </c>
      <c r="C545" t="str">
        <v>DV Nhuộm tiêu chuẩn (&lt;300k)</v>
      </c>
      <c r="D545" t="str">
        <v>(NEW) Nhuộm phủ bạc tiêu chuẩn 199K</v>
      </c>
      <c r="E545">
        <v>179</v>
      </c>
      <c r="F545">
        <v>967</v>
      </c>
      <c r="G545">
        <v>199000</v>
      </c>
      <c r="H545">
        <v>199000</v>
      </c>
    </row>
    <row r="546">
      <c r="A546" t="str">
        <v>50BT4 NPC LD</v>
      </c>
      <c r="B546" t="str">
        <v>DV_Uốn</v>
      </c>
      <c r="C546" t="str">
        <v>DV Uốn tiêu chuẩn (&lt;340k)</v>
      </c>
      <c r="D546" t="str">
        <v>(NEW) Uốn/Duỗi/Định hình full đầu tạo form vào nếp tự nhiên</v>
      </c>
      <c r="E546">
        <v>179</v>
      </c>
      <c r="F546">
        <v>1009</v>
      </c>
      <c r="G546">
        <v>386000</v>
      </c>
      <c r="H546">
        <v>386000</v>
      </c>
    </row>
    <row r="547">
      <c r="A547" t="str">
        <v>50BT4 NPC LD</v>
      </c>
      <c r="B547" t="str">
        <v>DV_Dưỡng</v>
      </c>
      <c r="C547" t="str">
        <v>DV Dưỡng</v>
      </c>
      <c r="D547" t="str">
        <v>Phục hồi trẻ hóa Lipid Bond</v>
      </c>
      <c r="E547">
        <v>179</v>
      </c>
      <c r="F547">
        <v>1101</v>
      </c>
      <c r="G547">
        <v>132000</v>
      </c>
      <c r="H547">
        <v>146000</v>
      </c>
    </row>
    <row r="548">
      <c r="A548" t="str">
        <v>50BT4 NPC LD</v>
      </c>
      <c r="B548" t="str">
        <v>DV_Uốn</v>
      </c>
      <c r="C548" t="str">
        <v>DV Uốn cao cấp (&gt;340k)</v>
      </c>
      <c r="D548" t="str">
        <v>UỐN THIẾT KẾ PHỤC HỒI CHUYÊN SÂU LIPID BOND 2025</v>
      </c>
      <c r="E548">
        <v>179</v>
      </c>
      <c r="F548">
        <v>1148</v>
      </c>
      <c r="G548">
        <v>689000</v>
      </c>
      <c r="H548">
        <v>689000</v>
      </c>
    </row>
    <row r="549">
      <c r="A549" t="str">
        <v>50BT4 NPC LD</v>
      </c>
      <c r="B549" t="str">
        <v>DV_Nhuộm</v>
      </c>
      <c r="C549" t="str">
        <v>DV Nhuộm cao cấp (&gt;300k)</v>
      </c>
      <c r="D549" t="str">
        <v>NHUỘM THIẾT KẾ PHỤC HỒI CHUYÊN SÂU LIPID BOND 2025</v>
      </c>
      <c r="E549">
        <v>179</v>
      </c>
      <c r="F549">
        <v>1149</v>
      </c>
      <c r="G549">
        <v>689000</v>
      </c>
      <c r="H549">
        <v>729000</v>
      </c>
    </row>
    <row r="550">
      <c r="A550" t="str">
        <v>55A NVL</v>
      </c>
      <c r="B550" t="str">
        <v>DV_Dưỡng</v>
      </c>
      <c r="C550" t="str">
        <v>DV Dưỡng</v>
      </c>
      <c r="D550" t="str">
        <v>(2022T) ATS Control Buffer - Khử mùi tạo thơm cho tóc uốn nhuộm 40k</v>
      </c>
      <c r="E550">
        <v>245</v>
      </c>
      <c r="F550">
        <v>610</v>
      </c>
      <c r="G550">
        <v>40000</v>
      </c>
      <c r="H550">
        <v>40000</v>
      </c>
      <c r="I550" s="1" t="s">
        <v>8</v>
      </c>
      <c r="J550">
        <f>H550&amp;H551&amp;H552&amp;H553&amp;H554&amp;H555&amp;H556&amp;H557&amp;H558&amp;H559&amp;H560&amp;H561&amp;H562</f>
      </c>
    </row>
    <row r="551">
      <c r="A551" t="str">
        <v>55A NVL</v>
      </c>
      <c r="B551" t="str">
        <v>DV_Uốn</v>
      </c>
      <c r="C551" t="str">
        <v>DV Uốn cao cấp (&gt;340k)</v>
      </c>
      <c r="D551" t="str">
        <v>[DV] Uốn Texture con sâu/Uốn Ruffled</v>
      </c>
      <c r="E551">
        <v>245</v>
      </c>
      <c r="F551">
        <v>674</v>
      </c>
      <c r="G551">
        <v>499000</v>
      </c>
      <c r="H551">
        <v>529000</v>
      </c>
      <c r="I551" s="1"/>
    </row>
    <row r="552">
      <c r="A552" t="str">
        <v>55A NVL</v>
      </c>
      <c r="B552" t="str">
        <v>DV_Uốn</v>
      </c>
      <c r="C552" t="str">
        <v>DV Duỗi Ép</v>
      </c>
      <c r="D552" t="str">
        <v>[DV] Ép side hai bên</v>
      </c>
      <c r="E552">
        <v>245</v>
      </c>
      <c r="F552">
        <v>902</v>
      </c>
      <c r="G552">
        <v>189000</v>
      </c>
      <c r="H552">
        <v>209000</v>
      </c>
      <c r="I552" s="1"/>
    </row>
    <row r="553">
      <c r="A553" t="str">
        <v>55A NVL</v>
      </c>
      <c r="B553" t="str">
        <v>DV_Nhuộm</v>
      </c>
      <c r="C553" t="str">
        <v>DV Nhuộm tiêu chuẩn (&lt;300k)</v>
      </c>
      <c r="D553" t="str">
        <v>[DV] Nhuộm đen phủ bạc R&amp;B thảo dược</v>
      </c>
      <c r="E553">
        <v>245</v>
      </c>
      <c r="F553">
        <v>912</v>
      </c>
      <c r="G553">
        <v>289000</v>
      </c>
      <c r="H553">
        <v>289000</v>
      </c>
      <c r="I553" s="1"/>
    </row>
    <row r="554">
      <c r="A554" t="str">
        <v>55A NVL</v>
      </c>
      <c r="B554" t="str">
        <v>DV_Nhuộm</v>
      </c>
      <c r="C554" t="str">
        <v>DV Nhuộm tiêu chuẩn (&lt;300k)</v>
      </c>
      <c r="D554" t="str">
        <v>[DV] Tẩy tóc bật tông Ý (1 lần)</v>
      </c>
      <c r="E554">
        <v>245</v>
      </c>
      <c r="F554">
        <v>915</v>
      </c>
      <c r="G554">
        <v>252000</v>
      </c>
      <c r="H554">
        <v>269000</v>
      </c>
      <c r="I554" s="1"/>
    </row>
    <row r="555">
      <c r="A555" t="str">
        <v>55A NVL</v>
      </c>
      <c r="B555" t="str">
        <v>DV_Nhuộm</v>
      </c>
      <c r="C555" t="str">
        <v>DV Nhuộm tiêu chuẩn (&lt;300k)</v>
      </c>
      <c r="D555" t="str">
        <v>[DV] Tẩy tóc bật tông Ý (2 lần) 500k</v>
      </c>
      <c r="E555">
        <v>245</v>
      </c>
      <c r="F555">
        <v>916</v>
      </c>
      <c r="G555">
        <v>500000</v>
      </c>
      <c r="H555">
        <v>529000</v>
      </c>
      <c r="I555" s="1"/>
    </row>
    <row r="556">
      <c r="A556" t="str">
        <v>55A NVL</v>
      </c>
      <c r="B556" t="str">
        <v>DV_Uốn</v>
      </c>
      <c r="C556" t="str">
        <v>DV Uốn cao cấp (&gt;340k)</v>
      </c>
      <c r="D556" t="str">
        <v>Uốn định hình nếp tóc cao cấp (K-Perm Collection)</v>
      </c>
      <c r="E556">
        <v>245</v>
      </c>
      <c r="F556">
        <v>952</v>
      </c>
      <c r="G556">
        <v>478000</v>
      </c>
      <c r="H556">
        <v>509000</v>
      </c>
      <c r="I556" s="1"/>
    </row>
    <row r="557">
      <c r="A557" t="str">
        <v>55A NVL</v>
      </c>
      <c r="B557" t="str">
        <v>DV_Nhuộm</v>
      </c>
      <c r="C557" t="str">
        <v>DV Nhuộm cao cấp (&gt;300k)</v>
      </c>
      <c r="D557" t="str">
        <v>(NEW) Nhuộm màu thời trang Milano</v>
      </c>
      <c r="E557">
        <v>245</v>
      </c>
      <c r="F557">
        <v>960</v>
      </c>
      <c r="G557">
        <v>332000</v>
      </c>
      <c r="H557">
        <v>369000</v>
      </c>
      <c r="I557" s="1"/>
    </row>
    <row r="558">
      <c r="A558" t="str">
        <v>55A NVL</v>
      </c>
      <c r="B558" t="str">
        <v>DV_Nhuộm</v>
      </c>
      <c r="C558" t="str">
        <v>DV Nhuộm tiêu chuẩn (&lt;300k)</v>
      </c>
      <c r="D558" t="str">
        <v>(NEW) Nhuộm phủ bạc tiêu chuẩn 199K</v>
      </c>
      <c r="E558">
        <v>245</v>
      </c>
      <c r="F558">
        <v>967</v>
      </c>
      <c r="G558">
        <v>199000</v>
      </c>
      <c r="H558">
        <v>199000</v>
      </c>
      <c r="I558" s="1"/>
    </row>
    <row r="559">
      <c r="A559" t="str">
        <v>55A NVL</v>
      </c>
      <c r="B559" t="str">
        <v>DV_Uốn</v>
      </c>
      <c r="C559" t="str">
        <v>DV Uốn tiêu chuẩn (&lt;340k)</v>
      </c>
      <c r="D559" t="str">
        <v>(NEW) Uốn/Duỗi/Định hình full đầu tạo form vào nếp tự nhiên</v>
      </c>
      <c r="E559">
        <v>245</v>
      </c>
      <c r="F559">
        <v>1009</v>
      </c>
      <c r="G559">
        <v>386000</v>
      </c>
      <c r="H559">
        <v>409000</v>
      </c>
      <c r="I559" s="1"/>
    </row>
    <row r="560">
      <c r="A560" t="str">
        <v>55A NVL</v>
      </c>
      <c r="B560" t="str">
        <v>DV_Dưỡng</v>
      </c>
      <c r="C560" t="str">
        <v>DV Dưỡng</v>
      </c>
      <c r="D560" t="str">
        <v>Phục hồi trẻ hóa Lipid Bond</v>
      </c>
      <c r="E560">
        <v>245</v>
      </c>
      <c r="F560">
        <v>1101</v>
      </c>
      <c r="G560">
        <v>132000</v>
      </c>
      <c r="H560">
        <v>146000</v>
      </c>
      <c r="I560" s="1"/>
    </row>
    <row r="561">
      <c r="A561" t="str">
        <v>55A NVL</v>
      </c>
      <c r="B561" t="str">
        <v>DV_Uốn</v>
      </c>
      <c r="C561" t="str">
        <v>DV Uốn cao cấp (&gt;340k)</v>
      </c>
      <c r="D561" t="str">
        <v>UỐN THIẾT KẾ PHỤC HỒI CHUYÊN SÂU LIPID BOND 2025</v>
      </c>
      <c r="E561">
        <v>245</v>
      </c>
      <c r="F561">
        <v>1148</v>
      </c>
      <c r="G561">
        <v>689000</v>
      </c>
      <c r="H561">
        <v>729000</v>
      </c>
      <c r="I561" s="1"/>
    </row>
    <row r="562">
      <c r="A562" t="str">
        <v>55A NVL</v>
      </c>
      <c r="B562" t="str">
        <v>DV_Nhuộm</v>
      </c>
      <c r="C562" t="str">
        <v>DV Nhuộm cao cấp (&gt;300k)</v>
      </c>
      <c r="D562" t="str">
        <v>NHUỘM THIẾT KẾ PHỤC HỒI CHUYÊN SÂU LIPID BOND 2025</v>
      </c>
      <c r="E562">
        <v>245</v>
      </c>
      <c r="F562">
        <v>1149</v>
      </c>
      <c r="G562">
        <v>689000</v>
      </c>
      <c r="H562">
        <v>759000</v>
      </c>
      <c r="I562" s="1"/>
    </row>
    <row r="563">
      <c r="A563" t="str">
        <v>575 AC</v>
      </c>
      <c r="B563" t="str">
        <v>DV_Dưỡng</v>
      </c>
      <c r="C563" t="str">
        <v>DV Dưỡng</v>
      </c>
      <c r="D563" t="str">
        <v>(2022T) ATS Control Buffer - Khử mùi tạo thơm cho tóc uốn nhuộm 40k</v>
      </c>
      <c r="E563">
        <v>21</v>
      </c>
      <c r="F563">
        <v>610</v>
      </c>
      <c r="G563">
        <v>40000</v>
      </c>
      <c r="H563">
        <v>40000</v>
      </c>
      <c r="J563">
        <f>H563&amp;H564&amp;H565&amp;H566&amp;H567&amp;H568&amp;H569&amp;H570&amp;H571&amp;H572&amp;H573&amp;H574&amp;H575</f>
      </c>
    </row>
    <row r="564">
      <c r="A564" t="str">
        <v>575 AC</v>
      </c>
      <c r="B564" t="str">
        <v>DV_Uốn</v>
      </c>
      <c r="C564" t="str">
        <v>DV Uốn cao cấp (&gt;340k)</v>
      </c>
      <c r="D564" t="str">
        <v>[DV] Uốn Texture con sâu/Uốn Ruffled</v>
      </c>
      <c r="E564">
        <v>21</v>
      </c>
      <c r="F564">
        <v>674</v>
      </c>
      <c r="G564">
        <v>499000</v>
      </c>
      <c r="H564">
        <v>499000</v>
      </c>
    </row>
    <row r="565">
      <c r="A565" t="str">
        <v>575 AC</v>
      </c>
      <c r="B565" t="str">
        <v>DV_Uốn</v>
      </c>
      <c r="C565" t="str">
        <v>DV Duỗi Ép</v>
      </c>
      <c r="D565" t="str">
        <v>[DV] Ép side hai bên</v>
      </c>
      <c r="E565">
        <v>21</v>
      </c>
      <c r="F565">
        <v>902</v>
      </c>
      <c r="G565">
        <v>189000</v>
      </c>
      <c r="H565">
        <v>209000</v>
      </c>
    </row>
    <row r="566">
      <c r="A566" t="str">
        <v>575 AC</v>
      </c>
      <c r="B566" t="str">
        <v>DV_Nhuộm</v>
      </c>
      <c r="C566" t="str">
        <v>DV Nhuộm tiêu chuẩn (&lt;300k)</v>
      </c>
      <c r="D566" t="str">
        <v>[DV] Nhuộm đen phủ bạc R&amp;B thảo dược</v>
      </c>
      <c r="E566">
        <v>21</v>
      </c>
      <c r="F566">
        <v>912</v>
      </c>
      <c r="G566">
        <v>289000</v>
      </c>
      <c r="H566">
        <v>289000</v>
      </c>
    </row>
    <row r="567">
      <c r="A567" t="str">
        <v>575 AC</v>
      </c>
      <c r="B567" t="str">
        <v>DV_Nhuộm</v>
      </c>
      <c r="C567" t="str">
        <v>DV Nhuộm tiêu chuẩn (&lt;300k)</v>
      </c>
      <c r="D567" t="str">
        <v>[DV] Tẩy tóc bật tông Ý (1 lần)</v>
      </c>
      <c r="E567">
        <v>21</v>
      </c>
      <c r="F567">
        <v>915</v>
      </c>
      <c r="G567">
        <v>252000</v>
      </c>
      <c r="H567">
        <v>252000</v>
      </c>
    </row>
    <row r="568">
      <c r="A568" t="str">
        <v>575 AC</v>
      </c>
      <c r="B568" t="str">
        <v>DV_Nhuộm</v>
      </c>
      <c r="C568" t="str">
        <v>DV Nhuộm tiêu chuẩn (&lt;300k)</v>
      </c>
      <c r="D568" t="str">
        <v>[DV] Tẩy tóc bật tông Ý (2 lần) 500k</v>
      </c>
      <c r="E568">
        <v>21</v>
      </c>
      <c r="F568">
        <v>916</v>
      </c>
      <c r="G568">
        <v>500000</v>
      </c>
      <c r="H568">
        <v>500000</v>
      </c>
    </row>
    <row r="569">
      <c r="A569" t="str">
        <v>575 AC</v>
      </c>
      <c r="B569" t="str">
        <v>DV_Uốn</v>
      </c>
      <c r="C569" t="str">
        <v>DV Uốn cao cấp (&gt;340k)</v>
      </c>
      <c r="D569" t="str">
        <v>Uốn định hình nếp tóc cao cấp (K-Perm Collection)</v>
      </c>
      <c r="E569">
        <v>21</v>
      </c>
      <c r="F569">
        <v>952</v>
      </c>
      <c r="G569">
        <v>478000</v>
      </c>
      <c r="H569">
        <v>478000</v>
      </c>
    </row>
    <row r="570">
      <c r="A570" t="str">
        <v>575 AC</v>
      </c>
      <c r="B570" t="str">
        <v>DV_Nhuộm</v>
      </c>
      <c r="C570" t="str">
        <v>DV Nhuộm cao cấp (&gt;300k)</v>
      </c>
      <c r="D570" t="str">
        <v>(NEW) Nhuộm màu thời trang Milano</v>
      </c>
      <c r="E570">
        <v>21</v>
      </c>
      <c r="F570">
        <v>960</v>
      </c>
      <c r="G570">
        <v>332000</v>
      </c>
      <c r="H570">
        <v>332000</v>
      </c>
    </row>
    <row r="571">
      <c r="A571" t="str">
        <v>575 AC</v>
      </c>
      <c r="B571" t="str">
        <v>DV_Nhuộm</v>
      </c>
      <c r="C571" t="str">
        <v>DV Nhuộm tiêu chuẩn (&lt;300k)</v>
      </c>
      <c r="D571" t="str">
        <v>(NEW) Nhuộm phủ bạc tiêu chuẩn 199K</v>
      </c>
      <c r="E571">
        <v>21</v>
      </c>
      <c r="F571">
        <v>967</v>
      </c>
      <c r="G571">
        <v>199000</v>
      </c>
      <c r="H571">
        <v>199000</v>
      </c>
    </row>
    <row r="572">
      <c r="A572" t="str">
        <v>575 AC</v>
      </c>
      <c r="B572" t="str">
        <v>DV_Uốn</v>
      </c>
      <c r="C572" t="str">
        <v>DV Uốn tiêu chuẩn (&lt;340k)</v>
      </c>
      <c r="D572" t="str">
        <v>(NEW) Uốn/Duỗi/Định hình full đầu tạo form vào nếp tự nhiên</v>
      </c>
      <c r="E572">
        <v>21</v>
      </c>
      <c r="F572">
        <v>1009</v>
      </c>
      <c r="G572">
        <v>386000</v>
      </c>
      <c r="H572">
        <v>386000</v>
      </c>
    </row>
    <row r="573">
      <c r="A573" t="str">
        <v>575 AC</v>
      </c>
      <c r="B573" t="str">
        <v>DV_Dưỡng</v>
      </c>
      <c r="C573" t="str">
        <v>DV Dưỡng</v>
      </c>
      <c r="D573" t="str">
        <v>Phục hồi trẻ hóa Lipid Bond</v>
      </c>
      <c r="E573">
        <v>21</v>
      </c>
      <c r="F573">
        <v>1101</v>
      </c>
      <c r="G573">
        <v>132000</v>
      </c>
      <c r="H573">
        <v>146000</v>
      </c>
    </row>
    <row r="574">
      <c r="A574" t="str">
        <v>575 AC</v>
      </c>
      <c r="B574" t="str">
        <v>DV_Uốn</v>
      </c>
      <c r="C574" t="str">
        <v>DV Uốn cao cấp (&gt;340k)</v>
      </c>
      <c r="D574" t="str">
        <v>UỐN THIẾT KẾ PHỤC HỒI CHUYÊN SÂU LIPID BOND 2025</v>
      </c>
      <c r="E574">
        <v>21</v>
      </c>
      <c r="F574">
        <v>1148</v>
      </c>
      <c r="G574">
        <v>689000</v>
      </c>
      <c r="H574">
        <v>689000</v>
      </c>
    </row>
    <row r="575">
      <c r="A575" t="str">
        <v>575 AC</v>
      </c>
      <c r="B575" t="str">
        <v>DV_Nhuộm</v>
      </c>
      <c r="C575" t="str">
        <v>DV Nhuộm cao cấp (&gt;300k)</v>
      </c>
      <c r="D575" t="str">
        <v>NHUỘM THIẾT KẾ PHỤC HỒI CHUYÊN SÂU LIPID BOND 2025</v>
      </c>
      <c r="E575">
        <v>21</v>
      </c>
      <c r="F575">
        <v>1149</v>
      </c>
      <c r="G575">
        <v>689000</v>
      </c>
      <c r="H575">
        <v>689000</v>
      </c>
    </row>
    <row r="576">
      <c r="A576" t="str">
        <v>58 NVC NA</v>
      </c>
      <c r="B576" t="str">
        <v>DV_Dưỡng</v>
      </c>
      <c r="C576" t="str">
        <v>DV Dưỡng</v>
      </c>
      <c r="D576" t="str">
        <v>(2022T) ATS Control Buffer - Khử mùi tạo thơm cho tóc uốn nhuộm 40k</v>
      </c>
      <c r="E576">
        <v>212</v>
      </c>
      <c r="F576">
        <v>610</v>
      </c>
      <c r="G576">
        <v>40000</v>
      </c>
      <c r="H576">
        <v>40000</v>
      </c>
      <c r="J576">
        <f>H576&amp;H577&amp;H578&amp;H579&amp;H580&amp;H581&amp;H582&amp;H583&amp;H584&amp;H585&amp;H586&amp;H587&amp;H588</f>
      </c>
    </row>
    <row r="577">
      <c r="A577" t="str">
        <v>58 NVC NA</v>
      </c>
      <c r="B577" t="str">
        <v>DV_Uốn</v>
      </c>
      <c r="C577" t="str">
        <v>DV Uốn cao cấp (&gt;340k)</v>
      </c>
      <c r="D577" t="str">
        <v>[DV] Uốn Texture con sâu/Uốn Ruffled</v>
      </c>
      <c r="E577">
        <v>212</v>
      </c>
      <c r="F577">
        <v>674</v>
      </c>
      <c r="G577">
        <v>499000</v>
      </c>
      <c r="H577">
        <v>499000</v>
      </c>
    </row>
    <row r="578">
      <c r="A578" t="str">
        <v>58 NVC NA</v>
      </c>
      <c r="B578" t="str">
        <v>DV_Uốn</v>
      </c>
      <c r="C578" t="str">
        <v>DV Duỗi Ép</v>
      </c>
      <c r="D578" t="str">
        <v>[DV] Ép side hai bên</v>
      </c>
      <c r="E578">
        <v>212</v>
      </c>
      <c r="F578">
        <v>902</v>
      </c>
      <c r="G578">
        <v>189000</v>
      </c>
      <c r="H578">
        <v>199000</v>
      </c>
    </row>
    <row r="579">
      <c r="A579" t="str">
        <v>58 NVC NA</v>
      </c>
      <c r="B579" t="str">
        <v>DV_Nhuộm</v>
      </c>
      <c r="C579" t="str">
        <v>DV Nhuộm tiêu chuẩn (&lt;300k)</v>
      </c>
      <c r="D579" t="str">
        <v>[DV] Nhuộm đen phủ bạc R&amp;B thảo dược</v>
      </c>
      <c r="E579">
        <v>212</v>
      </c>
      <c r="F579">
        <v>912</v>
      </c>
      <c r="G579">
        <v>289000</v>
      </c>
      <c r="H579">
        <v>289000</v>
      </c>
    </row>
    <row r="580">
      <c r="A580" t="str">
        <v>58 NVC NA</v>
      </c>
      <c r="B580" t="str">
        <v>DV_Nhuộm</v>
      </c>
      <c r="C580" t="str">
        <v>DV Nhuộm tiêu chuẩn (&lt;300k)</v>
      </c>
      <c r="D580" t="str">
        <v>[DV] Tẩy tóc bật tông Ý (1 lần)</v>
      </c>
      <c r="E580">
        <v>212</v>
      </c>
      <c r="F580">
        <v>915</v>
      </c>
      <c r="G580">
        <v>252000</v>
      </c>
      <c r="H580">
        <v>252000</v>
      </c>
    </row>
    <row r="581">
      <c r="A581" t="str">
        <v>58 NVC NA</v>
      </c>
      <c r="B581" t="str">
        <v>DV_Nhuộm</v>
      </c>
      <c r="C581" t="str">
        <v>DV Nhuộm tiêu chuẩn (&lt;300k)</v>
      </c>
      <c r="D581" t="str">
        <v>[DV] Tẩy tóc bật tông Ý (2 lần) 500k</v>
      </c>
      <c r="E581">
        <v>212</v>
      </c>
      <c r="F581">
        <v>916</v>
      </c>
      <c r="G581">
        <v>500000</v>
      </c>
      <c r="H581">
        <v>500000</v>
      </c>
    </row>
    <row r="582">
      <c r="A582" t="str">
        <v>58 NVC NA</v>
      </c>
      <c r="B582" t="str">
        <v>DV_Uốn</v>
      </c>
      <c r="C582" t="str">
        <v>DV Uốn cao cấp (&gt;340k)</v>
      </c>
      <c r="D582" t="str">
        <v>Uốn định hình nếp tóc cao cấp (K-Perm Collection)</v>
      </c>
      <c r="E582">
        <v>212</v>
      </c>
      <c r="F582">
        <v>952</v>
      </c>
      <c r="G582">
        <v>478000</v>
      </c>
      <c r="H582">
        <v>478000</v>
      </c>
    </row>
    <row r="583">
      <c r="A583" t="str">
        <v>58 NVC NA</v>
      </c>
      <c r="B583" t="str">
        <v>DV_Nhuộm</v>
      </c>
      <c r="C583" t="str">
        <v>DV Nhuộm cao cấp (&gt;300k)</v>
      </c>
      <c r="D583" t="str">
        <v>(NEW) Nhuộm màu thời trang Milano</v>
      </c>
      <c r="E583">
        <v>212</v>
      </c>
      <c r="F583">
        <v>960</v>
      </c>
      <c r="G583">
        <v>332000</v>
      </c>
      <c r="H583">
        <v>332000</v>
      </c>
    </row>
    <row r="584">
      <c r="A584" t="str">
        <v>58 NVC NA</v>
      </c>
      <c r="B584" t="str">
        <v>DV_Nhuộm</v>
      </c>
      <c r="C584" t="str">
        <v>DV Nhuộm tiêu chuẩn (&lt;300k)</v>
      </c>
      <c r="D584" t="str">
        <v>(NEW) Nhuộm phủ bạc tiêu chuẩn 199K</v>
      </c>
      <c r="E584">
        <v>212</v>
      </c>
      <c r="F584">
        <v>967</v>
      </c>
      <c r="G584">
        <v>199000</v>
      </c>
      <c r="H584">
        <v>199000</v>
      </c>
    </row>
    <row r="585">
      <c r="A585" t="str">
        <v>58 NVC NA</v>
      </c>
      <c r="B585" t="str">
        <v>DV_Uốn</v>
      </c>
      <c r="C585" t="str">
        <v>DV Uốn tiêu chuẩn (&lt;340k)</v>
      </c>
      <c r="D585" t="str">
        <v>(NEW) Uốn/Duỗi/Định hình full đầu tạo form vào nếp tự nhiên</v>
      </c>
      <c r="E585">
        <v>212</v>
      </c>
      <c r="F585">
        <v>1009</v>
      </c>
      <c r="G585">
        <v>386000</v>
      </c>
      <c r="H585">
        <v>386000</v>
      </c>
    </row>
    <row r="586">
      <c r="A586" t="str">
        <v>58 NVC NA</v>
      </c>
      <c r="B586" t="str">
        <v>DV_Dưỡng</v>
      </c>
      <c r="C586" t="str">
        <v>DV Dưỡng</v>
      </c>
      <c r="D586" t="str">
        <v>Phục hồi trẻ hóa Lipid Bond</v>
      </c>
      <c r="E586">
        <v>212</v>
      </c>
      <c r="F586">
        <v>1101</v>
      </c>
      <c r="G586">
        <v>132000</v>
      </c>
      <c r="H586">
        <v>146000</v>
      </c>
    </row>
    <row r="587">
      <c r="A587" t="str">
        <v>58 NVC NA</v>
      </c>
      <c r="B587" t="str">
        <v>DV_Uốn</v>
      </c>
      <c r="C587" t="str">
        <v>DV Uốn cao cấp (&gt;340k)</v>
      </c>
      <c r="D587" t="str">
        <v>UỐN THIẾT KẾ PHỤC HỒI CHUYÊN SÂU LIPID BOND 2025</v>
      </c>
      <c r="E587">
        <v>212</v>
      </c>
      <c r="F587">
        <v>1148</v>
      </c>
      <c r="G587">
        <v>689000</v>
      </c>
      <c r="H587">
        <v>689000</v>
      </c>
    </row>
    <row r="588">
      <c r="A588" t="str">
        <v>58 NVC NA</v>
      </c>
      <c r="B588" t="str">
        <v>DV_Nhuộm</v>
      </c>
      <c r="C588" t="str">
        <v>DV Nhuộm cao cấp (&gt;300k)</v>
      </c>
      <c r="D588" t="str">
        <v>NHUỘM THIẾT KẾ PHỤC HỒI CHUYÊN SÂU LIPID BOND 2025</v>
      </c>
      <c r="E588">
        <v>212</v>
      </c>
      <c r="F588">
        <v>1149</v>
      </c>
      <c r="G588">
        <v>689000</v>
      </c>
      <c r="H588">
        <v>689000</v>
      </c>
    </row>
    <row r="589">
      <c r="A589" t="str">
        <v>595 BT TH</v>
      </c>
      <c r="B589" t="str">
        <v>DV_Dưỡng</v>
      </c>
      <c r="C589" t="str">
        <v>DV Dưỡng</v>
      </c>
      <c r="D589" t="str">
        <v>(2022T) ATS Control Buffer - Khử mùi tạo thơm cho tóc uốn nhuộm 40k</v>
      </c>
      <c r="E589">
        <v>233</v>
      </c>
      <c r="F589">
        <v>610</v>
      </c>
      <c r="G589">
        <v>40000</v>
      </c>
      <c r="H589">
        <v>40000</v>
      </c>
      <c r="J589">
        <f>H589&amp;H590&amp;H591&amp;H592&amp;H593&amp;H594&amp;H595&amp;H596&amp;H597&amp;H598&amp;H599&amp;H600&amp;H601</f>
      </c>
    </row>
    <row r="590">
      <c r="A590" t="str">
        <v>595 BT TH</v>
      </c>
      <c r="B590" t="str">
        <v>DV_Uốn</v>
      </c>
      <c r="C590" t="str">
        <v>DV Uốn cao cấp (&gt;340k)</v>
      </c>
      <c r="D590" t="str">
        <v>[DV] Uốn Texture con sâu/Uốn Ruffled</v>
      </c>
      <c r="E590">
        <v>233</v>
      </c>
      <c r="F590">
        <v>674</v>
      </c>
      <c r="G590">
        <v>499000</v>
      </c>
      <c r="H590">
        <v>499000</v>
      </c>
    </row>
    <row r="591">
      <c r="A591" t="str">
        <v>595 BT TH</v>
      </c>
      <c r="B591" t="str">
        <v>DV_Uốn</v>
      </c>
      <c r="C591" t="str">
        <v>DV Duỗi Ép</v>
      </c>
      <c r="D591" t="str">
        <v>[DV] Ép side hai bên</v>
      </c>
      <c r="E591">
        <v>233</v>
      </c>
      <c r="F591">
        <v>902</v>
      </c>
      <c r="G591">
        <v>189000</v>
      </c>
      <c r="H591">
        <v>199000</v>
      </c>
    </row>
    <row r="592">
      <c r="A592" t="str">
        <v>595 BT TH</v>
      </c>
      <c r="B592" t="str">
        <v>DV_Nhuộm</v>
      </c>
      <c r="C592" t="str">
        <v>DV Nhuộm tiêu chuẩn (&lt;300k)</v>
      </c>
      <c r="D592" t="str">
        <v>[DV] Nhuộm đen phủ bạc R&amp;B thảo dược</v>
      </c>
      <c r="E592">
        <v>233</v>
      </c>
      <c r="F592">
        <v>912</v>
      </c>
      <c r="G592">
        <v>289000</v>
      </c>
      <c r="H592">
        <v>289000</v>
      </c>
    </row>
    <row r="593">
      <c r="A593" t="str">
        <v>595 BT TH</v>
      </c>
      <c r="B593" t="str">
        <v>DV_Nhuộm</v>
      </c>
      <c r="C593" t="str">
        <v>DV Nhuộm tiêu chuẩn (&lt;300k)</v>
      </c>
      <c r="D593" t="str">
        <v>[DV] Tẩy tóc bật tông Ý (1 lần)</v>
      </c>
      <c r="E593">
        <v>233</v>
      </c>
      <c r="F593">
        <v>915</v>
      </c>
      <c r="G593">
        <v>252000</v>
      </c>
      <c r="H593">
        <v>269000</v>
      </c>
    </row>
    <row r="594">
      <c r="A594" t="str">
        <v>595 BT TH</v>
      </c>
      <c r="B594" t="str">
        <v>DV_Nhuộm</v>
      </c>
      <c r="C594" t="str">
        <v>DV Nhuộm tiêu chuẩn (&lt;300k)</v>
      </c>
      <c r="D594" t="str">
        <v>[DV] Tẩy tóc bật tông Ý (2 lần) 500k</v>
      </c>
      <c r="E594">
        <v>233</v>
      </c>
      <c r="F594">
        <v>916</v>
      </c>
      <c r="G594">
        <v>500000</v>
      </c>
      <c r="H594">
        <v>529000</v>
      </c>
    </row>
    <row r="595">
      <c r="A595" t="str">
        <v>595 BT TH</v>
      </c>
      <c r="B595" t="str">
        <v>DV_Uốn</v>
      </c>
      <c r="C595" t="str">
        <v>DV Uốn cao cấp (&gt;340k)</v>
      </c>
      <c r="D595" t="str">
        <v>Uốn định hình nếp tóc cao cấp (K-Perm Collection)</v>
      </c>
      <c r="E595">
        <v>233</v>
      </c>
      <c r="F595">
        <v>952</v>
      </c>
      <c r="G595">
        <v>478000</v>
      </c>
      <c r="H595">
        <v>478000</v>
      </c>
    </row>
    <row r="596">
      <c r="A596" t="str">
        <v>595 BT TH</v>
      </c>
      <c r="B596" t="str">
        <v>DV_Nhuộm</v>
      </c>
      <c r="C596" t="str">
        <v>DV Nhuộm cao cấp (&gt;300k)</v>
      </c>
      <c r="D596" t="str">
        <v>(NEW) Nhuộm màu thời trang Milano</v>
      </c>
      <c r="E596">
        <v>233</v>
      </c>
      <c r="F596">
        <v>960</v>
      </c>
      <c r="G596">
        <v>332000</v>
      </c>
      <c r="H596">
        <v>332000</v>
      </c>
    </row>
    <row r="597">
      <c r="A597" t="str">
        <v>595 BT TH</v>
      </c>
      <c r="B597" t="str">
        <v>DV_Nhuộm</v>
      </c>
      <c r="C597" t="str">
        <v>DV Nhuộm tiêu chuẩn (&lt;300k)</v>
      </c>
      <c r="D597" t="str">
        <v>(NEW) Nhuộm phủ bạc tiêu chuẩn 199K</v>
      </c>
      <c r="E597">
        <v>233</v>
      </c>
      <c r="F597">
        <v>967</v>
      </c>
      <c r="G597">
        <v>199000</v>
      </c>
      <c r="H597">
        <v>199000</v>
      </c>
    </row>
    <row r="598">
      <c r="A598" t="str">
        <v>595 BT TH</v>
      </c>
      <c r="B598" t="str">
        <v>DV_Uốn</v>
      </c>
      <c r="C598" t="str">
        <v>DV Uốn tiêu chuẩn (&lt;340k)</v>
      </c>
      <c r="D598" t="str">
        <v>(NEW) Uốn/Duỗi/Định hình full đầu tạo form vào nếp tự nhiên</v>
      </c>
      <c r="E598">
        <v>233</v>
      </c>
      <c r="F598">
        <v>1009</v>
      </c>
      <c r="G598">
        <v>386000</v>
      </c>
      <c r="H598">
        <v>386000</v>
      </c>
    </row>
    <row r="599">
      <c r="A599" t="str">
        <v>595 BT TH</v>
      </c>
      <c r="B599" t="str">
        <v>DV_Dưỡng</v>
      </c>
      <c r="C599" t="str">
        <v>DV Dưỡng</v>
      </c>
      <c r="D599" t="str">
        <v>Phục hồi trẻ hóa Lipid Bond</v>
      </c>
      <c r="E599">
        <v>233</v>
      </c>
      <c r="F599">
        <v>1101</v>
      </c>
      <c r="G599">
        <v>132000</v>
      </c>
      <c r="H599">
        <v>146000</v>
      </c>
    </row>
    <row r="600">
      <c r="A600" t="str">
        <v>595 BT TH</v>
      </c>
      <c r="B600" t="str">
        <v>DV_Uốn</v>
      </c>
      <c r="C600" t="str">
        <v>DV Uốn cao cấp (&gt;340k)</v>
      </c>
      <c r="D600" t="str">
        <v>UỐN THIẾT KẾ PHỤC HỒI CHUYÊN SÂU LIPID BOND 2025</v>
      </c>
      <c r="E600">
        <v>233</v>
      </c>
      <c r="F600">
        <v>1148</v>
      </c>
      <c r="G600">
        <v>689000</v>
      </c>
      <c r="H600">
        <v>689000</v>
      </c>
    </row>
    <row r="601">
      <c r="A601" t="str">
        <v>595 BT TH</v>
      </c>
      <c r="B601" t="str">
        <v>DV_Nhuộm</v>
      </c>
      <c r="C601" t="str">
        <v>DV Nhuộm cao cấp (&gt;300k)</v>
      </c>
      <c r="D601" t="str">
        <v>NHUỘM THIẾT KẾ PHỤC HỒI CHUYÊN SÂU LIPID BOND 2025</v>
      </c>
      <c r="E601">
        <v>233</v>
      </c>
      <c r="F601">
        <v>1149</v>
      </c>
      <c r="G601">
        <v>689000</v>
      </c>
      <c r="H601">
        <v>689000</v>
      </c>
    </row>
    <row r="602">
      <c r="A602" t="str">
        <v>62 LH</v>
      </c>
      <c r="B602" t="str">
        <v>DV_Dưỡng</v>
      </c>
      <c r="C602" t="str">
        <v>DV Dưỡng</v>
      </c>
      <c r="D602" t="str">
        <v>(2022T) ATS Control Buffer - Khử mùi tạo thơm cho tóc uốn nhuộm 40k</v>
      </c>
      <c r="E602">
        <v>228</v>
      </c>
      <c r="F602">
        <v>610</v>
      </c>
      <c r="G602">
        <v>40000</v>
      </c>
      <c r="H602">
        <v>40000</v>
      </c>
      <c r="J602">
        <f>H602&amp;H603&amp;H604&amp;H605&amp;H606&amp;H607&amp;H608&amp;H609&amp;H610&amp;H611&amp;H612&amp;H613&amp;H614</f>
      </c>
    </row>
    <row r="603">
      <c r="A603" t="str">
        <v>62 LH</v>
      </c>
      <c r="B603" t="str">
        <v>DV_Uốn</v>
      </c>
      <c r="C603" t="str">
        <v>DV Uốn cao cấp (&gt;340k)</v>
      </c>
      <c r="D603" t="str">
        <v>[DV] Uốn Texture con sâu/Uốn Ruffled</v>
      </c>
      <c r="E603">
        <v>228</v>
      </c>
      <c r="F603">
        <v>674</v>
      </c>
      <c r="G603">
        <v>499000</v>
      </c>
      <c r="H603">
        <v>499000</v>
      </c>
    </row>
    <row r="604">
      <c r="A604" t="str">
        <v>62 LH</v>
      </c>
      <c r="B604" t="str">
        <v>DV_Uốn</v>
      </c>
      <c r="C604" t="str">
        <v>DV Duỗi Ép</v>
      </c>
      <c r="D604" t="str">
        <v>[DV] Ép side hai bên</v>
      </c>
      <c r="E604">
        <v>228</v>
      </c>
      <c r="F604">
        <v>902</v>
      </c>
      <c r="G604">
        <v>189000</v>
      </c>
      <c r="H604">
        <v>209000</v>
      </c>
    </row>
    <row r="605">
      <c r="A605" t="str">
        <v>62 LH</v>
      </c>
      <c r="B605" t="str">
        <v>DV_Nhuộm</v>
      </c>
      <c r="C605" t="str">
        <v>DV Nhuộm tiêu chuẩn (&lt;300k)</v>
      </c>
      <c r="D605" t="str">
        <v>[DV] Nhuộm đen phủ bạc R&amp;B thảo dược</v>
      </c>
      <c r="E605">
        <v>228</v>
      </c>
      <c r="F605">
        <v>912</v>
      </c>
      <c r="G605">
        <v>289000</v>
      </c>
      <c r="H605">
        <v>309000</v>
      </c>
    </row>
    <row r="606">
      <c r="A606" t="str">
        <v>62 LH</v>
      </c>
      <c r="B606" t="str">
        <v>DV_Nhuộm</v>
      </c>
      <c r="C606" t="str">
        <v>DV Nhuộm tiêu chuẩn (&lt;300k)</v>
      </c>
      <c r="D606" t="str">
        <v>[DV] Tẩy tóc bật tông Ý (1 lần)</v>
      </c>
      <c r="E606">
        <v>228</v>
      </c>
      <c r="F606">
        <v>915</v>
      </c>
      <c r="G606">
        <v>252000</v>
      </c>
      <c r="H606">
        <v>252000</v>
      </c>
    </row>
    <row r="607">
      <c r="A607" t="str">
        <v>62 LH</v>
      </c>
      <c r="B607" t="str">
        <v>DV_Nhuộm</v>
      </c>
      <c r="C607" t="str">
        <v>DV Nhuộm tiêu chuẩn (&lt;300k)</v>
      </c>
      <c r="D607" t="str">
        <v>[DV] Tẩy tóc bật tông Ý (2 lần) 500k</v>
      </c>
      <c r="E607">
        <v>228</v>
      </c>
      <c r="F607">
        <v>916</v>
      </c>
      <c r="G607">
        <v>500000</v>
      </c>
      <c r="H607">
        <v>500000</v>
      </c>
    </row>
    <row r="608">
      <c r="A608" t="str">
        <v>62 LH</v>
      </c>
      <c r="B608" t="str">
        <v>DV_Uốn</v>
      </c>
      <c r="C608" t="str">
        <v>DV Uốn cao cấp (&gt;340k)</v>
      </c>
      <c r="D608" t="str">
        <v>Uốn định hình nếp tóc cao cấp (K-Perm Collection)</v>
      </c>
      <c r="E608">
        <v>228</v>
      </c>
      <c r="F608">
        <v>952</v>
      </c>
      <c r="G608">
        <v>478000</v>
      </c>
      <c r="H608">
        <v>478000</v>
      </c>
    </row>
    <row r="609">
      <c r="A609" t="str">
        <v>62 LH</v>
      </c>
      <c r="B609" t="str">
        <v>DV_Nhuộm</v>
      </c>
      <c r="C609" t="str">
        <v>DV Nhuộm cao cấp (&gt;300k)</v>
      </c>
      <c r="D609" t="str">
        <v>(NEW) Nhuộm màu thời trang Milano</v>
      </c>
      <c r="E609">
        <v>228</v>
      </c>
      <c r="F609">
        <v>960</v>
      </c>
      <c r="G609">
        <v>332000</v>
      </c>
      <c r="H609">
        <v>332000</v>
      </c>
    </row>
    <row r="610">
      <c r="A610" t="str">
        <v>62 LH</v>
      </c>
      <c r="B610" t="str">
        <v>DV_Nhuộm</v>
      </c>
      <c r="C610" t="str">
        <v>DV Nhuộm tiêu chuẩn (&lt;300k)</v>
      </c>
      <c r="D610" t="str">
        <v>(NEW) Nhuộm phủ bạc tiêu chuẩn 199K</v>
      </c>
      <c r="E610">
        <v>228</v>
      </c>
      <c r="F610">
        <v>967</v>
      </c>
      <c r="G610">
        <v>199000</v>
      </c>
      <c r="H610">
        <v>209000</v>
      </c>
    </row>
    <row r="611">
      <c r="A611" t="str">
        <v>62 LH</v>
      </c>
      <c r="B611" t="str">
        <v>DV_Uốn</v>
      </c>
      <c r="C611" t="str">
        <v>DV Uốn tiêu chuẩn (&lt;340k)</v>
      </c>
      <c r="D611" t="str">
        <v>(NEW) Uốn/Duỗi/Định hình full đầu tạo form vào nếp tự nhiên</v>
      </c>
      <c r="E611">
        <v>228</v>
      </c>
      <c r="F611">
        <v>1009</v>
      </c>
      <c r="G611">
        <v>386000</v>
      </c>
      <c r="H611">
        <v>386000</v>
      </c>
    </row>
    <row r="612">
      <c r="A612" t="str">
        <v>62 LH</v>
      </c>
      <c r="B612" t="str">
        <v>DV_Dưỡng</v>
      </c>
      <c r="C612" t="str">
        <v>DV Dưỡng</v>
      </c>
      <c r="D612" t="str">
        <v>Phục hồi trẻ hóa Lipid Bond</v>
      </c>
      <c r="E612">
        <v>228</v>
      </c>
      <c r="F612">
        <v>1101</v>
      </c>
      <c r="G612">
        <v>132000</v>
      </c>
      <c r="H612">
        <v>146000</v>
      </c>
    </row>
    <row r="613">
      <c r="A613" t="str">
        <v>62 LH</v>
      </c>
      <c r="B613" t="str">
        <v>DV_Uốn</v>
      </c>
      <c r="C613" t="str">
        <v>DV Uốn cao cấp (&gt;340k)</v>
      </c>
      <c r="D613" t="str">
        <v>UỐN THIẾT KẾ PHỤC HỒI CHUYÊN SÂU LIPID BOND 2025</v>
      </c>
      <c r="E613">
        <v>228</v>
      </c>
      <c r="F613">
        <v>1148</v>
      </c>
      <c r="G613">
        <v>689000</v>
      </c>
      <c r="H613">
        <v>689000</v>
      </c>
    </row>
    <row r="614">
      <c r="A614" t="str">
        <v>62 LH</v>
      </c>
      <c r="B614" t="str">
        <v>DV_Nhuộm</v>
      </c>
      <c r="C614" t="str">
        <v>DV Nhuộm cao cấp (&gt;300k)</v>
      </c>
      <c r="D614" t="str">
        <v>NHUỘM THIẾT KẾ PHỤC HỒI CHUYÊN SÂU LIPID BOND 2025</v>
      </c>
      <c r="E614">
        <v>228</v>
      </c>
      <c r="F614">
        <v>1149</v>
      </c>
      <c r="G614">
        <v>689000</v>
      </c>
      <c r="H614">
        <v>689000</v>
      </c>
    </row>
    <row r="615">
      <c r="A615" t="str">
        <v>65 CD</v>
      </c>
      <c r="B615" t="str">
        <v>DV_Dưỡng</v>
      </c>
      <c r="C615" t="str">
        <v>DV Dưỡng</v>
      </c>
      <c r="D615" t="str">
        <v>(2022T) ATS Control Buffer - Khử mùi tạo thơm cho tóc uốn nhuộm 40k</v>
      </c>
      <c r="E615">
        <v>197</v>
      </c>
      <c r="F615">
        <v>610</v>
      </c>
      <c r="G615">
        <v>40000</v>
      </c>
      <c r="H615">
        <v>40000</v>
      </c>
      <c r="J615">
        <f>H615&amp;H616&amp;H617&amp;H618&amp;H619&amp;H620&amp;H621&amp;H622&amp;H623&amp;H624&amp;H625&amp;H626&amp;H627</f>
      </c>
    </row>
    <row r="616">
      <c r="A616" t="str">
        <v>65 CD</v>
      </c>
      <c r="B616" t="str">
        <v>DV_Uốn</v>
      </c>
      <c r="C616" t="str">
        <v>DV Uốn cao cấp (&gt;340k)</v>
      </c>
      <c r="D616" t="str">
        <v>[DV] Uốn Texture con sâu/Uốn Ruffled</v>
      </c>
      <c r="E616">
        <v>197</v>
      </c>
      <c r="F616">
        <v>674</v>
      </c>
      <c r="G616">
        <v>499000</v>
      </c>
      <c r="H616">
        <v>529000</v>
      </c>
    </row>
    <row r="617">
      <c r="A617" t="str">
        <v>65 CD</v>
      </c>
      <c r="B617" t="str">
        <v>DV_Uốn</v>
      </c>
      <c r="C617" t="str">
        <v>DV Duỗi Ép</v>
      </c>
      <c r="D617" t="str">
        <v>[DV] Ép side hai bên</v>
      </c>
      <c r="E617">
        <v>197</v>
      </c>
      <c r="F617">
        <v>902</v>
      </c>
      <c r="G617">
        <v>189000</v>
      </c>
      <c r="H617">
        <v>199000</v>
      </c>
    </row>
    <row r="618">
      <c r="A618" t="str">
        <v>65 CD</v>
      </c>
      <c r="B618" t="str">
        <v>DV_Nhuộm</v>
      </c>
      <c r="C618" t="str">
        <v>DV Nhuộm tiêu chuẩn (&lt;300k)</v>
      </c>
      <c r="D618" t="str">
        <v>[DV] Nhuộm đen phủ bạc R&amp;B thảo dược</v>
      </c>
      <c r="E618">
        <v>197</v>
      </c>
      <c r="F618">
        <v>912</v>
      </c>
      <c r="G618">
        <v>289000</v>
      </c>
      <c r="H618">
        <v>289000</v>
      </c>
    </row>
    <row r="619">
      <c r="A619" t="str">
        <v>65 CD</v>
      </c>
      <c r="B619" t="str">
        <v>DV_Nhuộm</v>
      </c>
      <c r="C619" t="str">
        <v>DV Nhuộm tiêu chuẩn (&lt;300k)</v>
      </c>
      <c r="D619" t="str">
        <v>[DV] Tẩy tóc bật tông Ý (1 lần)</v>
      </c>
      <c r="E619">
        <v>197</v>
      </c>
      <c r="F619">
        <v>915</v>
      </c>
      <c r="G619">
        <v>252000</v>
      </c>
      <c r="H619">
        <v>252000</v>
      </c>
    </row>
    <row r="620">
      <c r="A620" t="str">
        <v>65 CD</v>
      </c>
      <c r="B620" t="str">
        <v>DV_Nhuộm</v>
      </c>
      <c r="C620" t="str">
        <v>DV Nhuộm tiêu chuẩn (&lt;300k)</v>
      </c>
      <c r="D620" t="str">
        <v>[DV] Tẩy tóc bật tông Ý (2 lần) 500k</v>
      </c>
      <c r="E620">
        <v>197</v>
      </c>
      <c r="F620">
        <v>916</v>
      </c>
      <c r="G620">
        <v>500000</v>
      </c>
      <c r="H620">
        <v>500000</v>
      </c>
    </row>
    <row r="621">
      <c r="A621" t="str">
        <v>65 CD</v>
      </c>
      <c r="B621" t="str">
        <v>DV_Uốn</v>
      </c>
      <c r="C621" t="str">
        <v>DV Uốn cao cấp (&gt;340k)</v>
      </c>
      <c r="D621" t="str">
        <v>Uốn định hình nếp tóc cao cấp (K-Perm Collection)</v>
      </c>
      <c r="E621">
        <v>197</v>
      </c>
      <c r="F621">
        <v>952</v>
      </c>
      <c r="G621">
        <v>478000</v>
      </c>
      <c r="H621">
        <v>509000</v>
      </c>
    </row>
    <row r="622">
      <c r="A622" t="str">
        <v>65 CD</v>
      </c>
      <c r="B622" t="str">
        <v>DV_Nhuộm</v>
      </c>
      <c r="C622" t="str">
        <v>DV Nhuộm cao cấp (&gt;300k)</v>
      </c>
      <c r="D622" t="str">
        <v>(NEW) Nhuộm màu thời trang Milano</v>
      </c>
      <c r="E622">
        <v>197</v>
      </c>
      <c r="F622">
        <v>960</v>
      </c>
      <c r="G622">
        <v>332000</v>
      </c>
      <c r="H622">
        <v>349000</v>
      </c>
    </row>
    <row r="623">
      <c r="A623" t="str">
        <v>65 CD</v>
      </c>
      <c r="B623" t="str">
        <v>DV_Nhuộm</v>
      </c>
      <c r="C623" t="str">
        <v>DV Nhuộm tiêu chuẩn (&lt;300k)</v>
      </c>
      <c r="D623" t="str">
        <v>(NEW) Nhuộm phủ bạc tiêu chuẩn 199K</v>
      </c>
      <c r="E623">
        <v>197</v>
      </c>
      <c r="F623">
        <v>967</v>
      </c>
      <c r="G623">
        <v>199000</v>
      </c>
      <c r="H623">
        <v>199000</v>
      </c>
    </row>
    <row r="624">
      <c r="A624" t="str">
        <v>65 CD</v>
      </c>
      <c r="B624" t="str">
        <v>DV_Uốn</v>
      </c>
      <c r="C624" t="str">
        <v>DV Uốn tiêu chuẩn (&lt;340k)</v>
      </c>
      <c r="D624" t="str">
        <v>(NEW) Uốn/Duỗi/Định hình full đầu tạo form vào nếp tự nhiên</v>
      </c>
      <c r="E624">
        <v>197</v>
      </c>
      <c r="F624">
        <v>1009</v>
      </c>
      <c r="G624">
        <v>386000</v>
      </c>
      <c r="H624">
        <v>409000</v>
      </c>
    </row>
    <row r="625">
      <c r="A625" t="str">
        <v>65 CD</v>
      </c>
      <c r="B625" t="str">
        <v>DV_Dưỡng</v>
      </c>
      <c r="C625" t="str">
        <v>DV Dưỡng</v>
      </c>
      <c r="D625" t="str">
        <v>Phục hồi trẻ hóa Lipid Bond</v>
      </c>
      <c r="E625">
        <v>197</v>
      </c>
      <c r="F625">
        <v>1101</v>
      </c>
      <c r="G625">
        <v>132000</v>
      </c>
      <c r="H625">
        <v>146000</v>
      </c>
    </row>
    <row r="626">
      <c r="A626" t="str">
        <v>65 CD</v>
      </c>
      <c r="B626" t="str">
        <v>DV_Uốn</v>
      </c>
      <c r="C626" t="str">
        <v>DV Uốn cao cấp (&gt;340k)</v>
      </c>
      <c r="D626" t="str">
        <v>UỐN THIẾT KẾ PHỤC HỒI CHUYÊN SÂU LIPID BOND 2025</v>
      </c>
      <c r="E626">
        <v>197</v>
      </c>
      <c r="F626">
        <v>1148</v>
      </c>
      <c r="G626">
        <v>689000</v>
      </c>
      <c r="H626">
        <v>729000</v>
      </c>
    </row>
    <row r="627">
      <c r="A627" t="str">
        <v>65 CD</v>
      </c>
      <c r="B627" t="str">
        <v>DV_Nhuộm</v>
      </c>
      <c r="C627" t="str">
        <v>DV Nhuộm cao cấp (&gt;300k)</v>
      </c>
      <c r="D627" t="str">
        <v>NHUỘM THIẾT KẾ PHỤC HỒI CHUYÊN SÂU LIPID BOND 2025</v>
      </c>
      <c r="E627">
        <v>197</v>
      </c>
      <c r="F627">
        <v>1149</v>
      </c>
      <c r="G627">
        <v>689000</v>
      </c>
      <c r="H627">
        <v>729000</v>
      </c>
    </row>
    <row r="628">
      <c r="A628" t="str">
        <v>68 LN NA</v>
      </c>
      <c r="B628" t="str">
        <v>DV_Dưỡng</v>
      </c>
      <c r="C628" t="str">
        <v>DV Dưỡng</v>
      </c>
      <c r="D628" t="str">
        <v>(2022T) ATS Control Buffer - Khử mùi tạo thơm cho tóc uốn nhuộm 40k</v>
      </c>
      <c r="E628">
        <v>240</v>
      </c>
      <c r="F628">
        <v>610</v>
      </c>
      <c r="G628">
        <v>40000</v>
      </c>
      <c r="H628">
        <v>40000</v>
      </c>
      <c r="J628">
        <f>H628&amp;H629&amp;H630&amp;H631&amp;H632&amp;H633&amp;H634&amp;H635&amp;H636&amp;H637&amp;H638&amp;H639&amp;H640</f>
      </c>
    </row>
    <row r="629">
      <c r="A629" t="str">
        <v>68 LN NA</v>
      </c>
      <c r="B629" t="str">
        <v>DV_Uốn</v>
      </c>
      <c r="C629" t="str">
        <v>DV Uốn cao cấp (&gt;340k)</v>
      </c>
      <c r="D629" t="str">
        <v>[DV] Uốn Texture con sâu/Uốn Ruffled</v>
      </c>
      <c r="E629">
        <v>240</v>
      </c>
      <c r="F629">
        <v>674</v>
      </c>
      <c r="G629">
        <v>499000</v>
      </c>
      <c r="H629">
        <v>499000</v>
      </c>
    </row>
    <row r="630">
      <c r="A630" t="str">
        <v>68 LN NA</v>
      </c>
      <c r="B630" t="str">
        <v>DV_Uốn</v>
      </c>
      <c r="C630" t="str">
        <v>DV Duỗi Ép</v>
      </c>
      <c r="D630" t="str">
        <v>[DV] Ép side hai bên</v>
      </c>
      <c r="E630">
        <v>240</v>
      </c>
      <c r="F630">
        <v>902</v>
      </c>
      <c r="G630">
        <v>189000</v>
      </c>
      <c r="H630">
        <v>199000</v>
      </c>
    </row>
    <row r="631">
      <c r="A631" t="str">
        <v>68 LN NA</v>
      </c>
      <c r="B631" t="str">
        <v>DV_Nhuộm</v>
      </c>
      <c r="C631" t="str">
        <v>DV Nhuộm tiêu chuẩn (&lt;300k)</v>
      </c>
      <c r="D631" t="str">
        <v>[DV] Nhuộm đen phủ bạc R&amp;B thảo dược</v>
      </c>
      <c r="E631">
        <v>240</v>
      </c>
      <c r="F631">
        <v>912</v>
      </c>
      <c r="G631">
        <v>289000</v>
      </c>
      <c r="H631">
        <v>289000</v>
      </c>
    </row>
    <row r="632">
      <c r="A632" t="str">
        <v>68 LN NA</v>
      </c>
      <c r="B632" t="str">
        <v>DV_Nhuộm</v>
      </c>
      <c r="C632" t="str">
        <v>DV Nhuộm tiêu chuẩn (&lt;300k)</v>
      </c>
      <c r="D632" t="str">
        <v>[DV] Tẩy tóc bật tông Ý (1 lần)</v>
      </c>
      <c r="E632">
        <v>240</v>
      </c>
      <c r="F632">
        <v>915</v>
      </c>
      <c r="G632">
        <v>252000</v>
      </c>
      <c r="H632">
        <v>252000</v>
      </c>
    </row>
    <row r="633">
      <c r="A633" t="str">
        <v>68 LN NA</v>
      </c>
      <c r="B633" t="str">
        <v>DV_Nhuộm</v>
      </c>
      <c r="C633" t="str">
        <v>DV Nhuộm tiêu chuẩn (&lt;300k)</v>
      </c>
      <c r="D633" t="str">
        <v>[DV] Tẩy tóc bật tông Ý (2 lần) 500k</v>
      </c>
      <c r="E633">
        <v>240</v>
      </c>
      <c r="F633">
        <v>916</v>
      </c>
      <c r="G633">
        <v>500000</v>
      </c>
      <c r="H633">
        <v>500000</v>
      </c>
    </row>
    <row r="634">
      <c r="A634" t="str">
        <v>68 LN NA</v>
      </c>
      <c r="B634" t="str">
        <v>DV_Uốn</v>
      </c>
      <c r="C634" t="str">
        <v>DV Uốn cao cấp (&gt;340k)</v>
      </c>
      <c r="D634" t="str">
        <v>Uốn định hình nếp tóc cao cấp (K-Perm Collection)</v>
      </c>
      <c r="E634">
        <v>240</v>
      </c>
      <c r="F634">
        <v>952</v>
      </c>
      <c r="G634">
        <v>478000</v>
      </c>
      <c r="H634">
        <v>478000</v>
      </c>
    </row>
    <row r="635">
      <c r="A635" t="str">
        <v>68 LN NA</v>
      </c>
      <c r="B635" t="str">
        <v>DV_Nhuộm</v>
      </c>
      <c r="C635" t="str">
        <v>DV Nhuộm cao cấp (&gt;300k)</v>
      </c>
      <c r="D635" t="str">
        <v>(NEW) Nhuộm màu thời trang Milano</v>
      </c>
      <c r="E635">
        <v>240</v>
      </c>
      <c r="F635">
        <v>960</v>
      </c>
      <c r="G635">
        <v>332000</v>
      </c>
      <c r="H635">
        <v>332000</v>
      </c>
    </row>
    <row r="636">
      <c r="A636" t="str">
        <v>68 LN NA</v>
      </c>
      <c r="B636" t="str">
        <v>DV_Nhuộm</v>
      </c>
      <c r="C636" t="str">
        <v>DV Nhuộm tiêu chuẩn (&lt;300k)</v>
      </c>
      <c r="D636" t="str">
        <v>(NEW) Nhuộm phủ bạc tiêu chuẩn 199K</v>
      </c>
      <c r="E636">
        <v>240</v>
      </c>
      <c r="F636">
        <v>967</v>
      </c>
      <c r="G636">
        <v>199000</v>
      </c>
      <c r="H636">
        <v>199000</v>
      </c>
    </row>
    <row r="637">
      <c r="A637" t="str">
        <v>68 LN NA</v>
      </c>
      <c r="B637" t="str">
        <v>DV_Uốn</v>
      </c>
      <c r="C637" t="str">
        <v>DV Uốn tiêu chuẩn (&lt;340k)</v>
      </c>
      <c r="D637" t="str">
        <v>(NEW) Uốn/Duỗi/Định hình full đầu tạo form vào nếp tự nhiên</v>
      </c>
      <c r="E637">
        <v>240</v>
      </c>
      <c r="F637">
        <v>1009</v>
      </c>
      <c r="G637">
        <v>386000</v>
      </c>
      <c r="H637">
        <v>386000</v>
      </c>
    </row>
    <row r="638">
      <c r="A638" t="str">
        <v>68 LN NA</v>
      </c>
      <c r="B638" t="str">
        <v>DV_Dưỡng</v>
      </c>
      <c r="C638" t="str">
        <v>DV Dưỡng</v>
      </c>
      <c r="D638" t="str">
        <v>Phục hồi trẻ hóa Lipid Bond</v>
      </c>
      <c r="E638">
        <v>240</v>
      </c>
      <c r="F638">
        <v>1101</v>
      </c>
      <c r="G638">
        <v>132000</v>
      </c>
      <c r="H638">
        <v>146000</v>
      </c>
    </row>
    <row r="639">
      <c r="A639" t="str">
        <v>68 LN NA</v>
      </c>
      <c r="B639" t="str">
        <v>DV_Uốn</v>
      </c>
      <c r="C639" t="str">
        <v>DV Uốn cao cấp (&gt;340k)</v>
      </c>
      <c r="D639" t="str">
        <v>UỐN THIẾT KẾ PHỤC HỒI CHUYÊN SÂU LIPID BOND 2025</v>
      </c>
      <c r="E639">
        <v>240</v>
      </c>
      <c r="F639">
        <v>1148</v>
      </c>
      <c r="G639">
        <v>689000</v>
      </c>
      <c r="H639">
        <v>689000</v>
      </c>
    </row>
    <row r="640">
      <c r="A640" t="str">
        <v>68 LN NA</v>
      </c>
      <c r="B640" t="str">
        <v>DV_Nhuộm</v>
      </c>
      <c r="C640" t="str">
        <v>DV Nhuộm cao cấp (&gt;300k)</v>
      </c>
      <c r="D640" t="str">
        <v>NHUỘM THIẾT KẾ PHỤC HỒI CHUYÊN SÂU LIPID BOND 2025</v>
      </c>
      <c r="E640">
        <v>240</v>
      </c>
      <c r="F640">
        <v>1149</v>
      </c>
      <c r="G640">
        <v>689000</v>
      </c>
      <c r="H640">
        <v>689000</v>
      </c>
    </row>
    <row r="641">
      <c r="A641" t="str">
        <v>7 DTP LA</v>
      </c>
      <c r="B641" t="str">
        <v>DV_Dưỡng</v>
      </c>
      <c r="C641" t="str">
        <v>DV Dưỡng</v>
      </c>
      <c r="D641" t="str">
        <v>(2022T) ATS Control Buffer - Khử mùi tạo thơm cho tóc uốn nhuộm 40k</v>
      </c>
      <c r="E641">
        <v>199</v>
      </c>
      <c r="F641">
        <v>610</v>
      </c>
      <c r="G641">
        <v>40000</v>
      </c>
      <c r="H641">
        <v>40000</v>
      </c>
      <c r="J641">
        <f>H641&amp;H642&amp;H643&amp;H644&amp;H645&amp;H646&amp;H647&amp;H648&amp;H649&amp;H650&amp;H651&amp;H652&amp;H653</f>
      </c>
    </row>
    <row r="642">
      <c r="A642" t="str">
        <v>7 DTP LA</v>
      </c>
      <c r="B642" t="str">
        <v>DV_Uốn</v>
      </c>
      <c r="C642" t="str">
        <v>DV Uốn cao cấp (&gt;340k)</v>
      </c>
      <c r="D642" t="str">
        <v>[DV] Uốn Texture con sâu/Uốn Ruffled</v>
      </c>
      <c r="E642">
        <v>199</v>
      </c>
      <c r="F642">
        <v>674</v>
      </c>
      <c r="G642">
        <v>499000</v>
      </c>
      <c r="H642">
        <v>499000</v>
      </c>
    </row>
    <row r="643">
      <c r="A643" t="str">
        <v>7 DTP LA</v>
      </c>
      <c r="B643" t="str">
        <v>DV_Uốn</v>
      </c>
      <c r="C643" t="str">
        <v>DV Duỗi Ép</v>
      </c>
      <c r="D643" t="str">
        <v>[DV] Ép side hai bên</v>
      </c>
      <c r="E643">
        <v>199</v>
      </c>
      <c r="F643">
        <v>902</v>
      </c>
      <c r="G643">
        <v>189000</v>
      </c>
      <c r="H643">
        <v>199000</v>
      </c>
    </row>
    <row r="644">
      <c r="A644" t="str">
        <v>7 DTP LA</v>
      </c>
      <c r="B644" t="str">
        <v>DV_Nhuộm</v>
      </c>
      <c r="C644" t="str">
        <v>DV Nhuộm tiêu chuẩn (&lt;300k)</v>
      </c>
      <c r="D644" t="str">
        <v>[DV] Nhuộm đen phủ bạc R&amp;B thảo dược</v>
      </c>
      <c r="E644">
        <v>199</v>
      </c>
      <c r="F644">
        <v>912</v>
      </c>
      <c r="G644">
        <v>289000</v>
      </c>
      <c r="H644">
        <v>289000</v>
      </c>
    </row>
    <row r="645">
      <c r="A645" t="str">
        <v>7 DTP LA</v>
      </c>
      <c r="B645" t="str">
        <v>DV_Nhuộm</v>
      </c>
      <c r="C645" t="str">
        <v>DV Nhuộm tiêu chuẩn (&lt;300k)</v>
      </c>
      <c r="D645" t="str">
        <v>[DV] Tẩy tóc bật tông Ý (1 lần)</v>
      </c>
      <c r="E645">
        <v>199</v>
      </c>
      <c r="F645">
        <v>915</v>
      </c>
      <c r="G645">
        <v>252000</v>
      </c>
      <c r="H645">
        <v>252000</v>
      </c>
    </row>
    <row r="646">
      <c r="A646" t="str">
        <v>7 DTP LA</v>
      </c>
      <c r="B646" t="str">
        <v>DV_Nhuộm</v>
      </c>
      <c r="C646" t="str">
        <v>DV Nhuộm tiêu chuẩn (&lt;300k)</v>
      </c>
      <c r="D646" t="str">
        <v>[DV] Tẩy tóc bật tông Ý (2 lần) 500k</v>
      </c>
      <c r="E646">
        <v>199</v>
      </c>
      <c r="F646">
        <v>916</v>
      </c>
      <c r="G646">
        <v>500000</v>
      </c>
      <c r="H646">
        <v>500000</v>
      </c>
    </row>
    <row r="647">
      <c r="A647" t="str">
        <v>7 DTP LA</v>
      </c>
      <c r="B647" t="str">
        <v>DV_Uốn</v>
      </c>
      <c r="C647" t="str">
        <v>DV Uốn cao cấp (&gt;340k)</v>
      </c>
      <c r="D647" t="str">
        <v>Uốn định hình nếp tóc cao cấp (K-Perm Collection)</v>
      </c>
      <c r="E647">
        <v>199</v>
      </c>
      <c r="F647">
        <v>952</v>
      </c>
      <c r="G647">
        <v>478000</v>
      </c>
      <c r="H647">
        <v>478000</v>
      </c>
    </row>
    <row r="648">
      <c r="A648" t="str">
        <v>7 DTP LA</v>
      </c>
      <c r="B648" t="str">
        <v>DV_Nhuộm</v>
      </c>
      <c r="C648" t="str">
        <v>DV Nhuộm cao cấp (&gt;300k)</v>
      </c>
      <c r="D648" t="str">
        <v>(NEW) Nhuộm màu thời trang Milano</v>
      </c>
      <c r="E648">
        <v>199</v>
      </c>
      <c r="F648">
        <v>960</v>
      </c>
      <c r="G648">
        <v>332000</v>
      </c>
      <c r="H648">
        <v>332000</v>
      </c>
    </row>
    <row r="649">
      <c r="A649" t="str">
        <v>7 DTP LA</v>
      </c>
      <c r="B649" t="str">
        <v>DV_Nhuộm</v>
      </c>
      <c r="C649" t="str">
        <v>DV Nhuộm tiêu chuẩn (&lt;300k)</v>
      </c>
      <c r="D649" t="str">
        <v>(NEW) Nhuộm phủ bạc tiêu chuẩn 199K</v>
      </c>
      <c r="E649">
        <v>199</v>
      </c>
      <c r="F649">
        <v>967</v>
      </c>
      <c r="G649">
        <v>199000</v>
      </c>
      <c r="H649">
        <v>199000</v>
      </c>
    </row>
    <row r="650">
      <c r="A650" t="str">
        <v>7 DTP LA</v>
      </c>
      <c r="B650" t="str">
        <v>DV_Uốn</v>
      </c>
      <c r="C650" t="str">
        <v>DV Uốn tiêu chuẩn (&lt;340k)</v>
      </c>
      <c r="D650" t="str">
        <v>(NEW) Uốn/Duỗi/Định hình full đầu tạo form vào nếp tự nhiên</v>
      </c>
      <c r="E650">
        <v>199</v>
      </c>
      <c r="F650">
        <v>1009</v>
      </c>
      <c r="G650">
        <v>386000</v>
      </c>
      <c r="H650">
        <v>386000</v>
      </c>
    </row>
    <row r="651">
      <c r="A651" t="str">
        <v>7 DTP LA</v>
      </c>
      <c r="B651" t="str">
        <v>DV_Dưỡng</v>
      </c>
      <c r="C651" t="str">
        <v>DV Dưỡng</v>
      </c>
      <c r="D651" t="str">
        <v>Phục hồi trẻ hóa Lipid Bond</v>
      </c>
      <c r="E651">
        <v>199</v>
      </c>
      <c r="F651">
        <v>1101</v>
      </c>
      <c r="G651">
        <v>132000</v>
      </c>
      <c r="H651">
        <v>146000</v>
      </c>
    </row>
    <row r="652">
      <c r="A652" t="str">
        <v>7 DTP LA</v>
      </c>
      <c r="B652" t="str">
        <v>DV_Uốn</v>
      </c>
      <c r="C652" t="str">
        <v>DV Uốn cao cấp (&gt;340k)</v>
      </c>
      <c r="D652" t="str">
        <v>UỐN THIẾT KẾ PHỤC HỒI CHUYÊN SÂU LIPID BOND 2025</v>
      </c>
      <c r="E652">
        <v>199</v>
      </c>
      <c r="F652">
        <v>1148</v>
      </c>
      <c r="G652">
        <v>689000</v>
      </c>
      <c r="H652">
        <v>689000</v>
      </c>
    </row>
    <row r="653">
      <c r="A653" t="str">
        <v>7 DTP LA</v>
      </c>
      <c r="B653" t="str">
        <v>DV_Nhuộm</v>
      </c>
      <c r="C653" t="str">
        <v>DV Nhuộm cao cấp (&gt;300k)</v>
      </c>
      <c r="D653" t="str">
        <v>NHUỘM THIẾT KẾ PHỤC HỒI CHUYÊN SÂU LIPID BOND 2025</v>
      </c>
      <c r="E653">
        <v>199</v>
      </c>
      <c r="F653">
        <v>1149</v>
      </c>
      <c r="G653">
        <v>689000</v>
      </c>
      <c r="H653">
        <v>689000</v>
      </c>
    </row>
    <row r="654">
      <c r="A654" t="str">
        <v>708 LTT</v>
      </c>
      <c r="B654" t="str">
        <v>DV_Dưỡng</v>
      </c>
      <c r="C654" t="str">
        <v>DV Dưỡng</v>
      </c>
      <c r="D654" t="str">
        <v>(2022T) ATS Control Buffer - Khử mùi tạo thơm cho tóc uốn nhuộm 40k</v>
      </c>
      <c r="E654">
        <v>47</v>
      </c>
      <c r="F654">
        <v>610</v>
      </c>
      <c r="G654">
        <v>40000</v>
      </c>
      <c r="H654">
        <v>40000</v>
      </c>
      <c r="J654">
        <f>H654&amp;H655&amp;H656&amp;H657&amp;H658&amp;H659&amp;H660&amp;H661&amp;H662&amp;H663&amp;H664&amp;H665&amp;H666</f>
      </c>
    </row>
    <row r="655">
      <c r="A655" t="str">
        <v>708 LTT</v>
      </c>
      <c r="B655" t="str">
        <v>DV_Uốn</v>
      </c>
      <c r="C655" t="str">
        <v>DV Uốn cao cấp (&gt;340k)</v>
      </c>
      <c r="D655" t="str">
        <v>[DV] Uốn Texture con sâu/Uốn Ruffled</v>
      </c>
      <c r="E655">
        <v>47</v>
      </c>
      <c r="F655">
        <v>674</v>
      </c>
      <c r="G655">
        <v>499000</v>
      </c>
      <c r="H655">
        <v>499000</v>
      </c>
    </row>
    <row r="656">
      <c r="A656" t="str">
        <v>708 LTT</v>
      </c>
      <c r="B656" t="str">
        <v>DV_Uốn</v>
      </c>
      <c r="C656" t="str">
        <v>DV Duỗi Ép</v>
      </c>
      <c r="D656" t="str">
        <v>[DV] Ép side hai bên</v>
      </c>
      <c r="E656">
        <v>47</v>
      </c>
      <c r="F656">
        <v>902</v>
      </c>
      <c r="G656">
        <v>189000</v>
      </c>
      <c r="H656">
        <v>199000</v>
      </c>
    </row>
    <row r="657">
      <c r="A657" t="str">
        <v>708 LTT</v>
      </c>
      <c r="B657" t="str">
        <v>DV_Nhuộm</v>
      </c>
      <c r="C657" t="str">
        <v>DV Nhuộm tiêu chuẩn (&lt;300k)</v>
      </c>
      <c r="D657" t="str">
        <v>[DV] Nhuộm đen phủ bạc R&amp;B thảo dược</v>
      </c>
      <c r="E657">
        <v>47</v>
      </c>
      <c r="F657">
        <v>912</v>
      </c>
      <c r="G657">
        <v>289000</v>
      </c>
      <c r="H657">
        <v>289000</v>
      </c>
    </row>
    <row r="658">
      <c r="A658" t="str">
        <v>708 LTT</v>
      </c>
      <c r="B658" t="str">
        <v>DV_Nhuộm</v>
      </c>
      <c r="C658" t="str">
        <v>DV Nhuộm tiêu chuẩn (&lt;300k)</v>
      </c>
      <c r="D658" t="str">
        <v>[DV] Tẩy tóc bật tông Ý (1 lần)</v>
      </c>
      <c r="E658">
        <v>47</v>
      </c>
      <c r="F658">
        <v>915</v>
      </c>
      <c r="G658">
        <v>252000</v>
      </c>
      <c r="H658">
        <v>252000</v>
      </c>
    </row>
    <row r="659">
      <c r="A659" t="str">
        <v>708 LTT</v>
      </c>
      <c r="B659" t="str">
        <v>DV_Nhuộm</v>
      </c>
      <c r="C659" t="str">
        <v>DV Nhuộm tiêu chuẩn (&lt;300k)</v>
      </c>
      <c r="D659" t="str">
        <v>[DV] Tẩy tóc bật tông Ý (2 lần) 500k</v>
      </c>
      <c r="E659">
        <v>47</v>
      </c>
      <c r="F659">
        <v>916</v>
      </c>
      <c r="G659">
        <v>500000</v>
      </c>
      <c r="H659">
        <v>500000</v>
      </c>
    </row>
    <row r="660">
      <c r="A660" t="str">
        <v>708 LTT</v>
      </c>
      <c r="B660" t="str">
        <v>DV_Uốn</v>
      </c>
      <c r="C660" t="str">
        <v>DV Uốn cao cấp (&gt;340k)</v>
      </c>
      <c r="D660" t="str">
        <v>Uốn định hình nếp tóc cao cấp (K-Perm Collection)</v>
      </c>
      <c r="E660">
        <v>47</v>
      </c>
      <c r="F660">
        <v>952</v>
      </c>
      <c r="G660">
        <v>478000</v>
      </c>
      <c r="H660">
        <v>478000</v>
      </c>
    </row>
    <row r="661">
      <c r="A661" t="str">
        <v>708 LTT</v>
      </c>
      <c r="B661" t="str">
        <v>DV_Nhuộm</v>
      </c>
      <c r="C661" t="str">
        <v>DV Nhuộm cao cấp (&gt;300k)</v>
      </c>
      <c r="D661" t="str">
        <v>(NEW) Nhuộm màu thời trang Milano</v>
      </c>
      <c r="E661">
        <v>47</v>
      </c>
      <c r="F661">
        <v>960</v>
      </c>
      <c r="G661">
        <v>332000</v>
      </c>
      <c r="H661">
        <v>332000</v>
      </c>
    </row>
    <row r="662">
      <c r="A662" t="str">
        <v>708 LTT</v>
      </c>
      <c r="B662" t="str">
        <v>DV_Nhuộm</v>
      </c>
      <c r="C662" t="str">
        <v>DV Nhuộm tiêu chuẩn (&lt;300k)</v>
      </c>
      <c r="D662" t="str">
        <v>(NEW) Nhuộm phủ bạc tiêu chuẩn 199K</v>
      </c>
      <c r="E662">
        <v>47</v>
      </c>
      <c r="F662">
        <v>967</v>
      </c>
      <c r="G662">
        <v>199000</v>
      </c>
      <c r="H662">
        <v>199000</v>
      </c>
    </row>
    <row r="663">
      <c r="A663" t="str">
        <v>708 LTT</v>
      </c>
      <c r="B663" t="str">
        <v>DV_Uốn</v>
      </c>
      <c r="C663" t="str">
        <v>DV Uốn tiêu chuẩn (&lt;340k)</v>
      </c>
      <c r="D663" t="str">
        <v>(NEW) Uốn/Duỗi/Định hình full đầu tạo form vào nếp tự nhiên</v>
      </c>
      <c r="E663">
        <v>47</v>
      </c>
      <c r="F663">
        <v>1009</v>
      </c>
      <c r="G663">
        <v>386000</v>
      </c>
      <c r="H663">
        <v>386000</v>
      </c>
    </row>
    <row r="664">
      <c r="A664" t="str">
        <v>708 LTT</v>
      </c>
      <c r="B664" t="str">
        <v>DV_Dưỡng</v>
      </c>
      <c r="C664" t="str">
        <v>DV Dưỡng</v>
      </c>
      <c r="D664" t="str">
        <v>Phục hồi trẻ hóa Lipid Bond</v>
      </c>
      <c r="E664">
        <v>47</v>
      </c>
      <c r="F664">
        <v>1101</v>
      </c>
      <c r="G664">
        <v>132000</v>
      </c>
      <c r="H664">
        <v>146000</v>
      </c>
    </row>
    <row r="665">
      <c r="A665" t="str">
        <v>708 LTT</v>
      </c>
      <c r="B665" t="str">
        <v>DV_Uốn</v>
      </c>
      <c r="C665" t="str">
        <v>DV Uốn cao cấp (&gt;340k)</v>
      </c>
      <c r="D665" t="str">
        <v>UỐN THIẾT KẾ PHỤC HỒI CHUYÊN SÂU LIPID BOND 2025</v>
      </c>
      <c r="E665">
        <v>47</v>
      </c>
      <c r="F665">
        <v>1148</v>
      </c>
      <c r="G665">
        <v>689000</v>
      </c>
      <c r="H665">
        <v>689000</v>
      </c>
    </row>
    <row r="666">
      <c r="A666" t="str">
        <v>708 LTT</v>
      </c>
      <c r="B666" t="str">
        <v>DV_Nhuộm</v>
      </c>
      <c r="C666" t="str">
        <v>DV Nhuộm cao cấp (&gt;300k)</v>
      </c>
      <c r="D666" t="str">
        <v>NHUỘM THIẾT KẾ PHỤC HỒI CHUYÊN SÂU LIPID BOND 2025</v>
      </c>
      <c r="E666">
        <v>47</v>
      </c>
      <c r="F666">
        <v>1149</v>
      </c>
      <c r="G666">
        <v>689000</v>
      </c>
      <c r="H666">
        <v>689000</v>
      </c>
    </row>
    <row r="667">
      <c r="A667" t="str">
        <v>730 TL10</v>
      </c>
      <c r="B667" t="str">
        <v>DV_Dưỡng</v>
      </c>
      <c r="C667" t="str">
        <v>DV Dưỡng</v>
      </c>
      <c r="D667" t="str">
        <v>(2022T) ATS Control Buffer - Khử mùi tạo thơm cho tóc uốn nhuộm 40k</v>
      </c>
      <c r="E667">
        <v>58</v>
      </c>
      <c r="F667">
        <v>610</v>
      </c>
      <c r="G667">
        <v>40000</v>
      </c>
      <c r="H667">
        <v>40000</v>
      </c>
      <c r="J667">
        <f>H667&amp;H668&amp;H669&amp;H670&amp;H671&amp;H672&amp;H673&amp;H674&amp;H675&amp;H676&amp;H677&amp;H678&amp;H679</f>
      </c>
    </row>
    <row r="668">
      <c r="A668" t="str">
        <v>730 TL10</v>
      </c>
      <c r="B668" t="str">
        <v>DV_Uốn</v>
      </c>
      <c r="C668" t="str">
        <v>DV Uốn cao cấp (&gt;340k)</v>
      </c>
      <c r="D668" t="str">
        <v>[DV] Uốn Texture con sâu/Uốn Ruffled</v>
      </c>
      <c r="E668">
        <v>58</v>
      </c>
      <c r="F668">
        <v>674</v>
      </c>
      <c r="G668">
        <v>499000</v>
      </c>
      <c r="H668">
        <v>499000</v>
      </c>
    </row>
    <row r="669">
      <c r="A669" t="str">
        <v>730 TL10</v>
      </c>
      <c r="B669" t="str">
        <v>DV_Uốn</v>
      </c>
      <c r="C669" t="str">
        <v>DV Duỗi Ép</v>
      </c>
      <c r="D669" t="str">
        <v>[DV] Ép side hai bên</v>
      </c>
      <c r="E669">
        <v>58</v>
      </c>
      <c r="F669">
        <v>902</v>
      </c>
      <c r="G669">
        <v>189000</v>
      </c>
      <c r="H669">
        <v>209000</v>
      </c>
    </row>
    <row r="670">
      <c r="A670" t="str">
        <v>730 TL10</v>
      </c>
      <c r="B670" t="str">
        <v>DV_Nhuộm</v>
      </c>
      <c r="C670" t="str">
        <v>DV Nhuộm tiêu chuẩn (&lt;300k)</v>
      </c>
      <c r="D670" t="str">
        <v>[DV] Nhuộm đen phủ bạc R&amp;B thảo dược</v>
      </c>
      <c r="E670">
        <v>58</v>
      </c>
      <c r="F670">
        <v>912</v>
      </c>
      <c r="G670">
        <v>289000</v>
      </c>
      <c r="H670">
        <v>309000</v>
      </c>
    </row>
    <row r="671">
      <c r="A671" t="str">
        <v>730 TL10</v>
      </c>
      <c r="B671" t="str">
        <v>DV_Nhuộm</v>
      </c>
      <c r="C671" t="str">
        <v>DV Nhuộm tiêu chuẩn (&lt;300k)</v>
      </c>
      <c r="D671" t="str">
        <v>[DV] Tẩy tóc bật tông Ý (1 lần)</v>
      </c>
      <c r="E671">
        <v>58</v>
      </c>
      <c r="F671">
        <v>915</v>
      </c>
      <c r="G671">
        <v>252000</v>
      </c>
      <c r="H671">
        <v>252000</v>
      </c>
    </row>
    <row r="672">
      <c r="A672" t="str">
        <v>730 TL10</v>
      </c>
      <c r="B672" t="str">
        <v>DV_Nhuộm</v>
      </c>
      <c r="C672" t="str">
        <v>DV Nhuộm tiêu chuẩn (&lt;300k)</v>
      </c>
      <c r="D672" t="str">
        <v>[DV] Tẩy tóc bật tông Ý (2 lần) 500k</v>
      </c>
      <c r="E672">
        <v>58</v>
      </c>
      <c r="F672">
        <v>916</v>
      </c>
      <c r="G672">
        <v>500000</v>
      </c>
      <c r="H672">
        <v>500000</v>
      </c>
    </row>
    <row r="673">
      <c r="A673" t="str">
        <v>730 TL10</v>
      </c>
      <c r="B673" t="str">
        <v>DV_Uốn</v>
      </c>
      <c r="C673" t="str">
        <v>DV Uốn cao cấp (&gt;340k)</v>
      </c>
      <c r="D673" t="str">
        <v>Uốn định hình nếp tóc cao cấp (K-Perm Collection)</v>
      </c>
      <c r="E673">
        <v>58</v>
      </c>
      <c r="F673">
        <v>952</v>
      </c>
      <c r="G673">
        <v>478000</v>
      </c>
      <c r="H673">
        <v>478000</v>
      </c>
    </row>
    <row r="674">
      <c r="A674" t="str">
        <v>730 TL10</v>
      </c>
      <c r="B674" t="str">
        <v>DV_Nhuộm</v>
      </c>
      <c r="C674" t="str">
        <v>DV Nhuộm cao cấp (&gt;300k)</v>
      </c>
      <c r="D674" t="str">
        <v>(NEW) Nhuộm màu thời trang Milano</v>
      </c>
      <c r="E674">
        <v>58</v>
      </c>
      <c r="F674">
        <v>960</v>
      </c>
      <c r="G674">
        <v>332000</v>
      </c>
      <c r="H674">
        <v>369000</v>
      </c>
    </row>
    <row r="675">
      <c r="A675" t="str">
        <v>730 TL10</v>
      </c>
      <c r="B675" t="str">
        <v>DV_Nhuộm</v>
      </c>
      <c r="C675" t="str">
        <v>DV Nhuộm tiêu chuẩn (&lt;300k)</v>
      </c>
      <c r="D675" t="str">
        <v>(NEW) Nhuộm phủ bạc tiêu chuẩn 199K</v>
      </c>
      <c r="E675">
        <v>58</v>
      </c>
      <c r="F675">
        <v>967</v>
      </c>
      <c r="G675">
        <v>199000</v>
      </c>
      <c r="H675">
        <v>209000</v>
      </c>
    </row>
    <row r="676">
      <c r="A676" t="str">
        <v>730 TL10</v>
      </c>
      <c r="B676" t="str">
        <v>DV_Uốn</v>
      </c>
      <c r="C676" t="str">
        <v>DV Uốn tiêu chuẩn (&lt;340k)</v>
      </c>
      <c r="D676" t="str">
        <v>(NEW) Uốn/Duỗi/Định hình full đầu tạo form vào nếp tự nhiên</v>
      </c>
      <c r="E676">
        <v>58</v>
      </c>
      <c r="F676">
        <v>1009</v>
      </c>
      <c r="G676">
        <v>386000</v>
      </c>
      <c r="H676">
        <v>386000</v>
      </c>
    </row>
    <row r="677">
      <c r="A677" t="str">
        <v>730 TL10</v>
      </c>
      <c r="B677" t="str">
        <v>DV_Dưỡng</v>
      </c>
      <c r="C677" t="str">
        <v>DV Dưỡng</v>
      </c>
      <c r="D677" t="str">
        <v>Phục hồi trẻ hóa Lipid Bond</v>
      </c>
      <c r="E677">
        <v>58</v>
      </c>
      <c r="F677">
        <v>1101</v>
      </c>
      <c r="G677">
        <v>132000</v>
      </c>
      <c r="H677">
        <v>146000</v>
      </c>
    </row>
    <row r="678">
      <c r="A678" t="str">
        <v>730 TL10</v>
      </c>
      <c r="B678" t="str">
        <v>DV_Uốn</v>
      </c>
      <c r="C678" t="str">
        <v>DV Uốn cao cấp (&gt;340k)</v>
      </c>
      <c r="D678" t="str">
        <v>UỐN THIẾT KẾ PHỤC HỒI CHUYÊN SÂU LIPID BOND 2025</v>
      </c>
      <c r="E678">
        <v>58</v>
      </c>
      <c r="F678">
        <v>1148</v>
      </c>
      <c r="G678">
        <v>689000</v>
      </c>
      <c r="H678">
        <v>689000</v>
      </c>
    </row>
    <row r="679">
      <c r="A679" t="str">
        <v>730 TL10</v>
      </c>
      <c r="B679" t="str">
        <v>DV_Nhuộm</v>
      </c>
      <c r="C679" t="str">
        <v>DV Nhuộm cao cấp (&gt;300k)</v>
      </c>
      <c r="D679" t="str">
        <v>NHUỘM THIẾT KẾ PHỤC HỒI CHUYÊN SÂU LIPID BOND 2025</v>
      </c>
      <c r="E679">
        <v>58</v>
      </c>
      <c r="F679">
        <v>1149</v>
      </c>
      <c r="G679">
        <v>689000</v>
      </c>
      <c r="H679">
        <v>729000</v>
      </c>
    </row>
    <row r="680">
      <c r="A680" t="str">
        <v>76 PVH</v>
      </c>
      <c r="B680" t="str">
        <v>DV_Dưỡng</v>
      </c>
      <c r="C680" t="str">
        <v>DV Dưỡng</v>
      </c>
      <c r="D680" t="str">
        <v>(2022T) ATS Control Buffer - Khử mùi tạo thơm cho tóc uốn nhuộm 40k</v>
      </c>
      <c r="E680">
        <v>106</v>
      </c>
      <c r="F680">
        <v>610</v>
      </c>
      <c r="G680">
        <v>40000</v>
      </c>
      <c r="H680">
        <v>40000</v>
      </c>
      <c r="J680">
        <f>H680&amp;H681&amp;H682&amp;H683&amp;H684&amp;H685&amp;H686&amp;H687&amp;H688&amp;H689&amp;H690&amp;H691&amp;H692</f>
      </c>
    </row>
    <row r="681">
      <c r="A681" t="str">
        <v>76 PVH</v>
      </c>
      <c r="B681" t="str">
        <v>DV_Uốn</v>
      </c>
      <c r="C681" t="str">
        <v>DV Uốn cao cấp (&gt;340k)</v>
      </c>
      <c r="D681" t="str">
        <v>[DV] Uốn Texture con sâu/Uốn Ruffled</v>
      </c>
      <c r="E681">
        <v>106</v>
      </c>
      <c r="F681">
        <v>674</v>
      </c>
      <c r="G681">
        <v>499000</v>
      </c>
      <c r="H681">
        <v>499000</v>
      </c>
    </row>
    <row r="682">
      <c r="A682" t="str">
        <v>76 PVH</v>
      </c>
      <c r="B682" t="str">
        <v>DV_Uốn</v>
      </c>
      <c r="C682" t="str">
        <v>DV Duỗi Ép</v>
      </c>
      <c r="D682" t="str">
        <v>[DV] Ép side hai bên</v>
      </c>
      <c r="E682">
        <v>106</v>
      </c>
      <c r="F682">
        <v>902</v>
      </c>
      <c r="G682">
        <v>189000</v>
      </c>
      <c r="H682">
        <v>199000</v>
      </c>
    </row>
    <row r="683">
      <c r="A683" t="str">
        <v>76 PVH</v>
      </c>
      <c r="B683" t="str">
        <v>DV_Nhuộm</v>
      </c>
      <c r="C683" t="str">
        <v>DV Nhuộm tiêu chuẩn (&lt;300k)</v>
      </c>
      <c r="D683" t="str">
        <v>[DV] Nhuộm đen phủ bạc R&amp;B thảo dược</v>
      </c>
      <c r="E683">
        <v>106</v>
      </c>
      <c r="F683">
        <v>912</v>
      </c>
      <c r="G683">
        <v>289000</v>
      </c>
      <c r="H683">
        <v>309000</v>
      </c>
    </row>
    <row r="684">
      <c r="A684" t="str">
        <v>76 PVH</v>
      </c>
      <c r="B684" t="str">
        <v>DV_Nhuộm</v>
      </c>
      <c r="C684" t="str">
        <v>DV Nhuộm tiêu chuẩn (&lt;300k)</v>
      </c>
      <c r="D684" t="str">
        <v>[DV] Tẩy tóc bật tông Ý (1 lần)</v>
      </c>
      <c r="E684">
        <v>106</v>
      </c>
      <c r="F684">
        <v>915</v>
      </c>
      <c r="G684">
        <v>252000</v>
      </c>
      <c r="H684">
        <v>269000</v>
      </c>
    </row>
    <row r="685">
      <c r="A685" t="str">
        <v>76 PVH</v>
      </c>
      <c r="B685" t="str">
        <v>DV_Nhuộm</v>
      </c>
      <c r="C685" t="str">
        <v>DV Nhuộm tiêu chuẩn (&lt;300k)</v>
      </c>
      <c r="D685" t="str">
        <v>[DV] Tẩy tóc bật tông Ý (2 lần) 500k</v>
      </c>
      <c r="E685">
        <v>106</v>
      </c>
      <c r="F685">
        <v>916</v>
      </c>
      <c r="G685">
        <v>500000</v>
      </c>
      <c r="H685">
        <v>529000</v>
      </c>
    </row>
    <row r="686">
      <c r="A686" t="str">
        <v>76 PVH</v>
      </c>
      <c r="B686" t="str">
        <v>DV_Uốn</v>
      </c>
      <c r="C686" t="str">
        <v>DV Uốn cao cấp (&gt;340k)</v>
      </c>
      <c r="D686" t="str">
        <v>Uốn định hình nếp tóc cao cấp (K-Perm Collection)</v>
      </c>
      <c r="E686">
        <v>106</v>
      </c>
      <c r="F686">
        <v>952</v>
      </c>
      <c r="G686">
        <v>478000</v>
      </c>
      <c r="H686">
        <v>478000</v>
      </c>
    </row>
    <row r="687">
      <c r="A687" t="str">
        <v>76 PVH</v>
      </c>
      <c r="B687" t="str">
        <v>DV_Nhuộm</v>
      </c>
      <c r="C687" t="str">
        <v>DV Nhuộm cao cấp (&gt;300k)</v>
      </c>
      <c r="D687" t="str">
        <v>(NEW) Nhuộm màu thời trang Milano</v>
      </c>
      <c r="E687">
        <v>106</v>
      </c>
      <c r="F687">
        <v>960</v>
      </c>
      <c r="G687">
        <v>332000</v>
      </c>
      <c r="H687">
        <v>332000</v>
      </c>
    </row>
    <row r="688">
      <c r="A688" t="str">
        <v>76 PVH</v>
      </c>
      <c r="B688" t="str">
        <v>DV_Nhuộm</v>
      </c>
      <c r="C688" t="str">
        <v>DV Nhuộm tiêu chuẩn (&lt;300k)</v>
      </c>
      <c r="D688" t="str">
        <v>(NEW) Nhuộm phủ bạc tiêu chuẩn 199K</v>
      </c>
      <c r="E688">
        <v>106</v>
      </c>
      <c r="F688">
        <v>967</v>
      </c>
      <c r="G688">
        <v>199000</v>
      </c>
      <c r="H688">
        <v>209000</v>
      </c>
    </row>
    <row r="689">
      <c r="A689" t="str">
        <v>76 PVH</v>
      </c>
      <c r="B689" t="str">
        <v>DV_Uốn</v>
      </c>
      <c r="C689" t="str">
        <v>DV Uốn tiêu chuẩn (&lt;340k)</v>
      </c>
      <c r="D689" t="str">
        <v>(NEW) Uốn/Duỗi/Định hình full đầu tạo form vào nếp tự nhiên</v>
      </c>
      <c r="E689">
        <v>106</v>
      </c>
      <c r="F689">
        <v>1009</v>
      </c>
      <c r="G689">
        <v>386000</v>
      </c>
      <c r="H689">
        <v>386000</v>
      </c>
    </row>
    <row r="690">
      <c r="A690" t="str">
        <v>76 PVH</v>
      </c>
      <c r="B690" t="str">
        <v>DV_Dưỡng</v>
      </c>
      <c r="C690" t="str">
        <v>DV Dưỡng</v>
      </c>
      <c r="D690" t="str">
        <v>Phục hồi trẻ hóa Lipid Bond</v>
      </c>
      <c r="E690">
        <v>106</v>
      </c>
      <c r="F690">
        <v>1101</v>
      </c>
      <c r="G690">
        <v>132000</v>
      </c>
      <c r="H690">
        <v>146000</v>
      </c>
    </row>
    <row r="691">
      <c r="A691" t="str">
        <v>76 PVH</v>
      </c>
      <c r="B691" t="str">
        <v>DV_Uốn</v>
      </c>
      <c r="C691" t="str">
        <v>DV Uốn cao cấp (&gt;340k)</v>
      </c>
      <c r="D691" t="str">
        <v>UỐN THIẾT KẾ PHỤC HỒI CHUYÊN SÂU LIPID BOND 2025</v>
      </c>
      <c r="E691">
        <v>106</v>
      </c>
      <c r="F691">
        <v>1148</v>
      </c>
      <c r="G691">
        <v>689000</v>
      </c>
      <c r="H691">
        <v>689000</v>
      </c>
    </row>
    <row r="692">
      <c r="A692" t="str">
        <v>76 PVH</v>
      </c>
      <c r="B692" t="str">
        <v>DV_Nhuộm</v>
      </c>
      <c r="C692" t="str">
        <v>DV Nhuộm cao cấp (&gt;300k)</v>
      </c>
      <c r="D692" t="str">
        <v>NHUỘM THIẾT KẾ PHỤC HỒI CHUYÊN SÂU LIPID BOND 2025</v>
      </c>
      <c r="E692">
        <v>106</v>
      </c>
      <c r="F692">
        <v>1149</v>
      </c>
      <c r="G692">
        <v>689000</v>
      </c>
      <c r="H692">
        <v>689000</v>
      </c>
    </row>
    <row r="693">
      <c r="A693" t="str">
        <v>8 CVL</v>
      </c>
      <c r="B693" t="str">
        <v>DV_Dưỡng</v>
      </c>
      <c r="C693" t="str">
        <v>DV Dưỡng</v>
      </c>
      <c r="D693" t="str">
        <v>(2022T) ATS Control Buffer - Khử mùi tạo thơm cho tóc uốn nhuộm 40k</v>
      </c>
      <c r="E693">
        <v>11</v>
      </c>
      <c r="F693">
        <v>610</v>
      </c>
      <c r="G693">
        <v>40000</v>
      </c>
      <c r="H693">
        <v>40000</v>
      </c>
      <c r="J693">
        <f>H693&amp;H694&amp;H695&amp;H696&amp;H697&amp;H698&amp;H699&amp;H700&amp;H701&amp;H702&amp;H703&amp;H704&amp;H705</f>
      </c>
    </row>
    <row r="694">
      <c r="A694" t="str">
        <v>8 CVL</v>
      </c>
      <c r="B694" t="str">
        <v>DV_Uốn</v>
      </c>
      <c r="C694" t="str">
        <v>DV Uốn cao cấp (&gt;340k)</v>
      </c>
      <c r="D694" t="str">
        <v>[DV] Uốn Texture con sâu/Uốn Ruffled</v>
      </c>
      <c r="E694">
        <v>11</v>
      </c>
      <c r="F694">
        <v>674</v>
      </c>
      <c r="G694">
        <v>499000</v>
      </c>
      <c r="H694">
        <v>499000</v>
      </c>
    </row>
    <row r="695">
      <c r="A695" t="str">
        <v>8 CVL</v>
      </c>
      <c r="B695" t="str">
        <v>DV_Uốn</v>
      </c>
      <c r="C695" t="str">
        <v>DV Duỗi Ép</v>
      </c>
      <c r="D695" t="str">
        <v>[DV] Ép side hai bên</v>
      </c>
      <c r="E695">
        <v>11</v>
      </c>
      <c r="F695">
        <v>902</v>
      </c>
      <c r="G695">
        <v>189000</v>
      </c>
      <c r="H695">
        <v>209000</v>
      </c>
    </row>
    <row r="696">
      <c r="A696" t="str">
        <v>8 CVL</v>
      </c>
      <c r="B696" t="str">
        <v>DV_Nhuộm</v>
      </c>
      <c r="C696" t="str">
        <v>DV Nhuộm tiêu chuẩn (&lt;300k)</v>
      </c>
      <c r="D696" t="str">
        <v>[DV] Nhuộm đen phủ bạc R&amp;B thảo dược</v>
      </c>
      <c r="E696">
        <v>11</v>
      </c>
      <c r="F696">
        <v>912</v>
      </c>
      <c r="G696">
        <v>289000</v>
      </c>
      <c r="H696">
        <v>309000</v>
      </c>
    </row>
    <row r="697">
      <c r="A697" t="str">
        <v>8 CVL</v>
      </c>
      <c r="B697" t="str">
        <v>DV_Nhuộm</v>
      </c>
      <c r="C697" t="str">
        <v>DV Nhuộm tiêu chuẩn (&lt;300k)</v>
      </c>
      <c r="D697" t="str">
        <v>[DV] Tẩy tóc bật tông Ý (1 lần)</v>
      </c>
      <c r="E697">
        <v>11</v>
      </c>
      <c r="F697">
        <v>915</v>
      </c>
      <c r="G697">
        <v>252000</v>
      </c>
      <c r="H697">
        <v>252000</v>
      </c>
    </row>
    <row r="698">
      <c r="A698" t="str">
        <v>8 CVL</v>
      </c>
      <c r="B698" t="str">
        <v>DV_Nhuộm</v>
      </c>
      <c r="C698" t="str">
        <v>DV Nhuộm tiêu chuẩn (&lt;300k)</v>
      </c>
      <c r="D698" t="str">
        <v>[DV] Tẩy tóc bật tông Ý (2 lần) 500k</v>
      </c>
      <c r="E698">
        <v>11</v>
      </c>
      <c r="F698">
        <v>916</v>
      </c>
      <c r="G698">
        <v>500000</v>
      </c>
      <c r="H698">
        <v>500000</v>
      </c>
    </row>
    <row r="699">
      <c r="A699" t="str">
        <v>8 CVL</v>
      </c>
      <c r="B699" t="str">
        <v>DV_Uốn</v>
      </c>
      <c r="C699" t="str">
        <v>DV Uốn cao cấp (&gt;340k)</v>
      </c>
      <c r="D699" t="str">
        <v>Uốn định hình nếp tóc cao cấp (K-Perm Collection)</v>
      </c>
      <c r="E699">
        <v>11</v>
      </c>
      <c r="F699">
        <v>952</v>
      </c>
      <c r="G699">
        <v>478000</v>
      </c>
      <c r="H699">
        <v>478000</v>
      </c>
    </row>
    <row r="700">
      <c r="A700" t="str">
        <v>8 CVL</v>
      </c>
      <c r="B700" t="str">
        <v>DV_Nhuộm</v>
      </c>
      <c r="C700" t="str">
        <v>DV Nhuộm cao cấp (&gt;300k)</v>
      </c>
      <c r="D700" t="str">
        <v>(NEW) Nhuộm màu thời trang Milano</v>
      </c>
      <c r="E700">
        <v>11</v>
      </c>
      <c r="F700">
        <v>960</v>
      </c>
      <c r="G700">
        <v>332000</v>
      </c>
      <c r="H700">
        <v>349000</v>
      </c>
    </row>
    <row r="701">
      <c r="A701" t="str">
        <v>8 CVL</v>
      </c>
      <c r="B701" t="str">
        <v>DV_Nhuộm</v>
      </c>
      <c r="C701" t="str">
        <v>DV Nhuộm tiêu chuẩn (&lt;300k)</v>
      </c>
      <c r="D701" t="str">
        <v>(NEW) Nhuộm phủ bạc tiêu chuẩn 199K</v>
      </c>
      <c r="E701">
        <v>11</v>
      </c>
      <c r="F701">
        <v>967</v>
      </c>
      <c r="G701">
        <v>199000</v>
      </c>
      <c r="H701">
        <v>209000</v>
      </c>
    </row>
    <row r="702">
      <c r="A702" t="str">
        <v>8 CVL</v>
      </c>
      <c r="B702" t="str">
        <v>DV_Uốn</v>
      </c>
      <c r="C702" t="str">
        <v>DV Uốn tiêu chuẩn (&lt;340k)</v>
      </c>
      <c r="D702" t="str">
        <v>(NEW) Uốn/Duỗi/Định hình full đầu tạo form vào nếp tự nhiên</v>
      </c>
      <c r="E702">
        <v>11</v>
      </c>
      <c r="F702">
        <v>1009</v>
      </c>
      <c r="G702">
        <v>386000</v>
      </c>
      <c r="H702">
        <v>386000</v>
      </c>
    </row>
    <row r="703">
      <c r="A703" t="str">
        <v>8 CVL</v>
      </c>
      <c r="B703" t="str">
        <v>DV_Dưỡng</v>
      </c>
      <c r="C703" t="str">
        <v>DV Dưỡng</v>
      </c>
      <c r="D703" t="str">
        <v>Phục hồi trẻ hóa Lipid Bond</v>
      </c>
      <c r="E703">
        <v>11</v>
      </c>
      <c r="F703">
        <v>1101</v>
      </c>
      <c r="G703">
        <v>132000</v>
      </c>
      <c r="H703">
        <v>146000</v>
      </c>
    </row>
    <row r="704">
      <c r="A704" t="str">
        <v>8 CVL</v>
      </c>
      <c r="B704" t="str">
        <v>DV_Uốn</v>
      </c>
      <c r="C704" t="str">
        <v>DV Uốn cao cấp (&gt;340k)</v>
      </c>
      <c r="D704" t="str">
        <v>UỐN THIẾT KẾ PHỤC HỒI CHUYÊN SÂU LIPID BOND 2025</v>
      </c>
      <c r="E704">
        <v>11</v>
      </c>
      <c r="F704">
        <v>1148</v>
      </c>
      <c r="G704">
        <v>689000</v>
      </c>
      <c r="H704">
        <v>689000</v>
      </c>
    </row>
    <row r="705">
      <c r="A705" t="str">
        <v>8 CVL</v>
      </c>
      <c r="B705" t="str">
        <v>DV_Nhuộm</v>
      </c>
      <c r="C705" t="str">
        <v>DV Nhuộm cao cấp (&gt;300k)</v>
      </c>
      <c r="D705" t="str">
        <v>NHUỘM THIẾT KẾ PHỤC HỒI CHUYÊN SÂU LIPID BOND 2025</v>
      </c>
      <c r="E705">
        <v>11</v>
      </c>
      <c r="F705">
        <v>1149</v>
      </c>
      <c r="G705">
        <v>689000</v>
      </c>
      <c r="H705">
        <v>729000</v>
      </c>
    </row>
    <row r="706">
      <c r="A706" t="str">
        <v>80 PL BD</v>
      </c>
      <c r="B706" t="str">
        <v>DV_Dưỡng</v>
      </c>
      <c r="C706" t="str">
        <v>DV Dưỡng</v>
      </c>
      <c r="D706" t="str">
        <v>(2022T) ATS Control Buffer - Khử mùi tạo thơm cho tóc uốn nhuộm 40k</v>
      </c>
      <c r="E706">
        <v>60</v>
      </c>
      <c r="F706">
        <v>610</v>
      </c>
      <c r="G706">
        <v>40000</v>
      </c>
      <c r="H706">
        <v>40000</v>
      </c>
      <c r="J706">
        <f>H706&amp;H707&amp;H708&amp;H709&amp;H710&amp;H711&amp;H712&amp;H713&amp;H714&amp;H715&amp;H716&amp;H717&amp;H718</f>
      </c>
    </row>
    <row r="707">
      <c r="A707" t="str">
        <v>80 PL BD</v>
      </c>
      <c r="B707" t="str">
        <v>DV_Uốn</v>
      </c>
      <c r="C707" t="str">
        <v>DV Uốn cao cấp (&gt;340k)</v>
      </c>
      <c r="D707" t="str">
        <v>[DV] Uốn Texture con sâu/Uốn Ruffled</v>
      </c>
      <c r="E707">
        <v>60</v>
      </c>
      <c r="F707">
        <v>674</v>
      </c>
      <c r="G707">
        <v>499000</v>
      </c>
      <c r="H707">
        <v>499000</v>
      </c>
    </row>
    <row r="708">
      <c r="A708" t="str">
        <v>80 PL BD</v>
      </c>
      <c r="B708" t="str">
        <v>DV_Uốn</v>
      </c>
      <c r="C708" t="str">
        <v>DV Duỗi Ép</v>
      </c>
      <c r="D708" t="str">
        <v>[DV] Ép side hai bên</v>
      </c>
      <c r="E708">
        <v>60</v>
      </c>
      <c r="F708">
        <v>902</v>
      </c>
      <c r="G708">
        <v>189000</v>
      </c>
      <c r="H708">
        <v>189000</v>
      </c>
    </row>
    <row r="709">
      <c r="A709" t="str">
        <v>80 PL BD</v>
      </c>
      <c r="B709" t="str">
        <v>DV_Nhuộm</v>
      </c>
      <c r="C709" t="str">
        <v>DV Nhuộm tiêu chuẩn (&lt;300k)</v>
      </c>
      <c r="D709" t="str">
        <v>[DV] Nhuộm đen phủ bạc R&amp;B thảo dược</v>
      </c>
      <c r="E709">
        <v>60</v>
      </c>
      <c r="F709">
        <v>912</v>
      </c>
      <c r="G709">
        <v>289000</v>
      </c>
      <c r="H709">
        <v>289000</v>
      </c>
    </row>
    <row r="710">
      <c r="A710" t="str">
        <v>80 PL BD</v>
      </c>
      <c r="B710" t="str">
        <v>DV_Nhuộm</v>
      </c>
      <c r="C710" t="str">
        <v>DV Nhuộm tiêu chuẩn (&lt;300k)</v>
      </c>
      <c r="D710" t="str">
        <v>[DV] Tẩy tóc bật tông Ý (1 lần)</v>
      </c>
      <c r="E710">
        <v>60</v>
      </c>
      <c r="F710">
        <v>915</v>
      </c>
      <c r="G710">
        <v>252000</v>
      </c>
      <c r="H710">
        <v>252000</v>
      </c>
    </row>
    <row r="711">
      <c r="A711" t="str">
        <v>80 PL BD</v>
      </c>
      <c r="B711" t="str">
        <v>DV_Nhuộm</v>
      </c>
      <c r="C711" t="str">
        <v>DV Nhuộm tiêu chuẩn (&lt;300k)</v>
      </c>
      <c r="D711" t="str">
        <v>[DV] Tẩy tóc bật tông Ý (2 lần) 500k</v>
      </c>
      <c r="E711">
        <v>60</v>
      </c>
      <c r="F711">
        <v>916</v>
      </c>
      <c r="G711">
        <v>500000</v>
      </c>
      <c r="H711">
        <v>500000</v>
      </c>
    </row>
    <row r="712">
      <c r="A712" t="str">
        <v>80 PL BD</v>
      </c>
      <c r="B712" t="str">
        <v>DV_Uốn</v>
      </c>
      <c r="C712" t="str">
        <v>DV Uốn cao cấp (&gt;340k)</v>
      </c>
      <c r="D712" t="str">
        <v>Uốn định hình nếp tóc cao cấp (K-Perm Collection)</v>
      </c>
      <c r="E712">
        <v>60</v>
      </c>
      <c r="F712">
        <v>952</v>
      </c>
      <c r="G712">
        <v>478000</v>
      </c>
      <c r="H712">
        <v>478000</v>
      </c>
    </row>
    <row r="713">
      <c r="A713" t="str">
        <v>80 PL BD</v>
      </c>
      <c r="B713" t="str">
        <v>DV_Nhuộm</v>
      </c>
      <c r="C713" t="str">
        <v>DV Nhuộm cao cấp (&gt;300k)</v>
      </c>
      <c r="D713" t="str">
        <v>(NEW) Nhuộm màu thời trang Milano</v>
      </c>
      <c r="E713">
        <v>60</v>
      </c>
      <c r="F713">
        <v>960</v>
      </c>
      <c r="G713">
        <v>332000</v>
      </c>
      <c r="H713">
        <v>332000</v>
      </c>
    </row>
    <row r="714">
      <c r="A714" t="str">
        <v>80 PL BD</v>
      </c>
      <c r="B714" t="str">
        <v>DV_Nhuộm</v>
      </c>
      <c r="C714" t="str">
        <v>DV Nhuộm tiêu chuẩn (&lt;300k)</v>
      </c>
      <c r="D714" t="str">
        <v>(NEW) Nhuộm phủ bạc tiêu chuẩn 199K</v>
      </c>
      <c r="E714">
        <v>60</v>
      </c>
      <c r="F714">
        <v>967</v>
      </c>
      <c r="G714">
        <v>199000</v>
      </c>
      <c r="H714">
        <v>199000</v>
      </c>
    </row>
    <row r="715">
      <c r="A715" t="str">
        <v>80 PL BD</v>
      </c>
      <c r="B715" t="str">
        <v>DV_Uốn</v>
      </c>
      <c r="C715" t="str">
        <v>DV Uốn tiêu chuẩn (&lt;340k)</v>
      </c>
      <c r="D715" t="str">
        <v>(NEW) Uốn/Duỗi/Định hình full đầu tạo form vào nếp tự nhiên</v>
      </c>
      <c r="E715">
        <v>60</v>
      </c>
      <c r="F715">
        <v>1009</v>
      </c>
      <c r="G715">
        <v>386000</v>
      </c>
      <c r="H715">
        <v>386000</v>
      </c>
    </row>
    <row r="716">
      <c r="A716" t="str">
        <v>80 PL BD</v>
      </c>
      <c r="B716" t="str">
        <v>DV_Dưỡng</v>
      </c>
      <c r="C716" t="str">
        <v>DV Dưỡng</v>
      </c>
      <c r="D716" t="str">
        <v>Phục hồi trẻ hóa Lipid Bond</v>
      </c>
      <c r="E716">
        <v>60</v>
      </c>
      <c r="F716">
        <v>1101</v>
      </c>
      <c r="G716">
        <v>132000</v>
      </c>
      <c r="H716">
        <v>146000</v>
      </c>
    </row>
    <row r="717">
      <c r="A717" t="str">
        <v>80 PL BD</v>
      </c>
      <c r="B717" t="str">
        <v>DV_Uốn</v>
      </c>
      <c r="C717" t="str">
        <v>DV Uốn cao cấp (&gt;340k)</v>
      </c>
      <c r="D717" t="str">
        <v>UỐN THIẾT KẾ PHỤC HỒI CHUYÊN SÂU LIPID BOND 2025</v>
      </c>
      <c r="E717">
        <v>60</v>
      </c>
      <c r="F717">
        <v>1148</v>
      </c>
      <c r="G717">
        <v>689000</v>
      </c>
      <c r="H717">
        <v>689000</v>
      </c>
    </row>
    <row r="718">
      <c r="A718" t="str">
        <v>80 PL BD</v>
      </c>
      <c r="B718" t="str">
        <v>DV_Nhuộm</v>
      </c>
      <c r="C718" t="str">
        <v>DV Nhuộm cao cấp (&gt;300k)</v>
      </c>
      <c r="D718" t="str">
        <v>NHUỘM THIẾT KẾ PHỤC HỒI CHUYÊN SÂU LIPID BOND 2025</v>
      </c>
      <c r="E718">
        <v>60</v>
      </c>
      <c r="F718">
        <v>1149</v>
      </c>
      <c r="G718">
        <v>689000</v>
      </c>
      <c r="H718">
        <v>689000</v>
      </c>
    </row>
    <row r="719">
      <c r="A719" t="str">
        <v>80 TP TH</v>
      </c>
      <c r="B719" t="str">
        <v>DV_Dưỡng</v>
      </c>
      <c r="C719" t="str">
        <v>DV Dưỡng</v>
      </c>
      <c r="D719" t="str">
        <v>(2022T) ATS Control Buffer - Khử mùi tạo thơm cho tóc uốn nhuộm 40k</v>
      </c>
      <c r="E719">
        <v>232</v>
      </c>
      <c r="F719">
        <v>610</v>
      </c>
      <c r="G719">
        <v>40000</v>
      </c>
      <c r="H719">
        <v>40000</v>
      </c>
      <c r="J719">
        <f>H719&amp;H720&amp;H721&amp;H722&amp;H723&amp;H724&amp;H725&amp;H726&amp;H727&amp;H728&amp;H729&amp;H730&amp;H731</f>
      </c>
    </row>
    <row r="720">
      <c r="A720" t="str">
        <v>80 TP TH</v>
      </c>
      <c r="B720" t="str">
        <v>DV_Uốn</v>
      </c>
      <c r="C720" t="str">
        <v>DV Uốn cao cấp (&gt;340k)</v>
      </c>
      <c r="D720" t="str">
        <v>[DV] Uốn Texture con sâu/Uốn Ruffled</v>
      </c>
      <c r="E720">
        <v>232</v>
      </c>
      <c r="F720">
        <v>674</v>
      </c>
      <c r="G720">
        <v>499000</v>
      </c>
      <c r="H720">
        <v>499000</v>
      </c>
    </row>
    <row r="721">
      <c r="A721" t="str">
        <v>80 TP TH</v>
      </c>
      <c r="B721" t="str">
        <v>DV_Uốn</v>
      </c>
      <c r="C721" t="str">
        <v>DV Duỗi Ép</v>
      </c>
      <c r="D721" t="str">
        <v>[DV] Ép side hai bên</v>
      </c>
      <c r="E721">
        <v>232</v>
      </c>
      <c r="F721">
        <v>902</v>
      </c>
      <c r="G721">
        <v>189000</v>
      </c>
      <c r="H721">
        <v>199000</v>
      </c>
    </row>
    <row r="722">
      <c r="A722" t="str">
        <v>80 TP TH</v>
      </c>
      <c r="B722" t="str">
        <v>DV_Nhuộm</v>
      </c>
      <c r="C722" t="str">
        <v>DV Nhuộm tiêu chuẩn (&lt;300k)</v>
      </c>
      <c r="D722" t="str">
        <v>[DV] Nhuộm đen phủ bạc R&amp;B thảo dược</v>
      </c>
      <c r="E722">
        <v>232</v>
      </c>
      <c r="F722">
        <v>912</v>
      </c>
      <c r="G722">
        <v>289000</v>
      </c>
      <c r="H722">
        <v>289000</v>
      </c>
    </row>
    <row r="723">
      <c r="A723" t="str">
        <v>80 TP TH</v>
      </c>
      <c r="B723" t="str">
        <v>DV_Nhuộm</v>
      </c>
      <c r="C723" t="str">
        <v>DV Nhuộm tiêu chuẩn (&lt;300k)</v>
      </c>
      <c r="D723" t="str">
        <v>[DV] Tẩy tóc bật tông Ý (1 lần)</v>
      </c>
      <c r="E723">
        <v>232</v>
      </c>
      <c r="F723">
        <v>915</v>
      </c>
      <c r="G723">
        <v>252000</v>
      </c>
      <c r="H723">
        <v>269000</v>
      </c>
    </row>
    <row r="724">
      <c r="A724" t="str">
        <v>80 TP TH</v>
      </c>
      <c r="B724" t="str">
        <v>DV_Nhuộm</v>
      </c>
      <c r="C724" t="str">
        <v>DV Nhuộm tiêu chuẩn (&lt;300k)</v>
      </c>
      <c r="D724" t="str">
        <v>[DV] Tẩy tóc bật tông Ý (2 lần) 500k</v>
      </c>
      <c r="E724">
        <v>232</v>
      </c>
      <c r="F724">
        <v>916</v>
      </c>
      <c r="G724">
        <v>500000</v>
      </c>
      <c r="H724">
        <v>529000</v>
      </c>
    </row>
    <row r="725">
      <c r="A725" t="str">
        <v>80 TP TH</v>
      </c>
      <c r="B725" t="str">
        <v>DV_Uốn</v>
      </c>
      <c r="C725" t="str">
        <v>DV Uốn cao cấp (&gt;340k)</v>
      </c>
      <c r="D725" t="str">
        <v>Uốn định hình nếp tóc cao cấp (K-Perm Collection)</v>
      </c>
      <c r="E725">
        <v>232</v>
      </c>
      <c r="F725">
        <v>952</v>
      </c>
      <c r="G725">
        <v>478000</v>
      </c>
      <c r="H725">
        <v>478000</v>
      </c>
    </row>
    <row r="726">
      <c r="A726" t="str">
        <v>80 TP TH</v>
      </c>
      <c r="B726" t="str">
        <v>DV_Nhuộm</v>
      </c>
      <c r="C726" t="str">
        <v>DV Nhuộm cao cấp (&gt;300k)</v>
      </c>
      <c r="D726" t="str">
        <v>(NEW) Nhuộm màu thời trang Milano</v>
      </c>
      <c r="E726">
        <v>232</v>
      </c>
      <c r="F726">
        <v>960</v>
      </c>
      <c r="G726">
        <v>332000</v>
      </c>
      <c r="H726">
        <v>332000</v>
      </c>
    </row>
    <row r="727">
      <c r="A727" t="str">
        <v>80 TP TH</v>
      </c>
      <c r="B727" t="str">
        <v>DV_Nhuộm</v>
      </c>
      <c r="C727" t="str">
        <v>DV Nhuộm tiêu chuẩn (&lt;300k)</v>
      </c>
      <c r="D727" t="str">
        <v>(NEW) Nhuộm phủ bạc tiêu chuẩn 199K</v>
      </c>
      <c r="E727">
        <v>232</v>
      </c>
      <c r="F727">
        <v>967</v>
      </c>
      <c r="G727">
        <v>199000</v>
      </c>
      <c r="H727">
        <v>199000</v>
      </c>
    </row>
    <row r="728">
      <c r="A728" t="str">
        <v>80 TP TH</v>
      </c>
      <c r="B728" t="str">
        <v>DV_Uốn</v>
      </c>
      <c r="C728" t="str">
        <v>DV Uốn tiêu chuẩn (&lt;340k)</v>
      </c>
      <c r="D728" t="str">
        <v>(NEW) Uốn/Duỗi/Định hình full đầu tạo form vào nếp tự nhiên</v>
      </c>
      <c r="E728">
        <v>232</v>
      </c>
      <c r="F728">
        <v>1009</v>
      </c>
      <c r="G728">
        <v>386000</v>
      </c>
      <c r="H728">
        <v>386000</v>
      </c>
    </row>
    <row r="729">
      <c r="A729" t="str">
        <v>80 TP TH</v>
      </c>
      <c r="B729" t="str">
        <v>DV_Dưỡng</v>
      </c>
      <c r="C729" t="str">
        <v>DV Dưỡng</v>
      </c>
      <c r="D729" t="str">
        <v>Phục hồi trẻ hóa Lipid Bond</v>
      </c>
      <c r="E729">
        <v>232</v>
      </c>
      <c r="F729">
        <v>1101</v>
      </c>
      <c r="G729">
        <v>132000</v>
      </c>
      <c r="H729">
        <v>146000</v>
      </c>
    </row>
    <row r="730">
      <c r="A730" t="str">
        <v>80 TP TH</v>
      </c>
      <c r="B730" t="str">
        <v>DV_Uốn</v>
      </c>
      <c r="C730" t="str">
        <v>DV Uốn cao cấp (&gt;340k)</v>
      </c>
      <c r="D730" t="str">
        <v>UỐN THIẾT KẾ PHỤC HỒI CHUYÊN SÂU LIPID BOND 2025</v>
      </c>
      <c r="E730">
        <v>232</v>
      </c>
      <c r="F730">
        <v>1148</v>
      </c>
      <c r="G730">
        <v>689000</v>
      </c>
      <c r="H730">
        <v>689000</v>
      </c>
    </row>
    <row r="731">
      <c r="A731" t="str">
        <v>80 TP TH</v>
      </c>
      <c r="B731" t="str">
        <v>DV_Nhuộm</v>
      </c>
      <c r="C731" t="str">
        <v>DV Nhuộm cao cấp (&gt;300k)</v>
      </c>
      <c r="D731" t="str">
        <v>NHUỘM THIẾT KẾ PHỤC HỒI CHUYÊN SÂU LIPID BOND 2025</v>
      </c>
      <c r="E731">
        <v>232</v>
      </c>
      <c r="F731">
        <v>1149</v>
      </c>
      <c r="G731">
        <v>689000</v>
      </c>
      <c r="H731">
        <v>689000</v>
      </c>
    </row>
    <row r="732">
      <c r="A732" t="str">
        <v>872 QL22</v>
      </c>
      <c r="B732" t="str">
        <v>DV_Dưỡng</v>
      </c>
      <c r="C732" t="str">
        <v>DV Dưỡng</v>
      </c>
      <c r="D732" t="str">
        <v>(2022T) ATS Control Buffer - Khử mùi tạo thơm cho tóc uốn nhuộm 40k</v>
      </c>
      <c r="E732">
        <v>101</v>
      </c>
      <c r="F732">
        <v>610</v>
      </c>
      <c r="G732">
        <v>40000</v>
      </c>
      <c r="H732">
        <v>40000</v>
      </c>
      <c r="J732">
        <f>H732&amp;H733&amp;H734&amp;H735&amp;H736&amp;H737&amp;H738&amp;H739&amp;H740&amp;H741&amp;H742&amp;H743&amp;H744</f>
      </c>
    </row>
    <row r="733">
      <c r="A733" t="str">
        <v>872 QL22</v>
      </c>
      <c r="B733" t="str">
        <v>DV_Uốn</v>
      </c>
      <c r="C733" t="str">
        <v>DV Uốn cao cấp (&gt;340k)</v>
      </c>
      <c r="D733" t="str">
        <v>[DV] Uốn Texture con sâu/Uốn Ruffled</v>
      </c>
      <c r="E733">
        <v>101</v>
      </c>
      <c r="F733">
        <v>674</v>
      </c>
      <c r="G733">
        <v>499000</v>
      </c>
      <c r="H733">
        <v>499000</v>
      </c>
    </row>
    <row r="734">
      <c r="A734" t="str">
        <v>872 QL22</v>
      </c>
      <c r="B734" t="str">
        <v>DV_Uốn</v>
      </c>
      <c r="C734" t="str">
        <v>DV Duỗi Ép</v>
      </c>
      <c r="D734" t="str">
        <v>[DV] Ép side hai bên</v>
      </c>
      <c r="E734">
        <v>101</v>
      </c>
      <c r="F734">
        <v>902</v>
      </c>
      <c r="G734">
        <v>189000</v>
      </c>
      <c r="H734">
        <v>189000</v>
      </c>
    </row>
    <row r="735">
      <c r="A735" t="str">
        <v>872 QL22</v>
      </c>
      <c r="B735" t="str">
        <v>DV_Nhuộm</v>
      </c>
      <c r="C735" t="str">
        <v>DV Nhuộm tiêu chuẩn (&lt;300k)</v>
      </c>
      <c r="D735" t="str">
        <v>[DV] Nhuộm đen phủ bạc R&amp;B thảo dược</v>
      </c>
      <c r="E735">
        <v>101</v>
      </c>
      <c r="F735">
        <v>912</v>
      </c>
      <c r="G735">
        <v>289000</v>
      </c>
      <c r="H735">
        <v>289000</v>
      </c>
    </row>
    <row r="736">
      <c r="A736" t="str">
        <v>872 QL22</v>
      </c>
      <c r="B736" t="str">
        <v>DV_Nhuộm</v>
      </c>
      <c r="C736" t="str">
        <v>DV Nhuộm tiêu chuẩn (&lt;300k)</v>
      </c>
      <c r="D736" t="str">
        <v>[DV] Tẩy tóc bật tông Ý (1 lần)</v>
      </c>
      <c r="E736">
        <v>101</v>
      </c>
      <c r="F736">
        <v>915</v>
      </c>
      <c r="G736">
        <v>252000</v>
      </c>
      <c r="H736">
        <v>252000</v>
      </c>
    </row>
    <row r="737">
      <c r="A737" t="str">
        <v>872 QL22</v>
      </c>
      <c r="B737" t="str">
        <v>DV_Nhuộm</v>
      </c>
      <c r="C737" t="str">
        <v>DV Nhuộm tiêu chuẩn (&lt;300k)</v>
      </c>
      <c r="D737" t="str">
        <v>[DV] Tẩy tóc bật tông Ý (2 lần) 500k</v>
      </c>
      <c r="E737">
        <v>101</v>
      </c>
      <c r="F737">
        <v>916</v>
      </c>
      <c r="G737">
        <v>500000</v>
      </c>
      <c r="H737">
        <v>500000</v>
      </c>
    </row>
    <row r="738">
      <c r="A738" t="str">
        <v>872 QL22</v>
      </c>
      <c r="B738" t="str">
        <v>DV_Uốn</v>
      </c>
      <c r="C738" t="str">
        <v>DV Uốn cao cấp (&gt;340k)</v>
      </c>
      <c r="D738" t="str">
        <v>Uốn định hình nếp tóc cao cấp (K-Perm Collection)</v>
      </c>
      <c r="E738">
        <v>101</v>
      </c>
      <c r="F738">
        <v>952</v>
      </c>
      <c r="G738">
        <v>478000</v>
      </c>
      <c r="H738">
        <v>478000</v>
      </c>
    </row>
    <row r="739">
      <c r="A739" t="str">
        <v>872 QL22</v>
      </c>
      <c r="B739" t="str">
        <v>DV_Nhuộm</v>
      </c>
      <c r="C739" t="str">
        <v>DV Nhuộm cao cấp (&gt;300k)</v>
      </c>
      <c r="D739" t="str">
        <v>(NEW) Nhuộm màu thời trang Milano</v>
      </c>
      <c r="E739">
        <v>101</v>
      </c>
      <c r="F739">
        <v>960</v>
      </c>
      <c r="G739">
        <v>332000</v>
      </c>
      <c r="H739">
        <v>332000</v>
      </c>
    </row>
    <row r="740">
      <c r="A740" t="str">
        <v>872 QL22</v>
      </c>
      <c r="B740" t="str">
        <v>DV_Nhuộm</v>
      </c>
      <c r="C740" t="str">
        <v>DV Nhuộm tiêu chuẩn (&lt;300k)</v>
      </c>
      <c r="D740" t="str">
        <v>(NEW) Nhuộm phủ bạc tiêu chuẩn 199K</v>
      </c>
      <c r="E740">
        <v>101</v>
      </c>
      <c r="F740">
        <v>967</v>
      </c>
      <c r="G740">
        <v>199000</v>
      </c>
      <c r="H740">
        <v>199000</v>
      </c>
    </row>
    <row r="741">
      <c r="A741" t="str">
        <v>872 QL22</v>
      </c>
      <c r="B741" t="str">
        <v>DV_Uốn</v>
      </c>
      <c r="C741" t="str">
        <v>DV Uốn tiêu chuẩn (&lt;340k)</v>
      </c>
      <c r="D741" t="str">
        <v>(NEW) Uốn/Duỗi/Định hình full đầu tạo form vào nếp tự nhiên</v>
      </c>
      <c r="E741">
        <v>101</v>
      </c>
      <c r="F741">
        <v>1009</v>
      </c>
      <c r="G741">
        <v>386000</v>
      </c>
      <c r="H741">
        <v>389000</v>
      </c>
    </row>
    <row r="742">
      <c r="A742" t="str">
        <v>872 QL22</v>
      </c>
      <c r="B742" t="str">
        <v>DV_Dưỡng</v>
      </c>
      <c r="C742" t="str">
        <v>DV Dưỡng</v>
      </c>
      <c r="D742" t="str">
        <v>Phục hồi trẻ hóa Lipid Bond</v>
      </c>
      <c r="E742">
        <v>101</v>
      </c>
      <c r="F742">
        <v>1101</v>
      </c>
      <c r="G742">
        <v>132000</v>
      </c>
      <c r="H742">
        <v>146000</v>
      </c>
    </row>
    <row r="743">
      <c r="A743" t="str">
        <v>872 QL22</v>
      </c>
      <c r="B743" t="str">
        <v>DV_Uốn</v>
      </c>
      <c r="C743" t="str">
        <v>DV Uốn cao cấp (&gt;340k)</v>
      </c>
      <c r="D743" t="str">
        <v>UỐN THIẾT KẾ PHỤC HỒI CHUYÊN SÂU LIPID BOND 2025</v>
      </c>
      <c r="E743">
        <v>101</v>
      </c>
      <c r="F743">
        <v>1148</v>
      </c>
      <c r="G743">
        <v>689000</v>
      </c>
      <c r="H743">
        <v>689000</v>
      </c>
    </row>
    <row r="744">
      <c r="A744" t="str">
        <v>872 QL22</v>
      </c>
      <c r="B744" t="str">
        <v>DV_Nhuộm</v>
      </c>
      <c r="C744" t="str">
        <v>DV Nhuộm cao cấp (&gt;300k)</v>
      </c>
      <c r="D744" t="str">
        <v>NHUỘM THIẾT KẾ PHỤC HỒI CHUYÊN SÂU LIPID BOND 2025</v>
      </c>
      <c r="E744">
        <v>101</v>
      </c>
      <c r="F744">
        <v>1149</v>
      </c>
      <c r="G744">
        <v>689000</v>
      </c>
      <c r="H744">
        <v>689000</v>
      </c>
    </row>
    <row r="745">
      <c r="A745" t="str">
        <v>90 NH</v>
      </c>
      <c r="B745" t="str">
        <v>DV_Dưỡng</v>
      </c>
      <c r="C745" t="str">
        <v>DV Dưỡng</v>
      </c>
      <c r="D745" t="str">
        <v>(2022T) ATS Control Buffer - Khử mùi tạo thơm cho tóc uốn nhuộm 40k</v>
      </c>
      <c r="E745">
        <v>194</v>
      </c>
      <c r="F745">
        <v>610</v>
      </c>
      <c r="G745">
        <v>40000</v>
      </c>
      <c r="H745">
        <v>40000</v>
      </c>
      <c r="I745" s="1" t="s">
        <v>4</v>
      </c>
      <c r="J745">
        <f>H745&amp;H746&amp;H747&amp;H748&amp;H749&amp;H750&amp;H751&amp;H752&amp;H753&amp;H754&amp;H755&amp;H756&amp;H757</f>
      </c>
    </row>
    <row r="746">
      <c r="A746" t="str">
        <v>90 NH</v>
      </c>
      <c r="B746" t="str">
        <v>DV_Uốn</v>
      </c>
      <c r="C746" t="str">
        <v>DV Uốn cao cấp (&gt;340k)</v>
      </c>
      <c r="D746" t="str">
        <v>[DV] Uốn Texture con sâu/Uốn Ruffled</v>
      </c>
      <c r="E746">
        <v>194</v>
      </c>
      <c r="F746">
        <v>674</v>
      </c>
      <c r="G746">
        <v>499000</v>
      </c>
      <c r="H746">
        <v>499000</v>
      </c>
      <c r="I746" s="1"/>
    </row>
    <row r="747">
      <c r="A747" t="str">
        <v>90 NH</v>
      </c>
      <c r="B747" t="str">
        <v>DV_Uốn</v>
      </c>
      <c r="C747" t="str">
        <v>DV Duỗi Ép</v>
      </c>
      <c r="D747" t="str">
        <v>[DV] Ép side hai bên</v>
      </c>
      <c r="E747">
        <v>194</v>
      </c>
      <c r="F747">
        <v>902</v>
      </c>
      <c r="G747">
        <v>189000</v>
      </c>
      <c r="H747">
        <v>199000</v>
      </c>
      <c r="I747" s="1"/>
    </row>
    <row r="748">
      <c r="A748" t="str">
        <v>90 NH</v>
      </c>
      <c r="B748" t="str">
        <v>DV_Nhuộm</v>
      </c>
      <c r="C748" t="str">
        <v>DV Nhuộm tiêu chuẩn (&lt;300k)</v>
      </c>
      <c r="D748" t="str">
        <v>[DV] Nhuộm đen phủ bạc R&amp;B thảo dược</v>
      </c>
      <c r="E748">
        <v>194</v>
      </c>
      <c r="F748">
        <v>912</v>
      </c>
      <c r="G748">
        <v>289000</v>
      </c>
      <c r="H748">
        <v>309000</v>
      </c>
      <c r="I748" s="1"/>
    </row>
    <row r="749">
      <c r="A749" t="str">
        <v>90 NH</v>
      </c>
      <c r="B749" t="str">
        <v>DV_Nhuộm</v>
      </c>
      <c r="C749" t="str">
        <v>DV Nhuộm tiêu chuẩn (&lt;300k)</v>
      </c>
      <c r="D749" t="str">
        <v>[DV] Tẩy tóc bật tông Ý (1 lần)</v>
      </c>
      <c r="E749">
        <v>194</v>
      </c>
      <c r="F749">
        <v>915</v>
      </c>
      <c r="G749">
        <v>252000</v>
      </c>
      <c r="H749">
        <v>269000</v>
      </c>
      <c r="I749" s="1"/>
    </row>
    <row r="750">
      <c r="A750" t="str">
        <v>90 NH</v>
      </c>
      <c r="B750" t="str">
        <v>DV_Nhuộm</v>
      </c>
      <c r="C750" t="str">
        <v>DV Nhuộm tiêu chuẩn (&lt;300k)</v>
      </c>
      <c r="D750" t="str">
        <v>[DV] Tẩy tóc bật tông Ý (2 lần) 500k</v>
      </c>
      <c r="E750">
        <v>194</v>
      </c>
      <c r="F750">
        <v>916</v>
      </c>
      <c r="G750">
        <v>500000</v>
      </c>
      <c r="H750">
        <v>529000</v>
      </c>
      <c r="I750" s="1"/>
    </row>
    <row r="751">
      <c r="A751" t="str">
        <v>90 NH</v>
      </c>
      <c r="B751" t="str">
        <v>DV_Uốn</v>
      </c>
      <c r="C751" t="str">
        <v>DV Uốn cao cấp (&gt;340k)</v>
      </c>
      <c r="D751" t="str">
        <v>Uốn định hình nếp tóc cao cấp (K-Perm Collection)</v>
      </c>
      <c r="E751">
        <v>194</v>
      </c>
      <c r="F751">
        <v>952</v>
      </c>
      <c r="G751">
        <v>478000</v>
      </c>
      <c r="H751">
        <v>478000</v>
      </c>
      <c r="I751" s="1"/>
    </row>
    <row r="752">
      <c r="A752" t="str">
        <v>90 NH</v>
      </c>
      <c r="B752" t="str">
        <v>DV_Nhuộm</v>
      </c>
      <c r="C752" t="str">
        <v>DV Nhuộm cao cấp (&gt;300k)</v>
      </c>
      <c r="D752" t="str">
        <v>(NEW) Nhuộm màu thời trang Milano</v>
      </c>
      <c r="E752">
        <v>194</v>
      </c>
      <c r="F752">
        <v>960</v>
      </c>
      <c r="G752">
        <v>332000</v>
      </c>
      <c r="H752">
        <v>349000</v>
      </c>
      <c r="I752" s="1"/>
    </row>
    <row r="753">
      <c r="A753" t="str">
        <v>90 NH</v>
      </c>
      <c r="B753" t="str">
        <v>DV_Nhuộm</v>
      </c>
      <c r="C753" t="str">
        <v>DV Nhuộm tiêu chuẩn (&lt;300k)</v>
      </c>
      <c r="D753" t="str">
        <v>(NEW) Nhuộm phủ bạc tiêu chuẩn 199K</v>
      </c>
      <c r="E753">
        <v>194</v>
      </c>
      <c r="F753">
        <v>967</v>
      </c>
      <c r="G753">
        <v>199000</v>
      </c>
      <c r="H753">
        <v>209000</v>
      </c>
      <c r="I753" s="1"/>
    </row>
    <row r="754">
      <c r="A754" t="str">
        <v>90 NH</v>
      </c>
      <c r="B754" t="str">
        <v>DV_Uốn</v>
      </c>
      <c r="C754" t="str">
        <v>DV Uốn tiêu chuẩn (&lt;340k)</v>
      </c>
      <c r="D754" t="str">
        <v>(NEW) Uốn/Duỗi/Định hình full đầu tạo form vào nếp tự nhiên</v>
      </c>
      <c r="E754">
        <v>194</v>
      </c>
      <c r="F754">
        <v>1009</v>
      </c>
      <c r="G754">
        <v>386000</v>
      </c>
      <c r="H754">
        <v>386000</v>
      </c>
      <c r="I754" s="1"/>
    </row>
    <row r="755">
      <c r="A755" t="str">
        <v>90 NH</v>
      </c>
      <c r="B755" t="str">
        <v>DV_Dưỡng</v>
      </c>
      <c r="C755" t="str">
        <v>DV Dưỡng</v>
      </c>
      <c r="D755" t="str">
        <v>Phục hồi trẻ hóa Lipid Bond</v>
      </c>
      <c r="E755">
        <v>194</v>
      </c>
      <c r="F755">
        <v>1101</v>
      </c>
      <c r="G755">
        <v>132000</v>
      </c>
      <c r="H755">
        <v>146000</v>
      </c>
      <c r="I755" s="1"/>
    </row>
    <row r="756">
      <c r="A756" t="str">
        <v>90 NH</v>
      </c>
      <c r="B756" t="str">
        <v>DV_Uốn</v>
      </c>
      <c r="C756" t="str">
        <v>DV Uốn cao cấp (&gt;340k)</v>
      </c>
      <c r="D756" t="str">
        <v>UỐN THIẾT KẾ PHỤC HỒI CHUYÊN SÂU LIPID BOND 2025</v>
      </c>
      <c r="E756">
        <v>194</v>
      </c>
      <c r="F756">
        <v>1148</v>
      </c>
      <c r="G756">
        <v>689000</v>
      </c>
      <c r="H756">
        <v>689000</v>
      </c>
      <c r="I756" s="1"/>
    </row>
    <row r="757">
      <c r="A757" t="str">
        <v>90 NH</v>
      </c>
      <c r="B757" t="str">
        <v>DV_Nhuộm</v>
      </c>
      <c r="C757" t="str">
        <v>DV Nhuộm cao cấp (&gt;300k)</v>
      </c>
      <c r="D757" t="str">
        <v>NHUỘM THIẾT KẾ PHỤC HỒI CHUYÊN SÂU LIPID BOND 2025</v>
      </c>
      <c r="E757">
        <v>194</v>
      </c>
      <c r="F757">
        <v>1149</v>
      </c>
      <c r="G757">
        <v>689000</v>
      </c>
      <c r="H757">
        <v>729000</v>
      </c>
      <c r="I757" s="1"/>
    </row>
    <row r="758">
      <c r="A758" t="str">
        <v>927 HG</v>
      </c>
      <c r="B758" t="str">
        <v>DV_Dưỡng</v>
      </c>
      <c r="C758" t="str">
        <v>DV Dưỡng</v>
      </c>
      <c r="D758" t="str">
        <v>(2022T) ATS Control Buffer - Khử mùi tạo thơm cho tóc uốn nhuộm 40k</v>
      </c>
      <c r="E758">
        <v>22</v>
      </c>
      <c r="F758">
        <v>610</v>
      </c>
      <c r="G758">
        <v>40000</v>
      </c>
      <c r="H758">
        <v>40000</v>
      </c>
      <c r="J758">
        <f>H758&amp;H759&amp;H760&amp;H761&amp;H762&amp;H763&amp;H764&amp;H765&amp;H766&amp;H767&amp;H768&amp;H769&amp;H770</f>
      </c>
    </row>
    <row r="759">
      <c r="A759" t="str">
        <v>927 HG</v>
      </c>
      <c r="B759" t="str">
        <v>DV_Uốn</v>
      </c>
      <c r="C759" t="str">
        <v>DV Uốn cao cấp (&gt;340k)</v>
      </c>
      <c r="D759" t="str">
        <v>[DV] Uốn Texture con sâu/Uốn Ruffled</v>
      </c>
      <c r="E759">
        <v>22</v>
      </c>
      <c r="F759">
        <v>674</v>
      </c>
      <c r="G759">
        <v>499000</v>
      </c>
      <c r="H759">
        <v>529000</v>
      </c>
    </row>
    <row r="760">
      <c r="A760" t="str">
        <v>927 HG</v>
      </c>
      <c r="B760" t="str">
        <v>DV_Uốn</v>
      </c>
      <c r="C760" t="str">
        <v>DV Duỗi Ép</v>
      </c>
      <c r="D760" t="str">
        <v>[DV] Ép side hai bên</v>
      </c>
      <c r="E760">
        <v>22</v>
      </c>
      <c r="F760">
        <v>902</v>
      </c>
      <c r="G760">
        <v>189000</v>
      </c>
      <c r="H760">
        <v>209000</v>
      </c>
    </row>
    <row r="761">
      <c r="A761" t="str">
        <v>927 HG</v>
      </c>
      <c r="B761" t="str">
        <v>DV_Nhuộm</v>
      </c>
      <c r="C761" t="str">
        <v>DV Nhuộm tiêu chuẩn (&lt;300k)</v>
      </c>
      <c r="D761" t="str">
        <v>[DV] Nhuộm đen phủ bạc R&amp;B thảo dược</v>
      </c>
      <c r="E761">
        <v>22</v>
      </c>
      <c r="F761">
        <v>912</v>
      </c>
      <c r="G761">
        <v>289000</v>
      </c>
      <c r="H761">
        <v>309000</v>
      </c>
    </row>
    <row r="762">
      <c r="A762" t="str">
        <v>927 HG</v>
      </c>
      <c r="B762" t="str">
        <v>DV_Nhuộm</v>
      </c>
      <c r="C762" t="str">
        <v>DV Nhuộm tiêu chuẩn (&lt;300k)</v>
      </c>
      <c r="D762" t="str">
        <v>[DV] Tẩy tóc bật tông Ý (1 lần)</v>
      </c>
      <c r="E762">
        <v>22</v>
      </c>
      <c r="F762">
        <v>915</v>
      </c>
      <c r="G762">
        <v>252000</v>
      </c>
      <c r="H762">
        <v>269000</v>
      </c>
    </row>
    <row r="763">
      <c r="A763" t="str">
        <v>927 HG</v>
      </c>
      <c r="B763" t="str">
        <v>DV_Nhuộm</v>
      </c>
      <c r="C763" t="str">
        <v>DV Nhuộm tiêu chuẩn (&lt;300k)</v>
      </c>
      <c r="D763" t="str">
        <v>[DV] Tẩy tóc bật tông Ý (2 lần) 500k</v>
      </c>
      <c r="E763">
        <v>22</v>
      </c>
      <c r="F763">
        <v>916</v>
      </c>
      <c r="G763">
        <v>500000</v>
      </c>
      <c r="H763">
        <v>529000</v>
      </c>
    </row>
    <row r="764">
      <c r="A764" t="str">
        <v>927 HG</v>
      </c>
      <c r="B764" t="str">
        <v>DV_Uốn</v>
      </c>
      <c r="C764" t="str">
        <v>DV Uốn cao cấp (&gt;340k)</v>
      </c>
      <c r="D764" t="str">
        <v>Uốn định hình nếp tóc cao cấp (K-Perm Collection)</v>
      </c>
      <c r="E764">
        <v>22</v>
      </c>
      <c r="F764">
        <v>952</v>
      </c>
      <c r="G764">
        <v>478000</v>
      </c>
      <c r="H764">
        <v>509000</v>
      </c>
    </row>
    <row r="765">
      <c r="A765" t="str">
        <v>927 HG</v>
      </c>
      <c r="B765" t="str">
        <v>DV_Nhuộm</v>
      </c>
      <c r="C765" t="str">
        <v>DV Nhuộm cao cấp (&gt;300k)</v>
      </c>
      <c r="D765" t="str">
        <v>(NEW) Nhuộm màu thời trang Milano</v>
      </c>
      <c r="E765">
        <v>22</v>
      </c>
      <c r="F765">
        <v>960</v>
      </c>
      <c r="G765">
        <v>332000</v>
      </c>
      <c r="H765">
        <v>369000</v>
      </c>
    </row>
    <row r="766">
      <c r="A766" t="str">
        <v>927 HG</v>
      </c>
      <c r="B766" t="str">
        <v>DV_Nhuộm</v>
      </c>
      <c r="C766" t="str">
        <v>DV Nhuộm tiêu chuẩn (&lt;300k)</v>
      </c>
      <c r="D766" t="str">
        <v>(NEW) Nhuộm phủ bạc tiêu chuẩn 199K</v>
      </c>
      <c r="E766">
        <v>22</v>
      </c>
      <c r="F766">
        <v>967</v>
      </c>
      <c r="G766">
        <v>199000</v>
      </c>
      <c r="H766">
        <v>209000</v>
      </c>
    </row>
    <row r="767">
      <c r="A767" t="str">
        <v>927 HG</v>
      </c>
      <c r="B767" t="str">
        <v>DV_Uốn</v>
      </c>
      <c r="C767" t="str">
        <v>DV Uốn tiêu chuẩn (&lt;340k)</v>
      </c>
      <c r="D767" t="str">
        <v>(NEW) Uốn/Duỗi/Định hình full đầu tạo form vào nếp tự nhiên</v>
      </c>
      <c r="E767">
        <v>22</v>
      </c>
      <c r="F767">
        <v>1009</v>
      </c>
      <c r="G767">
        <v>386000</v>
      </c>
      <c r="H767">
        <v>409000</v>
      </c>
    </row>
    <row r="768">
      <c r="A768" t="str">
        <v>927 HG</v>
      </c>
      <c r="B768" t="str">
        <v>DV_Dưỡng</v>
      </c>
      <c r="C768" t="str">
        <v>DV Dưỡng</v>
      </c>
      <c r="D768" t="str">
        <v>Phục hồi trẻ hóa Lipid Bond</v>
      </c>
      <c r="E768">
        <v>22</v>
      </c>
      <c r="F768">
        <v>1101</v>
      </c>
      <c r="G768">
        <v>132000</v>
      </c>
      <c r="H768">
        <v>146000</v>
      </c>
    </row>
    <row r="769">
      <c r="A769" t="str">
        <v>927 HG</v>
      </c>
      <c r="B769" t="str">
        <v>DV_Uốn</v>
      </c>
      <c r="C769" t="str">
        <v>DV Uốn cao cấp (&gt;340k)</v>
      </c>
      <c r="D769" t="str">
        <v>UỐN THIẾT KẾ PHỤC HỒI CHUYÊN SÂU LIPID BOND 2025</v>
      </c>
      <c r="E769">
        <v>22</v>
      </c>
      <c r="F769">
        <v>1148</v>
      </c>
      <c r="G769">
        <v>689000</v>
      </c>
      <c r="H769">
        <v>729000</v>
      </c>
    </row>
    <row r="770">
      <c r="A770" t="str">
        <v>927 HG</v>
      </c>
      <c r="B770" t="str">
        <v>DV_Nhuộm</v>
      </c>
      <c r="C770" t="str">
        <v>DV Nhuộm cao cấp (&gt;300k)</v>
      </c>
      <c r="D770" t="str">
        <v>NHUỘM THIẾT KẾ PHỤC HỒI CHUYÊN SÂU LIPID BOND 2025</v>
      </c>
      <c r="E770">
        <v>22</v>
      </c>
      <c r="F770">
        <v>1149</v>
      </c>
      <c r="G770">
        <v>689000</v>
      </c>
      <c r="H770">
        <v>729000</v>
      </c>
    </row>
    <row r="771">
      <c r="A771" t="str">
        <v>99 TSN</v>
      </c>
      <c r="B771" t="str">
        <v>DV_Dưỡng</v>
      </c>
      <c r="C771" t="str">
        <v>DV Dưỡng</v>
      </c>
      <c r="D771" t="str">
        <v>(2022T) ATS Control Buffer - Khử mùi tạo thơm cho tóc uốn nhuộm 40k</v>
      </c>
      <c r="E771">
        <v>147</v>
      </c>
      <c r="F771">
        <v>610</v>
      </c>
      <c r="G771">
        <v>40000</v>
      </c>
      <c r="H771">
        <v>40000</v>
      </c>
      <c r="J771">
        <f>H771&amp;H772&amp;H773&amp;H774&amp;H775&amp;H776&amp;H777&amp;H778&amp;H779&amp;H780&amp;H781&amp;H782&amp;H783</f>
      </c>
    </row>
    <row r="772">
      <c r="A772" t="str">
        <v>99 TSN</v>
      </c>
      <c r="B772" t="str">
        <v>DV_Uốn</v>
      </c>
      <c r="C772" t="str">
        <v>DV Uốn cao cấp (&gt;340k)</v>
      </c>
      <c r="D772" t="str">
        <v>[DV] Uốn Texture con sâu/Uốn Ruffled</v>
      </c>
      <c r="E772">
        <v>147</v>
      </c>
      <c r="F772">
        <v>674</v>
      </c>
      <c r="G772">
        <v>499000</v>
      </c>
      <c r="H772">
        <v>499000</v>
      </c>
    </row>
    <row r="773">
      <c r="A773" t="str">
        <v>99 TSN</v>
      </c>
      <c r="B773" t="str">
        <v>DV_Uốn</v>
      </c>
      <c r="C773" t="str">
        <v>DV Duỗi Ép</v>
      </c>
      <c r="D773" t="str">
        <v>[DV] Ép side hai bên</v>
      </c>
      <c r="E773">
        <v>147</v>
      </c>
      <c r="F773">
        <v>902</v>
      </c>
      <c r="G773">
        <v>189000</v>
      </c>
      <c r="H773">
        <v>209000</v>
      </c>
    </row>
    <row r="774">
      <c r="A774" t="str">
        <v>99 TSN</v>
      </c>
      <c r="B774" t="str">
        <v>DV_Nhuộm</v>
      </c>
      <c r="C774" t="str">
        <v>DV Nhuộm tiêu chuẩn (&lt;300k)</v>
      </c>
      <c r="D774" t="str">
        <v>[DV] Nhuộm đen phủ bạc R&amp;B thảo dược</v>
      </c>
      <c r="E774">
        <v>147</v>
      </c>
      <c r="F774">
        <v>912</v>
      </c>
      <c r="G774">
        <v>289000</v>
      </c>
      <c r="H774">
        <v>309000</v>
      </c>
    </row>
    <row r="775">
      <c r="A775" t="str">
        <v>99 TSN</v>
      </c>
      <c r="B775" t="str">
        <v>DV_Nhuộm</v>
      </c>
      <c r="C775" t="str">
        <v>DV Nhuộm tiêu chuẩn (&lt;300k)</v>
      </c>
      <c r="D775" t="str">
        <v>[DV] Tẩy tóc bật tông Ý (1 lần)</v>
      </c>
      <c r="E775">
        <v>147</v>
      </c>
      <c r="F775">
        <v>915</v>
      </c>
      <c r="G775">
        <v>252000</v>
      </c>
      <c r="H775">
        <v>252000</v>
      </c>
    </row>
    <row r="776">
      <c r="A776" t="str">
        <v>99 TSN</v>
      </c>
      <c r="B776" t="str">
        <v>DV_Nhuộm</v>
      </c>
      <c r="C776" t="str">
        <v>DV Nhuộm tiêu chuẩn (&lt;300k)</v>
      </c>
      <c r="D776" t="str">
        <v>[DV] Tẩy tóc bật tông Ý (2 lần) 500k</v>
      </c>
      <c r="E776">
        <v>147</v>
      </c>
      <c r="F776">
        <v>916</v>
      </c>
      <c r="G776">
        <v>500000</v>
      </c>
      <c r="H776">
        <v>500000</v>
      </c>
    </row>
    <row r="777">
      <c r="A777" t="str">
        <v>99 TSN</v>
      </c>
      <c r="B777" t="str">
        <v>DV_Uốn</v>
      </c>
      <c r="C777" t="str">
        <v>DV Uốn cao cấp (&gt;340k)</v>
      </c>
      <c r="D777" t="str">
        <v>Uốn định hình nếp tóc cao cấp (K-Perm Collection)</v>
      </c>
      <c r="E777">
        <v>147</v>
      </c>
      <c r="F777">
        <v>952</v>
      </c>
      <c r="G777">
        <v>478000</v>
      </c>
      <c r="H777">
        <v>478000</v>
      </c>
    </row>
    <row r="778">
      <c r="A778" t="str">
        <v>99 TSN</v>
      </c>
      <c r="B778" t="str">
        <v>DV_Nhuộm</v>
      </c>
      <c r="C778" t="str">
        <v>DV Nhuộm cao cấp (&gt;300k)</v>
      </c>
      <c r="D778" t="str">
        <v>(NEW) Nhuộm màu thời trang Milano</v>
      </c>
      <c r="E778">
        <v>147</v>
      </c>
      <c r="F778">
        <v>960</v>
      </c>
      <c r="G778">
        <v>332000</v>
      </c>
      <c r="H778">
        <v>349000</v>
      </c>
    </row>
    <row r="779">
      <c r="A779" t="str">
        <v>99 TSN</v>
      </c>
      <c r="B779" t="str">
        <v>DV_Nhuộm</v>
      </c>
      <c r="C779" t="str">
        <v>DV Nhuộm tiêu chuẩn (&lt;300k)</v>
      </c>
      <c r="D779" t="str">
        <v>(NEW) Nhuộm phủ bạc tiêu chuẩn 199K</v>
      </c>
      <c r="E779">
        <v>147</v>
      </c>
      <c r="F779">
        <v>967</v>
      </c>
      <c r="G779">
        <v>199000</v>
      </c>
      <c r="H779">
        <v>209000</v>
      </c>
    </row>
    <row r="780">
      <c r="A780" t="str">
        <v>99 TSN</v>
      </c>
      <c r="B780" t="str">
        <v>DV_Uốn</v>
      </c>
      <c r="C780" t="str">
        <v>DV Uốn tiêu chuẩn (&lt;340k)</v>
      </c>
      <c r="D780" t="str">
        <v>(NEW) Uốn/Duỗi/Định hình full đầu tạo form vào nếp tự nhiên</v>
      </c>
      <c r="E780">
        <v>147</v>
      </c>
      <c r="F780">
        <v>1009</v>
      </c>
      <c r="G780">
        <v>386000</v>
      </c>
      <c r="H780">
        <v>386000</v>
      </c>
    </row>
    <row r="781">
      <c r="A781" t="str">
        <v>99 TSN</v>
      </c>
      <c r="B781" t="str">
        <v>DV_Dưỡng</v>
      </c>
      <c r="C781" t="str">
        <v>DV Dưỡng</v>
      </c>
      <c r="D781" t="str">
        <v>Phục hồi trẻ hóa Lipid Bond</v>
      </c>
      <c r="E781">
        <v>147</v>
      </c>
      <c r="F781">
        <v>1101</v>
      </c>
      <c r="G781">
        <v>132000</v>
      </c>
      <c r="H781">
        <v>146000</v>
      </c>
    </row>
    <row r="782">
      <c r="A782" t="str">
        <v>99 TSN</v>
      </c>
      <c r="B782" t="str">
        <v>DV_Uốn</v>
      </c>
      <c r="C782" t="str">
        <v>DV Uốn cao cấp (&gt;340k)</v>
      </c>
      <c r="D782" t="str">
        <v>UỐN THIẾT KẾ PHỤC HỒI CHUYÊN SÂU LIPID BOND 2025</v>
      </c>
      <c r="E782">
        <v>147</v>
      </c>
      <c r="F782">
        <v>1148</v>
      </c>
      <c r="G782">
        <v>689000</v>
      </c>
      <c r="H782">
        <v>689000</v>
      </c>
    </row>
    <row r="783">
      <c r="A783" t="str">
        <v>99 TSN</v>
      </c>
      <c r="B783" t="str">
        <v>DV_Nhuộm</v>
      </c>
      <c r="C783" t="str">
        <v>DV Nhuộm cao cấp (&gt;300k)</v>
      </c>
      <c r="D783" t="str">
        <v>NHUỘM THIẾT KẾ PHỤC HỒI CHUYÊN SÂU LIPID BOND 2025</v>
      </c>
      <c r="E783">
        <v>147</v>
      </c>
      <c r="F783">
        <v>1149</v>
      </c>
      <c r="G783">
        <v>689000</v>
      </c>
      <c r="H783">
        <v>729000</v>
      </c>
    </row>
    <row r="784">
      <c r="A784" t="str">
        <v>TG 25/4 QN</v>
      </c>
      <c r="B784" t="str">
        <v>DV_Dưỡng</v>
      </c>
      <c r="C784" t="str">
        <v>DV Dưỡng</v>
      </c>
      <c r="D784" t="str">
        <v>(2022T) ATS Control Buffer - Khử mùi tạo thơm cho tóc uốn nhuộm 40k</v>
      </c>
      <c r="E784">
        <v>217</v>
      </c>
      <c r="F784">
        <v>610</v>
      </c>
      <c r="G784">
        <v>40000</v>
      </c>
      <c r="H784">
        <v>40000</v>
      </c>
      <c r="J784">
        <f>H784&amp;H785&amp;H786&amp;H787&amp;H788&amp;H789&amp;H790&amp;H791&amp;H792&amp;H793&amp;H794&amp;H795&amp;H796</f>
      </c>
    </row>
    <row r="785">
      <c r="A785" t="str">
        <v>TG 25/4 QN</v>
      </c>
      <c r="B785" t="str">
        <v>DV_Uốn</v>
      </c>
      <c r="C785" t="str">
        <v>DV Uốn cao cấp (&gt;340k)</v>
      </c>
      <c r="D785" t="str">
        <v>[DV] Uốn Texture con sâu/Uốn Ruffled</v>
      </c>
      <c r="E785">
        <v>217</v>
      </c>
      <c r="F785">
        <v>674</v>
      </c>
      <c r="G785">
        <v>499000</v>
      </c>
      <c r="H785">
        <v>499000</v>
      </c>
    </row>
    <row r="786">
      <c r="A786" t="str">
        <v>TG 25/4 QN</v>
      </c>
      <c r="B786" t="str">
        <v>DV_Uốn</v>
      </c>
      <c r="C786" t="str">
        <v>DV Duỗi Ép</v>
      </c>
      <c r="D786" t="str">
        <v>[DV] Ép side hai bên</v>
      </c>
      <c r="E786">
        <v>217</v>
      </c>
      <c r="F786">
        <v>902</v>
      </c>
      <c r="G786">
        <v>189000</v>
      </c>
      <c r="H786">
        <v>199000</v>
      </c>
    </row>
    <row r="787">
      <c r="A787" t="str">
        <v>TG 25/4 QN</v>
      </c>
      <c r="B787" t="str">
        <v>DV_Nhuộm</v>
      </c>
      <c r="C787" t="str">
        <v>DV Nhuộm tiêu chuẩn (&lt;300k)</v>
      </c>
      <c r="D787" t="str">
        <v>[DV] Nhuộm đen phủ bạc R&amp;B thảo dược</v>
      </c>
      <c r="E787">
        <v>217</v>
      </c>
      <c r="F787">
        <v>912</v>
      </c>
      <c r="G787">
        <v>289000</v>
      </c>
      <c r="H787">
        <v>289000</v>
      </c>
    </row>
    <row r="788">
      <c r="A788" t="str">
        <v>TG 25/4 QN</v>
      </c>
      <c r="B788" t="str">
        <v>DV_Nhuộm</v>
      </c>
      <c r="C788" t="str">
        <v>DV Nhuộm tiêu chuẩn (&lt;300k)</v>
      </c>
      <c r="D788" t="str">
        <v>[DV] Tẩy tóc bật tông Ý (1 lần)</v>
      </c>
      <c r="E788">
        <v>217</v>
      </c>
      <c r="F788">
        <v>915</v>
      </c>
      <c r="G788">
        <v>252000</v>
      </c>
      <c r="H788">
        <v>252000</v>
      </c>
    </row>
    <row r="789">
      <c r="A789" t="str">
        <v>TG 25/4 QN</v>
      </c>
      <c r="B789" t="str">
        <v>DV_Nhuộm</v>
      </c>
      <c r="C789" t="str">
        <v>DV Nhuộm tiêu chuẩn (&lt;300k)</v>
      </c>
      <c r="D789" t="str">
        <v>[DV] Tẩy tóc bật tông Ý (2 lần) 500k</v>
      </c>
      <c r="E789">
        <v>217</v>
      </c>
      <c r="F789">
        <v>916</v>
      </c>
      <c r="G789">
        <v>500000</v>
      </c>
      <c r="H789">
        <v>500000</v>
      </c>
    </row>
    <row r="790">
      <c r="A790" t="str">
        <v>TG 25/4 QN</v>
      </c>
      <c r="B790" t="str">
        <v>DV_Uốn</v>
      </c>
      <c r="C790" t="str">
        <v>DV Uốn cao cấp (&gt;340k)</v>
      </c>
      <c r="D790" t="str">
        <v>Uốn định hình nếp tóc cao cấp (K-Perm Collection)</v>
      </c>
      <c r="E790">
        <v>217</v>
      </c>
      <c r="F790">
        <v>952</v>
      </c>
      <c r="G790">
        <v>478000</v>
      </c>
      <c r="H790">
        <v>478000</v>
      </c>
    </row>
    <row r="791">
      <c r="A791" t="str">
        <v>TG 25/4 QN</v>
      </c>
      <c r="B791" t="str">
        <v>DV_Nhuộm</v>
      </c>
      <c r="C791" t="str">
        <v>DV Nhuộm cao cấp (&gt;300k)</v>
      </c>
      <c r="D791" t="str">
        <v>(NEW) Nhuộm màu thời trang Milano</v>
      </c>
      <c r="E791">
        <v>217</v>
      </c>
      <c r="F791">
        <v>960</v>
      </c>
      <c r="G791">
        <v>332000</v>
      </c>
      <c r="H791">
        <v>332000</v>
      </c>
    </row>
    <row r="792">
      <c r="A792" t="str">
        <v>TG 25/4 QN</v>
      </c>
      <c r="B792" t="str">
        <v>DV_Nhuộm</v>
      </c>
      <c r="C792" t="str">
        <v>DV Nhuộm tiêu chuẩn (&lt;300k)</v>
      </c>
      <c r="D792" t="str">
        <v>(NEW) Nhuộm phủ bạc tiêu chuẩn 199K</v>
      </c>
      <c r="E792">
        <v>217</v>
      </c>
      <c r="F792">
        <v>967</v>
      </c>
      <c r="G792">
        <v>199000</v>
      </c>
      <c r="H792">
        <v>199000</v>
      </c>
    </row>
    <row r="793">
      <c r="A793" t="str">
        <v>TG 25/4 QN</v>
      </c>
      <c r="B793" t="str">
        <v>DV_Uốn</v>
      </c>
      <c r="C793" t="str">
        <v>DV Uốn tiêu chuẩn (&lt;340k)</v>
      </c>
      <c r="D793" t="str">
        <v>(NEW) Uốn/Duỗi/Định hình full đầu tạo form vào nếp tự nhiên</v>
      </c>
      <c r="E793">
        <v>217</v>
      </c>
      <c r="F793">
        <v>1009</v>
      </c>
      <c r="G793">
        <v>386000</v>
      </c>
      <c r="H793">
        <v>386000</v>
      </c>
    </row>
    <row r="794">
      <c r="A794" t="str">
        <v>TG 25/4 QN</v>
      </c>
      <c r="B794" t="str">
        <v>DV_Dưỡng</v>
      </c>
      <c r="C794" t="str">
        <v>DV Dưỡng</v>
      </c>
      <c r="D794" t="str">
        <v>Phục hồi trẻ hóa Lipid Bond</v>
      </c>
      <c r="E794">
        <v>217</v>
      </c>
      <c r="F794">
        <v>1101</v>
      </c>
      <c r="G794">
        <v>132000</v>
      </c>
      <c r="H794">
        <v>146000</v>
      </c>
    </row>
    <row r="795">
      <c r="A795" t="str">
        <v>TG 25/4 QN</v>
      </c>
      <c r="B795" t="str">
        <v>DV_Uốn</v>
      </c>
      <c r="C795" t="str">
        <v>DV Uốn cao cấp (&gt;340k)</v>
      </c>
      <c r="D795" t="str">
        <v>UỐN THIẾT KẾ PHỤC HỒI CHUYÊN SÂU LIPID BOND 2025</v>
      </c>
      <c r="E795">
        <v>217</v>
      </c>
      <c r="F795">
        <v>1148</v>
      </c>
      <c r="G795">
        <v>689000</v>
      </c>
      <c r="H795">
        <v>689000</v>
      </c>
    </row>
    <row r="796">
      <c r="A796" t="str">
        <v>TG 25/4 QN</v>
      </c>
      <c r="B796" t="str">
        <v>DV_Nhuộm</v>
      </c>
      <c r="C796" t="str">
        <v>DV Nhuộm cao cấp (&gt;300k)</v>
      </c>
      <c r="D796" t="str">
        <v>NHUỘM THIẾT KẾ PHỤC HỒI CHUYÊN SÂU LIPID BOND 2025</v>
      </c>
      <c r="E796">
        <v>217</v>
      </c>
      <c r="F796">
        <v>1149</v>
      </c>
      <c r="G796">
        <v>689000</v>
      </c>
      <c r="H796">
        <v>689000</v>
      </c>
    </row>
  </sheetData>
  <mergeCells>
    <mergeCell ref="I745:I757"/>
    <mergeCell ref="I29:I41"/>
    <mergeCell ref="I81:I93"/>
    <mergeCell ref="I159:I171"/>
    <mergeCell ref="I550:I562"/>
    <mergeCell ref="I302:I314"/>
    <mergeCell ref="I393:I405"/>
    <mergeCell ref="I420:I432"/>
  </mergeCells>
  <hyperlinks>
    <hyperlink ref="I550" display="https://drive.google.com/file/d/1qCtYj7oxkIuVJ5p_tfTzEoNwHYo4raN0/view?usp=drive_link" r:id="rId1"/>
    <hyperlink ref="I81" display="https://drive.google.com/file/d/18YXZPG3rTSIuP_5Hayv10vElKxDTh2e1/view?usp=drive_link" r:id="rId2"/>
    <hyperlink ref="I420" display="https://drive.google.com/file/d/1cb43G6rd0MXEdMVYnUjI5lKGAePQHWIe/view?usp=drive_link" r:id="rId3"/>
    <hyperlink ref="I302" display="https://drive.google.com/file/d/1KZt7PcJSu-9zO9IfEqic5q3qQge1vaSY/view?usp=drive_link" r:id="rId4"/>
    <hyperlink ref="I159" display="https://drive.google.com/file/d/1I4Q0PWubVqA_b1hqxvLTYvhl0xYz5ab1/view?usp=drive_link" r:id="rId5"/>
    <hyperlink ref="I745" display="https://drive.google.com/file/d/1kKw14SU4hSxR3swDRzzZgFpLeNt2qSIQ/view?usp=drive_link" r:id="rId6"/>
    <hyperlink ref="I393" display="https://drive.google.com/file/d/1hHNiC6h11js-pg57y4geQOXa2g5Yh0un/view?usp=drive_link" r:id="rId7"/>
    <hyperlink ref="I29" display="https://drive.google.com/file/d/1qSZ5FPnQUnIC0tD74O41XAjMhFHj6wky/view?usp=drive_link" r:id="rId8"/>
  </hyperlinks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2" min="2" style="0" width="12"/>
    <col collapsed="false" customWidth="true" hidden="false" max="3" min="3" style="0" width="56"/>
    <col collapsed="false" customWidth="true" hidden="false" max="4" min="4" style="0" width="18"/>
    <col collapsed="false" customWidth="true" hidden="false" max="5" min="5" style="0" width="18"/>
    <col collapsed="false" customWidth="true" hidden="true" max="5" min="5" style="0" width="18"/>
    <col collapsed="false" customWidth="true" hidden="false" max="6" min="6" style="0" width="24"/>
    <col collapsed="false" customWidth="true" hidden="true" max="6" min="6" style="0" width="24"/>
    <col collapsed="false" customWidth="true" hidden="false" max="7" min="7" style="0" width="25"/>
    <col collapsed="false" customWidth="true" hidden="true" max="7" min="7" style="0" width="25"/>
    <col collapsed="false" customWidth="true" hidden="false" max="8" min="8" style="0" width="30"/>
    <col collapsed="false" customWidth="true" hidden="true" max="8" min="8" style="0" width="30"/>
    <col collapsed="false" customWidth="true" hidden="false" max="9" min="9" style="0" width="34"/>
    <col collapsed="false" customWidth="true" hidden="false" max="10" min="10" style="0" width="22"/>
    <col collapsed="false" customWidth="true" hidden="true" max="10" min="10" style="0" width="22"/>
    <col collapsed="false" customWidth="true" hidden="false" max="11" min="11" style="0" width="14"/>
    <col collapsed="false" customWidth="true" hidden="true" max="11" min="11" style="0" width="14"/>
    <col collapsed="false" customWidth="true" hidden="false" max="12" min="12" style="0" width="10"/>
    <col collapsed="false" customWidth="true" hidden="true" max="12" min="12" style="0" width="10"/>
    <col collapsed="false" customWidth="true" hidden="false" max="13" min="13" style="0" width="12"/>
    <col collapsed="false" customWidth="true" hidden="true" max="13" min="13" style="0" width="12"/>
    <col collapsed="false" customWidth="true" hidden="false" max="14" min="14" style="0" width="16"/>
    <col collapsed="false" customWidth="true" hidden="true" max="14" min="14" style="0" width="16"/>
  </cols>
  <sheetData>
    <row r="1">
      <c r="A1" s="11" t="str">
        <v>Tên salon</v>
      </c>
      <c r="B1" s="11" t="str">
        <v>ID salon</v>
      </c>
      <c r="C1" s="11" t="str">
        <v>Tên dịch vụ</v>
      </c>
      <c r="D1" s="11" t="str">
        <v>ID dịch vụ</v>
      </c>
      <c r="E1" s="11"/>
      <c r="F1" s="12" t="str">
        <v>Giá cũ trước 31/12</v>
      </c>
      <c r="G1" s="14" t="str">
        <v>Giá thay đổi ngày 31/12</v>
      </c>
      <c r="H1" s="14" t="str">
        <v>Giá Tết thay đổi ngày 15-2</v>
      </c>
      <c r="I1" s="14" t="str">
        <v>Điều chỉnh thay đổi ngày 6/3 (giá hiện tại)</v>
      </c>
      <c r="J1" s="10" t="str">
        <v>Note</v>
      </c>
      <c r="K1" s="13"/>
      <c r="L1" s="4" t="str">
        <v>SalonId</v>
      </c>
      <c r="M1" s="4" t="str">
        <v>ServiceId</v>
      </c>
      <c r="N1" s="4" t="str">
        <v>Note thay đổi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tr">
        <v>10 TP</v>
      </c>
      <c r="B2" s="5">
        <f>VLOOKUP(A2,'Sheet10'!$A:$C,3,0)</f>
      </c>
      <c r="C2" s="5" t="str">
        <v>(2022T) ATS Control Buffer - Khử mùi tạo thơm cho tóc uốn nhuộm 40k</v>
      </c>
      <c r="D2" s="5">
        <v>610</v>
      </c>
      <c r="E2" s="5"/>
      <c r="F2" s="6">
        <v>40000</v>
      </c>
      <c r="G2" s="7">
        <v>40000</v>
      </c>
      <c r="H2" s="7">
        <v>40000</v>
      </c>
      <c r="I2" s="7">
        <v>40000</v>
      </c>
      <c r="J2" s="9" t="str">
        <v>Giá không đổi</v>
      </c>
      <c r="K2" s="4">
        <f>G2-F2</f>
      </c>
      <c r="L2" s="4">
        <v>143</v>
      </c>
      <c r="M2" s="4">
        <v>610</v>
      </c>
      <c r="N2" s="4" t="str">
        <v>Không đổi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tr">
        <v>10 TP</v>
      </c>
      <c r="B3" s="5">
        <f>VLOOKUP(A3,'Sheet10'!$A:$C,3,0)</f>
      </c>
      <c r="C3" s="5" t="str">
        <v>(NEW) Nhuộm màu thời trang Milano</v>
      </c>
      <c r="D3" s="5">
        <v>960</v>
      </c>
      <c r="E3" s="5">
        <f>A3&amp;D3</f>
      </c>
      <c r="F3" s="6">
        <v>332000</v>
      </c>
      <c r="G3" s="8">
        <v>366000</v>
      </c>
      <c r="H3" s="8">
        <v>366000</v>
      </c>
      <c r="I3" s="8">
        <v>366000</v>
      </c>
      <c r="J3" s="3" t="str">
        <v>Điều chỉnh giá</v>
      </c>
      <c r="K3" s="4">
        <f>G3-F3</f>
      </c>
      <c r="L3" s="4">
        <v>143</v>
      </c>
      <c r="M3" s="4">
        <v>960</v>
      </c>
      <c r="N3" s="4" t="str">
        <v>Không đổi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tr">
        <v>10 TP</v>
      </c>
      <c r="B4" s="5">
        <f>VLOOKUP(A4,'Sheet10'!$A:$C,3,0)</f>
      </c>
      <c r="C4" s="5" t="str">
        <v>(NEW) Nhuộm phủ bạc tiêu chuẩn 199K</v>
      </c>
      <c r="D4" s="5">
        <v>967</v>
      </c>
      <c r="E4" s="5"/>
      <c r="F4" s="6">
        <v>199000</v>
      </c>
      <c r="G4" s="7">
        <v>199000</v>
      </c>
      <c r="H4" s="7">
        <v>199000</v>
      </c>
      <c r="I4" s="7">
        <v>199000</v>
      </c>
      <c r="J4" s="9" t="str">
        <v>Giá không đổi</v>
      </c>
      <c r="K4" s="4">
        <f>G4-F4</f>
      </c>
      <c r="L4" s="4">
        <v>143</v>
      </c>
      <c r="M4" s="4">
        <v>967</v>
      </c>
      <c r="N4" s="4" t="str">
        <v>Không đổi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tr">
        <v>10 TP</v>
      </c>
      <c r="B5" s="5">
        <f>VLOOKUP(A5,'Sheet10'!$A:$C,3,0)</f>
      </c>
      <c r="C5" s="5" t="str">
        <v>(NEW) Uốn/Duỗi/Định hình full đầu tạo form vào nếp tự nhiên</v>
      </c>
      <c r="D5" s="5">
        <f>VLOOKUP(C5,'Sheet7'!$B:$C,2,0)</f>
      </c>
      <c r="E5" s="5">
        <f>A5&amp;D5</f>
      </c>
      <c r="F5" s="6">
        <v>386000</v>
      </c>
      <c r="G5" s="7">
        <v>386000</v>
      </c>
      <c r="H5" s="7">
        <v>396000</v>
      </c>
      <c r="I5" s="7">
        <v>396000</v>
      </c>
      <c r="J5" s="9" t="str">
        <v>Giá không đổi</v>
      </c>
      <c r="K5" s="4">
        <f>G5-F5</f>
      </c>
      <c r="L5" s="4">
        <v>143</v>
      </c>
      <c r="M5" s="4">
        <v>1009</v>
      </c>
      <c r="N5" s="4" t="str" xml:space="preserve">
        <v>+10.000 VNĐ 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tr">
        <v>10 TP</v>
      </c>
      <c r="B6" s="5">
        <f>VLOOKUP(A6,'Sheet10'!$A:$C,3,0)</f>
      </c>
      <c r="C6" s="5" t="str">
        <v>[DV] Nhuộm đen phủ bạc R&amp;B thảo dược</v>
      </c>
      <c r="D6" s="5">
        <v>912</v>
      </c>
      <c r="E6" s="5"/>
      <c r="F6" s="6">
        <v>289000</v>
      </c>
      <c r="G6" s="7">
        <v>289000</v>
      </c>
      <c r="H6" s="7">
        <v>289000</v>
      </c>
      <c r="I6" s="7">
        <v>289000</v>
      </c>
      <c r="J6" s="9" t="str">
        <v>Giá không đổi</v>
      </c>
      <c r="K6" s="4">
        <f>G6-F6</f>
      </c>
      <c r="L6" s="4">
        <v>143</v>
      </c>
      <c r="M6" s="4">
        <v>912</v>
      </c>
      <c r="N6" s="4" t="str">
        <v>Không đổi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tr">
        <v>10 TP</v>
      </c>
      <c r="B7" s="5">
        <f>VLOOKUP(A7,'Sheet10'!$A:$C,3,0)</f>
      </c>
      <c r="C7" s="5" t="str">
        <v>[DV] Tẩy tóc bật tông Ý (1 lần)</v>
      </c>
      <c r="D7" s="5">
        <v>915</v>
      </c>
      <c r="E7" s="5"/>
      <c r="F7" s="6">
        <v>252000</v>
      </c>
      <c r="G7" s="8">
        <v>259000</v>
      </c>
      <c r="H7" s="8">
        <v>259000</v>
      </c>
      <c r="I7" s="8">
        <v>259000</v>
      </c>
      <c r="J7" s="3" t="str">
        <v>Điều chỉnh giá</v>
      </c>
      <c r="K7" s="4">
        <f>G7-F7</f>
      </c>
      <c r="L7" s="4">
        <v>143</v>
      </c>
      <c r="M7" s="4">
        <v>915</v>
      </c>
      <c r="N7" s="4" t="str">
        <v>Không đổi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tr">
        <v>10 TP</v>
      </c>
      <c r="B8" s="5">
        <f>VLOOKUP(A8,'Sheet10'!$A:$C,3,0)</f>
      </c>
      <c r="C8" s="5" t="str">
        <v>[DV] Tẩy tóc bật tông Ý (2 lần) 500k</v>
      </c>
      <c r="D8" s="5">
        <v>916</v>
      </c>
      <c r="E8" s="5"/>
      <c r="F8" s="6">
        <v>500000</v>
      </c>
      <c r="G8" s="8">
        <v>514000</v>
      </c>
      <c r="H8" s="8">
        <v>514000</v>
      </c>
      <c r="I8" s="8">
        <v>514000</v>
      </c>
      <c r="J8" s="3" t="str">
        <v>Điều chỉnh giá</v>
      </c>
      <c r="K8" s="4">
        <f>G8-F8</f>
      </c>
      <c r="L8" s="4">
        <v>143</v>
      </c>
      <c r="M8" s="4">
        <v>916</v>
      </c>
      <c r="N8" s="4" t="str">
        <v>Không đổi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tr">
        <v>10 TP</v>
      </c>
      <c r="B9" s="5">
        <f>VLOOKUP(A9,'Sheet10'!$A:$C,3,0)</f>
      </c>
      <c r="C9" s="5" t="str">
        <v>[DV] Uốn Texture con sâu/Uốn Ruffled</v>
      </c>
      <c r="D9" s="5">
        <f>VLOOKUP(C9,'Sheet7'!$B:$C,2,0)</f>
      </c>
      <c r="E9" s="5"/>
      <c r="F9" s="6">
        <v>499000</v>
      </c>
      <c r="G9" s="8">
        <v>550000</v>
      </c>
      <c r="H9" s="7">
        <v>560000</v>
      </c>
      <c r="I9" s="7">
        <v>560000</v>
      </c>
      <c r="J9" s="3" t="str">
        <v>Điều chỉnh giá</v>
      </c>
      <c r="K9" s="4">
        <f>G9-F9</f>
      </c>
      <c r="L9" s="4">
        <v>143</v>
      </c>
      <c r="M9" s="4">
        <v>674</v>
      </c>
      <c r="N9" s="4" t="str" xml:space="preserve">
        <v>+10.000 VNĐ 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tr">
        <v>10 TP</v>
      </c>
      <c r="B10" s="5">
        <f>VLOOKUP(A10,'Sheet10'!$A:$C,3,0)</f>
      </c>
      <c r="C10" s="5" t="str">
        <v>[DV] Ép side hai bên</v>
      </c>
      <c r="D10" s="5">
        <f>VLOOKUP(C10,'Sheet7'!$B:$C,2,0)</f>
      </c>
      <c r="E10" s="5"/>
      <c r="F10" s="6">
        <v>189000</v>
      </c>
      <c r="G10" s="8">
        <v>216000</v>
      </c>
      <c r="H10" s="7">
        <v>226000</v>
      </c>
      <c r="I10" s="7">
        <v>226000</v>
      </c>
      <c r="J10" s="3" t="str">
        <v>Điều chỉnh giá</v>
      </c>
      <c r="K10" s="4">
        <f>G10-F10</f>
      </c>
      <c r="L10" s="4">
        <v>143</v>
      </c>
      <c r="M10" s="4">
        <v>902</v>
      </c>
      <c r="N10" s="4" t="str" xml:space="preserve">
        <v>+10.000 VNĐ 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 t="str">
        <v>10 TP</v>
      </c>
      <c r="B11" s="5">
        <f>VLOOKUP(A11,'Sheet10'!$A:$C,3,0)</f>
      </c>
      <c r="C11" s="5" t="str">
        <v>NHUỘM THIẾT KẾ PHỤC HỒI CHUYÊN SÂU LIPID BOND 2025</v>
      </c>
      <c r="D11" s="5">
        <v>1149</v>
      </c>
      <c r="E11" s="5"/>
      <c r="F11" s="6">
        <v>689000</v>
      </c>
      <c r="G11" s="8">
        <v>759000</v>
      </c>
      <c r="H11" s="8">
        <v>759000</v>
      </c>
      <c r="I11" s="8">
        <v>759000</v>
      </c>
      <c r="J11" s="3" t="str">
        <v>Điều chỉnh giá</v>
      </c>
      <c r="K11" s="4">
        <f>G11-F11</f>
      </c>
      <c r="L11" s="4">
        <v>143</v>
      </c>
      <c r="M11" s="4">
        <v>1149</v>
      </c>
      <c r="N11" s="4" t="str">
        <v>Không đổi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tr">
        <v>10 TP</v>
      </c>
      <c r="B12" s="5">
        <f>VLOOKUP(A12,'Sheet10'!$A:$C,3,0)</f>
      </c>
      <c r="C12" s="5" t="str">
        <v>Phục hồi trẻ hóa Lipid Bond</v>
      </c>
      <c r="D12" s="5">
        <v>1101</v>
      </c>
      <c r="E12" s="5"/>
      <c r="F12" s="6">
        <v>132000</v>
      </c>
      <c r="G12" s="8">
        <v>146000</v>
      </c>
      <c r="H12" s="8">
        <v>146000</v>
      </c>
      <c r="I12" s="8">
        <v>146000</v>
      </c>
      <c r="J12" s="3" t="str">
        <v>Điều chỉnh giá</v>
      </c>
      <c r="K12" s="4">
        <f>G12-F12</f>
      </c>
      <c r="L12" s="4">
        <v>143</v>
      </c>
      <c r="M12" s="4">
        <v>1101</v>
      </c>
      <c r="N12" s="4" t="str">
        <v>Không đổi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tr">
        <v>10 TP</v>
      </c>
      <c r="B13" s="5">
        <f>VLOOKUP(A13,'Sheet10'!$A:$C,3,0)</f>
      </c>
      <c r="C13" s="5" t="str">
        <v>UỐN THIẾT KẾ PHỤC HỒI CHUYÊN SÂU LIPID BOND 2025</v>
      </c>
      <c r="D13" s="5">
        <f>VLOOKUP(C13,'Sheet7'!$B:$C,2,0)</f>
      </c>
      <c r="E13" s="5"/>
      <c r="F13" s="6">
        <v>689000</v>
      </c>
      <c r="G13" s="7">
        <v>689000</v>
      </c>
      <c r="H13" s="7">
        <v>699000</v>
      </c>
      <c r="I13" s="7">
        <v>699000</v>
      </c>
      <c r="J13" s="9" t="str">
        <v>Giá không đổi</v>
      </c>
      <c r="K13" s="4">
        <f>G13-F13</f>
      </c>
      <c r="L13" s="4">
        <v>143</v>
      </c>
      <c r="M13" s="4">
        <v>1148</v>
      </c>
      <c r="N13" s="4" t="str" xml:space="preserve">
        <v>+10.000 VNĐ 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tr">
        <v>10 TP</v>
      </c>
      <c r="B14" s="5">
        <f>VLOOKUP(A14,'Sheet10'!$A:$C,3,0)</f>
      </c>
      <c r="C14" s="5" t="str">
        <v>Uốn định hình nếp tóc cao cấp (K-Perm Collection)</v>
      </c>
      <c r="D14" s="5">
        <f>VLOOKUP(C14,'Sheet7'!$B:$C,2,0)</f>
      </c>
      <c r="E14" s="5"/>
      <c r="F14" s="6">
        <v>478000</v>
      </c>
      <c r="G14" s="7">
        <v>478000</v>
      </c>
      <c r="H14" s="7">
        <v>488000</v>
      </c>
      <c r="I14" s="7">
        <v>488000</v>
      </c>
      <c r="J14" s="9" t="str">
        <v>Giá không đổi</v>
      </c>
      <c r="K14" s="4">
        <f>G14-F14</f>
      </c>
      <c r="L14" s="4">
        <v>143</v>
      </c>
      <c r="M14" s="4">
        <v>952</v>
      </c>
      <c r="N14" s="4" t="str" xml:space="preserve">
        <v>+10.000 VNĐ 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tr">
        <v>103 TN</v>
      </c>
      <c r="B15" s="5">
        <f>VLOOKUP(A15,'Sheet10'!$A:$C,3,0)</f>
      </c>
      <c r="C15" s="5" t="str">
        <v>(2022T) ATS Control Buffer - Khử mùi tạo thơm cho tóc uốn nhuộm 40k</v>
      </c>
      <c r="D15" s="5">
        <v>610</v>
      </c>
      <c r="E15" s="5"/>
      <c r="F15" s="6">
        <v>40000</v>
      </c>
      <c r="G15" s="7">
        <v>40000</v>
      </c>
      <c r="H15" s="7">
        <v>40000</v>
      </c>
      <c r="I15" s="7">
        <v>40000</v>
      </c>
      <c r="J15" s="9" t="str">
        <v>Giá không đổi</v>
      </c>
      <c r="K15" s="4">
        <f>G15-F15</f>
      </c>
      <c r="L15" s="4">
        <v>44</v>
      </c>
      <c r="M15" s="4">
        <v>610</v>
      </c>
      <c r="N15" s="4" t="str">
        <v>Không đổi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tr">
        <v>103 TN</v>
      </c>
      <c r="B16" s="5">
        <f>VLOOKUP(A16,'Sheet10'!$A:$C,3,0)</f>
      </c>
      <c r="C16" s="5" t="str">
        <v>(NEW) Nhuộm màu thời trang Milano</v>
      </c>
      <c r="D16" s="5">
        <v>960</v>
      </c>
      <c r="E16" s="5">
        <f>A16&amp;D16</f>
      </c>
      <c r="F16" s="6">
        <v>332000</v>
      </c>
      <c r="G16" s="8">
        <v>369000</v>
      </c>
      <c r="H16" s="8">
        <v>369000</v>
      </c>
      <c r="I16" s="8">
        <v>369000</v>
      </c>
      <c r="J16" s="3" t="str">
        <v>Điều chỉnh giá</v>
      </c>
      <c r="K16" s="4">
        <f>G16-F16</f>
      </c>
      <c r="L16" s="4">
        <v>44</v>
      </c>
      <c r="M16" s="4">
        <v>960</v>
      </c>
      <c r="N16" s="4" t="str">
        <v>Không đổi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tr">
        <v>103 TN</v>
      </c>
      <c r="B17" s="5">
        <f>VLOOKUP(A17,'Sheet10'!$A:$C,3,0)</f>
      </c>
      <c r="C17" s="5" t="str">
        <v>(NEW) Nhuộm phủ bạc tiêu chuẩn 199K</v>
      </c>
      <c r="D17" s="5">
        <v>967</v>
      </c>
      <c r="E17" s="5"/>
      <c r="F17" s="6">
        <v>199000</v>
      </c>
      <c r="G17" s="8">
        <v>207000</v>
      </c>
      <c r="H17" s="8">
        <v>207000</v>
      </c>
      <c r="I17" s="8">
        <v>207000</v>
      </c>
      <c r="J17" s="3" t="str">
        <v>Điều chỉnh giá</v>
      </c>
      <c r="K17" s="4">
        <f>G17-F17</f>
      </c>
      <c r="L17" s="4">
        <v>44</v>
      </c>
      <c r="M17" s="4">
        <v>967</v>
      </c>
      <c r="N17" s="4" t="str">
        <v>Không đổi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tr">
        <v>103 TN</v>
      </c>
      <c r="B18" s="5">
        <f>VLOOKUP(A18,'Sheet10'!$A:$C,3,0)</f>
      </c>
      <c r="C18" s="5" t="str">
        <v>(NEW) Uốn/Duỗi/Định hình full đầu tạo form vào nếp tự nhiên</v>
      </c>
      <c r="D18" s="5">
        <f>VLOOKUP(C18,'Sheet7'!$B:$C,2,0)</f>
      </c>
      <c r="E18" s="5">
        <f>A18&amp;D18</f>
      </c>
      <c r="F18" s="6">
        <v>386000</v>
      </c>
      <c r="G18" s="8">
        <v>406000</v>
      </c>
      <c r="H18" s="7">
        <v>416000</v>
      </c>
      <c r="I18" s="7">
        <v>406000</v>
      </c>
      <c r="J18" s="3" t="str">
        <v>Điều chỉnh giá</v>
      </c>
      <c r="K18" s="4">
        <f>G18-F18</f>
      </c>
      <c r="L18" s="4">
        <v>44</v>
      </c>
      <c r="M18" s="4">
        <v>1009</v>
      </c>
      <c r="N18" s="4" t="str" xml:space="preserve">
        <v>+10.000 VNĐ 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tr">
        <v>103 TN</v>
      </c>
      <c r="B19" s="5">
        <f>VLOOKUP(A19,'Sheet10'!$A:$C,3,0)</f>
      </c>
      <c r="C19" s="5" t="str">
        <v>[DV] Nhuộm đen phủ bạc R&amp;B thảo dược</v>
      </c>
      <c r="D19" s="5">
        <v>912</v>
      </c>
      <c r="E19" s="5"/>
      <c r="F19" s="6">
        <v>289000</v>
      </c>
      <c r="G19" s="8">
        <v>299000</v>
      </c>
      <c r="H19" s="8">
        <v>299000</v>
      </c>
      <c r="I19" s="8">
        <v>299000</v>
      </c>
      <c r="J19" s="3" t="str">
        <v>Điều chỉnh giá</v>
      </c>
      <c r="K19" s="4">
        <f>G19-F19</f>
      </c>
      <c r="L19" s="4">
        <v>44</v>
      </c>
      <c r="M19" s="4">
        <v>912</v>
      </c>
      <c r="N19" s="4" t="str">
        <v>Không đổi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 t="str">
        <v>103 TN</v>
      </c>
      <c r="B20" s="5">
        <f>VLOOKUP(A20,'Sheet10'!$A:$C,3,0)</f>
      </c>
      <c r="C20" s="5" t="str">
        <v>[DV] Tẩy tóc bật tông Ý (1 lần)</v>
      </c>
      <c r="D20" s="5">
        <v>915</v>
      </c>
      <c r="E20" s="5"/>
      <c r="F20" s="6">
        <v>252000</v>
      </c>
      <c r="G20" s="8">
        <v>269000</v>
      </c>
      <c r="H20" s="8">
        <v>269000</v>
      </c>
      <c r="I20" s="8">
        <v>269000</v>
      </c>
      <c r="J20" s="3" t="str">
        <v>Điều chỉnh giá</v>
      </c>
      <c r="K20" s="4">
        <f>G20-F20</f>
      </c>
      <c r="L20" s="4">
        <v>44</v>
      </c>
      <c r="M20" s="4">
        <v>915</v>
      </c>
      <c r="N20" s="4" t="str">
        <v>Không đổi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 t="str">
        <v>103 TN</v>
      </c>
      <c r="B21" s="5">
        <f>VLOOKUP(A21,'Sheet10'!$A:$C,3,0)</f>
      </c>
      <c r="C21" s="5" t="str">
        <v>[DV] Tẩy tóc bật tông Ý (2 lần) 500k</v>
      </c>
      <c r="D21" s="5">
        <v>916</v>
      </c>
      <c r="E21" s="5"/>
      <c r="F21" s="6">
        <v>500000</v>
      </c>
      <c r="G21" s="8">
        <v>525000</v>
      </c>
      <c r="H21" s="8">
        <v>525000</v>
      </c>
      <c r="I21" s="8">
        <v>525000</v>
      </c>
      <c r="J21" s="3" t="str">
        <v>Điều chỉnh giá</v>
      </c>
      <c r="K21" s="4">
        <f>G21-F21</f>
      </c>
      <c r="L21" s="4">
        <v>44</v>
      </c>
      <c r="M21" s="4">
        <v>916</v>
      </c>
      <c r="N21" s="4" t="str">
        <v>Không đổi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 t="str">
        <v>103 TN</v>
      </c>
      <c r="B22" s="5">
        <f>VLOOKUP(A22,'Sheet10'!$A:$C,3,0)</f>
      </c>
      <c r="C22" s="5" t="str">
        <v>[DV] Uốn Texture con sâu/Uốn Ruffled</v>
      </c>
      <c r="D22" s="5">
        <f>VLOOKUP(C22,'Sheet7'!$B:$C,2,0)</f>
      </c>
      <c r="E22" s="5"/>
      <c r="F22" s="6">
        <v>499000</v>
      </c>
      <c r="G22" s="8">
        <v>554000</v>
      </c>
      <c r="H22" s="7">
        <v>564000</v>
      </c>
      <c r="I22" s="7">
        <v>554000</v>
      </c>
      <c r="J22" s="3" t="str">
        <v>Điều chỉnh giá</v>
      </c>
      <c r="K22" s="4">
        <f>G22-F22</f>
      </c>
      <c r="L22" s="4">
        <v>44</v>
      </c>
      <c r="M22" s="4">
        <v>674</v>
      </c>
      <c r="N22" s="4" t="str" xml:space="preserve">
        <v>+10.000 VNĐ 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tr">
        <v>103 TN</v>
      </c>
      <c r="B23" s="5">
        <f>VLOOKUP(A23,'Sheet10'!$A:$C,3,0)</f>
      </c>
      <c r="C23" s="5" t="str">
        <v>[DV] Ép side hai bên</v>
      </c>
      <c r="D23" s="5">
        <f>VLOOKUP(C23,'Sheet7'!$B:$C,2,0)</f>
      </c>
      <c r="E23" s="5"/>
      <c r="F23" s="6">
        <v>189000</v>
      </c>
      <c r="G23" s="8">
        <v>219000</v>
      </c>
      <c r="H23" s="7">
        <v>229000</v>
      </c>
      <c r="I23" s="7">
        <v>219000</v>
      </c>
      <c r="J23" s="3" t="str">
        <v>Điều chỉnh giá</v>
      </c>
      <c r="K23" s="4">
        <f>G23-F23</f>
      </c>
      <c r="L23" s="4">
        <v>44</v>
      </c>
      <c r="M23" s="4">
        <v>902</v>
      </c>
      <c r="N23" s="4" t="str" xml:space="preserve">
        <v>+10.000 VNĐ 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 t="str">
        <v>103 TN</v>
      </c>
      <c r="B24" s="5">
        <f>VLOOKUP(A24,'Sheet10'!$A:$C,3,0)</f>
      </c>
      <c r="C24" s="5" t="str">
        <v>NHUỘM THIẾT KẾ PHỤC HỒI CHUYÊN SÂU LIPID BOND 2025</v>
      </c>
      <c r="D24" s="5">
        <v>1149</v>
      </c>
      <c r="E24" s="5"/>
      <c r="F24" s="6">
        <v>689000</v>
      </c>
      <c r="G24" s="8">
        <v>759000</v>
      </c>
      <c r="H24" s="8">
        <v>759000</v>
      </c>
      <c r="I24" s="8">
        <v>759000</v>
      </c>
      <c r="J24" s="3" t="str">
        <v>Điều chỉnh giá</v>
      </c>
      <c r="K24" s="4">
        <f>G24-F24</f>
      </c>
      <c r="L24" s="4">
        <v>44</v>
      </c>
      <c r="M24" s="4">
        <v>1149</v>
      </c>
      <c r="N24" s="4" t="str">
        <v>Không đổi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 t="str">
        <v>103 TN</v>
      </c>
      <c r="B25" s="5">
        <f>VLOOKUP(A25,'Sheet10'!$A:$C,3,0)</f>
      </c>
      <c r="C25" s="5" t="str">
        <v>Phục hồi trẻ hóa Lipid Bond</v>
      </c>
      <c r="D25" s="5">
        <v>1101</v>
      </c>
      <c r="E25" s="5"/>
      <c r="F25" s="6">
        <v>132000</v>
      </c>
      <c r="G25" s="8">
        <v>146000</v>
      </c>
      <c r="H25" s="8">
        <v>146000</v>
      </c>
      <c r="I25" s="8">
        <v>146000</v>
      </c>
      <c r="J25" s="3" t="str">
        <v>Điều chỉnh giá</v>
      </c>
      <c r="K25" s="4">
        <f>G25-F25</f>
      </c>
      <c r="L25" s="4">
        <v>44</v>
      </c>
      <c r="M25" s="4">
        <v>1101</v>
      </c>
      <c r="N25" s="4" t="str">
        <v>Không đổi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 t="str">
        <v>103 TN</v>
      </c>
      <c r="B26" s="5">
        <f>VLOOKUP(A26,'Sheet10'!$A:$C,3,0)</f>
      </c>
      <c r="C26" s="5" t="str">
        <v>UỐN THIẾT KẾ PHỤC HỒI CHUYÊN SÂU LIPID BOND 2025</v>
      </c>
      <c r="D26" s="5">
        <f>VLOOKUP(C26,'Sheet7'!$B:$C,2,0)</f>
      </c>
      <c r="E26" s="5"/>
      <c r="F26" s="6">
        <v>689000</v>
      </c>
      <c r="G26" s="8">
        <v>729000</v>
      </c>
      <c r="H26" s="7">
        <v>739000</v>
      </c>
      <c r="I26" s="7">
        <v>729000</v>
      </c>
      <c r="J26" s="3" t="str">
        <v>Điều chỉnh giá</v>
      </c>
      <c r="K26" s="4">
        <f>G26-F26</f>
      </c>
      <c r="L26" s="4">
        <v>44</v>
      </c>
      <c r="M26" s="4">
        <v>1148</v>
      </c>
      <c r="N26" s="4" t="str" xml:space="preserve">
        <v>+10.000 VNĐ 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 t="str">
        <v>103 TN</v>
      </c>
      <c r="B27" s="5">
        <f>VLOOKUP(A27,'Sheet10'!$A:$C,3,0)</f>
      </c>
      <c r="C27" s="5" t="str">
        <v>Uốn định hình nếp tóc cao cấp (K-Perm Collection)</v>
      </c>
      <c r="D27" s="5">
        <f>VLOOKUP(C27,'Sheet7'!$B:$C,2,0)</f>
      </c>
      <c r="E27" s="5"/>
      <c r="F27" s="6">
        <v>478000</v>
      </c>
      <c r="G27" s="8">
        <v>502000</v>
      </c>
      <c r="H27" s="7">
        <v>512000</v>
      </c>
      <c r="I27" s="7">
        <v>502000</v>
      </c>
      <c r="J27" s="3" t="str">
        <v>Điều chỉnh giá</v>
      </c>
      <c r="K27" s="4">
        <f>G27-F27</f>
      </c>
      <c r="L27" s="4">
        <v>44</v>
      </c>
      <c r="M27" s="4">
        <v>952</v>
      </c>
      <c r="N27" s="4" t="str" xml:space="preserve">
        <v>+10.000 VNĐ 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 t="str">
        <v>103 TN</v>
      </c>
      <c r="B28" s="5">
        <f>VLOOKUP(A28,'Sheet10'!$A:$C,3,0)</f>
      </c>
      <c r="C28" s="5" t="str">
        <v>Uốn/ Nhuộm thiết kế phục hồi 2025</v>
      </c>
      <c r="D28" s="5"/>
      <c r="E28" s="5"/>
      <c r="F28" s="6">
        <v>1199000</v>
      </c>
      <c r="G28" s="7">
        <v>1199000</v>
      </c>
      <c r="H28" s="7">
        <v>1199000</v>
      </c>
      <c r="I28" s="7">
        <v>1199000</v>
      </c>
      <c r="J28" s="9" t="str">
        <v>Giá không đổi</v>
      </c>
      <c r="K28" s="4">
        <f>G28-F28</f>
      </c>
      <c r="L28" s="4">
        <v>44</v>
      </c>
      <c r="M28" s="4">
        <v>1193</v>
      </c>
      <c r="N28" s="4" t="str">
        <v>Không đổi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 t="str">
        <v>109 TQH</v>
      </c>
      <c r="B29" s="5">
        <f>VLOOKUP(A29,'Sheet10'!$A:$C,3,0)</f>
      </c>
      <c r="C29" s="5" t="str">
        <v>(2022T) ATS Control Buffer - Khử mùi tạo thơm cho tóc uốn nhuộm 40k</v>
      </c>
      <c r="D29" s="5">
        <v>610</v>
      </c>
      <c r="E29" s="5"/>
      <c r="F29" s="6">
        <v>40000</v>
      </c>
      <c r="G29" s="7">
        <v>40000</v>
      </c>
      <c r="H29" s="7">
        <v>40000</v>
      </c>
      <c r="I29" s="7">
        <v>40000</v>
      </c>
      <c r="J29" s="9" t="str">
        <v>Giá không đổi</v>
      </c>
      <c r="K29" s="4">
        <f>G29-F29</f>
      </c>
      <c r="L29" s="4">
        <v>146</v>
      </c>
      <c r="M29" s="4">
        <v>610</v>
      </c>
      <c r="N29" s="4" t="str">
        <v>Không đổi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 t="str">
        <v>109 TQH</v>
      </c>
      <c r="B30" s="5">
        <f>VLOOKUP(A30,'Sheet10'!$A:$C,3,0)</f>
      </c>
      <c r="C30" s="5" t="str">
        <v>(NEW) Nhuộm màu thời trang Milano</v>
      </c>
      <c r="D30" s="5">
        <v>960</v>
      </c>
      <c r="E30" s="5">
        <f>A30&amp;D30</f>
      </c>
      <c r="F30" s="6">
        <v>332000</v>
      </c>
      <c r="G30" s="8">
        <v>366000</v>
      </c>
      <c r="H30" s="8">
        <v>366000</v>
      </c>
      <c r="I30" s="8">
        <v>366000</v>
      </c>
      <c r="J30" s="3" t="str">
        <v>Điều chỉnh giá</v>
      </c>
      <c r="K30" s="4">
        <f>G30-F30</f>
      </c>
      <c r="L30" s="4">
        <v>146</v>
      </c>
      <c r="M30" s="4">
        <v>960</v>
      </c>
      <c r="N30" s="4" t="str">
        <v>Không đổi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 t="str">
        <v>109 TQH</v>
      </c>
      <c r="B31" s="5">
        <f>VLOOKUP(A31,'Sheet10'!$A:$C,3,0)</f>
      </c>
      <c r="C31" s="5" t="str">
        <v>(NEW) Nhuộm phủ bạc tiêu chuẩn 199K</v>
      </c>
      <c r="D31" s="5">
        <v>967</v>
      </c>
      <c r="E31" s="5"/>
      <c r="F31" s="6">
        <v>199000</v>
      </c>
      <c r="G31" s="8">
        <v>227000</v>
      </c>
      <c r="H31" s="8">
        <v>227000</v>
      </c>
      <c r="I31" s="8">
        <v>227000</v>
      </c>
      <c r="J31" s="3" t="str">
        <v>Điều chỉnh giá</v>
      </c>
      <c r="K31" s="4">
        <f>G31-F31</f>
      </c>
      <c r="L31" s="4">
        <v>146</v>
      </c>
      <c r="M31" s="4">
        <v>967</v>
      </c>
      <c r="N31" s="4" t="str">
        <v>Không đổi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 t="str">
        <v>109 TQH</v>
      </c>
      <c r="B32" s="5">
        <f>VLOOKUP(A32,'Sheet10'!$A:$C,3,0)</f>
      </c>
      <c r="C32" s="5" t="str">
        <v>(NEW) Uốn/Duỗi/Định hình full đầu tạo form vào nếp tự nhiên</v>
      </c>
      <c r="D32" s="5">
        <f>VLOOKUP(C32,'Sheet7'!$B:$C,2,0)</f>
      </c>
      <c r="E32" s="5">
        <f>A32&amp;D32</f>
      </c>
      <c r="F32" s="6">
        <v>386000</v>
      </c>
      <c r="G32" s="7">
        <v>386000</v>
      </c>
      <c r="H32" s="7">
        <v>396000</v>
      </c>
      <c r="I32" s="7">
        <v>396000</v>
      </c>
      <c r="J32" s="9" t="str">
        <v>Giá không đổi</v>
      </c>
      <c r="K32" s="4">
        <f>G32-F32</f>
      </c>
      <c r="L32" s="4">
        <v>146</v>
      </c>
      <c r="M32" s="4">
        <v>1009</v>
      </c>
      <c r="N32" s="4" t="str" xml:space="preserve">
        <v>+10.000 VNĐ 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5" t="str">
        <v>109 TQH</v>
      </c>
      <c r="B33" s="5">
        <f>VLOOKUP(A33,'Sheet10'!$A:$C,3,0)</f>
      </c>
      <c r="C33" s="5" t="str">
        <v>[DV] Nhuộm đen phủ bạc R&amp;B thảo dược</v>
      </c>
      <c r="D33" s="5">
        <v>912</v>
      </c>
      <c r="E33" s="5"/>
      <c r="F33" s="6">
        <v>289000</v>
      </c>
      <c r="G33" s="8">
        <v>329000</v>
      </c>
      <c r="H33" s="8">
        <v>329000</v>
      </c>
      <c r="I33" s="8">
        <v>329000</v>
      </c>
      <c r="J33" s="3" t="str">
        <v>Điều chỉnh giá</v>
      </c>
      <c r="K33" s="4">
        <f>G33-F33</f>
      </c>
      <c r="L33" s="4">
        <v>146</v>
      </c>
      <c r="M33" s="4">
        <v>912</v>
      </c>
      <c r="N33" s="4" t="str">
        <v>Không đổi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 t="str">
        <v>109 TQH</v>
      </c>
      <c r="B34" s="5">
        <f>VLOOKUP(A34,'Sheet10'!$A:$C,3,0)</f>
      </c>
      <c r="C34" s="5" t="str">
        <v>[DV] Tẩy tóc bật tông Ý (1 lần)</v>
      </c>
      <c r="D34" s="5">
        <v>915</v>
      </c>
      <c r="E34" s="5"/>
      <c r="F34" s="6">
        <v>252000</v>
      </c>
      <c r="G34" s="8">
        <v>259000</v>
      </c>
      <c r="H34" s="8">
        <v>259000</v>
      </c>
      <c r="I34" s="8">
        <v>259000</v>
      </c>
      <c r="J34" s="3" t="str">
        <v>Điều chỉnh giá</v>
      </c>
      <c r="K34" s="4">
        <f>G34-F34</f>
      </c>
      <c r="L34" s="4">
        <v>146</v>
      </c>
      <c r="M34" s="4">
        <v>915</v>
      </c>
      <c r="N34" s="4" t="str">
        <v>Không đổi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" t="str">
        <v>109 TQH</v>
      </c>
      <c r="B35" s="5">
        <f>VLOOKUP(A35,'Sheet10'!$A:$C,3,0)</f>
      </c>
      <c r="C35" s="5" t="str">
        <v>[DV] Tẩy tóc bật tông Ý (2 lần) 500k</v>
      </c>
      <c r="D35" s="5">
        <v>916</v>
      </c>
      <c r="E35" s="5"/>
      <c r="F35" s="6">
        <v>500000</v>
      </c>
      <c r="G35" s="8">
        <v>514000</v>
      </c>
      <c r="H35" s="8">
        <v>514000</v>
      </c>
      <c r="I35" s="8">
        <v>514000</v>
      </c>
      <c r="J35" s="3" t="str">
        <v>Điều chỉnh giá</v>
      </c>
      <c r="K35" s="4">
        <f>G35-F35</f>
      </c>
      <c r="L35" s="4">
        <v>146</v>
      </c>
      <c r="M35" s="4">
        <v>916</v>
      </c>
      <c r="N35" s="4" t="str">
        <v>Không đổi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 t="str">
        <v>109 TQH</v>
      </c>
      <c r="B36" s="5">
        <f>VLOOKUP(A36,'Sheet10'!$A:$C,3,0)</f>
      </c>
      <c r="C36" s="5" t="str">
        <v>[DV] Uốn Texture con sâu/Uốn Ruffled</v>
      </c>
      <c r="D36" s="5">
        <f>VLOOKUP(C36,'Sheet7'!$B:$C,2,0)</f>
      </c>
      <c r="E36" s="5"/>
      <c r="F36" s="6">
        <v>499000</v>
      </c>
      <c r="G36" s="8">
        <v>550000</v>
      </c>
      <c r="H36" s="7">
        <v>560000</v>
      </c>
      <c r="I36" s="7">
        <v>560000</v>
      </c>
      <c r="J36" s="3" t="str">
        <v>Điều chỉnh giá</v>
      </c>
      <c r="K36" s="4">
        <f>G36-F36</f>
      </c>
      <c r="L36" s="4">
        <v>146</v>
      </c>
      <c r="M36" s="4">
        <v>674</v>
      </c>
      <c r="N36" s="4" t="str" xml:space="preserve">
        <v>+10.000 VNĐ 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 t="str">
        <v>109 TQH</v>
      </c>
      <c r="B37" s="5">
        <f>VLOOKUP(A37,'Sheet10'!$A:$C,3,0)</f>
      </c>
      <c r="C37" s="5" t="str">
        <v>[DV] Ép side hai bên</v>
      </c>
      <c r="D37" s="5">
        <f>VLOOKUP(C37,'Sheet7'!$B:$C,2,0)</f>
      </c>
      <c r="E37" s="5"/>
      <c r="F37" s="6">
        <v>189000</v>
      </c>
      <c r="G37" s="7">
        <v>189000</v>
      </c>
      <c r="H37" s="7">
        <v>199000</v>
      </c>
      <c r="I37" s="7">
        <v>199000</v>
      </c>
      <c r="J37" s="9" t="str">
        <v>Giá không đổi</v>
      </c>
      <c r="K37" s="4">
        <f>G37-F37</f>
      </c>
      <c r="L37" s="4">
        <v>146</v>
      </c>
      <c r="M37" s="4">
        <v>902</v>
      </c>
      <c r="N37" s="4" t="str" xml:space="preserve">
        <v>+10.000 VNĐ 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 t="str">
        <v>109 TQH</v>
      </c>
      <c r="B38" s="5">
        <f>VLOOKUP(A38,'Sheet10'!$A:$C,3,0)</f>
      </c>
      <c r="C38" s="5" t="str">
        <v>NHUỘM THIẾT KẾ PHỤC HỒI CHUYÊN SÂU LIPID BOND 2025</v>
      </c>
      <c r="D38" s="5">
        <v>1149</v>
      </c>
      <c r="E38" s="5"/>
      <c r="F38" s="6">
        <v>689000</v>
      </c>
      <c r="G38" s="8">
        <v>759000</v>
      </c>
      <c r="H38" s="8">
        <v>759000</v>
      </c>
      <c r="I38" s="8">
        <v>759000</v>
      </c>
      <c r="J38" s="3" t="str">
        <v>Điều chỉnh giá</v>
      </c>
      <c r="K38" s="4">
        <f>G38-F38</f>
      </c>
      <c r="L38" s="4">
        <v>146</v>
      </c>
      <c r="M38" s="4">
        <v>1149</v>
      </c>
      <c r="N38" s="4" t="str">
        <v>Không đổi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" t="str">
        <v>109 TQH</v>
      </c>
      <c r="B39" s="5">
        <f>VLOOKUP(A39,'Sheet10'!$A:$C,3,0)</f>
      </c>
      <c r="C39" s="5" t="str">
        <v>Phục hồi trẻ hóa Lipid Bond</v>
      </c>
      <c r="D39" s="5">
        <v>1101</v>
      </c>
      <c r="E39" s="5"/>
      <c r="F39" s="6">
        <v>132000</v>
      </c>
      <c r="G39" s="8">
        <v>146000</v>
      </c>
      <c r="H39" s="8">
        <v>146000</v>
      </c>
      <c r="I39" s="8">
        <v>146000</v>
      </c>
      <c r="J39" s="3" t="str">
        <v>Điều chỉnh giá</v>
      </c>
      <c r="K39" s="4">
        <f>G39-F39</f>
      </c>
      <c r="L39" s="4">
        <v>146</v>
      </c>
      <c r="M39" s="4">
        <v>1101</v>
      </c>
      <c r="N39" s="4" t="str">
        <v>Không đổi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5" t="str">
        <v>109 TQH</v>
      </c>
      <c r="B40" s="5">
        <f>VLOOKUP(A40,'Sheet10'!$A:$C,3,0)</f>
      </c>
      <c r="C40" s="5" t="str">
        <v>UỐN THIẾT KẾ PHỤC HỒI CHUYÊN SÂU LIPID BOND 2025</v>
      </c>
      <c r="D40" s="5">
        <f>VLOOKUP(C40,'Sheet7'!$B:$C,2,0)</f>
      </c>
      <c r="E40" s="5"/>
      <c r="F40" s="6">
        <v>689000</v>
      </c>
      <c r="G40" s="7">
        <v>689000</v>
      </c>
      <c r="H40" s="7">
        <v>699000</v>
      </c>
      <c r="I40" s="7">
        <v>699000</v>
      </c>
      <c r="J40" s="9" t="str">
        <v>Giá không đổi</v>
      </c>
      <c r="K40" s="4">
        <f>G40-F40</f>
      </c>
      <c r="L40" s="4">
        <v>146</v>
      </c>
      <c r="M40" s="4">
        <v>1148</v>
      </c>
      <c r="N40" s="4" t="str" xml:space="preserve">
        <v>+10.000 VNĐ 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" t="str">
        <v>109 TQH</v>
      </c>
      <c r="B41" s="5">
        <f>VLOOKUP(A41,'Sheet10'!$A:$C,3,0)</f>
      </c>
      <c r="C41" s="5" t="str">
        <v>Uốn định hình nếp tóc cao cấp (K-Perm Collection)</v>
      </c>
      <c r="D41" s="5">
        <f>VLOOKUP(C41,'Sheet7'!$B:$C,2,0)</f>
      </c>
      <c r="E41" s="5"/>
      <c r="F41" s="6">
        <v>478000</v>
      </c>
      <c r="G41" s="7">
        <v>478000</v>
      </c>
      <c r="H41" s="7">
        <v>488000</v>
      </c>
      <c r="I41" s="7">
        <v>488000</v>
      </c>
      <c r="J41" s="9" t="str">
        <v>Giá không đổi</v>
      </c>
      <c r="K41" s="4">
        <f>G41-F41</f>
      </c>
      <c r="L41" s="4">
        <v>146</v>
      </c>
      <c r="M41" s="4">
        <v>952</v>
      </c>
      <c r="N41" s="4" t="str" xml:space="preserve">
        <v>+10.000 VNĐ 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 t="str">
        <v>11 PKT</v>
      </c>
      <c r="B42" s="5">
        <f>VLOOKUP(A42,'Sheet10'!$A:$C,3,0)</f>
      </c>
      <c r="C42" s="5" t="str">
        <v>(2022T) ATS Control Buffer - Khử mùi tạo thơm cho tóc uốn nhuộm 40k</v>
      </c>
      <c r="D42" s="5">
        <v>610</v>
      </c>
      <c r="E42" s="5"/>
      <c r="F42" s="6">
        <v>40000</v>
      </c>
      <c r="G42" s="7">
        <v>40000</v>
      </c>
      <c r="H42" s="7">
        <v>40000</v>
      </c>
      <c r="I42" s="7">
        <v>40000</v>
      </c>
      <c r="J42" s="9" t="str">
        <v>Giá không đổi</v>
      </c>
      <c r="K42" s="4">
        <f>G42-F42</f>
      </c>
      <c r="L42" s="4">
        <v>244</v>
      </c>
      <c r="M42" s="4">
        <v>610</v>
      </c>
      <c r="N42" s="4" t="str">
        <v>Không đổi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" t="str">
        <v>11 PKT</v>
      </c>
      <c r="B43" s="5">
        <f>VLOOKUP(A43,'Sheet10'!$A:$C,3,0)</f>
      </c>
      <c r="C43" s="5" t="str">
        <v>(NEW) Nhuộm màu thời trang Milano</v>
      </c>
      <c r="D43" s="5">
        <v>960</v>
      </c>
      <c r="E43" s="5">
        <f>A43&amp;D43</f>
      </c>
      <c r="F43" s="6">
        <v>332000</v>
      </c>
      <c r="G43" s="8">
        <v>332000</v>
      </c>
      <c r="H43" s="8">
        <v>332000</v>
      </c>
      <c r="I43" s="8">
        <v>332000</v>
      </c>
      <c r="J43" s="3" t="str">
        <v>Điều chỉnh giá</v>
      </c>
      <c r="K43" s="4">
        <f>G43-F43</f>
      </c>
      <c r="L43" s="4">
        <v>244</v>
      </c>
      <c r="M43" s="4">
        <v>960</v>
      </c>
      <c r="N43" s="4" t="str">
        <v>Không đổi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 t="str">
        <v>11 PKT</v>
      </c>
      <c r="B44" s="5">
        <f>VLOOKUP(A44,'Sheet10'!$A:$C,3,0)</f>
      </c>
      <c r="C44" s="5" t="str">
        <v>(NEW) Nhuộm phủ bạc tiêu chuẩn 199K</v>
      </c>
      <c r="D44" s="5">
        <v>967</v>
      </c>
      <c r="E44" s="5"/>
      <c r="F44" s="6">
        <v>199000</v>
      </c>
      <c r="G44" s="8">
        <v>206000</v>
      </c>
      <c r="H44" s="8">
        <v>206000</v>
      </c>
      <c r="I44" s="8">
        <v>206000</v>
      </c>
      <c r="J44" s="3" t="str">
        <v>Điều chỉnh giá</v>
      </c>
      <c r="K44" s="4">
        <f>G44-F44</f>
      </c>
      <c r="L44" s="4">
        <v>244</v>
      </c>
      <c r="M44" s="4">
        <v>967</v>
      </c>
      <c r="N44" s="4" t="str">
        <v>Không đổi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 t="str">
        <v>11 PKT</v>
      </c>
      <c r="B45" s="5">
        <f>VLOOKUP(A45,'Sheet10'!$A:$C,3,0)</f>
      </c>
      <c r="C45" s="5" t="str">
        <v>(NEW) Uốn/Duỗi/Định hình full đầu tạo form vào nếp tự nhiên</v>
      </c>
      <c r="D45" s="5">
        <f>VLOOKUP(C45,'Sheet7'!$B:$C,2,0)</f>
      </c>
      <c r="E45" s="5">
        <f>A45&amp;D45</f>
      </c>
      <c r="F45" s="6">
        <v>386000</v>
      </c>
      <c r="G45" s="8">
        <v>386000</v>
      </c>
      <c r="H45" s="7">
        <v>396000</v>
      </c>
      <c r="I45" s="7">
        <v>396000</v>
      </c>
      <c r="J45" s="3" t="str">
        <v>Điều chỉnh giá</v>
      </c>
      <c r="K45" s="4">
        <f>G45-F45</f>
      </c>
      <c r="L45" s="4">
        <v>244</v>
      </c>
      <c r="M45" s="4">
        <v>1009</v>
      </c>
      <c r="N45" s="4" t="str" xml:space="preserve">
        <v>+10.000 VNĐ 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" t="str">
        <v>11 PKT</v>
      </c>
      <c r="B46" s="5">
        <f>VLOOKUP(A46,'Sheet10'!$A:$C,3,0)</f>
      </c>
      <c r="C46" s="5" t="str">
        <v>[DV] Nhuộm đen phủ bạc R&amp;B thảo dược</v>
      </c>
      <c r="D46" s="5">
        <v>912</v>
      </c>
      <c r="E46" s="5"/>
      <c r="F46" s="6">
        <v>289000</v>
      </c>
      <c r="G46" s="8">
        <v>299000</v>
      </c>
      <c r="H46" s="8">
        <v>299000</v>
      </c>
      <c r="I46" s="8">
        <v>299000</v>
      </c>
      <c r="J46" s="3" t="str">
        <v>Điều chỉnh giá</v>
      </c>
      <c r="K46" s="4">
        <f>G46-F46</f>
      </c>
      <c r="L46" s="4">
        <v>244</v>
      </c>
      <c r="M46" s="4">
        <v>912</v>
      </c>
      <c r="N46" s="4" t="str">
        <v>Không đổi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" t="str">
        <v>11 PKT</v>
      </c>
      <c r="B47" s="5">
        <f>VLOOKUP(A47,'Sheet10'!$A:$C,3,0)</f>
      </c>
      <c r="C47" s="5" t="str">
        <v>[DV] Tẩy tóc bật tông Ý (1 lần)</v>
      </c>
      <c r="D47" s="5">
        <v>915</v>
      </c>
      <c r="E47" s="5"/>
      <c r="F47" s="6">
        <v>252000</v>
      </c>
      <c r="G47" s="8">
        <v>269000</v>
      </c>
      <c r="H47" s="8">
        <v>269000</v>
      </c>
      <c r="I47" s="8">
        <v>269000</v>
      </c>
      <c r="J47" s="3" t="str">
        <v>Điều chỉnh giá</v>
      </c>
      <c r="K47" s="4">
        <f>G47-F47</f>
      </c>
      <c r="L47" s="4">
        <v>244</v>
      </c>
      <c r="M47" s="4">
        <v>915</v>
      </c>
      <c r="N47" s="4" t="str">
        <v>Không đổi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" t="str">
        <v>11 PKT</v>
      </c>
      <c r="B48" s="5">
        <f>VLOOKUP(A48,'Sheet10'!$A:$C,3,0)</f>
      </c>
      <c r="C48" s="5" t="str">
        <v>[DV] Tẩy tóc bật tông Ý (2 lần) 500k</v>
      </c>
      <c r="D48" s="5">
        <v>916</v>
      </c>
      <c r="E48" s="5"/>
      <c r="F48" s="6">
        <v>500000</v>
      </c>
      <c r="G48" s="8">
        <v>525000</v>
      </c>
      <c r="H48" s="8">
        <v>525000</v>
      </c>
      <c r="I48" s="8">
        <v>525000</v>
      </c>
      <c r="J48" s="3" t="str">
        <v>Điều chỉnh giá</v>
      </c>
      <c r="K48" s="4">
        <f>G48-F48</f>
      </c>
      <c r="L48" s="4">
        <v>244</v>
      </c>
      <c r="M48" s="4">
        <v>916</v>
      </c>
      <c r="N48" s="4" t="str">
        <v>Không đổi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" t="str">
        <v>11 PKT</v>
      </c>
      <c r="B49" s="5">
        <f>VLOOKUP(A49,'Sheet10'!$A:$C,3,0)</f>
      </c>
      <c r="C49" s="5" t="str">
        <v>[DV] Uốn Texture con sâu/Uốn Ruffled</v>
      </c>
      <c r="D49" s="5">
        <f>VLOOKUP(C49,'Sheet7'!$B:$C,2,0)</f>
      </c>
      <c r="E49" s="5"/>
      <c r="F49" s="6">
        <v>499000</v>
      </c>
      <c r="G49" s="8">
        <v>554000</v>
      </c>
      <c r="H49" s="7">
        <v>564000</v>
      </c>
      <c r="I49" s="7">
        <v>564000</v>
      </c>
      <c r="J49" s="3" t="str">
        <v>Điều chỉnh giá</v>
      </c>
      <c r="K49" s="4">
        <f>G49-F49</f>
      </c>
      <c r="L49" s="4">
        <v>244</v>
      </c>
      <c r="M49" s="4">
        <v>674</v>
      </c>
      <c r="N49" s="4" t="str" xml:space="preserve">
        <v>+10.000 VNĐ 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 t="str">
        <v>11 PKT</v>
      </c>
      <c r="B50" s="5">
        <f>VLOOKUP(A50,'Sheet10'!$A:$C,3,0)</f>
      </c>
      <c r="C50" s="5" t="str">
        <v>[DV] Ép side hai bên</v>
      </c>
      <c r="D50" s="5">
        <f>VLOOKUP(C50,'Sheet7'!$B:$C,2,0)</f>
      </c>
      <c r="E50" s="5"/>
      <c r="F50" s="6">
        <v>189000</v>
      </c>
      <c r="G50" s="8">
        <v>226000</v>
      </c>
      <c r="H50" s="7">
        <v>236000</v>
      </c>
      <c r="I50" s="7">
        <v>236000</v>
      </c>
      <c r="J50" s="3" t="str">
        <v>Điều chỉnh giá</v>
      </c>
      <c r="K50" s="4">
        <f>G50-F50</f>
      </c>
      <c r="L50" s="4">
        <v>244</v>
      </c>
      <c r="M50" s="4">
        <v>902</v>
      </c>
      <c r="N50" s="4" t="str" xml:space="preserve">
        <v>+10.000 VNĐ 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" t="str">
        <v>11 PKT</v>
      </c>
      <c r="B51" s="5">
        <f>VLOOKUP(A51,'Sheet10'!$A:$C,3,0)</f>
      </c>
      <c r="C51" s="5" t="str">
        <v>NHUỘM THIẾT KẾ PHỤC HỒI CHUYÊN SÂU LIPID BOND 2025</v>
      </c>
      <c r="D51" s="5">
        <v>1149</v>
      </c>
      <c r="E51" s="5"/>
      <c r="F51" s="6">
        <v>689000</v>
      </c>
      <c r="G51" s="8">
        <v>759000</v>
      </c>
      <c r="H51" s="8">
        <v>759000</v>
      </c>
      <c r="I51" s="8">
        <v>759000</v>
      </c>
      <c r="J51" s="3" t="str">
        <v>Điều chỉnh giá</v>
      </c>
      <c r="K51" s="4">
        <f>G51-F51</f>
      </c>
      <c r="L51" s="4">
        <v>244</v>
      </c>
      <c r="M51" s="4">
        <v>1149</v>
      </c>
      <c r="N51" s="4" t="str">
        <v>Không đổi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" t="str">
        <v>11 PKT</v>
      </c>
      <c r="B52" s="5">
        <f>VLOOKUP(A52,'Sheet10'!$A:$C,3,0)</f>
      </c>
      <c r="C52" s="5" t="str">
        <v>Phục hồi trẻ hóa Lipid Bond</v>
      </c>
      <c r="D52" s="5">
        <v>1101</v>
      </c>
      <c r="E52" s="5"/>
      <c r="F52" s="6">
        <v>132000</v>
      </c>
      <c r="G52" s="8">
        <v>146000</v>
      </c>
      <c r="H52" s="8">
        <v>146000</v>
      </c>
      <c r="I52" s="8">
        <v>146000</v>
      </c>
      <c r="J52" s="3" t="str">
        <v>Điều chỉnh giá</v>
      </c>
      <c r="K52" s="4">
        <f>G52-F52</f>
      </c>
      <c r="L52" s="4">
        <v>244</v>
      </c>
      <c r="M52" s="4">
        <v>1101</v>
      </c>
      <c r="N52" s="4" t="str">
        <v>Không đổi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" t="str">
        <v>11 PKT</v>
      </c>
      <c r="B53" s="5">
        <f>VLOOKUP(A53,'Sheet10'!$A:$C,3,0)</f>
      </c>
      <c r="C53" s="5" t="str">
        <v>UỐN THIẾT KẾ PHỤC HỒI CHUYÊN SÂU LIPID BOND 2025</v>
      </c>
      <c r="D53" s="5">
        <f>VLOOKUP(C53,'Sheet7'!$B:$C,2,0)</f>
      </c>
      <c r="E53" s="5"/>
      <c r="F53" s="6">
        <v>689000</v>
      </c>
      <c r="G53" s="8">
        <v>759000</v>
      </c>
      <c r="H53" s="7">
        <v>769000</v>
      </c>
      <c r="I53" s="7">
        <v>769000</v>
      </c>
      <c r="J53" s="3" t="str">
        <v>Điều chỉnh giá</v>
      </c>
      <c r="K53" s="4">
        <f>G53-F53</f>
      </c>
      <c r="L53" s="4">
        <v>244</v>
      </c>
      <c r="M53" s="4">
        <v>1148</v>
      </c>
      <c r="N53" s="4" t="str" xml:space="preserve">
        <v>+10.000 VNĐ 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" t="str">
        <v>11 PKT</v>
      </c>
      <c r="B54" s="5">
        <f>VLOOKUP(A54,'Sheet10'!$A:$C,3,0)</f>
      </c>
      <c r="C54" s="5" t="str">
        <v>Uốn định hình nếp tóc cao cấp (K-Perm Collection)</v>
      </c>
      <c r="D54" s="5">
        <f>VLOOKUP(C54,'Sheet7'!$B:$C,2,0)</f>
      </c>
      <c r="E54" s="5"/>
      <c r="F54" s="6">
        <v>478000</v>
      </c>
      <c r="G54" s="8">
        <v>529000</v>
      </c>
      <c r="H54" s="7">
        <v>539000</v>
      </c>
      <c r="I54" s="7">
        <v>539000</v>
      </c>
      <c r="J54" s="3" t="str">
        <v>Điều chỉnh giá</v>
      </c>
      <c r="K54" s="4">
        <f>G54-F54</f>
      </c>
      <c r="L54" s="4">
        <v>244</v>
      </c>
      <c r="M54" s="4">
        <v>952</v>
      </c>
      <c r="N54" s="4" t="str" xml:space="preserve">
        <v>+10.000 VNĐ 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" t="str">
        <v>113 THD AG</v>
      </c>
      <c r="B55" s="5">
        <f>VLOOKUP(A55,'Sheet10'!$A:$C,3,0)</f>
      </c>
      <c r="C55" s="5" t="str">
        <v>(2022T) ATS Control Buffer - Khử mùi tạo thơm cho tóc uốn nhuộm 40k</v>
      </c>
      <c r="D55" s="5">
        <v>610</v>
      </c>
      <c r="E55" s="5"/>
      <c r="F55" s="6">
        <v>40000</v>
      </c>
      <c r="G55" s="7">
        <v>40000</v>
      </c>
      <c r="H55" s="7">
        <v>40000</v>
      </c>
      <c r="I55" s="7">
        <v>40000</v>
      </c>
      <c r="J55" s="9" t="str">
        <v>Giá không đổi</v>
      </c>
      <c r="K55" s="4">
        <f>G55-F55</f>
      </c>
      <c r="L55" s="4">
        <v>72</v>
      </c>
      <c r="M55" s="4">
        <v>610</v>
      </c>
      <c r="N55" s="4" t="str">
        <v>Không đổi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" t="str">
        <v>113 THD AG</v>
      </c>
      <c r="B56" s="5">
        <f>VLOOKUP(A56,'Sheet10'!$A:$C,3,0)</f>
      </c>
      <c r="C56" s="5" t="str">
        <v>(NEW) Nhuộm màu thời trang Milano</v>
      </c>
      <c r="D56" s="5">
        <v>960</v>
      </c>
      <c r="E56" s="5">
        <f>A56&amp;D56</f>
      </c>
      <c r="F56" s="6">
        <v>332000</v>
      </c>
      <c r="G56" s="8">
        <v>346000</v>
      </c>
      <c r="H56" s="8">
        <v>346000</v>
      </c>
      <c r="I56" s="8">
        <v>346000</v>
      </c>
      <c r="J56" s="3" t="str">
        <v>Điều chỉnh giá</v>
      </c>
      <c r="K56" s="4">
        <f>G56-F56</f>
      </c>
      <c r="L56" s="4">
        <v>72</v>
      </c>
      <c r="M56" s="4">
        <v>960</v>
      </c>
      <c r="N56" s="4" t="str">
        <v>Không đổi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5" t="str">
        <v>113 THD AG</v>
      </c>
      <c r="B57" s="5">
        <f>VLOOKUP(A57,'Sheet10'!$A:$C,3,0)</f>
      </c>
      <c r="C57" s="5" t="str">
        <v>(NEW) Nhuộm phủ bạc tiêu chuẩn 199K</v>
      </c>
      <c r="D57" s="5">
        <v>967</v>
      </c>
      <c r="E57" s="5"/>
      <c r="F57" s="6">
        <v>199000</v>
      </c>
      <c r="G57" s="7">
        <v>199000</v>
      </c>
      <c r="H57" s="7">
        <v>199000</v>
      </c>
      <c r="I57" s="7">
        <v>199000</v>
      </c>
      <c r="J57" s="9" t="str">
        <v>Giá không đổi</v>
      </c>
      <c r="K57" s="4">
        <f>G57-F57</f>
      </c>
      <c r="L57" s="4">
        <v>72</v>
      </c>
      <c r="M57" s="4">
        <v>967</v>
      </c>
      <c r="N57" s="4" t="str">
        <v>Không đổi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 t="str">
        <v>113 THD AG</v>
      </c>
      <c r="B58" s="5">
        <f>VLOOKUP(A58,'Sheet10'!$A:$C,3,0)</f>
      </c>
      <c r="C58" s="5" t="str">
        <v>(NEW) Uốn/Duỗi/Định hình full đầu tạo form vào nếp tự nhiên</v>
      </c>
      <c r="D58" s="5">
        <f>VLOOKUP(C58,'Sheet7'!$B:$C,2,0)</f>
      </c>
      <c r="E58" s="5">
        <f>A58&amp;D58</f>
      </c>
      <c r="F58" s="6">
        <v>386000</v>
      </c>
      <c r="G58" s="7">
        <v>386000</v>
      </c>
      <c r="H58" s="7">
        <v>396000</v>
      </c>
      <c r="I58" s="7">
        <v>396000</v>
      </c>
      <c r="J58" s="9" t="str">
        <v>Giá không đổi</v>
      </c>
      <c r="K58" s="4">
        <f>G58-F58</f>
      </c>
      <c r="L58" s="4">
        <v>72</v>
      </c>
      <c r="M58" s="4">
        <v>1009</v>
      </c>
      <c r="N58" s="4" t="str" xml:space="preserve">
        <v>+10.000 VNĐ 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5" t="str">
        <v>113 THD AG</v>
      </c>
      <c r="B59" s="5">
        <f>VLOOKUP(A59,'Sheet10'!$A:$C,3,0)</f>
      </c>
      <c r="C59" s="5" t="str">
        <v>[DV] Nhuộm đen phủ bạc R&amp;B thảo dược</v>
      </c>
      <c r="D59" s="5">
        <v>912</v>
      </c>
      <c r="E59" s="5"/>
      <c r="F59" s="6">
        <v>289000</v>
      </c>
      <c r="G59" s="7">
        <v>289000</v>
      </c>
      <c r="H59" s="7">
        <v>289000</v>
      </c>
      <c r="I59" s="7">
        <v>289000</v>
      </c>
      <c r="J59" s="9" t="str">
        <v>Giá không đổi</v>
      </c>
      <c r="K59" s="4">
        <f>G59-F59</f>
      </c>
      <c r="L59" s="4">
        <v>72</v>
      </c>
      <c r="M59" s="4">
        <v>912</v>
      </c>
      <c r="N59" s="4" t="str">
        <v>Không đổi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" t="str">
        <v>113 THD AG</v>
      </c>
      <c r="B60" s="5">
        <f>VLOOKUP(A60,'Sheet10'!$A:$C,3,0)</f>
      </c>
      <c r="C60" s="5" t="str">
        <v>[DV] Tẩy tóc bật tông Ý (1 lần)</v>
      </c>
      <c r="D60" s="5">
        <v>915</v>
      </c>
      <c r="E60" s="5"/>
      <c r="F60" s="6">
        <v>252000</v>
      </c>
      <c r="G60" s="7">
        <v>252000</v>
      </c>
      <c r="H60" s="7">
        <v>252000</v>
      </c>
      <c r="I60" s="7">
        <v>252000</v>
      </c>
      <c r="J60" s="9" t="str">
        <v>Giá không đổi</v>
      </c>
      <c r="K60" s="4">
        <f>G60-F60</f>
      </c>
      <c r="L60" s="4">
        <v>72</v>
      </c>
      <c r="M60" s="4">
        <v>915</v>
      </c>
      <c r="N60" s="4" t="str">
        <v>Không đổi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" t="str">
        <v>113 THD AG</v>
      </c>
      <c r="B61" s="5">
        <f>VLOOKUP(A61,'Sheet10'!$A:$C,3,0)</f>
      </c>
      <c r="C61" s="5" t="str">
        <v>[DV] Tẩy tóc bật tông Ý (2 lần) 500k</v>
      </c>
      <c r="D61" s="5">
        <v>916</v>
      </c>
      <c r="E61" s="5"/>
      <c r="F61" s="6">
        <v>500000</v>
      </c>
      <c r="G61" s="7">
        <v>500000</v>
      </c>
      <c r="H61" s="7">
        <v>500000</v>
      </c>
      <c r="I61" s="7">
        <v>500000</v>
      </c>
      <c r="J61" s="9" t="str">
        <v>Giá không đổi</v>
      </c>
      <c r="K61" s="4">
        <f>G61-F61</f>
      </c>
      <c r="L61" s="4">
        <v>72</v>
      </c>
      <c r="M61" s="4">
        <v>916</v>
      </c>
      <c r="N61" s="4" t="str">
        <v>Không đổi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" t="str">
        <v>113 THD AG</v>
      </c>
      <c r="B62" s="5">
        <f>VLOOKUP(A62,'Sheet10'!$A:$C,3,0)</f>
      </c>
      <c r="C62" s="5" t="str">
        <v>[DV] Uốn Texture con sâu/Uốn Ruffled</v>
      </c>
      <c r="D62" s="5">
        <f>VLOOKUP(C62,'Sheet7'!$B:$C,2,0)</f>
      </c>
      <c r="E62" s="5"/>
      <c r="F62" s="6">
        <v>499000</v>
      </c>
      <c r="G62" s="8">
        <v>520000</v>
      </c>
      <c r="H62" s="7">
        <v>530000</v>
      </c>
      <c r="I62" s="7">
        <v>530000</v>
      </c>
      <c r="J62" s="3" t="str">
        <v>Điều chỉnh giá</v>
      </c>
      <c r="K62" s="4">
        <f>G62-F62</f>
      </c>
      <c r="L62" s="4">
        <v>72</v>
      </c>
      <c r="M62" s="4">
        <v>674</v>
      </c>
      <c r="N62" s="4" t="str" xml:space="preserve">
        <v>+10.000 VNĐ 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5" t="str">
        <v>113 THD AG</v>
      </c>
      <c r="B63" s="5">
        <f>VLOOKUP(A63,'Sheet10'!$A:$C,3,0)</f>
      </c>
      <c r="C63" s="5" t="str">
        <v>[DV] Ép side hai bên</v>
      </c>
      <c r="D63" s="5">
        <f>VLOOKUP(C63,'Sheet7'!$B:$C,2,0)</f>
      </c>
      <c r="E63" s="5"/>
      <c r="F63" s="6">
        <v>189000</v>
      </c>
      <c r="G63" s="8">
        <v>198000</v>
      </c>
      <c r="H63" s="7">
        <v>208000</v>
      </c>
      <c r="I63" s="7">
        <v>208000</v>
      </c>
      <c r="J63" s="3" t="str">
        <v>Điều chỉnh giá</v>
      </c>
      <c r="K63" s="4">
        <f>G63-F63</f>
      </c>
      <c r="L63" s="4">
        <v>72</v>
      </c>
      <c r="M63" s="4">
        <v>902</v>
      </c>
      <c r="N63" s="4" t="str" xml:space="preserve">
        <v>+10.000 VNĐ 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" t="str">
        <v>113 THD AG</v>
      </c>
      <c r="B64" s="5">
        <f>VLOOKUP(A64,'Sheet10'!$A:$C,3,0)</f>
      </c>
      <c r="C64" s="5" t="str">
        <v>NHUỘM THIẾT KẾ PHỤC HỒI CHUYÊN SÂU LIPID BOND 2025</v>
      </c>
      <c r="D64" s="5">
        <v>1149</v>
      </c>
      <c r="E64" s="5"/>
      <c r="F64" s="6">
        <v>689000</v>
      </c>
      <c r="G64" s="8">
        <v>719000</v>
      </c>
      <c r="H64" s="8">
        <v>719000</v>
      </c>
      <c r="I64" s="8">
        <v>719000</v>
      </c>
      <c r="J64" s="3" t="str">
        <v>Điều chỉnh giá</v>
      </c>
      <c r="K64" s="4">
        <f>G64-F64</f>
      </c>
      <c r="L64" s="4">
        <v>72</v>
      </c>
      <c r="M64" s="4">
        <v>1149</v>
      </c>
      <c r="N64" s="4" t="str">
        <v>Không đổi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" t="str">
        <v>113 THD AG</v>
      </c>
      <c r="B65" s="5">
        <f>VLOOKUP(A65,'Sheet10'!$A:$C,3,0)</f>
      </c>
      <c r="C65" s="5" t="str">
        <v>Phục hồi trẻ hóa Lipid Bond</v>
      </c>
      <c r="D65" s="5">
        <v>1101</v>
      </c>
      <c r="E65" s="5"/>
      <c r="F65" s="6">
        <v>132000</v>
      </c>
      <c r="G65" s="8">
        <v>146000</v>
      </c>
      <c r="H65" s="8">
        <v>146000</v>
      </c>
      <c r="I65" s="8">
        <v>146000</v>
      </c>
      <c r="J65" s="3" t="str">
        <v>Điều chỉnh giá</v>
      </c>
      <c r="K65" s="4">
        <f>G65-F65</f>
      </c>
      <c r="L65" s="4">
        <v>72</v>
      </c>
      <c r="M65" s="4">
        <v>1101</v>
      </c>
      <c r="N65" s="4" t="str">
        <v>Không đổi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 t="str">
        <v>113 THD AG</v>
      </c>
      <c r="B66" s="5">
        <f>VLOOKUP(A66,'Sheet10'!$A:$C,3,0)</f>
      </c>
      <c r="C66" s="5" t="str">
        <v>UỐN THIẾT KẾ PHỤC HỒI CHUYÊN SÂU LIPID BOND 2025</v>
      </c>
      <c r="D66" s="5">
        <f>VLOOKUP(C66,'Sheet7'!$B:$C,2,0)</f>
      </c>
      <c r="E66" s="5"/>
      <c r="F66" s="6">
        <v>689000</v>
      </c>
      <c r="G66" s="7">
        <v>689000</v>
      </c>
      <c r="H66" s="7">
        <v>699000</v>
      </c>
      <c r="I66" s="7">
        <v>699000</v>
      </c>
      <c r="J66" s="9" t="str">
        <v>Giá không đổi</v>
      </c>
      <c r="K66" s="4">
        <f>G66-F66</f>
      </c>
      <c r="L66" s="4">
        <v>72</v>
      </c>
      <c r="M66" s="4">
        <v>1148</v>
      </c>
      <c r="N66" s="4" t="str" xml:space="preserve">
        <v>+10.000 VNĐ 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" t="str">
        <v>113 THD AG</v>
      </c>
      <c r="B67" s="5">
        <f>VLOOKUP(A67,'Sheet10'!$A:$C,3,0)</f>
      </c>
      <c r="C67" s="5" t="str">
        <v>Uốn định hình nếp tóc cao cấp (K-Perm Collection)</v>
      </c>
      <c r="D67" s="5">
        <f>VLOOKUP(C67,'Sheet7'!$B:$C,2,0)</f>
      </c>
      <c r="E67" s="5"/>
      <c r="F67" s="6">
        <v>478000</v>
      </c>
      <c r="G67" s="7">
        <v>478000</v>
      </c>
      <c r="H67" s="7">
        <v>488000</v>
      </c>
      <c r="I67" s="7">
        <v>488000</v>
      </c>
      <c r="J67" s="9" t="str">
        <v>Giá không đổi</v>
      </c>
      <c r="K67" s="4">
        <f>G67-F67</f>
      </c>
      <c r="L67" s="4">
        <v>72</v>
      </c>
      <c r="M67" s="4">
        <v>952</v>
      </c>
      <c r="N67" s="4" t="str" xml:space="preserve">
        <v>+10.000 VNĐ 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" t="str">
        <v>1146 KVC</v>
      </c>
      <c r="B68" s="5">
        <f>VLOOKUP(A68,'Sheet10'!$A:$C,3,0)</f>
      </c>
      <c r="C68" s="5" t="str">
        <v>(2022T) ATS Control Buffer - Khử mùi tạo thơm cho tóc uốn nhuộm 40k</v>
      </c>
      <c r="D68" s="5">
        <v>610</v>
      </c>
      <c r="E68" s="5"/>
      <c r="F68" s="6">
        <v>40000</v>
      </c>
      <c r="G68" s="7">
        <v>40000</v>
      </c>
      <c r="H68" s="7">
        <v>40000</v>
      </c>
      <c r="I68" s="7">
        <v>40000</v>
      </c>
      <c r="J68" s="9" t="str">
        <v>Giá không đổi</v>
      </c>
      <c r="K68" s="4">
        <f>G68-F68</f>
      </c>
      <c r="L68" s="4">
        <v>249</v>
      </c>
      <c r="M68" s="4">
        <v>610</v>
      </c>
      <c r="N68" s="4" t="str">
        <v>Không đổi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5" t="str">
        <v>1146 KVC</v>
      </c>
      <c r="B69" s="5">
        <f>VLOOKUP(A69,'Sheet10'!$A:$C,3,0)</f>
      </c>
      <c r="C69" s="5" t="str">
        <v>(NEW) Nhuộm màu thời trang Milano</v>
      </c>
      <c r="D69" s="5">
        <v>960</v>
      </c>
      <c r="E69" s="5">
        <f>A69&amp;D69</f>
      </c>
      <c r="F69" s="6">
        <v>332000</v>
      </c>
      <c r="G69" s="8">
        <v>346000</v>
      </c>
      <c r="H69" s="8">
        <v>346000</v>
      </c>
      <c r="I69" s="8">
        <v>346000</v>
      </c>
      <c r="J69" s="3" t="str">
        <v>Điều chỉnh giá</v>
      </c>
      <c r="K69" s="4">
        <f>G69-F69</f>
      </c>
      <c r="L69" s="4">
        <v>249</v>
      </c>
      <c r="M69" s="4">
        <v>960</v>
      </c>
      <c r="N69" s="4" t="str">
        <v>Không đổi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 t="str">
        <v>1146 KVC</v>
      </c>
      <c r="B70" s="5">
        <f>VLOOKUP(A70,'Sheet10'!$A:$C,3,0)</f>
      </c>
      <c r="C70" s="5" t="str">
        <v>(NEW) Nhuộm phủ bạc tiêu chuẩn 199K</v>
      </c>
      <c r="D70" s="5">
        <v>967</v>
      </c>
      <c r="E70" s="5"/>
      <c r="F70" s="6">
        <v>199000</v>
      </c>
      <c r="G70" s="7">
        <v>199000</v>
      </c>
      <c r="H70" s="7">
        <v>199000</v>
      </c>
      <c r="I70" s="7">
        <v>199000</v>
      </c>
      <c r="J70" s="9" t="str">
        <v>Giá không đổi</v>
      </c>
      <c r="K70" s="4">
        <f>G70-F70</f>
      </c>
      <c r="L70" s="4">
        <v>249</v>
      </c>
      <c r="M70" s="4">
        <v>967</v>
      </c>
      <c r="N70" s="4" t="str">
        <v>Không đổi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 t="str">
        <v>1146 KVC</v>
      </c>
      <c r="B71" s="5">
        <f>VLOOKUP(A71,'Sheet10'!$A:$C,3,0)</f>
      </c>
      <c r="C71" s="5" t="str">
        <v>(NEW) Uốn/Duỗi/Định hình full đầu tạo form vào nếp tự nhiên</v>
      </c>
      <c r="D71" s="5">
        <f>VLOOKUP(C71,'Sheet7'!$B:$C,2,0)</f>
      </c>
      <c r="E71" s="5">
        <f>A71&amp;D71</f>
      </c>
      <c r="F71" s="6">
        <v>386000</v>
      </c>
      <c r="G71" s="7">
        <v>386000</v>
      </c>
      <c r="H71" s="7">
        <v>396000</v>
      </c>
      <c r="I71" s="7">
        <v>396000</v>
      </c>
      <c r="J71" s="9" t="str">
        <v>Giá không đổi</v>
      </c>
      <c r="K71" s="4">
        <f>G71-F71</f>
      </c>
      <c r="L71" s="4">
        <v>249</v>
      </c>
      <c r="M71" s="4">
        <v>1009</v>
      </c>
      <c r="N71" s="4" t="str" xml:space="preserve">
        <v>+10.000 VNĐ 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 t="str">
        <v>1146 KVC</v>
      </c>
      <c r="B72" s="5">
        <f>VLOOKUP(A72,'Sheet10'!$A:$C,3,0)</f>
      </c>
      <c r="C72" s="5" t="str">
        <v>[DV] Nhuộm đen phủ bạc R&amp;B thảo dược</v>
      </c>
      <c r="D72" s="5">
        <v>912</v>
      </c>
      <c r="E72" s="5"/>
      <c r="F72" s="6">
        <v>289000</v>
      </c>
      <c r="G72" s="7">
        <v>289000</v>
      </c>
      <c r="H72" s="7">
        <v>289000</v>
      </c>
      <c r="I72" s="7">
        <v>289000</v>
      </c>
      <c r="J72" s="9" t="str">
        <v>Giá không đổi</v>
      </c>
      <c r="K72" s="4">
        <f>G72-F72</f>
      </c>
      <c r="L72" s="4">
        <v>249</v>
      </c>
      <c r="M72" s="4">
        <v>912</v>
      </c>
      <c r="N72" s="4" t="str">
        <v>Không đổi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 t="str">
        <v>1146 KVC</v>
      </c>
      <c r="B73" s="5">
        <f>VLOOKUP(A73,'Sheet10'!$A:$C,3,0)</f>
      </c>
      <c r="C73" s="5" t="str">
        <v>[DV] Tẩy tóc bật tông Ý (1 lần)</v>
      </c>
      <c r="D73" s="5">
        <v>915</v>
      </c>
      <c r="E73" s="5"/>
      <c r="F73" s="6">
        <v>252000</v>
      </c>
      <c r="G73" s="7">
        <v>252000</v>
      </c>
      <c r="H73" s="7">
        <v>252000</v>
      </c>
      <c r="I73" s="7">
        <v>252000</v>
      </c>
      <c r="J73" s="9" t="str">
        <v>Giá không đổi</v>
      </c>
      <c r="K73" s="4">
        <f>G73-F73</f>
      </c>
      <c r="L73" s="4">
        <v>249</v>
      </c>
      <c r="M73" s="4">
        <v>915</v>
      </c>
      <c r="N73" s="4" t="str">
        <v>Không đổi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5" t="str">
        <v>1146 KVC</v>
      </c>
      <c r="B74" s="5">
        <f>VLOOKUP(A74,'Sheet10'!$A:$C,3,0)</f>
      </c>
      <c r="C74" s="5" t="str">
        <v>[DV] Tẩy tóc bật tông Ý (2 lần) 500k</v>
      </c>
      <c r="D74" s="5">
        <v>916</v>
      </c>
      <c r="E74" s="5"/>
      <c r="F74" s="6">
        <v>500000</v>
      </c>
      <c r="G74" s="7">
        <v>500000</v>
      </c>
      <c r="H74" s="7">
        <v>500000</v>
      </c>
      <c r="I74" s="7">
        <v>500000</v>
      </c>
      <c r="J74" s="9" t="str">
        <v>Giá không đổi</v>
      </c>
      <c r="K74" s="4">
        <f>G74-F74</f>
      </c>
      <c r="L74" s="4">
        <v>249</v>
      </c>
      <c r="M74" s="4">
        <v>916</v>
      </c>
      <c r="N74" s="4" t="str">
        <v>Không đổi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5" t="str">
        <v>1146 KVC</v>
      </c>
      <c r="B75" s="5">
        <f>VLOOKUP(A75,'Sheet10'!$A:$C,3,0)</f>
      </c>
      <c r="C75" s="5" t="str">
        <v>[DV] Uốn Texture con sâu/Uốn Ruffled</v>
      </c>
      <c r="D75" s="5">
        <f>VLOOKUP(C75,'Sheet7'!$B:$C,2,0)</f>
      </c>
      <c r="E75" s="5"/>
      <c r="F75" s="6">
        <v>499000</v>
      </c>
      <c r="G75" s="8">
        <v>520000</v>
      </c>
      <c r="H75" s="7">
        <v>530000</v>
      </c>
      <c r="I75" s="7">
        <v>530000</v>
      </c>
      <c r="J75" s="3" t="str">
        <v>Điều chỉnh giá</v>
      </c>
      <c r="K75" s="4">
        <f>G75-F75</f>
      </c>
      <c r="L75" s="4">
        <v>249</v>
      </c>
      <c r="M75" s="4">
        <v>674</v>
      </c>
      <c r="N75" s="4" t="str" xml:space="preserve">
        <v>+10.000 VNĐ 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5" t="str">
        <v>1146 KVC</v>
      </c>
      <c r="B76" s="5">
        <f>VLOOKUP(A76,'Sheet10'!$A:$C,3,0)</f>
      </c>
      <c r="C76" s="5" t="str">
        <v>[DV] Ép side hai bên</v>
      </c>
      <c r="D76" s="5">
        <f>VLOOKUP(C76,'Sheet7'!$B:$C,2,0)</f>
      </c>
      <c r="E76" s="5"/>
      <c r="F76" s="6">
        <v>189000</v>
      </c>
      <c r="G76" s="8">
        <v>198000</v>
      </c>
      <c r="H76" s="7">
        <v>208000</v>
      </c>
      <c r="I76" s="7">
        <v>208000</v>
      </c>
      <c r="J76" s="3" t="str">
        <v>Điều chỉnh giá</v>
      </c>
      <c r="K76" s="4">
        <f>G76-F76</f>
      </c>
      <c r="L76" s="4">
        <v>249</v>
      </c>
      <c r="M76" s="4">
        <v>902</v>
      </c>
      <c r="N76" s="4" t="str" xml:space="preserve">
        <v>+10.000 VNĐ 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5" t="str">
        <v>1146 KVC</v>
      </c>
      <c r="B77" s="5">
        <f>VLOOKUP(A77,'Sheet10'!$A:$C,3,0)</f>
      </c>
      <c r="C77" s="5" t="str">
        <v>NHUỘM THIẾT KẾ PHỤC HỒI CHUYÊN SÂU LIPID BOND 2025</v>
      </c>
      <c r="D77" s="5">
        <v>1149</v>
      </c>
      <c r="E77" s="5"/>
      <c r="F77" s="6">
        <v>689000</v>
      </c>
      <c r="G77" s="8">
        <v>719000</v>
      </c>
      <c r="H77" s="8">
        <v>719000</v>
      </c>
      <c r="I77" s="8">
        <v>719000</v>
      </c>
      <c r="J77" s="3" t="str">
        <v>Điều chỉnh giá</v>
      </c>
      <c r="K77" s="4">
        <f>G77-F77</f>
      </c>
      <c r="L77" s="4">
        <v>249</v>
      </c>
      <c r="M77" s="4">
        <v>1149</v>
      </c>
      <c r="N77" s="4" t="str">
        <v>Không đổi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5" t="str">
        <v>1146 KVC</v>
      </c>
      <c r="B78" s="5">
        <f>VLOOKUP(A78,'Sheet10'!$A:$C,3,0)</f>
      </c>
      <c r="C78" s="5" t="str">
        <v>Phục hồi trẻ hóa Lipid Bond</v>
      </c>
      <c r="D78" s="5">
        <v>1101</v>
      </c>
      <c r="E78" s="5"/>
      <c r="F78" s="6">
        <v>132000</v>
      </c>
      <c r="G78" s="8">
        <v>146000</v>
      </c>
      <c r="H78" s="8">
        <v>146000</v>
      </c>
      <c r="I78" s="8">
        <v>146000</v>
      </c>
      <c r="J78" s="3" t="str">
        <v>Điều chỉnh giá</v>
      </c>
      <c r="K78" s="4">
        <f>G78-F78</f>
      </c>
      <c r="L78" s="4">
        <v>249</v>
      </c>
      <c r="M78" s="4">
        <v>1101</v>
      </c>
      <c r="N78" s="4" t="str">
        <v>Không đổi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5" t="str">
        <v>1146 KVC</v>
      </c>
      <c r="B79" s="5">
        <f>VLOOKUP(A79,'Sheet10'!$A:$C,3,0)</f>
      </c>
      <c r="C79" s="5" t="str">
        <v>UỐN THIẾT KẾ PHỤC HỒI CHUYÊN SÂU LIPID BOND 2025</v>
      </c>
      <c r="D79" s="5">
        <f>VLOOKUP(C79,'Sheet7'!$B:$C,2,0)</f>
      </c>
      <c r="E79" s="5"/>
      <c r="F79" s="6">
        <v>689000</v>
      </c>
      <c r="G79" s="7">
        <v>689000</v>
      </c>
      <c r="H79" s="7">
        <v>699000</v>
      </c>
      <c r="I79" s="7">
        <v>699000</v>
      </c>
      <c r="J79" s="9" t="str">
        <v>Giá không đổi</v>
      </c>
      <c r="K79" s="4">
        <f>G79-F79</f>
      </c>
      <c r="L79" s="4">
        <v>249</v>
      </c>
      <c r="M79" s="4">
        <v>1148</v>
      </c>
      <c r="N79" s="4" t="str" xml:space="preserve">
        <v>+10.000 VNĐ 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5" t="str">
        <v>1146 KVC</v>
      </c>
      <c r="B80" s="5">
        <f>VLOOKUP(A80,'Sheet10'!$A:$C,3,0)</f>
      </c>
      <c r="C80" s="5" t="str">
        <v>Uốn định hình nếp tóc cao cấp (K-Perm Collection)</v>
      </c>
      <c r="D80" s="5">
        <f>VLOOKUP(C80,'Sheet7'!$B:$C,2,0)</f>
      </c>
      <c r="E80" s="5"/>
      <c r="F80" s="6">
        <v>478000</v>
      </c>
      <c r="G80" s="7">
        <v>478000</v>
      </c>
      <c r="H80" s="7">
        <v>488000</v>
      </c>
      <c r="I80" s="7">
        <v>488000</v>
      </c>
      <c r="J80" s="9" t="str">
        <v>Giá không đổi</v>
      </c>
      <c r="K80" s="4">
        <f>G80-F80</f>
      </c>
      <c r="L80" s="4">
        <v>249</v>
      </c>
      <c r="M80" s="4">
        <v>952</v>
      </c>
      <c r="N80" s="4" t="str" xml:space="preserve">
        <v>+10.000 VNĐ 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5" t="str">
        <v>116 TK</v>
      </c>
      <c r="B81" s="5">
        <f>VLOOKUP(A81,'Sheet10'!$A:$C,3,0)</f>
      </c>
      <c r="C81" s="5" t="str">
        <v>(2022T) ATS Control Buffer - Khử mùi tạo thơm cho tóc uốn nhuộm 40k</v>
      </c>
      <c r="D81" s="5">
        <v>610</v>
      </c>
      <c r="E81" s="5"/>
      <c r="F81" s="6">
        <v>40000</v>
      </c>
      <c r="G81" s="7">
        <v>40000</v>
      </c>
      <c r="H81" s="7">
        <v>40000</v>
      </c>
      <c r="I81" s="7">
        <v>40000</v>
      </c>
      <c r="J81" s="9" t="str">
        <v>Giá không đổi</v>
      </c>
      <c r="K81" s="4">
        <f>G81-F81</f>
      </c>
      <c r="L81" s="4">
        <v>187</v>
      </c>
      <c r="M81" s="4">
        <v>610</v>
      </c>
      <c r="N81" s="4" t="str">
        <v>Không đổi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" t="str">
        <v>116 TK</v>
      </c>
      <c r="B82" s="5">
        <f>VLOOKUP(A82,'Sheet10'!$A:$C,3,0)</f>
      </c>
      <c r="C82" s="5" t="str">
        <v>Phục hồi trẻ hóa Lipid Bond</v>
      </c>
      <c r="D82" s="5">
        <v>1101</v>
      </c>
      <c r="E82" s="5"/>
      <c r="F82" s="6">
        <v>132000</v>
      </c>
      <c r="G82" s="8">
        <v>146000</v>
      </c>
      <c r="H82" s="8">
        <v>146000</v>
      </c>
      <c r="I82" s="8">
        <v>146000</v>
      </c>
      <c r="J82" s="3" t="str">
        <v>Điều chỉnh giá</v>
      </c>
      <c r="K82" s="4">
        <f>G82-F82</f>
      </c>
      <c r="L82" s="4">
        <v>187</v>
      </c>
      <c r="M82" s="4">
        <v>1101</v>
      </c>
      <c r="N82" s="4" t="str">
        <v>Không đổi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" t="str">
        <v>116 TK</v>
      </c>
      <c r="B83" s="5">
        <f>VLOOKUP(A83,'Sheet10'!$A:$C,3,0)</f>
      </c>
      <c r="C83" s="5" t="str">
        <v>(2022T) ATS Control Buffer - Khử mùi tạo thơm cho tóc uốn nhuộm 40k</v>
      </c>
      <c r="D83" s="5">
        <v>610</v>
      </c>
      <c r="E83" s="5"/>
      <c r="F83" s="6">
        <v>40000</v>
      </c>
      <c r="G83" s="7">
        <v>40000</v>
      </c>
      <c r="H83" s="7">
        <v>40000</v>
      </c>
      <c r="I83" s="7">
        <v>40000</v>
      </c>
      <c r="J83" s="9" t="str">
        <v>Giá không đổi</v>
      </c>
      <c r="K83" s="4">
        <f>G83-F83</f>
      </c>
      <c r="L83" s="4">
        <v>187</v>
      </c>
      <c r="M83" s="4">
        <v>610</v>
      </c>
      <c r="N83" s="4" t="str">
        <v>Không đổi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" t="str">
        <v>116 TK</v>
      </c>
      <c r="B84" s="5">
        <f>VLOOKUP(A84,'Sheet10'!$A:$C,3,0)</f>
      </c>
      <c r="C84" s="5" t="str">
        <v>[DV] Uốn Texture con sâu/Uốn Ruffled</v>
      </c>
      <c r="D84" s="5">
        <f>VLOOKUP(C84,'Sheet7'!$B:$C,2,0)</f>
      </c>
      <c r="E84" s="5"/>
      <c r="F84" s="6">
        <v>499000</v>
      </c>
      <c r="G84" s="7">
        <v>499000</v>
      </c>
      <c r="H84" s="7">
        <v>509000</v>
      </c>
      <c r="I84" s="7">
        <v>509000</v>
      </c>
      <c r="J84" s="9" t="str">
        <v>Giá không đổi</v>
      </c>
      <c r="K84" s="4">
        <f>G84-F84</f>
      </c>
      <c r="L84" s="4">
        <v>187</v>
      </c>
      <c r="M84" s="4">
        <v>674</v>
      </c>
      <c r="N84" s="4" t="str" xml:space="preserve">
        <v>+10.000 VNĐ 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" t="str">
        <v>116 TK</v>
      </c>
      <c r="B85" s="5">
        <f>VLOOKUP(A85,'Sheet10'!$A:$C,3,0)</f>
      </c>
      <c r="C85" s="5" t="str">
        <v>[DV] Ép side hai bên</v>
      </c>
      <c r="D85" s="5">
        <f>VLOOKUP(C85,'Sheet7'!$B:$C,2,0)</f>
      </c>
      <c r="E85" s="5"/>
      <c r="F85" s="6">
        <v>189000</v>
      </c>
      <c r="G85" s="8">
        <v>199000</v>
      </c>
      <c r="H85" s="7">
        <v>209000</v>
      </c>
      <c r="I85" s="7">
        <v>209000</v>
      </c>
      <c r="J85" s="3" t="str">
        <v>Điều chỉnh giá</v>
      </c>
      <c r="K85" s="4">
        <f>G85-F85</f>
      </c>
      <c r="L85" s="4">
        <v>187</v>
      </c>
      <c r="M85" s="4">
        <v>902</v>
      </c>
      <c r="N85" s="4" t="str" xml:space="preserve">
        <v>+10.000 VNĐ 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" t="str">
        <v>116 TK</v>
      </c>
      <c r="B86" s="5">
        <f>VLOOKUP(A86,'Sheet10'!$A:$C,3,0)</f>
      </c>
      <c r="C86" s="5" t="str">
        <v>[DV] Nhuộm đen phủ bạc R&amp;B thảo dược</v>
      </c>
      <c r="D86" s="5">
        <v>912</v>
      </c>
      <c r="E86" s="5"/>
      <c r="F86" s="6">
        <v>289000</v>
      </c>
      <c r="G86" s="7">
        <v>289000</v>
      </c>
      <c r="H86" s="7">
        <v>289000</v>
      </c>
      <c r="I86" s="7">
        <v>289000</v>
      </c>
      <c r="J86" s="9" t="str">
        <v>Giá không đổi</v>
      </c>
      <c r="K86" s="4">
        <f>G86-F86</f>
      </c>
      <c r="L86" s="4">
        <v>187</v>
      </c>
      <c r="M86" s="4">
        <v>912</v>
      </c>
      <c r="N86" s="4" t="str">
        <v>Không đổi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5" t="str">
        <v>116 TK</v>
      </c>
      <c r="B87" s="5">
        <f>VLOOKUP(A87,'Sheet10'!$A:$C,3,0)</f>
      </c>
      <c r="C87" s="5" t="str">
        <v>[DV] Tẩy tóc bật tông Ý (1 lần)</v>
      </c>
      <c r="D87" s="5">
        <v>915</v>
      </c>
      <c r="E87" s="5"/>
      <c r="F87" s="6">
        <v>252000</v>
      </c>
      <c r="G87" s="7">
        <v>252000</v>
      </c>
      <c r="H87" s="7">
        <v>252000</v>
      </c>
      <c r="I87" s="7">
        <v>252000</v>
      </c>
      <c r="J87" s="9" t="str">
        <v>Giá không đổi</v>
      </c>
      <c r="K87" s="4">
        <f>G87-F87</f>
      </c>
      <c r="L87" s="4">
        <v>187</v>
      </c>
      <c r="M87" s="4">
        <v>915</v>
      </c>
      <c r="N87" s="4" t="str">
        <v>Không đổi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5" t="str">
        <v>116 TK</v>
      </c>
      <c r="B88" s="5">
        <f>VLOOKUP(A88,'Sheet10'!$A:$C,3,0)</f>
      </c>
      <c r="C88" s="5" t="str">
        <v>[DV] Tẩy tóc bật tông Ý (2 lần) 500k</v>
      </c>
      <c r="D88" s="5">
        <v>916</v>
      </c>
      <c r="E88" s="5"/>
      <c r="F88" s="6">
        <v>500000</v>
      </c>
      <c r="G88" s="7">
        <v>500000</v>
      </c>
      <c r="H88" s="7">
        <v>500000</v>
      </c>
      <c r="I88" s="7">
        <v>500000</v>
      </c>
      <c r="J88" s="9" t="str">
        <v>Giá không đổi</v>
      </c>
      <c r="K88" s="4">
        <f>G88-F88</f>
      </c>
      <c r="L88" s="4">
        <v>187</v>
      </c>
      <c r="M88" s="4">
        <v>916</v>
      </c>
      <c r="N88" s="4" t="str">
        <v>Không đổi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5" t="str">
        <v>116 TK</v>
      </c>
      <c r="B89" s="5">
        <f>VLOOKUP(A89,'Sheet10'!$A:$C,3,0)</f>
      </c>
      <c r="C89" s="5" t="str">
        <v>Uốn định hình nếp tóc cao cấp (K-Perm Collection)</v>
      </c>
      <c r="D89" s="5">
        <f>VLOOKUP(C89,'Sheet7'!$B:$C,2,0)</f>
      </c>
      <c r="E89" s="5"/>
      <c r="F89" s="6">
        <v>478000</v>
      </c>
      <c r="G89" s="7">
        <v>478000</v>
      </c>
      <c r="H89" s="7">
        <v>488000</v>
      </c>
      <c r="I89" s="7">
        <v>488000</v>
      </c>
      <c r="J89" s="9" t="str">
        <v>Giá không đổi</v>
      </c>
      <c r="K89" s="4">
        <f>G89-F89</f>
      </c>
      <c r="L89" s="4">
        <v>187</v>
      </c>
      <c r="M89" s="4">
        <v>952</v>
      </c>
      <c r="N89" s="4" t="str" xml:space="preserve">
        <v>+10.000 VNĐ 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5" t="str">
        <v>116 TK</v>
      </c>
      <c r="B90" s="5">
        <f>VLOOKUP(A90,'Sheet10'!$A:$C,3,0)</f>
      </c>
      <c r="C90" s="5" t="str">
        <v>(NEW) Nhuộm màu thời trang Milano</v>
      </c>
      <c r="D90" s="5">
        <v>960</v>
      </c>
      <c r="E90" s="5">
        <f>A90&amp;D90</f>
      </c>
      <c r="F90" s="6">
        <v>332000</v>
      </c>
      <c r="G90" s="7">
        <v>332000</v>
      </c>
      <c r="H90" s="7">
        <v>332000</v>
      </c>
      <c r="I90" s="7">
        <v>332000</v>
      </c>
      <c r="J90" s="9" t="str">
        <v>Giá không đổi</v>
      </c>
      <c r="K90" s="4">
        <f>G90-F90</f>
      </c>
      <c r="L90" s="4">
        <v>187</v>
      </c>
      <c r="M90" s="4">
        <v>960</v>
      </c>
      <c r="N90" s="4" t="str">
        <v>Không đổi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" t="str">
        <v>116 TK</v>
      </c>
      <c r="B91" s="5">
        <f>VLOOKUP(A91,'Sheet10'!$A:$C,3,0)</f>
      </c>
      <c r="C91" s="5" t="str">
        <v>(NEW) Nhuộm phủ bạc tiêu chuẩn 199K</v>
      </c>
      <c r="D91" s="5">
        <v>967</v>
      </c>
      <c r="E91" s="5"/>
      <c r="F91" s="6">
        <v>199000</v>
      </c>
      <c r="G91" s="8">
        <v>209000</v>
      </c>
      <c r="H91" s="8">
        <v>209000</v>
      </c>
      <c r="I91" s="8">
        <v>209000</v>
      </c>
      <c r="J91" s="3" t="str">
        <v>Điều chỉnh giá</v>
      </c>
      <c r="K91" s="4">
        <f>G91-F91</f>
      </c>
      <c r="L91" s="4">
        <v>187</v>
      </c>
      <c r="M91" s="4">
        <v>967</v>
      </c>
      <c r="N91" s="4" t="str">
        <v>Không đổi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" t="str">
        <v>116 TK</v>
      </c>
      <c r="B92" s="5">
        <f>VLOOKUP(A92,'Sheet10'!$A:$C,3,0)</f>
      </c>
      <c r="C92" s="5" t="str">
        <v>(NEW) Uốn/Duỗi/Định hình full đầu tạo form vào nếp tự nhiên</v>
      </c>
      <c r="D92" s="5">
        <f>VLOOKUP(C92,'Sheet7'!$B:$C,2,0)</f>
      </c>
      <c r="E92" s="5">
        <f>A92&amp;D92</f>
      </c>
      <c r="F92" s="6">
        <v>386000</v>
      </c>
      <c r="G92" s="7">
        <v>386000</v>
      </c>
      <c r="H92" s="7">
        <v>396000</v>
      </c>
      <c r="I92" s="7">
        <v>396000</v>
      </c>
      <c r="J92" s="9" t="str">
        <v>Giá không đổi</v>
      </c>
      <c r="K92" s="4">
        <f>G92-F92</f>
      </c>
      <c r="L92" s="4">
        <v>187</v>
      </c>
      <c r="M92" s="4">
        <v>1009</v>
      </c>
      <c r="N92" s="4" t="str" xml:space="preserve">
        <v>+10.000 VNĐ 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5" t="str">
        <v>116 TK</v>
      </c>
      <c r="B93" s="5">
        <f>VLOOKUP(A93,'Sheet10'!$A:$C,3,0)</f>
      </c>
      <c r="C93" s="5" t="str">
        <v>Phục hồi trẻ hóa Lipid Bond</v>
      </c>
      <c r="D93" s="5">
        <v>1101</v>
      </c>
      <c r="E93" s="5"/>
      <c r="F93" s="6">
        <v>132000</v>
      </c>
      <c r="G93" s="8">
        <v>146000</v>
      </c>
      <c r="H93" s="8">
        <v>146000</v>
      </c>
      <c r="I93" s="8">
        <v>146000</v>
      </c>
      <c r="J93" s="3" t="str">
        <v>Điều chỉnh giá</v>
      </c>
      <c r="K93" s="4">
        <f>G93-F93</f>
      </c>
      <c r="L93" s="4">
        <v>187</v>
      </c>
      <c r="M93" s="4">
        <v>1101</v>
      </c>
      <c r="N93" s="4" t="str">
        <v>Không đổi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5" t="str">
        <v>116 TK</v>
      </c>
      <c r="B94" s="5">
        <f>VLOOKUP(A94,'Sheet10'!$A:$C,3,0)</f>
      </c>
      <c r="C94" s="5" t="str">
        <v>UỐN THIẾT KẾ PHỤC HỒI CHUYÊN SÂU LIPID BOND 2025</v>
      </c>
      <c r="D94" s="5">
        <f>VLOOKUP(C94,'Sheet7'!$B:$C,2,0)</f>
      </c>
      <c r="E94" s="5"/>
      <c r="F94" s="6">
        <v>689000</v>
      </c>
      <c r="G94" s="7">
        <v>689000</v>
      </c>
      <c r="H94" s="7">
        <v>699000</v>
      </c>
      <c r="I94" s="7">
        <v>699000</v>
      </c>
      <c r="J94" s="9" t="str">
        <v>Giá không đổi</v>
      </c>
      <c r="K94" s="4">
        <f>G94-F94</f>
      </c>
      <c r="L94" s="4">
        <v>187</v>
      </c>
      <c r="M94" s="4">
        <v>1148</v>
      </c>
      <c r="N94" s="4" t="str" xml:space="preserve">
        <v>+10.000 VNĐ 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" t="str">
        <v>116 TK</v>
      </c>
      <c r="B95" s="5">
        <f>VLOOKUP(A95,'Sheet10'!$A:$C,3,0)</f>
      </c>
      <c r="C95" s="5" t="str">
        <v>NHUỘM THIẾT KẾ PHỤC HỒI CHUYÊN SÂU LIPID BOND 2025</v>
      </c>
      <c r="D95" s="5">
        <v>1149</v>
      </c>
      <c r="E95" s="5"/>
      <c r="F95" s="6">
        <v>689000</v>
      </c>
      <c r="G95" s="8">
        <v>729000</v>
      </c>
      <c r="H95" s="8">
        <v>729000</v>
      </c>
      <c r="I95" s="8">
        <v>729000</v>
      </c>
      <c r="J95" s="3" t="str">
        <v>Điều chỉnh giá</v>
      </c>
      <c r="K95" s="4">
        <f>G95-F95</f>
      </c>
      <c r="L95" s="4">
        <v>187</v>
      </c>
      <c r="M95" s="4">
        <v>1149</v>
      </c>
      <c r="N95" s="4" t="str">
        <v>Không đổi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 t="str">
        <v>1180 QT</v>
      </c>
      <c r="B96" s="5">
        <f>VLOOKUP(A96,'Sheet10'!$A:$C,3,0)</f>
      </c>
      <c r="C96" s="5" t="str">
        <v>(2022T) ATS Control Buffer - Khử mùi tạo thơm cho tóc uốn nhuộm 40k</v>
      </c>
      <c r="D96" s="5">
        <v>610</v>
      </c>
      <c r="E96" s="5"/>
      <c r="F96" s="6">
        <v>40000</v>
      </c>
      <c r="G96" s="7">
        <v>40000</v>
      </c>
      <c r="H96" s="7">
        <v>40000</v>
      </c>
      <c r="I96" s="7">
        <v>40000</v>
      </c>
      <c r="J96" s="9" t="str">
        <v>Giá không đổi</v>
      </c>
      <c r="K96" s="4">
        <f>G96-F96</f>
      </c>
      <c r="L96" s="4">
        <v>61</v>
      </c>
      <c r="M96" s="4">
        <v>610</v>
      </c>
      <c r="N96" s="4" t="str">
        <v>Không đổi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5" t="str">
        <v>1180 QT</v>
      </c>
      <c r="B97" s="5">
        <f>VLOOKUP(A97,'Sheet10'!$A:$C,3,0)</f>
      </c>
      <c r="C97" s="5" t="str">
        <v>(NEW) Nhuộm màu thời trang Milano</v>
      </c>
      <c r="D97" s="5">
        <v>960</v>
      </c>
      <c r="E97" s="5">
        <f>A97&amp;D97</f>
      </c>
      <c r="F97" s="6">
        <v>332000</v>
      </c>
      <c r="G97" s="8">
        <v>346000</v>
      </c>
      <c r="H97" s="8">
        <v>346000</v>
      </c>
      <c r="I97" s="8">
        <v>346000</v>
      </c>
      <c r="J97" s="3" t="str">
        <v>Điều chỉnh giá</v>
      </c>
      <c r="K97" s="4">
        <f>G97-F97</f>
      </c>
      <c r="L97" s="4">
        <v>61</v>
      </c>
      <c r="M97" s="4">
        <v>960</v>
      </c>
      <c r="N97" s="4" t="str">
        <v>Không đổi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5" t="str">
        <v>1180 QT</v>
      </c>
      <c r="B98" s="5">
        <f>VLOOKUP(A98,'Sheet10'!$A:$C,3,0)</f>
      </c>
      <c r="C98" s="5" t="str">
        <v>(NEW) Nhuộm phủ bạc tiêu chuẩn 199K</v>
      </c>
      <c r="D98" s="5">
        <v>967</v>
      </c>
      <c r="E98" s="5"/>
      <c r="F98" s="6">
        <v>199000</v>
      </c>
      <c r="G98" s="7">
        <v>199000</v>
      </c>
      <c r="H98" s="7">
        <v>199000</v>
      </c>
      <c r="I98" s="7">
        <v>199000</v>
      </c>
      <c r="J98" s="9" t="str">
        <v>Giá không đổi</v>
      </c>
      <c r="K98" s="4">
        <f>G98-F98</f>
      </c>
      <c r="L98" s="4">
        <v>61</v>
      </c>
      <c r="M98" s="4">
        <v>967</v>
      </c>
      <c r="N98" s="4" t="str">
        <v>Không đổi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5" t="str">
        <v>1180 QT</v>
      </c>
      <c r="B99" s="5">
        <f>VLOOKUP(A99,'Sheet10'!$A:$C,3,0)</f>
      </c>
      <c r="C99" s="5" t="str">
        <v>(NEW) Uốn/Duỗi/Định hình full đầu tạo form vào nếp tự nhiên</v>
      </c>
      <c r="D99" s="5">
        <f>VLOOKUP(C99,'Sheet7'!$B:$C,2,0)</f>
      </c>
      <c r="E99" s="5">
        <f>A99&amp;D99</f>
      </c>
      <c r="F99" s="6">
        <v>386000</v>
      </c>
      <c r="G99" s="7">
        <v>386000</v>
      </c>
      <c r="H99" s="7">
        <v>396000</v>
      </c>
      <c r="I99" s="7">
        <v>396000</v>
      </c>
      <c r="J99" s="9" t="str">
        <v>Giá không đổi</v>
      </c>
      <c r="K99" s="4">
        <f>G99-F99</f>
      </c>
      <c r="L99" s="4">
        <v>61</v>
      </c>
      <c r="M99" s="4">
        <v>1009</v>
      </c>
      <c r="N99" s="4" t="str" xml:space="preserve">
        <v>+10.000 VNĐ 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5" t="str">
        <v>1180 QT</v>
      </c>
      <c r="B100" s="5">
        <f>VLOOKUP(A100,'Sheet10'!$A:$C,3,0)</f>
      </c>
      <c r="C100" s="5" t="str">
        <v>[DV] Nhuộm đen phủ bạc R&amp;B thảo dược</v>
      </c>
      <c r="D100" s="5">
        <v>912</v>
      </c>
      <c r="E100" s="5"/>
      <c r="F100" s="6">
        <v>289000</v>
      </c>
      <c r="G100" s="7">
        <v>289000</v>
      </c>
      <c r="H100" s="7">
        <v>289000</v>
      </c>
      <c r="I100" s="7">
        <v>289000</v>
      </c>
      <c r="J100" s="9" t="str">
        <v>Giá không đổi</v>
      </c>
      <c r="K100" s="4">
        <f>G100-F100</f>
      </c>
      <c r="L100" s="4">
        <v>61</v>
      </c>
      <c r="M100" s="4">
        <v>912</v>
      </c>
      <c r="N100" s="4" t="str">
        <v>Không đổi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5" t="str">
        <v>1180 QT</v>
      </c>
      <c r="B101" s="5">
        <f>VLOOKUP(A101,'Sheet10'!$A:$C,3,0)</f>
      </c>
      <c r="C101" s="5" t="str">
        <v>[DV] Tẩy tóc bật tông Ý (1 lần)</v>
      </c>
      <c r="D101" s="5">
        <v>915</v>
      </c>
      <c r="E101" s="5"/>
      <c r="F101" s="6">
        <v>252000</v>
      </c>
      <c r="G101" s="7">
        <v>252000</v>
      </c>
      <c r="H101" s="7">
        <v>252000</v>
      </c>
      <c r="I101" s="7">
        <v>252000</v>
      </c>
      <c r="J101" s="9" t="str">
        <v>Giá không đổi</v>
      </c>
      <c r="K101" s="4">
        <f>G101-F101</f>
      </c>
      <c r="L101" s="4">
        <v>61</v>
      </c>
      <c r="M101" s="4">
        <v>915</v>
      </c>
      <c r="N101" s="4" t="str">
        <v>Không đổi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5" t="str">
        <v>1180 QT</v>
      </c>
      <c r="B102" s="5">
        <f>VLOOKUP(A102,'Sheet10'!$A:$C,3,0)</f>
      </c>
      <c r="C102" s="5" t="str">
        <v>[DV] Tẩy tóc bật tông Ý (2 lần) 500k</v>
      </c>
      <c r="D102" s="5">
        <v>916</v>
      </c>
      <c r="E102" s="5"/>
      <c r="F102" s="6">
        <v>500000</v>
      </c>
      <c r="G102" s="7">
        <v>500000</v>
      </c>
      <c r="H102" s="7">
        <v>500000</v>
      </c>
      <c r="I102" s="7">
        <v>500000</v>
      </c>
      <c r="J102" s="9" t="str">
        <v>Giá không đổi</v>
      </c>
      <c r="K102" s="4">
        <f>G102-F102</f>
      </c>
      <c r="L102" s="4">
        <v>61</v>
      </c>
      <c r="M102" s="4">
        <v>916</v>
      </c>
      <c r="N102" s="4" t="str">
        <v>Không đổi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5" t="str">
        <v>1180 QT</v>
      </c>
      <c r="B103" s="5">
        <f>VLOOKUP(A103,'Sheet10'!$A:$C,3,0)</f>
      </c>
      <c r="C103" s="5" t="str">
        <v>[DV] Uốn Texture con sâu/Uốn Ruffled</v>
      </c>
      <c r="D103" s="5">
        <f>VLOOKUP(C103,'Sheet7'!$B:$C,2,0)</f>
      </c>
      <c r="E103" s="5"/>
      <c r="F103" s="6">
        <v>499000</v>
      </c>
      <c r="G103" s="8">
        <v>520000</v>
      </c>
      <c r="H103" s="7">
        <v>530000</v>
      </c>
      <c r="I103" s="7">
        <v>530000</v>
      </c>
      <c r="J103" s="3" t="str">
        <v>Điều chỉnh giá</v>
      </c>
      <c r="K103" s="4">
        <f>G103-F103</f>
      </c>
      <c r="L103" s="4">
        <v>61</v>
      </c>
      <c r="M103" s="4">
        <v>674</v>
      </c>
      <c r="N103" s="4" t="str" xml:space="preserve">
        <v>+10.000 VNĐ 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5" t="str">
        <v>1180 QT</v>
      </c>
      <c r="B104" s="5">
        <f>VLOOKUP(A104,'Sheet10'!$A:$C,3,0)</f>
      </c>
      <c r="C104" s="5" t="str">
        <v>[DV] Ép side hai bên</v>
      </c>
      <c r="D104" s="5">
        <f>VLOOKUP(C104,'Sheet7'!$B:$C,2,0)</f>
      </c>
      <c r="E104" s="5"/>
      <c r="F104" s="6">
        <v>189000</v>
      </c>
      <c r="G104" s="8">
        <v>198000</v>
      </c>
      <c r="H104" s="7">
        <v>208000</v>
      </c>
      <c r="I104" s="7">
        <v>208000</v>
      </c>
      <c r="J104" s="3" t="str">
        <v>Điều chỉnh giá</v>
      </c>
      <c r="K104" s="4">
        <f>G104-F104</f>
      </c>
      <c r="L104" s="4">
        <v>61</v>
      </c>
      <c r="M104" s="4">
        <v>902</v>
      </c>
      <c r="N104" s="4" t="str" xml:space="preserve">
        <v>+10.000 VNĐ 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" t="str">
        <v>1180 QT</v>
      </c>
      <c r="B105" s="5">
        <f>VLOOKUP(A105,'Sheet10'!$A:$C,3,0)</f>
      </c>
      <c r="C105" s="5" t="str">
        <v>NHUỘM THIẾT KẾ PHỤC HỒI CHUYÊN SÂU LIPID BOND 2025</v>
      </c>
      <c r="D105" s="5">
        <v>1149</v>
      </c>
      <c r="E105" s="5"/>
      <c r="F105" s="6">
        <v>689000</v>
      </c>
      <c r="G105" s="8">
        <v>719000</v>
      </c>
      <c r="H105" s="8">
        <v>719000</v>
      </c>
      <c r="I105" s="8">
        <v>719000</v>
      </c>
      <c r="J105" s="3" t="str">
        <v>Điều chỉnh giá</v>
      </c>
      <c r="K105" s="4">
        <f>G105-F105</f>
      </c>
      <c r="L105" s="4">
        <v>61</v>
      </c>
      <c r="M105" s="4">
        <v>1149</v>
      </c>
      <c r="N105" s="4" t="str">
        <v>Không đổi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" t="str">
        <v>1180 QT</v>
      </c>
      <c r="B106" s="5">
        <f>VLOOKUP(A106,'Sheet10'!$A:$C,3,0)</f>
      </c>
      <c r="C106" s="5" t="str">
        <v>Phục hồi trẻ hóa Lipid Bond</v>
      </c>
      <c r="D106" s="5">
        <v>1101</v>
      </c>
      <c r="E106" s="5"/>
      <c r="F106" s="6">
        <v>132000</v>
      </c>
      <c r="G106" s="8">
        <v>146000</v>
      </c>
      <c r="H106" s="8">
        <v>146000</v>
      </c>
      <c r="I106" s="8">
        <v>146000</v>
      </c>
      <c r="J106" s="3" t="str">
        <v>Điều chỉnh giá</v>
      </c>
      <c r="K106" s="4">
        <f>G106-F106</f>
      </c>
      <c r="L106" s="4">
        <v>61</v>
      </c>
      <c r="M106" s="4">
        <v>1101</v>
      </c>
      <c r="N106" s="4" t="str">
        <v>Không đổi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" t="str">
        <v>1180 QT</v>
      </c>
      <c r="B107" s="5">
        <f>VLOOKUP(A107,'Sheet10'!$A:$C,3,0)</f>
      </c>
      <c r="C107" s="5" t="str">
        <v>UỐN THIẾT KẾ PHỤC HỒI CHUYÊN SÂU LIPID BOND 2025</v>
      </c>
      <c r="D107" s="5">
        <f>VLOOKUP(C107,'Sheet7'!$B:$C,2,0)</f>
      </c>
      <c r="E107" s="5"/>
      <c r="F107" s="6">
        <v>689000</v>
      </c>
      <c r="G107" s="7">
        <v>689000</v>
      </c>
      <c r="H107" s="7">
        <v>699000</v>
      </c>
      <c r="I107" s="7">
        <v>699000</v>
      </c>
      <c r="J107" s="9" t="str">
        <v>Giá không đổi</v>
      </c>
      <c r="K107" s="4">
        <f>G107-F107</f>
      </c>
      <c r="L107" s="4">
        <v>61</v>
      </c>
      <c r="M107" s="4">
        <v>1148</v>
      </c>
      <c r="N107" s="4" t="str" xml:space="preserve">
        <v>+10.000 VNĐ 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" t="str">
        <v>1180 QT</v>
      </c>
      <c r="B108" s="5">
        <f>VLOOKUP(A108,'Sheet10'!$A:$C,3,0)</f>
      </c>
      <c r="C108" s="5" t="str">
        <v>Uốn định hình nếp tóc cao cấp (K-Perm Collection)</v>
      </c>
      <c r="D108" s="5">
        <f>VLOOKUP(C108,'Sheet7'!$B:$C,2,0)</f>
      </c>
      <c r="E108" s="5"/>
      <c r="F108" s="6">
        <v>478000</v>
      </c>
      <c r="G108" s="7">
        <v>478000</v>
      </c>
      <c r="H108" s="7">
        <v>488000</v>
      </c>
      <c r="I108" s="7">
        <v>488000</v>
      </c>
      <c r="J108" s="9" t="str">
        <v>Giá không đổi</v>
      </c>
      <c r="K108" s="4">
        <f>G108-F108</f>
      </c>
      <c r="L108" s="4">
        <v>61</v>
      </c>
      <c r="M108" s="4">
        <v>952</v>
      </c>
      <c r="N108" s="4" t="str" xml:space="preserve">
        <v>+10.000 VNĐ 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" t="str">
        <v>12 LDT</v>
      </c>
      <c r="B109" s="5">
        <f>VLOOKUP(A109,'Sheet10'!$A:$C,3,0)</f>
      </c>
      <c r="C109" s="5" t="str">
        <v>(2022T) ATS Control Buffer - Khử mùi tạo thơm cho tóc uốn nhuộm 40k</v>
      </c>
      <c r="D109" s="5">
        <v>610</v>
      </c>
      <c r="E109" s="5"/>
      <c r="F109" s="6">
        <v>40000</v>
      </c>
      <c r="G109" s="7">
        <v>40000</v>
      </c>
      <c r="H109" s="7">
        <v>40000</v>
      </c>
      <c r="I109" s="7">
        <v>40000</v>
      </c>
      <c r="J109" s="9" t="str">
        <v>Giá không đổi</v>
      </c>
      <c r="K109" s="4">
        <f>G109-F109</f>
      </c>
      <c r="L109" s="4">
        <v>12</v>
      </c>
      <c r="M109" s="4">
        <v>610</v>
      </c>
      <c r="N109" s="4" t="str">
        <v>Không đổi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" t="str">
        <v>12 LDT</v>
      </c>
      <c r="B110" s="5">
        <f>VLOOKUP(A110,'Sheet10'!$A:$C,3,0)</f>
      </c>
      <c r="C110" s="5" t="str">
        <v>(NEW) Nhuộm màu thời trang Milano</v>
      </c>
      <c r="D110" s="5">
        <v>960</v>
      </c>
      <c r="E110" s="5">
        <f>A110&amp;D110</f>
      </c>
      <c r="F110" s="6">
        <v>332000</v>
      </c>
      <c r="G110" s="8">
        <v>366000</v>
      </c>
      <c r="H110" s="8">
        <v>366000</v>
      </c>
      <c r="I110" s="8">
        <v>366000</v>
      </c>
      <c r="J110" s="3" t="str">
        <v>Điều chỉnh giá</v>
      </c>
      <c r="K110" s="4">
        <f>G110-F110</f>
      </c>
      <c r="L110" s="4">
        <v>12</v>
      </c>
      <c r="M110" s="4">
        <v>960</v>
      </c>
      <c r="N110" s="4" t="str">
        <v>Không đổi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5" t="str">
        <v>12 LDT</v>
      </c>
      <c r="B111" s="5">
        <f>VLOOKUP(A111,'Sheet10'!$A:$C,3,0)</f>
      </c>
      <c r="C111" s="5" t="str">
        <v>(NEW) Nhuộm phủ bạc tiêu chuẩn 199K</v>
      </c>
      <c r="D111" s="5">
        <v>967</v>
      </c>
      <c r="E111" s="5"/>
      <c r="F111" s="6">
        <v>199000</v>
      </c>
      <c r="G111" s="7">
        <v>199000</v>
      </c>
      <c r="H111" s="7">
        <v>199000</v>
      </c>
      <c r="I111" s="7">
        <v>199000</v>
      </c>
      <c r="J111" s="9" t="str">
        <v>Giá không đổi</v>
      </c>
      <c r="K111" s="4">
        <f>G111-F111</f>
      </c>
      <c r="L111" s="4">
        <v>12</v>
      </c>
      <c r="M111" s="4">
        <v>967</v>
      </c>
      <c r="N111" s="4" t="str">
        <v>Không đổi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5" t="str">
        <v>12 LDT</v>
      </c>
      <c r="B112" s="5">
        <f>VLOOKUP(A112,'Sheet10'!$A:$C,3,0)</f>
      </c>
      <c r="C112" s="5" t="str">
        <v>(NEW) Uốn/Duỗi/Định hình full đầu tạo form vào nếp tự nhiên</v>
      </c>
      <c r="D112" s="5">
        <f>VLOOKUP(C112,'Sheet7'!$B:$C,2,0)</f>
      </c>
      <c r="E112" s="5">
        <f>A112&amp;D112</f>
      </c>
      <c r="F112" s="6">
        <v>386000</v>
      </c>
      <c r="G112" s="7">
        <v>386000</v>
      </c>
      <c r="H112" s="7">
        <v>396000</v>
      </c>
      <c r="I112" s="7">
        <v>396000</v>
      </c>
      <c r="J112" s="9" t="str">
        <v>Giá không đổi</v>
      </c>
      <c r="K112" s="4">
        <f>G112-F112</f>
      </c>
      <c r="L112" s="4">
        <v>12</v>
      </c>
      <c r="M112" s="4">
        <v>1009</v>
      </c>
      <c r="N112" s="4" t="str" xml:space="preserve">
        <v>+10.000 VNĐ 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5" t="str">
        <v>12 LDT</v>
      </c>
      <c r="B113" s="5">
        <f>VLOOKUP(A113,'Sheet10'!$A:$C,3,0)</f>
      </c>
      <c r="C113" s="5" t="str">
        <v>[DV] Nhuộm đen phủ bạc R&amp;B thảo dược</v>
      </c>
      <c r="D113" s="5">
        <v>912</v>
      </c>
      <c r="E113" s="5"/>
      <c r="F113" s="6">
        <v>289000</v>
      </c>
      <c r="G113" s="7">
        <v>289000</v>
      </c>
      <c r="H113" s="7">
        <v>289000</v>
      </c>
      <c r="I113" s="7">
        <v>289000</v>
      </c>
      <c r="J113" s="9" t="str">
        <v>Giá không đổi</v>
      </c>
      <c r="K113" s="4">
        <f>G113-F113</f>
      </c>
      <c r="L113" s="4">
        <v>12</v>
      </c>
      <c r="M113" s="4">
        <v>912</v>
      </c>
      <c r="N113" s="4" t="str">
        <v>Không đổi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5" t="str">
        <v>12 LDT</v>
      </c>
      <c r="B114" s="5">
        <f>VLOOKUP(A114,'Sheet10'!$A:$C,3,0)</f>
      </c>
      <c r="C114" s="5" t="str">
        <v>[DV] Tẩy tóc bật tông Ý (1 lần)</v>
      </c>
      <c r="D114" s="5">
        <v>915</v>
      </c>
      <c r="E114" s="5"/>
      <c r="F114" s="6">
        <v>252000</v>
      </c>
      <c r="G114" s="7">
        <v>252000</v>
      </c>
      <c r="H114" s="7">
        <v>252000</v>
      </c>
      <c r="I114" s="7">
        <v>252000</v>
      </c>
      <c r="J114" s="9" t="str">
        <v>Giá không đổi</v>
      </c>
      <c r="K114" s="4">
        <f>G114-F114</f>
      </c>
      <c r="L114" s="4">
        <v>12</v>
      </c>
      <c r="M114" s="4">
        <v>915</v>
      </c>
      <c r="N114" s="4" t="str">
        <v>Không đổi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5" t="str">
        <v>12 LDT</v>
      </c>
      <c r="B115" s="5">
        <f>VLOOKUP(A115,'Sheet10'!$A:$C,3,0)</f>
      </c>
      <c r="C115" s="5" t="str">
        <v>[DV] Tẩy tóc bật tông Ý (2 lần) 500k</v>
      </c>
      <c r="D115" s="5">
        <v>916</v>
      </c>
      <c r="E115" s="5"/>
      <c r="F115" s="6">
        <v>500000</v>
      </c>
      <c r="G115" s="7">
        <v>500000</v>
      </c>
      <c r="H115" s="7">
        <v>500000</v>
      </c>
      <c r="I115" s="7">
        <v>500000</v>
      </c>
      <c r="J115" s="9" t="str">
        <v>Giá không đổi</v>
      </c>
      <c r="K115" s="4">
        <f>G115-F115</f>
      </c>
      <c r="L115" s="4">
        <v>12</v>
      </c>
      <c r="M115" s="4">
        <v>916</v>
      </c>
      <c r="N115" s="4" t="str">
        <v>Không đổi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5" t="str">
        <v>12 LDT</v>
      </c>
      <c r="B116" s="5">
        <f>VLOOKUP(A116,'Sheet10'!$A:$C,3,0)</f>
      </c>
      <c r="C116" s="5" t="str">
        <v>[DV] Uốn Texture con sâu/Uốn Ruffled</v>
      </c>
      <c r="D116" s="5">
        <f>VLOOKUP(C116,'Sheet7'!$B:$C,2,0)</f>
      </c>
      <c r="E116" s="5"/>
      <c r="F116" s="6">
        <v>499000</v>
      </c>
      <c r="G116" s="8">
        <v>550000</v>
      </c>
      <c r="H116" s="7">
        <v>560000</v>
      </c>
      <c r="I116" s="7">
        <v>560000</v>
      </c>
      <c r="J116" s="3" t="str">
        <v>Điều chỉnh giá</v>
      </c>
      <c r="K116" s="4">
        <f>G116-F116</f>
      </c>
      <c r="L116" s="4">
        <v>12</v>
      </c>
      <c r="M116" s="4">
        <v>674</v>
      </c>
      <c r="N116" s="4" t="str" xml:space="preserve">
        <v>+10.000 VNĐ 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5" t="str">
        <v>12 LDT</v>
      </c>
      <c r="B117" s="5">
        <f>VLOOKUP(A117,'Sheet10'!$A:$C,3,0)</f>
      </c>
      <c r="C117" s="5" t="str">
        <v>[DV] Ép side hai bên</v>
      </c>
      <c r="D117" s="5">
        <f>VLOOKUP(C117,'Sheet7'!$B:$C,2,0)</f>
      </c>
      <c r="E117" s="5"/>
      <c r="F117" s="6">
        <v>189000</v>
      </c>
      <c r="G117" s="8">
        <v>216000</v>
      </c>
      <c r="H117" s="7">
        <v>226000</v>
      </c>
      <c r="I117" s="7">
        <v>226000</v>
      </c>
      <c r="J117" s="3" t="str">
        <v>Điều chỉnh giá</v>
      </c>
      <c r="K117" s="4">
        <f>G117-F117</f>
      </c>
      <c r="L117" s="4">
        <v>12</v>
      </c>
      <c r="M117" s="4">
        <v>902</v>
      </c>
      <c r="N117" s="4" t="str" xml:space="preserve">
        <v>+10.000 VNĐ 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5" t="str">
        <v>12 LDT</v>
      </c>
      <c r="B118" s="5">
        <f>VLOOKUP(A118,'Sheet10'!$A:$C,3,0)</f>
      </c>
      <c r="C118" s="5" t="str">
        <v>NHUỘM THIẾT KẾ PHỤC HỒI CHUYÊN SÂU LIPID BOND 2025</v>
      </c>
      <c r="D118" s="5">
        <v>1149</v>
      </c>
      <c r="E118" s="5"/>
      <c r="F118" s="6">
        <v>689000</v>
      </c>
      <c r="G118" s="8">
        <v>759000</v>
      </c>
      <c r="H118" s="8">
        <v>759000</v>
      </c>
      <c r="I118" s="8">
        <v>759000</v>
      </c>
      <c r="J118" s="3" t="str">
        <v>Điều chỉnh giá</v>
      </c>
      <c r="K118" s="4">
        <f>G118-F118</f>
      </c>
      <c r="L118" s="4">
        <v>12</v>
      </c>
      <c r="M118" s="4">
        <v>1149</v>
      </c>
      <c r="N118" s="4" t="str">
        <v>Không đổi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5" t="str">
        <v>12 LDT</v>
      </c>
      <c r="B119" s="5">
        <f>VLOOKUP(A119,'Sheet10'!$A:$C,3,0)</f>
      </c>
      <c r="C119" s="5" t="str">
        <v>Phục hồi trẻ hóa Lipid Bond</v>
      </c>
      <c r="D119" s="5">
        <v>1101</v>
      </c>
      <c r="E119" s="5"/>
      <c r="F119" s="6">
        <v>132000</v>
      </c>
      <c r="G119" s="8">
        <v>146000</v>
      </c>
      <c r="H119" s="8">
        <v>146000</v>
      </c>
      <c r="I119" s="8">
        <v>146000</v>
      </c>
      <c r="J119" s="3" t="str">
        <v>Điều chỉnh giá</v>
      </c>
      <c r="K119" s="4">
        <f>G119-F119</f>
      </c>
      <c r="L119" s="4">
        <v>12</v>
      </c>
      <c r="M119" s="4">
        <v>1101</v>
      </c>
      <c r="N119" s="4" t="str">
        <v>Không đổi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5" t="str">
        <v>12 LDT</v>
      </c>
      <c r="B120" s="5">
        <f>VLOOKUP(A120,'Sheet10'!$A:$C,3,0)</f>
      </c>
      <c r="C120" s="5" t="str">
        <v>UỐN THIẾT KẾ PHỤC HỒI CHUYÊN SÂU LIPID BOND 2025</v>
      </c>
      <c r="D120" s="5">
        <f>VLOOKUP(C120,'Sheet7'!$B:$C,2,0)</f>
      </c>
      <c r="E120" s="5"/>
      <c r="F120" s="6">
        <v>689000</v>
      </c>
      <c r="G120" s="7">
        <v>689000</v>
      </c>
      <c r="H120" s="7">
        <v>699000</v>
      </c>
      <c r="I120" s="7">
        <v>699000</v>
      </c>
      <c r="J120" s="9" t="str">
        <v>Giá không đổi</v>
      </c>
      <c r="K120" s="4">
        <f>G120-F120</f>
      </c>
      <c r="L120" s="4">
        <v>12</v>
      </c>
      <c r="M120" s="4">
        <v>1148</v>
      </c>
      <c r="N120" s="4" t="str" xml:space="preserve">
        <v>+10.000 VNĐ 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5" t="str">
        <v>12 LDT</v>
      </c>
      <c r="B121" s="5">
        <f>VLOOKUP(A121,'Sheet10'!$A:$C,3,0)</f>
      </c>
      <c r="C121" s="5" t="str">
        <v>Uốn định hình nếp tóc cao cấp (K-Perm Collection)</v>
      </c>
      <c r="D121" s="5">
        <f>VLOOKUP(C121,'Sheet7'!$B:$C,2,0)</f>
      </c>
      <c r="E121" s="5"/>
      <c r="F121" s="6">
        <v>478000</v>
      </c>
      <c r="G121" s="7">
        <v>478000</v>
      </c>
      <c r="H121" s="7">
        <v>488000</v>
      </c>
      <c r="I121" s="7">
        <v>488000</v>
      </c>
      <c r="J121" s="9" t="str">
        <v>Giá không đổi</v>
      </c>
      <c r="K121" s="4">
        <f>G121-F121</f>
      </c>
      <c r="L121" s="4">
        <v>12</v>
      </c>
      <c r="M121" s="4">
        <v>952</v>
      </c>
      <c r="N121" s="4" t="str" xml:space="preserve">
        <v>+10.000 VNĐ 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5" t="str">
        <v>1371 PVT</v>
      </c>
      <c r="B122" s="5">
        <f>VLOOKUP(A122,'Sheet10'!$A:$C,3,0)</f>
      </c>
      <c r="C122" s="5" t="str">
        <v>(2022T) ATS Control Buffer - Khử mùi tạo thơm cho tóc uốn nhuộm 40k</v>
      </c>
      <c r="D122" s="5">
        <v>610</v>
      </c>
      <c r="E122" s="5"/>
      <c r="F122" s="6">
        <v>40000</v>
      </c>
      <c r="G122" s="7">
        <v>40000</v>
      </c>
      <c r="H122" s="7">
        <v>40000</v>
      </c>
      <c r="I122" s="7">
        <v>40000</v>
      </c>
      <c r="J122" s="9" t="str">
        <v>Giá không đổi</v>
      </c>
      <c r="K122" s="4">
        <f>G122-F122</f>
      </c>
      <c r="L122" s="4">
        <v>247</v>
      </c>
      <c r="M122" s="4">
        <v>610</v>
      </c>
      <c r="N122" s="4" t="str">
        <v>Không đổi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5" t="str">
        <v>1371 PVT</v>
      </c>
      <c r="B123" s="5">
        <f>VLOOKUP(A123,'Sheet10'!$A:$C,3,0)</f>
      </c>
      <c r="C123" s="5" t="str">
        <v>(NEW) Nhuộm màu thời trang Milano</v>
      </c>
      <c r="D123" s="5">
        <v>960</v>
      </c>
      <c r="E123" s="5">
        <f>A123&amp;D123</f>
      </c>
      <c r="F123" s="6">
        <v>332000</v>
      </c>
      <c r="G123" s="8">
        <v>346000</v>
      </c>
      <c r="H123" s="8">
        <v>346000</v>
      </c>
      <c r="I123" s="8">
        <v>346000</v>
      </c>
      <c r="J123" s="3" t="str">
        <v>Điều chỉnh giá</v>
      </c>
      <c r="K123" s="4">
        <f>G123-F123</f>
      </c>
      <c r="L123" s="4">
        <v>247</v>
      </c>
      <c r="M123" s="4">
        <v>960</v>
      </c>
      <c r="N123" s="4" t="str">
        <v>Không đổi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5" t="str">
        <v>1371 PVT</v>
      </c>
      <c r="B124" s="5">
        <f>VLOOKUP(A124,'Sheet10'!$A:$C,3,0)</f>
      </c>
      <c r="C124" s="5" t="str">
        <v>(NEW) Nhuộm phủ bạc tiêu chuẩn 199K</v>
      </c>
      <c r="D124" s="5">
        <v>967</v>
      </c>
      <c r="E124" s="5"/>
      <c r="F124" s="6">
        <v>199000</v>
      </c>
      <c r="G124" s="7">
        <v>199000</v>
      </c>
      <c r="H124" s="7">
        <v>199000</v>
      </c>
      <c r="I124" s="7">
        <v>199000</v>
      </c>
      <c r="J124" s="9" t="str">
        <v>Giá không đổi</v>
      </c>
      <c r="K124" s="4">
        <f>G124-F124</f>
      </c>
      <c r="L124" s="4">
        <v>247</v>
      </c>
      <c r="M124" s="4">
        <v>967</v>
      </c>
      <c r="N124" s="4" t="str">
        <v>Không đổi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5" t="str">
        <v>1371 PVT</v>
      </c>
      <c r="B125" s="5">
        <f>VLOOKUP(A125,'Sheet10'!$A:$C,3,0)</f>
      </c>
      <c r="C125" s="5" t="str">
        <v>(NEW) Uốn/Duỗi/Định hình full đầu tạo form vào nếp tự nhiên</v>
      </c>
      <c r="D125" s="5">
        <f>VLOOKUP(C125,'Sheet7'!$B:$C,2,0)</f>
      </c>
      <c r="E125" s="5">
        <f>A125&amp;D125</f>
      </c>
      <c r="F125" s="6">
        <v>386000</v>
      </c>
      <c r="G125" s="7">
        <v>386000</v>
      </c>
      <c r="H125" s="7">
        <v>396000</v>
      </c>
      <c r="I125" s="7">
        <v>396000</v>
      </c>
      <c r="J125" s="9" t="str">
        <v>Giá không đổi</v>
      </c>
      <c r="K125" s="4">
        <f>G125-F125</f>
      </c>
      <c r="L125" s="4">
        <v>247</v>
      </c>
      <c r="M125" s="4">
        <v>1009</v>
      </c>
      <c r="N125" s="4" t="str" xml:space="preserve">
        <v>+10.000 VNĐ 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5" t="str">
        <v>1371 PVT</v>
      </c>
      <c r="B126" s="5">
        <f>VLOOKUP(A126,'Sheet10'!$A:$C,3,0)</f>
      </c>
      <c r="C126" s="5" t="str">
        <v>[DV] Nhuộm đen phủ bạc R&amp;B thảo dược</v>
      </c>
      <c r="D126" s="5">
        <v>912</v>
      </c>
      <c r="E126" s="5"/>
      <c r="F126" s="6">
        <v>289000</v>
      </c>
      <c r="G126" s="7">
        <v>289000</v>
      </c>
      <c r="H126" s="7">
        <v>289000</v>
      </c>
      <c r="I126" s="7">
        <v>289000</v>
      </c>
      <c r="J126" s="9" t="str">
        <v>Giá không đổi</v>
      </c>
      <c r="K126" s="4">
        <f>G126-F126</f>
      </c>
      <c r="L126" s="4">
        <v>247</v>
      </c>
      <c r="M126" s="4">
        <v>912</v>
      </c>
      <c r="N126" s="4" t="str">
        <v>Không đổi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5" t="str">
        <v>1371 PVT</v>
      </c>
      <c r="B127" s="5">
        <f>VLOOKUP(A127,'Sheet10'!$A:$C,3,0)</f>
      </c>
      <c r="C127" s="5" t="str">
        <v>[DV] Tẩy tóc bật tông Ý (1 lần)</v>
      </c>
      <c r="D127" s="5">
        <v>915</v>
      </c>
      <c r="E127" s="5"/>
      <c r="F127" s="6">
        <v>252000</v>
      </c>
      <c r="G127" s="7">
        <v>252000</v>
      </c>
      <c r="H127" s="7">
        <v>252000</v>
      </c>
      <c r="I127" s="7">
        <v>252000</v>
      </c>
      <c r="J127" s="9" t="str">
        <v>Giá không đổi</v>
      </c>
      <c r="K127" s="4">
        <f>G127-F127</f>
      </c>
      <c r="L127" s="4">
        <v>247</v>
      </c>
      <c r="M127" s="4">
        <v>915</v>
      </c>
      <c r="N127" s="4" t="str">
        <v>Không đổi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5" t="str">
        <v>1371 PVT</v>
      </c>
      <c r="B128" s="5">
        <f>VLOOKUP(A128,'Sheet10'!$A:$C,3,0)</f>
      </c>
      <c r="C128" s="5" t="str">
        <v>[DV] Tẩy tóc bật tông Ý (2 lần) 500k</v>
      </c>
      <c r="D128" s="5">
        <v>916</v>
      </c>
      <c r="E128" s="5"/>
      <c r="F128" s="6">
        <v>500000</v>
      </c>
      <c r="G128" s="7">
        <v>500000</v>
      </c>
      <c r="H128" s="7">
        <v>500000</v>
      </c>
      <c r="I128" s="7">
        <v>500000</v>
      </c>
      <c r="J128" s="9" t="str">
        <v>Giá không đổi</v>
      </c>
      <c r="K128" s="4">
        <f>G128-F128</f>
      </c>
      <c r="L128" s="4">
        <v>247</v>
      </c>
      <c r="M128" s="4">
        <v>916</v>
      </c>
      <c r="N128" s="4" t="str">
        <v>Không đổi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5" t="str">
        <v>1371 PVT</v>
      </c>
      <c r="B129" s="5">
        <f>VLOOKUP(A129,'Sheet10'!$A:$C,3,0)</f>
      </c>
      <c r="C129" s="5" t="str">
        <v>[DV] Uốn Texture con sâu/Uốn Ruffled</v>
      </c>
      <c r="D129" s="5">
        <f>VLOOKUP(C129,'Sheet7'!$B:$C,2,0)</f>
      </c>
      <c r="E129" s="5"/>
      <c r="F129" s="6">
        <v>499000</v>
      </c>
      <c r="G129" s="8">
        <v>520000</v>
      </c>
      <c r="H129" s="7">
        <v>530000</v>
      </c>
      <c r="I129" s="7">
        <v>530000</v>
      </c>
      <c r="J129" s="3" t="str">
        <v>Điều chỉnh giá</v>
      </c>
      <c r="K129" s="4">
        <f>G129-F129</f>
      </c>
      <c r="L129" s="4">
        <v>247</v>
      </c>
      <c r="M129" s="4">
        <v>674</v>
      </c>
      <c r="N129" s="4" t="str" xml:space="preserve">
        <v>+10.000 VNĐ 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5" t="str">
        <v>1371 PVT</v>
      </c>
      <c r="B130" s="5">
        <f>VLOOKUP(A130,'Sheet10'!$A:$C,3,0)</f>
      </c>
      <c r="C130" s="5" t="str">
        <v>[DV] Ép side hai bên</v>
      </c>
      <c r="D130" s="5">
        <f>VLOOKUP(C130,'Sheet7'!$B:$C,2,0)</f>
      </c>
      <c r="E130" s="5"/>
      <c r="F130" s="6">
        <v>189000</v>
      </c>
      <c r="G130" s="8">
        <v>198000</v>
      </c>
      <c r="H130" s="7">
        <v>208000</v>
      </c>
      <c r="I130" s="7">
        <v>208000</v>
      </c>
      <c r="J130" s="3" t="str">
        <v>Điều chỉnh giá</v>
      </c>
      <c r="K130" s="4">
        <f>G130-F130</f>
      </c>
      <c r="L130" s="4">
        <v>247</v>
      </c>
      <c r="M130" s="4">
        <v>902</v>
      </c>
      <c r="N130" s="4" t="str" xml:space="preserve">
        <v>+10.000 VNĐ 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5" t="str">
        <v>1371 PVT</v>
      </c>
      <c r="B131" s="5">
        <f>VLOOKUP(A131,'Sheet10'!$A:$C,3,0)</f>
      </c>
      <c r="C131" s="5" t="str">
        <v>NHUỘM THIẾT KẾ PHỤC HỒI CHUYÊN SÂU LIPID BOND 2025</v>
      </c>
      <c r="D131" s="5">
        <v>1149</v>
      </c>
      <c r="E131" s="5"/>
      <c r="F131" s="6">
        <v>689000</v>
      </c>
      <c r="G131" s="8">
        <v>719000</v>
      </c>
      <c r="H131" s="8">
        <v>719000</v>
      </c>
      <c r="I131" s="8">
        <v>719000</v>
      </c>
      <c r="J131" s="3" t="str">
        <v>Điều chỉnh giá</v>
      </c>
      <c r="K131" s="4">
        <f>G131-F131</f>
      </c>
      <c r="L131" s="4">
        <v>247</v>
      </c>
      <c r="M131" s="4">
        <v>1149</v>
      </c>
      <c r="N131" s="4" t="str">
        <v>Không đổi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5" t="str">
        <v>1371 PVT</v>
      </c>
      <c r="B132" s="5">
        <f>VLOOKUP(A132,'Sheet10'!$A:$C,3,0)</f>
      </c>
      <c r="C132" s="5" t="str">
        <v>Phục hồi trẻ hóa Lipid Bond</v>
      </c>
      <c r="D132" s="5">
        <v>1101</v>
      </c>
      <c r="E132" s="5"/>
      <c r="F132" s="6">
        <v>132000</v>
      </c>
      <c r="G132" s="8">
        <v>146000</v>
      </c>
      <c r="H132" s="8">
        <v>146000</v>
      </c>
      <c r="I132" s="8">
        <v>146000</v>
      </c>
      <c r="J132" s="3" t="str">
        <v>Điều chỉnh giá</v>
      </c>
      <c r="K132" s="4">
        <f>G132-F132</f>
      </c>
      <c r="L132" s="4">
        <v>247</v>
      </c>
      <c r="M132" s="4">
        <v>1101</v>
      </c>
      <c r="N132" s="4" t="str">
        <v>Không đổi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5" t="str">
        <v>1371 PVT</v>
      </c>
      <c r="B133" s="5">
        <f>VLOOKUP(A133,'Sheet10'!$A:$C,3,0)</f>
      </c>
      <c r="C133" s="5" t="str">
        <v>UỐN THIẾT KẾ PHỤC HỒI CHUYÊN SÂU LIPID BOND 2025</v>
      </c>
      <c r="D133" s="5">
        <f>VLOOKUP(C133,'Sheet7'!$B:$C,2,0)</f>
      </c>
      <c r="E133" s="5"/>
      <c r="F133" s="6">
        <v>689000</v>
      </c>
      <c r="G133" s="7">
        <v>689000</v>
      </c>
      <c r="H133" s="7">
        <v>699000</v>
      </c>
      <c r="I133" s="7">
        <v>699000</v>
      </c>
      <c r="J133" s="9" t="str">
        <v>Giá không đổi</v>
      </c>
      <c r="K133" s="4">
        <f>G133-F133</f>
      </c>
      <c r="L133" s="4">
        <v>247</v>
      </c>
      <c r="M133" s="4">
        <v>1148</v>
      </c>
      <c r="N133" s="4" t="str" xml:space="preserve">
        <v>+10.000 VNĐ 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5" t="str">
        <v>1371 PVT</v>
      </c>
      <c r="B134" s="5">
        <f>VLOOKUP(A134,'Sheet10'!$A:$C,3,0)</f>
      </c>
      <c r="C134" s="5" t="str">
        <v>Uốn định hình nếp tóc cao cấp (K-Perm Collection)</v>
      </c>
      <c r="D134" s="5">
        <f>VLOOKUP(C134,'Sheet7'!$B:$C,2,0)</f>
      </c>
      <c r="E134" s="5"/>
      <c r="F134" s="6">
        <v>478000</v>
      </c>
      <c r="G134" s="7">
        <v>478000</v>
      </c>
      <c r="H134" s="7">
        <v>488000</v>
      </c>
      <c r="I134" s="7">
        <v>488000</v>
      </c>
      <c r="J134" s="9" t="str">
        <v>Giá không đổi</v>
      </c>
      <c r="K134" s="4">
        <f>G134-F134</f>
      </c>
      <c r="L134" s="4">
        <v>247</v>
      </c>
      <c r="M134" s="4">
        <v>952</v>
      </c>
      <c r="N134" s="4" t="str" xml:space="preserve">
        <v>+10.000 VNĐ 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5" t="str">
        <v>145 THT</v>
      </c>
      <c r="B135" s="5">
        <f>VLOOKUP(A135,'Sheet10'!$A:$C,3,0)</f>
      </c>
      <c r="C135" s="5" t="str">
        <v>(2022T) ATS Control Buffer - Khử mùi tạo thơm cho tóc uốn nhuộm 40k</v>
      </c>
      <c r="D135" s="5">
        <v>610</v>
      </c>
      <c r="E135" s="5"/>
      <c r="F135" s="6">
        <v>40000</v>
      </c>
      <c r="G135" s="7">
        <v>40000</v>
      </c>
      <c r="H135" s="7">
        <v>40000</v>
      </c>
      <c r="I135" s="7">
        <v>40000</v>
      </c>
      <c r="J135" s="9" t="str">
        <v>Giá không đổi</v>
      </c>
      <c r="K135" s="4">
        <f>G135-F135</f>
      </c>
      <c r="L135" s="4">
        <v>193</v>
      </c>
      <c r="M135" s="4">
        <v>610</v>
      </c>
      <c r="N135" s="4" t="str">
        <v>Không đổi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5" t="str">
        <v>145 THT</v>
      </c>
      <c r="B136" s="5">
        <f>VLOOKUP(A136,'Sheet10'!$A:$C,3,0)</f>
      </c>
      <c r="C136" s="5" t="str">
        <v>(NEW) Nhuộm màu thời trang Milano</v>
      </c>
      <c r="D136" s="5">
        <v>960</v>
      </c>
      <c r="E136" s="5">
        <f>A136&amp;D136</f>
      </c>
      <c r="F136" s="6">
        <v>332000</v>
      </c>
      <c r="G136" s="7">
        <v>332000</v>
      </c>
      <c r="H136" s="7">
        <v>332000</v>
      </c>
      <c r="I136" s="7">
        <v>332000</v>
      </c>
      <c r="J136" s="9" t="str">
        <v>Giá không đổi</v>
      </c>
      <c r="K136" s="4">
        <f>G136-F136</f>
      </c>
      <c r="L136" s="4">
        <v>193</v>
      </c>
      <c r="M136" s="4">
        <v>960</v>
      </c>
      <c r="N136" s="4" t="str">
        <v>Không đổi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5" t="str">
        <v>145 THT</v>
      </c>
      <c r="B137" s="5">
        <f>VLOOKUP(A137,'Sheet10'!$A:$C,3,0)</f>
      </c>
      <c r="C137" s="5" t="str">
        <v>(NEW) Nhuộm phủ bạc tiêu chuẩn 199K</v>
      </c>
      <c r="D137" s="5">
        <v>967</v>
      </c>
      <c r="E137" s="5"/>
      <c r="F137" s="6">
        <v>199000</v>
      </c>
      <c r="G137" s="7">
        <v>199000</v>
      </c>
      <c r="H137" s="7">
        <v>199000</v>
      </c>
      <c r="I137" s="7">
        <v>199000</v>
      </c>
      <c r="J137" s="9" t="str">
        <v>Giá không đổi</v>
      </c>
      <c r="K137" s="4">
        <f>G137-F137</f>
      </c>
      <c r="L137" s="4">
        <v>193</v>
      </c>
      <c r="M137" s="4">
        <v>967</v>
      </c>
      <c r="N137" s="4" t="str">
        <v>Không đổi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5" t="str">
        <v>145 THT</v>
      </c>
      <c r="B138" s="5">
        <f>VLOOKUP(A138,'Sheet10'!$A:$C,3,0)</f>
      </c>
      <c r="C138" s="5" t="str">
        <v>(NEW) Uốn/Duỗi/Định hình full đầu tạo form vào nếp tự nhiên</v>
      </c>
      <c r="D138" s="5">
        <f>VLOOKUP(C138,'Sheet7'!$B:$C,2,0)</f>
      </c>
      <c r="E138" s="5">
        <f>A138&amp;D138</f>
      </c>
      <c r="F138" s="6">
        <v>386000</v>
      </c>
      <c r="G138" s="7">
        <v>386000</v>
      </c>
      <c r="H138" s="7">
        <v>396000</v>
      </c>
      <c r="I138" s="7">
        <v>396000</v>
      </c>
      <c r="J138" s="9" t="str">
        <v>Giá không đổi</v>
      </c>
      <c r="K138" s="4">
        <f>G138-F138</f>
      </c>
      <c r="L138" s="4">
        <v>193</v>
      </c>
      <c r="M138" s="4">
        <v>1009</v>
      </c>
      <c r="N138" s="4" t="str" xml:space="preserve">
        <v>+10.000 VNĐ 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5" t="str">
        <v>145 THT</v>
      </c>
      <c r="B139" s="5">
        <f>VLOOKUP(A139,'Sheet10'!$A:$C,3,0)</f>
      </c>
      <c r="C139" s="5" t="str">
        <v>[DV] Nhuộm đen phủ bạc R&amp;B thảo dược</v>
      </c>
      <c r="D139" s="5">
        <v>912</v>
      </c>
      <c r="E139" s="5"/>
      <c r="F139" s="6">
        <v>289000</v>
      </c>
      <c r="G139" s="7">
        <v>289000</v>
      </c>
      <c r="H139" s="7">
        <v>289000</v>
      </c>
      <c r="I139" s="7">
        <v>289000</v>
      </c>
      <c r="J139" s="9" t="str">
        <v>Giá không đổi</v>
      </c>
      <c r="K139" s="4">
        <f>G139-F139</f>
      </c>
      <c r="L139" s="4">
        <v>193</v>
      </c>
      <c r="M139" s="4">
        <v>912</v>
      </c>
      <c r="N139" s="4" t="str">
        <v>Không đổi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5" t="str">
        <v>145 THT</v>
      </c>
      <c r="B140" s="5">
        <f>VLOOKUP(A140,'Sheet10'!$A:$C,3,0)</f>
      </c>
      <c r="C140" s="5" t="str">
        <v>[DV] Tẩy tóc bật tông Ý (1 lần)</v>
      </c>
      <c r="D140" s="5">
        <v>915</v>
      </c>
      <c r="E140" s="5"/>
      <c r="F140" s="6">
        <v>252000</v>
      </c>
      <c r="G140" s="7">
        <v>252000</v>
      </c>
      <c r="H140" s="7">
        <v>252000</v>
      </c>
      <c r="I140" s="7">
        <v>252000</v>
      </c>
      <c r="J140" s="9" t="str">
        <v>Giá không đổi</v>
      </c>
      <c r="K140" s="4">
        <f>G140-F140</f>
      </c>
      <c r="L140" s="4">
        <v>193</v>
      </c>
      <c r="M140" s="4">
        <v>915</v>
      </c>
      <c r="N140" s="4" t="str">
        <v>Không đổi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5" t="str">
        <v>145 THT</v>
      </c>
      <c r="B141" s="5">
        <f>VLOOKUP(A141,'Sheet10'!$A:$C,3,0)</f>
      </c>
      <c r="C141" s="5" t="str">
        <v>[DV] Tẩy tóc bật tông Ý (2 lần) 500k</v>
      </c>
      <c r="D141" s="5">
        <v>916</v>
      </c>
      <c r="E141" s="5"/>
      <c r="F141" s="6">
        <v>500000</v>
      </c>
      <c r="G141" s="7">
        <v>500000</v>
      </c>
      <c r="H141" s="7">
        <v>500000</v>
      </c>
      <c r="I141" s="7">
        <v>500000</v>
      </c>
      <c r="J141" s="9" t="str">
        <v>Giá không đổi</v>
      </c>
      <c r="K141" s="4">
        <f>G141-F141</f>
      </c>
      <c r="L141" s="4">
        <v>193</v>
      </c>
      <c r="M141" s="4">
        <v>916</v>
      </c>
      <c r="N141" s="4" t="str">
        <v>Không đổi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5" t="str">
        <v>145 THT</v>
      </c>
      <c r="B142" s="5">
        <f>VLOOKUP(A142,'Sheet10'!$A:$C,3,0)</f>
      </c>
      <c r="C142" s="5" t="str">
        <v>[DV] Uốn Texture con sâu/Uốn Ruffled</v>
      </c>
      <c r="D142" s="5">
        <f>VLOOKUP(C142,'Sheet7'!$B:$C,2,0)</f>
      </c>
      <c r="E142" s="5"/>
      <c r="F142" s="6">
        <v>499000</v>
      </c>
      <c r="G142" s="7">
        <v>499000</v>
      </c>
      <c r="H142" s="7">
        <v>509000</v>
      </c>
      <c r="I142" s="7">
        <v>509000</v>
      </c>
      <c r="J142" s="9" t="str">
        <v>Giá không đổi</v>
      </c>
      <c r="K142" s="4">
        <f>G142-F142</f>
      </c>
      <c r="L142" s="4">
        <v>193</v>
      </c>
      <c r="M142" s="4">
        <v>674</v>
      </c>
      <c r="N142" s="4" t="str" xml:space="preserve">
        <v>+10.000 VNĐ 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5" t="str">
        <v>145 THT</v>
      </c>
      <c r="B143" s="5">
        <f>VLOOKUP(A143,'Sheet10'!$A:$C,3,0)</f>
      </c>
      <c r="C143" s="5" t="str">
        <v>[DV] Ép side hai bên</v>
      </c>
      <c r="D143" s="5">
        <f>VLOOKUP(C143,'Sheet7'!$B:$C,2,0)</f>
      </c>
      <c r="E143" s="5"/>
      <c r="F143" s="6">
        <v>189000</v>
      </c>
      <c r="G143" s="7">
        <v>189000</v>
      </c>
      <c r="H143" s="7">
        <v>199000</v>
      </c>
      <c r="I143" s="7">
        <v>199000</v>
      </c>
      <c r="J143" s="9" t="str">
        <v>Giá không đổi</v>
      </c>
      <c r="K143" s="4">
        <f>G143-F143</f>
      </c>
      <c r="L143" s="4">
        <v>193</v>
      </c>
      <c r="M143" s="4">
        <v>902</v>
      </c>
      <c r="N143" s="4" t="str" xml:space="preserve">
        <v>+10.000 VNĐ 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5" t="str">
        <v>145 THT</v>
      </c>
      <c r="B144" s="5">
        <f>VLOOKUP(A144,'Sheet10'!$A:$C,3,0)</f>
      </c>
      <c r="C144" s="5" t="str">
        <v>NHUỘM THIẾT KẾ PHỤC HỒI CHUYÊN SÂU LIPID BOND 2025</v>
      </c>
      <c r="D144" s="5">
        <v>1149</v>
      </c>
      <c r="E144" s="5"/>
      <c r="F144" s="6">
        <v>689000</v>
      </c>
      <c r="G144" s="7">
        <v>689000</v>
      </c>
      <c r="H144" s="7">
        <v>689000</v>
      </c>
      <c r="I144" s="7">
        <v>689000</v>
      </c>
      <c r="J144" s="9" t="str">
        <v>Giá không đổi</v>
      </c>
      <c r="K144" s="4">
        <f>G144-F144</f>
      </c>
      <c r="L144" s="4">
        <v>193</v>
      </c>
      <c r="M144" s="4">
        <v>1149</v>
      </c>
      <c r="N144" s="4" t="str">
        <v>Không đổi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5" t="str">
        <v>145 THT</v>
      </c>
      <c r="B145" s="5">
        <f>VLOOKUP(A145,'Sheet10'!$A:$C,3,0)</f>
      </c>
      <c r="C145" s="5" t="str">
        <v>Phục hồi trẻ hóa Lipid Bond</v>
      </c>
      <c r="D145" s="5">
        <v>1101</v>
      </c>
      <c r="E145" s="5"/>
      <c r="F145" s="6">
        <v>132000</v>
      </c>
      <c r="G145" s="8">
        <v>146000</v>
      </c>
      <c r="H145" s="8">
        <v>146000</v>
      </c>
      <c r="I145" s="8">
        <v>146000</v>
      </c>
      <c r="J145" s="3" t="str">
        <v>Điều chỉnh giá</v>
      </c>
      <c r="K145" s="4">
        <f>G145-F145</f>
      </c>
      <c r="L145" s="4">
        <v>193</v>
      </c>
      <c r="M145" s="4">
        <v>1101</v>
      </c>
      <c r="N145" s="4" t="str">
        <v>Không đổi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5" t="str">
        <v>145 THT</v>
      </c>
      <c r="B146" s="5">
        <f>VLOOKUP(A146,'Sheet10'!$A:$C,3,0)</f>
      </c>
      <c r="C146" s="5" t="str">
        <v>UỐN THIẾT KẾ PHỤC HỒI CHUYÊN SÂU LIPID BOND 2025</v>
      </c>
      <c r="D146" s="5">
        <f>VLOOKUP(C146,'Sheet7'!$B:$C,2,0)</f>
      </c>
      <c r="E146" s="5"/>
      <c r="F146" s="6">
        <v>689000</v>
      </c>
      <c r="G146" s="7">
        <v>689000</v>
      </c>
      <c r="H146" s="7">
        <v>699000</v>
      </c>
      <c r="I146" s="7">
        <v>699000</v>
      </c>
      <c r="J146" s="9" t="str">
        <v>Giá không đổi</v>
      </c>
      <c r="K146" s="4">
        <f>G146-F146</f>
      </c>
      <c r="L146" s="4">
        <v>193</v>
      </c>
      <c r="M146" s="4">
        <v>1148</v>
      </c>
      <c r="N146" s="4" t="str" xml:space="preserve">
        <v>+10.000 VNĐ 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5" t="str">
        <v>145 THT</v>
      </c>
      <c r="B147" s="5">
        <f>VLOOKUP(A147,'Sheet10'!$A:$C,3,0)</f>
      </c>
      <c r="C147" s="5" t="str">
        <v>Uốn định hình nếp tóc cao cấp (K-Perm Collection)</v>
      </c>
      <c r="D147" s="5">
        <f>VLOOKUP(C147,'Sheet7'!$B:$C,2,0)</f>
      </c>
      <c r="E147" s="5"/>
      <c r="F147" s="6">
        <v>478000</v>
      </c>
      <c r="G147" s="7">
        <v>478000</v>
      </c>
      <c r="H147" s="7">
        <v>488000</v>
      </c>
      <c r="I147" s="7">
        <v>488000</v>
      </c>
      <c r="J147" s="9" t="str">
        <v>Giá không đổi</v>
      </c>
      <c r="K147" s="4">
        <f>G147-F147</f>
      </c>
      <c r="L147" s="4">
        <v>193</v>
      </c>
      <c r="M147" s="4">
        <v>952</v>
      </c>
      <c r="N147" s="4" t="str" xml:space="preserve">
        <v>+10.000 VNĐ 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5" t="str">
        <v>148 TD</v>
      </c>
      <c r="B148" s="5">
        <f>VLOOKUP(A148,'Sheet10'!$A:$C,3,0)</f>
      </c>
      <c r="C148" s="5" t="str">
        <v>(2022T) ATS Control Buffer - Khử mùi tạo thơm cho tóc uốn nhuộm 40k</v>
      </c>
      <c r="D148" s="5">
        <v>610</v>
      </c>
      <c r="E148" s="5"/>
      <c r="F148" s="6">
        <v>40000</v>
      </c>
      <c r="G148" s="7">
        <v>40000</v>
      </c>
      <c r="H148" s="7">
        <v>40000</v>
      </c>
      <c r="I148" s="7">
        <v>40000</v>
      </c>
      <c r="J148" s="9" t="str">
        <v>Giá không đổi</v>
      </c>
      <c r="K148" s="4">
        <f>G148-F148</f>
      </c>
      <c r="L148" s="4">
        <v>210</v>
      </c>
      <c r="M148" s="4">
        <v>610</v>
      </c>
      <c r="N148" s="4" t="str">
        <v>Không đổi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5" t="str">
        <v>148 TD</v>
      </c>
      <c r="B149" s="5">
        <f>VLOOKUP(A149,'Sheet10'!$A:$C,3,0)</f>
      </c>
      <c r="C149" s="5" t="str">
        <v>(NEW) Nhuộm màu thời trang Milano</v>
      </c>
      <c r="D149" s="5">
        <v>960</v>
      </c>
      <c r="E149" s="5">
        <f>A149&amp;D149</f>
      </c>
      <c r="F149" s="6">
        <v>332000</v>
      </c>
      <c r="G149" s="8">
        <v>366000</v>
      </c>
      <c r="H149" s="8">
        <v>366000</v>
      </c>
      <c r="I149" s="8">
        <v>366000</v>
      </c>
      <c r="J149" s="3" t="str">
        <v>Điều chỉnh giá</v>
      </c>
      <c r="K149" s="4">
        <f>G149-F149</f>
      </c>
      <c r="L149" s="4">
        <v>210</v>
      </c>
      <c r="M149" s="4">
        <v>960</v>
      </c>
      <c r="N149" s="4" t="str">
        <v>Không đổi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5" t="str">
        <v>148 TD</v>
      </c>
      <c r="B150" s="5">
        <f>VLOOKUP(A150,'Sheet10'!$A:$C,3,0)</f>
      </c>
      <c r="C150" s="5" t="str">
        <v>(NEW) Nhuộm phủ bạc tiêu chuẩn 199K</v>
      </c>
      <c r="D150" s="5">
        <v>967</v>
      </c>
      <c r="E150" s="5"/>
      <c r="F150" s="6">
        <v>199000</v>
      </c>
      <c r="G150" s="7">
        <v>199000</v>
      </c>
      <c r="H150" s="7">
        <v>199000</v>
      </c>
      <c r="I150" s="7">
        <v>199000</v>
      </c>
      <c r="J150" s="9" t="str">
        <v>Giá không đổi</v>
      </c>
      <c r="K150" s="4">
        <f>G150-F150</f>
      </c>
      <c r="L150" s="4">
        <v>210</v>
      </c>
      <c r="M150" s="4">
        <v>967</v>
      </c>
      <c r="N150" s="4" t="str">
        <v>Không đổi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5" t="str">
        <v>148 TD</v>
      </c>
      <c r="B151" s="5">
        <f>VLOOKUP(A151,'Sheet10'!$A:$C,3,0)</f>
      </c>
      <c r="C151" s="5" t="str">
        <v>(NEW) Uốn/Duỗi/Định hình full đầu tạo form vào nếp tự nhiên</v>
      </c>
      <c r="D151" s="5">
        <f>VLOOKUP(C151,'Sheet7'!$B:$C,2,0)</f>
      </c>
      <c r="E151" s="5">
        <f>A151&amp;D151</f>
      </c>
      <c r="F151" s="6">
        <v>386000</v>
      </c>
      <c r="G151" s="7">
        <v>386000</v>
      </c>
      <c r="H151" s="7">
        <v>396000</v>
      </c>
      <c r="I151" s="7">
        <v>396000</v>
      </c>
      <c r="J151" s="9" t="str">
        <v>Giá không đổi</v>
      </c>
      <c r="K151" s="4">
        <f>G151-F151</f>
      </c>
      <c r="L151" s="4">
        <v>210</v>
      </c>
      <c r="M151" s="4">
        <v>1009</v>
      </c>
      <c r="N151" s="4" t="str" xml:space="preserve">
        <v>+10.000 VNĐ 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5" t="str">
        <v>148 TD</v>
      </c>
      <c r="B152" s="5">
        <f>VLOOKUP(A152,'Sheet10'!$A:$C,3,0)</f>
      </c>
      <c r="C152" s="5" t="str">
        <v>[DV] Nhuộm đen phủ bạc R&amp;B thảo dược</v>
      </c>
      <c r="D152" s="5">
        <v>912</v>
      </c>
      <c r="E152" s="5"/>
      <c r="F152" s="6">
        <v>289000</v>
      </c>
      <c r="G152" s="7">
        <v>289000</v>
      </c>
      <c r="H152" s="7">
        <v>289000</v>
      </c>
      <c r="I152" s="7">
        <v>289000</v>
      </c>
      <c r="J152" s="9" t="str">
        <v>Giá không đổi</v>
      </c>
      <c r="K152" s="4">
        <f>G152-F152</f>
      </c>
      <c r="L152" s="4">
        <v>210</v>
      </c>
      <c r="M152" s="4">
        <v>912</v>
      </c>
      <c r="N152" s="4" t="str">
        <v>Không đổi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5" t="str">
        <v>148 TD</v>
      </c>
      <c r="B153" s="5">
        <f>VLOOKUP(A153,'Sheet10'!$A:$C,3,0)</f>
      </c>
      <c r="C153" s="5" t="str">
        <v>[DV] Tẩy tóc bật tông Ý (1 lần)</v>
      </c>
      <c r="D153" s="5">
        <v>915</v>
      </c>
      <c r="E153" s="5"/>
      <c r="F153" s="6">
        <v>252000</v>
      </c>
      <c r="G153" s="7">
        <v>252000</v>
      </c>
      <c r="H153" s="7">
        <v>252000</v>
      </c>
      <c r="I153" s="7">
        <v>252000</v>
      </c>
      <c r="J153" s="9" t="str">
        <v>Giá không đổi</v>
      </c>
      <c r="K153" s="4">
        <f>G153-F153</f>
      </c>
      <c r="L153" s="4">
        <v>210</v>
      </c>
      <c r="M153" s="4">
        <v>915</v>
      </c>
      <c r="N153" s="4" t="str">
        <v>Không đổi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5" t="str">
        <v>148 TD</v>
      </c>
      <c r="B154" s="5">
        <f>VLOOKUP(A154,'Sheet10'!$A:$C,3,0)</f>
      </c>
      <c r="C154" s="5" t="str">
        <v>[DV] Tẩy tóc bật tông Ý (2 lần) 500k</v>
      </c>
      <c r="D154" s="5">
        <v>916</v>
      </c>
      <c r="E154" s="5"/>
      <c r="F154" s="6">
        <v>500000</v>
      </c>
      <c r="G154" s="7">
        <v>500000</v>
      </c>
      <c r="H154" s="7">
        <v>500000</v>
      </c>
      <c r="I154" s="7">
        <v>500000</v>
      </c>
      <c r="J154" s="9" t="str">
        <v>Giá không đổi</v>
      </c>
      <c r="K154" s="4">
        <f>G154-F154</f>
      </c>
      <c r="L154" s="4">
        <v>210</v>
      </c>
      <c r="M154" s="4">
        <v>916</v>
      </c>
      <c r="N154" s="4" t="str">
        <v>Không đổi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5" t="str">
        <v>148 TD</v>
      </c>
      <c r="B155" s="5">
        <f>VLOOKUP(A155,'Sheet10'!$A:$C,3,0)</f>
      </c>
      <c r="C155" s="5" t="str">
        <v>[DV] Uốn Texture con sâu/Uốn Ruffled</v>
      </c>
      <c r="D155" s="5">
        <f>VLOOKUP(C155,'Sheet7'!$B:$C,2,0)</f>
      </c>
      <c r="E155" s="5"/>
      <c r="F155" s="6">
        <v>499000</v>
      </c>
      <c r="G155" s="8">
        <v>550000</v>
      </c>
      <c r="H155" s="7">
        <v>560000</v>
      </c>
      <c r="I155" s="7">
        <v>560000</v>
      </c>
      <c r="J155" s="3" t="str">
        <v>Điều chỉnh giá</v>
      </c>
      <c r="K155" s="4">
        <f>G155-F155</f>
      </c>
      <c r="L155" s="4">
        <v>210</v>
      </c>
      <c r="M155" s="4">
        <v>674</v>
      </c>
      <c r="N155" s="4" t="str" xml:space="preserve">
        <v>+10.000 VNĐ 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5" t="str">
        <v>148 TD</v>
      </c>
      <c r="B156" s="5">
        <f>VLOOKUP(A156,'Sheet10'!$A:$C,3,0)</f>
      </c>
      <c r="C156" s="5" t="str">
        <v>[DV] Ép side hai bên</v>
      </c>
      <c r="D156" s="5">
        <f>VLOOKUP(C156,'Sheet7'!$B:$C,2,0)</f>
      </c>
      <c r="E156" s="5"/>
      <c r="F156" s="6">
        <v>189000</v>
      </c>
      <c r="G156" s="8">
        <v>198000</v>
      </c>
      <c r="H156" s="7">
        <v>208000</v>
      </c>
      <c r="I156" s="7">
        <v>208000</v>
      </c>
      <c r="J156" s="3" t="str">
        <v>Điều chỉnh giá</v>
      </c>
      <c r="K156" s="4">
        <f>G156-F156</f>
      </c>
      <c r="L156" s="4">
        <v>210</v>
      </c>
      <c r="M156" s="4">
        <v>902</v>
      </c>
      <c r="N156" s="4" t="str" xml:space="preserve">
        <v>+10.000 VNĐ 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5" t="str">
        <v>148 TD</v>
      </c>
      <c r="B157" s="5">
        <f>VLOOKUP(A157,'Sheet10'!$A:$C,3,0)</f>
      </c>
      <c r="C157" s="5" t="str">
        <v>NHUỘM THIẾT KẾ PHỤC HỒI CHUYÊN SÂU LIPID BOND 2025</v>
      </c>
      <c r="D157" s="5">
        <v>1149</v>
      </c>
      <c r="E157" s="5"/>
      <c r="F157" s="6">
        <v>689000</v>
      </c>
      <c r="G157" s="8">
        <v>759000</v>
      </c>
      <c r="H157" s="8">
        <v>759000</v>
      </c>
      <c r="I157" s="8">
        <v>759000</v>
      </c>
      <c r="J157" s="3" t="str">
        <v>Điều chỉnh giá</v>
      </c>
      <c r="K157" s="4">
        <f>G157-F157</f>
      </c>
      <c r="L157" s="4">
        <v>210</v>
      </c>
      <c r="M157" s="4">
        <v>1149</v>
      </c>
      <c r="N157" s="4" t="str">
        <v>Không đổi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5" t="str">
        <v>148 TD</v>
      </c>
      <c r="B158" s="5">
        <f>VLOOKUP(A158,'Sheet10'!$A:$C,3,0)</f>
      </c>
      <c r="C158" s="5" t="str">
        <v>Phục hồi trẻ hóa Lipid Bond</v>
      </c>
      <c r="D158" s="5">
        <v>1101</v>
      </c>
      <c r="E158" s="5"/>
      <c r="F158" s="6">
        <v>132000</v>
      </c>
      <c r="G158" s="8">
        <v>146000</v>
      </c>
      <c r="H158" s="8">
        <v>146000</v>
      </c>
      <c r="I158" s="8">
        <v>146000</v>
      </c>
      <c r="J158" s="3" t="str">
        <v>Điều chỉnh giá</v>
      </c>
      <c r="K158" s="4">
        <f>G158-F158</f>
      </c>
      <c r="L158" s="4">
        <v>210</v>
      </c>
      <c r="M158" s="4">
        <v>1101</v>
      </c>
      <c r="N158" s="4" t="str">
        <v>Không đổi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5" t="str">
        <v>148 TD</v>
      </c>
      <c r="B159" s="5">
        <f>VLOOKUP(A159,'Sheet10'!$A:$C,3,0)</f>
      </c>
      <c r="C159" s="5" t="str">
        <v>UỐN THIẾT KẾ PHỤC HỒI CHUYÊN SÂU LIPID BOND 2025</v>
      </c>
      <c r="D159" s="5">
        <f>VLOOKUP(C159,'Sheet7'!$B:$C,2,0)</f>
      </c>
      <c r="E159" s="5"/>
      <c r="F159" s="6">
        <v>689000</v>
      </c>
      <c r="G159" s="7">
        <v>689000</v>
      </c>
      <c r="H159" s="7">
        <v>699000</v>
      </c>
      <c r="I159" s="7">
        <v>699000</v>
      </c>
      <c r="J159" s="9" t="str">
        <v>Giá không đổi</v>
      </c>
      <c r="K159" s="4">
        <f>G159-F159</f>
      </c>
      <c r="L159" s="4">
        <v>210</v>
      </c>
      <c r="M159" s="4">
        <v>1148</v>
      </c>
      <c r="N159" s="4" t="str" xml:space="preserve">
        <v>+10.000 VNĐ 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5" t="str">
        <v>148 TD</v>
      </c>
      <c r="B160" s="5">
        <f>VLOOKUP(A160,'Sheet10'!$A:$C,3,0)</f>
      </c>
      <c r="C160" s="5" t="str">
        <v>Uốn định hình nếp tóc cao cấp (K-Perm Collection)</v>
      </c>
      <c r="D160" s="5">
        <f>VLOOKUP(C160,'Sheet7'!$B:$C,2,0)</f>
      </c>
      <c r="E160" s="5"/>
      <c r="F160" s="6">
        <v>478000</v>
      </c>
      <c r="G160" s="7">
        <v>478000</v>
      </c>
      <c r="H160" s="7">
        <v>488000</v>
      </c>
      <c r="I160" s="7">
        <v>488000</v>
      </c>
      <c r="J160" s="9" t="str">
        <v>Giá không đổi</v>
      </c>
      <c r="K160" s="4">
        <f>G160-F160</f>
      </c>
      <c r="L160" s="4">
        <v>210</v>
      </c>
      <c r="M160" s="4">
        <v>952</v>
      </c>
      <c r="N160" s="4" t="str" xml:space="preserve">
        <v>+10.000 VNĐ 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5" t="str">
        <v>151 CG</v>
      </c>
      <c r="B161" s="5">
        <f>VLOOKUP(A161,'Sheet10'!$A:$C,3,0)</f>
      </c>
      <c r="C161" s="5" t="str">
        <v>(2022T) ATS Control Buffer - Khử mùi tạo thơm cho tóc uốn nhuộm 40k</v>
      </c>
      <c r="D161" s="5">
        <v>610</v>
      </c>
      <c r="E161" s="5"/>
      <c r="F161" s="6">
        <v>40000</v>
      </c>
      <c r="G161" s="7">
        <v>40000</v>
      </c>
      <c r="H161" s="7">
        <v>40000</v>
      </c>
      <c r="I161" s="7">
        <v>40000</v>
      </c>
      <c r="J161" s="9" t="str">
        <v>Giá không đổi</v>
      </c>
      <c r="K161" s="4">
        <f>G161-F161</f>
      </c>
      <c r="L161" s="4">
        <v>39</v>
      </c>
      <c r="M161" s="4">
        <v>610</v>
      </c>
      <c r="N161" s="4" t="str">
        <v>Không đổi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5" t="str">
        <v>151 CG</v>
      </c>
      <c r="B162" s="5">
        <f>VLOOKUP(A162,'Sheet10'!$A:$C,3,0)</f>
      </c>
      <c r="C162" s="5" t="str">
        <v>(NEW) Nhuộm màu thời trang Milano</v>
      </c>
      <c r="D162" s="5">
        <v>960</v>
      </c>
      <c r="E162" s="5">
        <f>A162&amp;D162</f>
      </c>
      <c r="F162" s="6">
        <v>332000</v>
      </c>
      <c r="G162" s="8">
        <v>346000</v>
      </c>
      <c r="H162" s="8">
        <v>346000</v>
      </c>
      <c r="I162" s="8">
        <v>346000</v>
      </c>
      <c r="J162" s="3" t="str">
        <v>Điều chỉnh giá</v>
      </c>
      <c r="K162" s="4">
        <f>G162-F162</f>
      </c>
      <c r="L162" s="4">
        <v>39</v>
      </c>
      <c r="M162" s="4">
        <v>960</v>
      </c>
      <c r="N162" s="4" t="str">
        <v>Không đổi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5" t="str">
        <v>151 CG</v>
      </c>
      <c r="B163" s="5">
        <f>VLOOKUP(A163,'Sheet10'!$A:$C,3,0)</f>
      </c>
      <c r="C163" s="5" t="str">
        <v>(NEW) Nhuộm phủ bạc tiêu chuẩn 199K</v>
      </c>
      <c r="D163" s="5">
        <v>967</v>
      </c>
      <c r="E163" s="5"/>
      <c r="F163" s="6">
        <v>199000</v>
      </c>
      <c r="G163" s="8">
        <v>202000</v>
      </c>
      <c r="H163" s="8">
        <v>202000</v>
      </c>
      <c r="I163" s="8">
        <v>202000</v>
      </c>
      <c r="J163" s="3" t="str">
        <v>Điều chỉnh giá</v>
      </c>
      <c r="K163" s="4">
        <f>G163-F163</f>
      </c>
      <c r="L163" s="4">
        <v>39</v>
      </c>
      <c r="M163" s="4">
        <v>967</v>
      </c>
      <c r="N163" s="4" t="str">
        <v>Không đổi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5" t="str">
        <v>151 CG</v>
      </c>
      <c r="B164" s="5">
        <f>VLOOKUP(A164,'Sheet10'!$A:$C,3,0)</f>
      </c>
      <c r="C164" s="5" t="str">
        <v>(NEW) Uốn/Duỗi/Định hình full đầu tạo form vào nếp tự nhiên</v>
      </c>
      <c r="D164" s="5">
        <f>VLOOKUP(C164,'Sheet7'!$B:$C,2,0)</f>
      </c>
      <c r="E164" s="5">
        <f>A164&amp;D164</f>
      </c>
      <c r="F164" s="6">
        <v>386000</v>
      </c>
      <c r="G164" s="7">
        <v>386000</v>
      </c>
      <c r="H164" s="7">
        <v>396000</v>
      </c>
      <c r="I164" s="7">
        <v>396000</v>
      </c>
      <c r="J164" s="9" t="str">
        <v>Giá không đổi</v>
      </c>
      <c r="K164" s="4">
        <f>G164-F164</f>
      </c>
      <c r="L164" s="4">
        <v>39</v>
      </c>
      <c r="M164" s="4">
        <v>1009</v>
      </c>
      <c r="N164" s="4" t="str" xml:space="preserve">
        <v>+10.000 VNĐ 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5" t="str">
        <v>151 CG</v>
      </c>
      <c r="B165" s="5">
        <f>VLOOKUP(A165,'Sheet10'!$A:$C,3,0)</f>
      </c>
      <c r="C165" s="5" t="str">
        <v>[DV] Nhuộm đen phủ bạc R&amp;B thảo dược</v>
      </c>
      <c r="D165" s="5">
        <v>912</v>
      </c>
      <c r="E165" s="5"/>
      <c r="F165" s="6">
        <v>289000</v>
      </c>
      <c r="G165" s="8">
        <v>293000</v>
      </c>
      <c r="H165" s="8">
        <v>293000</v>
      </c>
      <c r="I165" s="8">
        <v>293000</v>
      </c>
      <c r="J165" s="3" t="str">
        <v>Điều chỉnh giá</v>
      </c>
      <c r="K165" s="4">
        <f>G165-F165</f>
      </c>
      <c r="L165" s="4">
        <v>39</v>
      </c>
      <c r="M165" s="4">
        <v>912</v>
      </c>
      <c r="N165" s="4" t="str">
        <v>Không đổi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5" t="str">
        <v>151 CG</v>
      </c>
      <c r="B166" s="5">
        <f>VLOOKUP(A166,'Sheet10'!$A:$C,3,0)</f>
      </c>
      <c r="C166" s="5" t="str">
        <v>[DV] Tẩy tóc bật tông Ý (1 lần)</v>
      </c>
      <c r="D166" s="5">
        <v>915</v>
      </c>
      <c r="E166" s="5"/>
      <c r="F166" s="6">
        <v>252000</v>
      </c>
      <c r="G166" s="7">
        <v>252000</v>
      </c>
      <c r="H166" s="7">
        <v>252000</v>
      </c>
      <c r="I166" s="7">
        <v>252000</v>
      </c>
      <c r="J166" s="9" t="str">
        <v>Giá không đổi</v>
      </c>
      <c r="K166" s="4">
        <f>G166-F166</f>
      </c>
      <c r="L166" s="4">
        <v>39</v>
      </c>
      <c r="M166" s="4">
        <v>915</v>
      </c>
      <c r="N166" s="4" t="str">
        <v>Không đổi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5" t="str">
        <v>151 CG</v>
      </c>
      <c r="B167" s="5">
        <f>VLOOKUP(A167,'Sheet10'!$A:$C,3,0)</f>
      </c>
      <c r="C167" s="5" t="str">
        <v>[DV] Tẩy tóc bật tông Ý (2 lần) 500k</v>
      </c>
      <c r="D167" s="5">
        <v>916</v>
      </c>
      <c r="E167" s="5"/>
      <c r="F167" s="6">
        <v>500000</v>
      </c>
      <c r="G167" s="7">
        <v>500000</v>
      </c>
      <c r="H167" s="7">
        <v>500000</v>
      </c>
      <c r="I167" s="7">
        <v>500000</v>
      </c>
      <c r="J167" s="9" t="str">
        <v>Giá không đổi</v>
      </c>
      <c r="K167" s="4">
        <f>G167-F167</f>
      </c>
      <c r="L167" s="4">
        <v>39</v>
      </c>
      <c r="M167" s="4">
        <v>916</v>
      </c>
      <c r="N167" s="4" t="str">
        <v>Không đổi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5" t="str">
        <v>151 CG</v>
      </c>
      <c r="B168" s="5">
        <f>VLOOKUP(A168,'Sheet10'!$A:$C,3,0)</f>
      </c>
      <c r="C168" s="5" t="str">
        <v>[DV] Uốn Texture con sâu/Uốn Ruffled</v>
      </c>
      <c r="D168" s="5">
        <f>VLOOKUP(C168,'Sheet7'!$B:$C,2,0)</f>
      </c>
      <c r="E168" s="5"/>
      <c r="F168" s="6">
        <v>499000</v>
      </c>
      <c r="G168" s="8">
        <v>520000</v>
      </c>
      <c r="H168" s="7">
        <v>530000</v>
      </c>
      <c r="I168" s="7">
        <v>530000</v>
      </c>
      <c r="J168" s="3" t="str">
        <v>Điều chỉnh giá</v>
      </c>
      <c r="K168" s="4">
        <f>G168-F168</f>
      </c>
      <c r="L168" s="4">
        <v>39</v>
      </c>
      <c r="M168" s="4">
        <v>674</v>
      </c>
      <c r="N168" s="4" t="str" xml:space="preserve">
        <v>+10.000 VNĐ 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5" t="str">
        <v>151 CG</v>
      </c>
      <c r="B169" s="5">
        <f>VLOOKUP(A169,'Sheet10'!$A:$C,3,0)</f>
      </c>
      <c r="C169" s="5" t="str">
        <v>[DV] Ép side hai bên</v>
      </c>
      <c r="D169" s="5">
        <f>VLOOKUP(C169,'Sheet7'!$B:$C,2,0)</f>
      </c>
      <c r="E169" s="5"/>
      <c r="F169" s="6">
        <v>189000</v>
      </c>
      <c r="G169" s="8">
        <v>198000</v>
      </c>
      <c r="H169" s="7">
        <v>208000</v>
      </c>
      <c r="I169" s="7">
        <v>208000</v>
      </c>
      <c r="J169" s="3" t="str">
        <v>Điều chỉnh giá</v>
      </c>
      <c r="K169" s="4">
        <f>G169-F169</f>
      </c>
      <c r="L169" s="4">
        <v>39</v>
      </c>
      <c r="M169" s="4">
        <v>902</v>
      </c>
      <c r="N169" s="4" t="str" xml:space="preserve">
        <v>+10.000 VNĐ 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5" t="str">
        <v>151 CG</v>
      </c>
      <c r="B170" s="5">
        <f>VLOOKUP(A170,'Sheet10'!$A:$C,3,0)</f>
      </c>
      <c r="C170" s="5" t="str">
        <v>NHUỘM THIẾT KẾ PHỤC HỒI CHUYÊN SÂU LIPID BOND 2025</v>
      </c>
      <c r="D170" s="5">
        <v>1149</v>
      </c>
      <c r="E170" s="5"/>
      <c r="F170" s="6">
        <v>689000</v>
      </c>
      <c r="G170" s="8">
        <v>719000</v>
      </c>
      <c r="H170" s="8">
        <v>719000</v>
      </c>
      <c r="I170" s="8">
        <v>719000</v>
      </c>
      <c r="J170" s="3" t="str">
        <v>Điều chỉnh giá</v>
      </c>
      <c r="K170" s="4">
        <f>G170-F170</f>
      </c>
      <c r="L170" s="4">
        <v>39</v>
      </c>
      <c r="M170" s="4">
        <v>1149</v>
      </c>
      <c r="N170" s="4" t="str">
        <v>Không đổi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5" t="str">
        <v>151 CG</v>
      </c>
      <c r="B171" s="5">
        <f>VLOOKUP(A171,'Sheet10'!$A:$C,3,0)</f>
      </c>
      <c r="C171" s="5" t="str">
        <v>Phục hồi trẻ hóa Lipid Bond</v>
      </c>
      <c r="D171" s="5">
        <v>1101</v>
      </c>
      <c r="E171" s="5"/>
      <c r="F171" s="6">
        <v>132000</v>
      </c>
      <c r="G171" s="8">
        <v>146000</v>
      </c>
      <c r="H171" s="8">
        <v>146000</v>
      </c>
      <c r="I171" s="8">
        <v>146000</v>
      </c>
      <c r="J171" s="3" t="str">
        <v>Điều chỉnh giá</v>
      </c>
      <c r="K171" s="4">
        <f>G171-F171</f>
      </c>
      <c r="L171" s="4">
        <v>39</v>
      </c>
      <c r="M171" s="4">
        <v>1101</v>
      </c>
      <c r="N171" s="4" t="str">
        <v>Không đổi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5" t="str">
        <v>151 CG</v>
      </c>
      <c r="B172" s="5">
        <f>VLOOKUP(A172,'Sheet10'!$A:$C,3,0)</f>
      </c>
      <c r="C172" s="5" t="str">
        <v>UỐN THIẾT KẾ PHỤC HỒI CHUYÊN SÂU LIPID BOND 2025</v>
      </c>
      <c r="D172" s="5">
        <f>VLOOKUP(C172,'Sheet7'!$B:$C,2,0)</f>
      </c>
      <c r="E172" s="5"/>
      <c r="F172" s="6">
        <v>689000</v>
      </c>
      <c r="G172" s="7">
        <v>689000</v>
      </c>
      <c r="H172" s="7">
        <v>699000</v>
      </c>
      <c r="I172" s="7">
        <v>699000</v>
      </c>
      <c r="J172" s="9" t="str">
        <v>Giá không đổi</v>
      </c>
      <c r="K172" s="4">
        <f>G172-F172</f>
      </c>
      <c r="L172" s="4">
        <v>39</v>
      </c>
      <c r="M172" s="4">
        <v>1148</v>
      </c>
      <c r="N172" s="4" t="str" xml:space="preserve">
        <v>+10.000 VNĐ 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5" t="str">
        <v>151 CG</v>
      </c>
      <c r="B173" s="5">
        <f>VLOOKUP(A173,'Sheet10'!$A:$C,3,0)</f>
      </c>
      <c r="C173" s="5" t="str">
        <v>Uốn định hình nếp tóc cao cấp (K-Perm Collection)</v>
      </c>
      <c r="D173" s="5">
        <f>VLOOKUP(C173,'Sheet7'!$B:$C,2,0)</f>
      </c>
      <c r="E173" s="5"/>
      <c r="F173" s="6">
        <v>478000</v>
      </c>
      <c r="G173" s="7">
        <v>478000</v>
      </c>
      <c r="H173" s="7">
        <v>488000</v>
      </c>
      <c r="I173" s="7">
        <v>488000</v>
      </c>
      <c r="J173" s="9" t="str">
        <v>Giá không đổi</v>
      </c>
      <c r="K173" s="4">
        <f>G173-F173</f>
      </c>
      <c r="L173" s="4">
        <v>39</v>
      </c>
      <c r="M173" s="4">
        <v>952</v>
      </c>
      <c r="N173" s="4" t="str" xml:space="preserve">
        <v>+10.000 VNĐ 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5" t="str">
        <v>168 NVC</v>
      </c>
      <c r="B174" s="5">
        <f>VLOOKUP(A174,'Sheet10'!$A:$C,3,0)</f>
      </c>
      <c r="C174" s="5" t="str">
        <v>(2022T) ATS Control Buffer - Khử mùi tạo thơm cho tóc uốn nhuộm 40k</v>
      </c>
      <c r="D174" s="5">
        <v>610</v>
      </c>
      <c r="E174" s="5"/>
      <c r="F174" s="6">
        <v>40000</v>
      </c>
      <c r="G174" s="7">
        <v>40000</v>
      </c>
      <c r="H174" s="7">
        <v>40000</v>
      </c>
      <c r="I174" s="7">
        <v>40000</v>
      </c>
      <c r="J174" s="9" t="str">
        <v>Giá không đổi</v>
      </c>
      <c r="K174" s="4">
        <f>G174-F174</f>
      </c>
      <c r="L174" s="4">
        <v>144</v>
      </c>
      <c r="M174" s="4">
        <v>610</v>
      </c>
      <c r="N174" s="4" t="str">
        <v>Không đổi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5" t="str">
        <v>168 NVC</v>
      </c>
      <c r="B175" s="5">
        <f>VLOOKUP(A175,'Sheet10'!$A:$C,3,0)</f>
      </c>
      <c r="C175" s="5" t="str">
        <v>(NEW) Nhuộm màu thời trang Milano</v>
      </c>
      <c r="D175" s="5">
        <v>960</v>
      </c>
      <c r="E175" s="5">
        <f>A175&amp;D175</f>
      </c>
      <c r="F175" s="6">
        <v>332000</v>
      </c>
      <c r="G175" s="8">
        <v>346000</v>
      </c>
      <c r="H175" s="8">
        <v>346000</v>
      </c>
      <c r="I175" s="8">
        <v>346000</v>
      </c>
      <c r="J175" s="3" t="str">
        <v>Điều chỉnh giá</v>
      </c>
      <c r="K175" s="4">
        <f>G175-F175</f>
      </c>
      <c r="L175" s="4">
        <v>144</v>
      </c>
      <c r="M175" s="4">
        <v>960</v>
      </c>
      <c r="N175" s="4" t="str">
        <v>Không đổi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5" t="str">
        <v>168 NVC</v>
      </c>
      <c r="B176" s="5">
        <f>VLOOKUP(A176,'Sheet10'!$A:$C,3,0)</f>
      </c>
      <c r="C176" s="5" t="str">
        <v>(NEW) Nhuộm phủ bạc tiêu chuẩn 199K</v>
      </c>
      <c r="D176" s="5">
        <v>967</v>
      </c>
      <c r="E176" s="5"/>
      <c r="F176" s="6">
        <v>199000</v>
      </c>
      <c r="G176" s="8">
        <v>207000</v>
      </c>
      <c r="H176" s="8">
        <v>207000</v>
      </c>
      <c r="I176" s="8">
        <v>207000</v>
      </c>
      <c r="J176" s="3" t="str">
        <v>Điều chỉnh giá</v>
      </c>
      <c r="K176" s="4">
        <f>G176-F176</f>
      </c>
      <c r="L176" s="4">
        <v>144</v>
      </c>
      <c r="M176" s="4">
        <v>967</v>
      </c>
      <c r="N176" s="4" t="str">
        <v>Không đổi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5" t="str">
        <v>168 NVC</v>
      </c>
      <c r="B177" s="5">
        <f>VLOOKUP(A177,'Sheet10'!$A:$C,3,0)</f>
      </c>
      <c r="C177" s="5" t="str">
        <v>(NEW) Uốn/Duỗi/Định hình full đầu tạo form vào nếp tự nhiên</v>
      </c>
      <c r="D177" s="5">
        <f>VLOOKUP(C177,'Sheet7'!$B:$C,2,0)</f>
      </c>
      <c r="E177" s="5">
        <f>A177&amp;D177</f>
      </c>
      <c r="F177" s="6">
        <v>386000</v>
      </c>
      <c r="G177" s="8">
        <v>406000</v>
      </c>
      <c r="H177" s="7">
        <v>416000</v>
      </c>
      <c r="I177" s="7">
        <v>416000</v>
      </c>
      <c r="J177" s="3" t="str">
        <v>Điều chỉnh giá</v>
      </c>
      <c r="K177" s="4">
        <f>G177-F177</f>
      </c>
      <c r="L177" s="4">
        <v>144</v>
      </c>
      <c r="M177" s="4">
        <v>1009</v>
      </c>
      <c r="N177" s="4" t="str" xml:space="preserve">
        <v>+10.000 VNĐ 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5" t="str">
        <v>168 NVC</v>
      </c>
      <c r="B178" s="5">
        <f>VLOOKUP(A178,'Sheet10'!$A:$C,3,0)</f>
      </c>
      <c r="C178" s="5" t="str">
        <v>[DV] Nhuộm đen phủ bạc R&amp;B thảo dược</v>
      </c>
      <c r="D178" s="5">
        <v>912</v>
      </c>
      <c r="E178" s="5"/>
      <c r="F178" s="6">
        <v>289000</v>
      </c>
      <c r="G178" s="8">
        <v>299000</v>
      </c>
      <c r="H178" s="8">
        <v>299000</v>
      </c>
      <c r="I178" s="8">
        <v>299000</v>
      </c>
      <c r="J178" s="3" t="str">
        <v>Điều chỉnh giá</v>
      </c>
      <c r="K178" s="4">
        <f>G178-F178</f>
      </c>
      <c r="L178" s="4">
        <v>144</v>
      </c>
      <c r="M178" s="4">
        <v>912</v>
      </c>
      <c r="N178" s="4" t="str">
        <v>Không đổi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5" t="str">
        <v>168 NVC</v>
      </c>
      <c r="B179" s="5">
        <f>VLOOKUP(A179,'Sheet10'!$A:$C,3,0)</f>
      </c>
      <c r="C179" s="5" t="str">
        <v>[DV] Tẩy tóc bật tông Ý (1 lần)</v>
      </c>
      <c r="D179" s="5">
        <v>915</v>
      </c>
      <c r="E179" s="5"/>
      <c r="F179" s="6">
        <v>252000</v>
      </c>
      <c r="G179" s="8">
        <v>269000</v>
      </c>
      <c r="H179" s="8">
        <v>269000</v>
      </c>
      <c r="I179" s="8">
        <v>269000</v>
      </c>
      <c r="J179" s="3" t="str">
        <v>Điều chỉnh giá</v>
      </c>
      <c r="K179" s="4">
        <f>G179-F179</f>
      </c>
      <c r="L179" s="4">
        <v>144</v>
      </c>
      <c r="M179" s="4">
        <v>915</v>
      </c>
      <c r="N179" s="4" t="str">
        <v>Không đổi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5" t="str">
        <v>168 NVC</v>
      </c>
      <c r="B180" s="5">
        <f>VLOOKUP(A180,'Sheet10'!$A:$C,3,0)</f>
      </c>
      <c r="C180" s="5" t="str">
        <v>[DV] Tẩy tóc bật tông Ý (2 lần) 500k</v>
      </c>
      <c r="D180" s="5">
        <v>916</v>
      </c>
      <c r="E180" s="5"/>
      <c r="F180" s="6">
        <v>500000</v>
      </c>
      <c r="G180" s="8">
        <v>525000</v>
      </c>
      <c r="H180" s="8">
        <v>525000</v>
      </c>
      <c r="I180" s="8">
        <v>525000</v>
      </c>
      <c r="J180" s="3" t="str">
        <v>Điều chỉnh giá</v>
      </c>
      <c r="K180" s="4">
        <f>G180-F180</f>
      </c>
      <c r="L180" s="4">
        <v>144</v>
      </c>
      <c r="M180" s="4">
        <v>916</v>
      </c>
      <c r="N180" s="4" t="str">
        <v>Không đổi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5" t="str">
        <v>168 NVC</v>
      </c>
      <c r="B181" s="5">
        <f>VLOOKUP(A181,'Sheet10'!$A:$C,3,0)</f>
      </c>
      <c r="C181" s="5" t="str">
        <v>[DV] Uốn Texture con sâu/Uốn Ruffled</v>
      </c>
      <c r="D181" s="5">
        <f>VLOOKUP(C181,'Sheet7'!$B:$C,2,0)</f>
      </c>
      <c r="E181" s="5"/>
      <c r="F181" s="6">
        <v>499000</v>
      </c>
      <c r="G181" s="8">
        <v>520000</v>
      </c>
      <c r="H181" s="7">
        <v>530000</v>
      </c>
      <c r="I181" s="7">
        <v>530000</v>
      </c>
      <c r="J181" s="3" t="str">
        <v>Điều chỉnh giá</v>
      </c>
      <c r="K181" s="4">
        <f>G181-F181</f>
      </c>
      <c r="L181" s="4">
        <v>144</v>
      </c>
      <c r="M181" s="4">
        <v>674</v>
      </c>
      <c r="N181" s="4" t="str" xml:space="preserve">
        <v>+10.000 VNĐ 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5" t="str">
        <v>168 NVC</v>
      </c>
      <c r="B182" s="5">
        <f>VLOOKUP(A182,'Sheet10'!$A:$C,3,0)</f>
      </c>
      <c r="C182" s="5" t="str">
        <v>[DV] Ép side hai bên</v>
      </c>
      <c r="D182" s="5">
        <f>VLOOKUP(C182,'Sheet7'!$B:$C,2,0)</f>
      </c>
      <c r="E182" s="5"/>
      <c r="F182" s="6">
        <v>189000</v>
      </c>
      <c r="G182" s="8">
        <v>198000</v>
      </c>
      <c r="H182" s="7">
        <v>208000</v>
      </c>
      <c r="I182" s="7">
        <v>208000</v>
      </c>
      <c r="J182" s="3" t="str">
        <v>Điều chỉnh giá</v>
      </c>
      <c r="K182" s="4">
        <f>G182-F182</f>
      </c>
      <c r="L182" s="4">
        <v>144</v>
      </c>
      <c r="M182" s="4">
        <v>902</v>
      </c>
      <c r="N182" s="4" t="str" xml:space="preserve">
        <v>+10.000 VNĐ 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5" t="str">
        <v>168 NVC</v>
      </c>
      <c r="B183" s="5">
        <f>VLOOKUP(A183,'Sheet10'!$A:$C,3,0)</f>
      </c>
      <c r="C183" s="5" t="str">
        <v>NHUỘM THIẾT KẾ PHỤC HỒI CHUYÊN SÂU LIPID BOND 2025</v>
      </c>
      <c r="D183" s="5">
        <v>1149</v>
      </c>
      <c r="E183" s="5"/>
      <c r="F183" s="6">
        <v>689000</v>
      </c>
      <c r="G183" s="8">
        <v>719000</v>
      </c>
      <c r="H183" s="8">
        <v>719000</v>
      </c>
      <c r="I183" s="8">
        <v>719000</v>
      </c>
      <c r="J183" s="3" t="str">
        <v>Điều chỉnh giá</v>
      </c>
      <c r="K183" s="4">
        <f>G183-F183</f>
      </c>
      <c r="L183" s="4">
        <v>144</v>
      </c>
      <c r="M183" s="4">
        <v>1149</v>
      </c>
      <c r="N183" s="4" t="str">
        <v>Không đổi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5" t="str">
        <v>168 NVC</v>
      </c>
      <c r="B184" s="5">
        <f>VLOOKUP(A184,'Sheet10'!$A:$C,3,0)</f>
      </c>
      <c r="C184" s="5" t="str">
        <v>Phục hồi trẻ hóa Lipid Bond</v>
      </c>
      <c r="D184" s="5">
        <v>1101</v>
      </c>
      <c r="E184" s="5"/>
      <c r="F184" s="6">
        <v>132000</v>
      </c>
      <c r="G184" s="8">
        <v>146000</v>
      </c>
      <c r="H184" s="8">
        <v>146000</v>
      </c>
      <c r="I184" s="8">
        <v>146000</v>
      </c>
      <c r="J184" s="3" t="str">
        <v>Điều chỉnh giá</v>
      </c>
      <c r="K184" s="4">
        <f>G184-F184</f>
      </c>
      <c r="L184" s="4">
        <v>144</v>
      </c>
      <c r="M184" s="4">
        <v>1101</v>
      </c>
      <c r="N184" s="4" t="str">
        <v>Không đổi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5" t="str">
        <v>168 NVC</v>
      </c>
      <c r="B185" s="5">
        <f>VLOOKUP(A185,'Sheet10'!$A:$C,3,0)</f>
      </c>
      <c r="C185" s="5" t="str">
        <v>UỐN THIẾT KẾ PHỤC HỒI CHUYÊN SÂU LIPID BOND 2025</v>
      </c>
      <c r="D185" s="5">
        <f>VLOOKUP(C185,'Sheet7'!$B:$C,2,0)</f>
      </c>
      <c r="E185" s="5"/>
      <c r="F185" s="6">
        <v>689000</v>
      </c>
      <c r="G185" s="8">
        <v>729000</v>
      </c>
      <c r="H185" s="7">
        <v>739000</v>
      </c>
      <c r="I185" s="7">
        <v>739000</v>
      </c>
      <c r="J185" s="3" t="str">
        <v>Điều chỉnh giá</v>
      </c>
      <c r="K185" s="4">
        <f>G185-F185</f>
      </c>
      <c r="L185" s="4">
        <v>144</v>
      </c>
      <c r="M185" s="4">
        <v>1148</v>
      </c>
      <c r="N185" s="4" t="str" xml:space="preserve">
        <v>+10.000 VNĐ 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5" t="str">
        <v>168 NVC</v>
      </c>
      <c r="B186" s="5">
        <f>VLOOKUP(A186,'Sheet10'!$A:$C,3,0)</f>
      </c>
      <c r="C186" s="5" t="str">
        <v>Uốn định hình nếp tóc cao cấp (K-Perm Collection)</v>
      </c>
      <c r="D186" s="5">
        <f>VLOOKUP(C186,'Sheet7'!$B:$C,2,0)</f>
      </c>
      <c r="E186" s="5"/>
      <c r="F186" s="6">
        <v>478000</v>
      </c>
      <c r="G186" s="8">
        <v>502000</v>
      </c>
      <c r="H186" s="7">
        <v>512000</v>
      </c>
      <c r="I186" s="7">
        <v>512000</v>
      </c>
      <c r="J186" s="3" t="str">
        <v>Điều chỉnh giá</v>
      </c>
      <c r="K186" s="4">
        <f>G186-F186</f>
      </c>
      <c r="L186" s="4">
        <v>144</v>
      </c>
      <c r="M186" s="4">
        <v>952</v>
      </c>
      <c r="N186" s="4" t="str" xml:space="preserve">
        <v>+10.000 VNĐ 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5" t="str">
        <v>173 TN</v>
      </c>
      <c r="B187" s="5">
        <f>VLOOKUP(A187,'Sheet10'!$A:$C,3,0)</f>
      </c>
      <c r="C187" s="5" t="str">
        <v>(2022T) ATS Control Buffer - Khử mùi tạo thơm cho tóc uốn nhuộm 40k</v>
      </c>
      <c r="D187" s="5">
        <v>610</v>
      </c>
      <c r="E187" s="5"/>
      <c r="F187" s="6">
        <v>40000</v>
      </c>
      <c r="G187" s="7">
        <v>40000</v>
      </c>
      <c r="H187" s="7">
        <v>40000</v>
      </c>
      <c r="I187" s="7">
        <v>40000</v>
      </c>
      <c r="J187" s="9" t="str">
        <v>Giá không đổi</v>
      </c>
      <c r="K187" s="4">
        <f>G187-F187</f>
      </c>
      <c r="L187" s="4">
        <v>250</v>
      </c>
      <c r="M187" s="4">
        <v>610</v>
      </c>
      <c r="N187" s="4" t="str">
        <v>Không đổi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5" t="str">
        <v>173 TN</v>
      </c>
      <c r="B188" s="5">
        <f>VLOOKUP(A188,'Sheet10'!$A:$C,3,0)</f>
      </c>
      <c r="C188" s="5" t="str">
        <v>(NEW) Nhuộm màu thời trang Milano</v>
      </c>
      <c r="D188" s="5">
        <v>960</v>
      </c>
      <c r="E188" s="5">
        <f>A188&amp;D188</f>
      </c>
      <c r="F188" s="6">
        <v>332000</v>
      </c>
      <c r="G188" s="8">
        <v>366000</v>
      </c>
      <c r="H188" s="8">
        <v>366000</v>
      </c>
      <c r="I188" s="8">
        <v>366000</v>
      </c>
      <c r="J188" s="3" t="str">
        <v>Điều chỉnh giá</v>
      </c>
      <c r="K188" s="4">
        <f>G188-F188</f>
      </c>
      <c r="L188" s="4">
        <v>250</v>
      </c>
      <c r="M188" s="4">
        <v>960</v>
      </c>
      <c r="N188" s="4" t="str">
        <v>Không đổi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5" t="str">
        <v>173 TN</v>
      </c>
      <c r="B189" s="5">
        <f>VLOOKUP(A189,'Sheet10'!$A:$C,3,0)</f>
      </c>
      <c r="C189" s="5" t="str">
        <v>(NEW) Nhuộm phủ bạc tiêu chuẩn 199K</v>
      </c>
      <c r="D189" s="5">
        <v>967</v>
      </c>
      <c r="E189" s="5"/>
      <c r="F189" s="6">
        <v>199000</v>
      </c>
      <c r="G189" s="7">
        <v>199000</v>
      </c>
      <c r="H189" s="7">
        <v>199000</v>
      </c>
      <c r="I189" s="7">
        <v>199000</v>
      </c>
      <c r="J189" s="9" t="str">
        <v>Giá không đổi</v>
      </c>
      <c r="K189" s="4">
        <f>G189-F189</f>
      </c>
      <c r="L189" s="4">
        <v>250</v>
      </c>
      <c r="M189" s="4">
        <v>967</v>
      </c>
      <c r="N189" s="4" t="str">
        <v>Không đổi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5" t="str">
        <v>173 TN</v>
      </c>
      <c r="B190" s="5">
        <f>VLOOKUP(A190,'Sheet10'!$A:$C,3,0)</f>
      </c>
      <c r="C190" s="5" t="str">
        <v>(NEW) Uốn/Duỗi/Định hình full đầu tạo form vào nếp tự nhiên</v>
      </c>
      <c r="D190" s="5">
        <f>VLOOKUP(C190,'Sheet7'!$B:$C,2,0)</f>
      </c>
      <c r="E190" s="5">
        <f>A190&amp;D190</f>
      </c>
      <c r="F190" s="6">
        <v>386000</v>
      </c>
      <c r="G190" s="7">
        <v>386000</v>
      </c>
      <c r="H190" s="7">
        <v>396000</v>
      </c>
      <c r="I190" s="7">
        <v>396000</v>
      </c>
      <c r="J190" s="9" t="str">
        <v>Giá không đổi</v>
      </c>
      <c r="K190" s="4">
        <f>G190-F190</f>
      </c>
      <c r="L190" s="4">
        <v>250</v>
      </c>
      <c r="M190" s="4">
        <v>1009</v>
      </c>
      <c r="N190" s="4" t="str" xml:space="preserve">
        <v>+10.000 VNĐ 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5" t="str">
        <v>173 TN</v>
      </c>
      <c r="B191" s="5">
        <f>VLOOKUP(A191,'Sheet10'!$A:$C,3,0)</f>
      </c>
      <c r="C191" s="5" t="str">
        <v>[DV] Nhuộm đen phủ bạc R&amp;B thảo dược</v>
      </c>
      <c r="D191" s="5">
        <v>912</v>
      </c>
      <c r="E191" s="5"/>
      <c r="F191" s="6">
        <v>289000</v>
      </c>
      <c r="G191" s="7">
        <v>289000</v>
      </c>
      <c r="H191" s="7">
        <v>289000</v>
      </c>
      <c r="I191" s="7">
        <v>289000</v>
      </c>
      <c r="J191" s="9" t="str">
        <v>Giá không đổi</v>
      </c>
      <c r="K191" s="4">
        <f>G191-F191</f>
      </c>
      <c r="L191" s="4">
        <v>250</v>
      </c>
      <c r="M191" s="4">
        <v>912</v>
      </c>
      <c r="N191" s="4" t="str">
        <v>Không đổi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5" t="str">
        <v>173 TN</v>
      </c>
      <c r="B192" s="5">
        <f>VLOOKUP(A192,'Sheet10'!$A:$C,3,0)</f>
      </c>
      <c r="C192" s="5" t="str">
        <v>[DV] Tẩy tóc bật tông Ý (1 lần)</v>
      </c>
      <c r="D192" s="5">
        <v>915</v>
      </c>
      <c r="E192" s="5"/>
      <c r="F192" s="6">
        <v>252000</v>
      </c>
      <c r="G192" s="7">
        <v>252000</v>
      </c>
      <c r="H192" s="7">
        <v>252000</v>
      </c>
      <c r="I192" s="7">
        <v>252000</v>
      </c>
      <c r="J192" s="9" t="str">
        <v>Giá không đổi</v>
      </c>
      <c r="K192" s="4">
        <f>G192-F192</f>
      </c>
      <c r="L192" s="4">
        <v>250</v>
      </c>
      <c r="M192" s="4">
        <v>915</v>
      </c>
      <c r="N192" s="4" t="str">
        <v>Không đổi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5" t="str">
        <v>173 TN</v>
      </c>
      <c r="B193" s="5">
        <f>VLOOKUP(A193,'Sheet10'!$A:$C,3,0)</f>
      </c>
      <c r="C193" s="5" t="str">
        <v>[DV] Tẩy tóc bật tông Ý (2 lần) 500k</v>
      </c>
      <c r="D193" s="5">
        <v>916</v>
      </c>
      <c r="E193" s="5"/>
      <c r="F193" s="6">
        <v>500000</v>
      </c>
      <c r="G193" s="7">
        <v>500000</v>
      </c>
      <c r="H193" s="7">
        <v>500000</v>
      </c>
      <c r="I193" s="7">
        <v>500000</v>
      </c>
      <c r="J193" s="9" t="str">
        <v>Giá không đổi</v>
      </c>
      <c r="K193" s="4">
        <f>G193-F193</f>
      </c>
      <c r="L193" s="4">
        <v>250</v>
      </c>
      <c r="M193" s="4">
        <v>916</v>
      </c>
      <c r="N193" s="4" t="str">
        <v>Không đổi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5" t="str">
        <v>173 TN</v>
      </c>
      <c r="B194" s="5">
        <f>VLOOKUP(A194,'Sheet10'!$A:$C,3,0)</f>
      </c>
      <c r="C194" s="5" t="str">
        <v>[DV] Uốn Texture con sâu/Uốn Ruffled</v>
      </c>
      <c r="D194" s="5">
        <f>VLOOKUP(C194,'Sheet7'!$B:$C,2,0)</f>
      </c>
      <c r="E194" s="5"/>
      <c r="F194" s="6">
        <v>499000</v>
      </c>
      <c r="G194" s="8">
        <v>550000</v>
      </c>
      <c r="H194" s="7">
        <v>560000</v>
      </c>
      <c r="I194" s="7">
        <v>560000</v>
      </c>
      <c r="J194" s="3" t="str">
        <v>Điều chỉnh giá</v>
      </c>
      <c r="K194" s="4">
        <f>G194-F194</f>
      </c>
      <c r="L194" s="4">
        <v>250</v>
      </c>
      <c r="M194" s="4">
        <v>674</v>
      </c>
      <c r="N194" s="4" t="str" xml:space="preserve">
        <v>+10.000 VNĐ 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5" t="str">
        <v>173 TN</v>
      </c>
      <c r="B195" s="5">
        <f>VLOOKUP(A195,'Sheet10'!$A:$C,3,0)</f>
      </c>
      <c r="C195" s="5" t="str">
        <v>[DV] Ép side hai bên</v>
      </c>
      <c r="D195" s="5">
        <f>VLOOKUP(C195,'Sheet7'!$B:$C,2,0)</f>
      </c>
      <c r="E195" s="5"/>
      <c r="F195" s="6">
        <v>189000</v>
      </c>
      <c r="G195" s="8">
        <v>216000</v>
      </c>
      <c r="H195" s="7">
        <v>226000</v>
      </c>
      <c r="I195" s="7">
        <v>226000</v>
      </c>
      <c r="J195" s="3" t="str">
        <v>Điều chỉnh giá</v>
      </c>
      <c r="K195" s="4">
        <f>G195-F195</f>
      </c>
      <c r="L195" s="4">
        <v>250</v>
      </c>
      <c r="M195" s="4">
        <v>902</v>
      </c>
      <c r="N195" s="4" t="str" xml:space="preserve">
        <v>+10.000 VNĐ 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5" t="str">
        <v>173 TN</v>
      </c>
      <c r="B196" s="5">
        <f>VLOOKUP(A196,'Sheet10'!$A:$C,3,0)</f>
      </c>
      <c r="C196" s="5" t="str">
        <v>NHUỘM THIẾT KẾ PHỤC HỒI CHUYÊN SÂU LIPID BOND 2025</v>
      </c>
      <c r="D196" s="5">
        <v>1149</v>
      </c>
      <c r="E196" s="5"/>
      <c r="F196" s="6">
        <v>689000</v>
      </c>
      <c r="G196" s="8">
        <v>759000</v>
      </c>
      <c r="H196" s="8">
        <v>759000</v>
      </c>
      <c r="I196" s="8">
        <v>759000</v>
      </c>
      <c r="J196" s="3" t="str">
        <v>Điều chỉnh giá</v>
      </c>
      <c r="K196" s="4">
        <f>G196-F196</f>
      </c>
      <c r="L196" s="4">
        <v>250</v>
      </c>
      <c r="M196" s="4">
        <v>1149</v>
      </c>
      <c r="N196" s="4" t="str">
        <v>Không đổi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5" t="str">
        <v>173 TN</v>
      </c>
      <c r="B197" s="5">
        <f>VLOOKUP(A197,'Sheet10'!$A:$C,3,0)</f>
      </c>
      <c r="C197" s="5" t="str">
        <v>Phục hồi trẻ hóa Lipid Bond</v>
      </c>
      <c r="D197" s="5">
        <v>1101</v>
      </c>
      <c r="E197" s="5"/>
      <c r="F197" s="6">
        <v>132000</v>
      </c>
      <c r="G197" s="8">
        <v>146000</v>
      </c>
      <c r="H197" s="8">
        <v>146000</v>
      </c>
      <c r="I197" s="8">
        <v>146000</v>
      </c>
      <c r="J197" s="3" t="str">
        <v>Điều chỉnh giá</v>
      </c>
      <c r="K197" s="4">
        <f>G197-F197</f>
      </c>
      <c r="L197" s="4">
        <v>250</v>
      </c>
      <c r="M197" s="4">
        <v>1101</v>
      </c>
      <c r="N197" s="4" t="str">
        <v>Không đổi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5" t="str">
        <v>173 TN</v>
      </c>
      <c r="B198" s="5">
        <f>VLOOKUP(A198,'Sheet10'!$A:$C,3,0)</f>
      </c>
      <c r="C198" s="5" t="str">
        <v>UỐN THIẾT KẾ PHỤC HỒI CHUYÊN SÂU LIPID BOND 2025</v>
      </c>
      <c r="D198" s="5">
        <f>VLOOKUP(C198,'Sheet7'!$B:$C,2,0)</f>
      </c>
      <c r="E198" s="5"/>
      <c r="F198" s="6">
        <v>689000</v>
      </c>
      <c r="G198" s="7">
        <v>689000</v>
      </c>
      <c r="H198" s="7">
        <v>699000</v>
      </c>
      <c r="I198" s="7">
        <v>699000</v>
      </c>
      <c r="J198" s="9" t="str">
        <v>Giá không đổi</v>
      </c>
      <c r="K198" s="4">
        <f>G198-F198</f>
      </c>
      <c r="L198" s="4">
        <v>250</v>
      </c>
      <c r="M198" s="4">
        <v>1148</v>
      </c>
      <c r="N198" s="4" t="str" xml:space="preserve">
        <v>+10.000 VNĐ 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5" t="str">
        <v>173 TN</v>
      </c>
      <c r="B199" s="5">
        <f>VLOOKUP(A199,'Sheet10'!$A:$C,3,0)</f>
      </c>
      <c r="C199" s="5" t="str">
        <v>Uốn định hình nếp tóc cao cấp (K-Perm Collection)</v>
      </c>
      <c r="D199" s="5">
        <f>VLOOKUP(C199,'Sheet7'!$B:$C,2,0)</f>
      </c>
      <c r="E199" s="5"/>
      <c r="F199" s="6">
        <v>478000</v>
      </c>
      <c r="G199" s="7">
        <v>478000</v>
      </c>
      <c r="H199" s="7">
        <v>488000</v>
      </c>
      <c r="I199" s="7">
        <v>488000</v>
      </c>
      <c r="J199" s="9" t="str">
        <v>Giá không đổi</v>
      </c>
      <c r="K199" s="4">
        <f>G199-F199</f>
      </c>
      <c r="L199" s="4">
        <v>250</v>
      </c>
      <c r="M199" s="4">
        <v>952</v>
      </c>
      <c r="N199" s="4" t="str" xml:space="preserve">
        <v>+10.000 VNĐ 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5" t="str">
        <v>186 DTH</v>
      </c>
      <c r="B200" s="5">
        <f>VLOOKUP(A200,'Sheet10'!$A:$C,3,0)</f>
      </c>
      <c r="C200" s="5" t="str">
        <v>(2022T) ATS Control Buffer - Khử mùi tạo thơm cho tóc uốn nhuộm 40k</v>
      </c>
      <c r="D200" s="5">
        <v>610</v>
      </c>
      <c r="E200" s="5"/>
      <c r="F200" s="6">
        <v>40000</v>
      </c>
      <c r="G200" s="7">
        <v>40000</v>
      </c>
      <c r="H200" s="7">
        <v>40000</v>
      </c>
      <c r="I200" s="7">
        <v>40000</v>
      </c>
      <c r="J200" s="9" t="str">
        <v>Giá không đổi</v>
      </c>
      <c r="K200" s="4">
        <f>G200-F200</f>
      </c>
      <c r="L200" s="4">
        <v>182</v>
      </c>
      <c r="M200" s="4">
        <v>610</v>
      </c>
      <c r="N200" s="4" t="str">
        <v>Không đổi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5" t="str">
        <v>186 DTH</v>
      </c>
      <c r="B201" s="5">
        <f>VLOOKUP(A201,'Sheet10'!$A:$C,3,0)</f>
      </c>
      <c r="C201" s="5" t="str">
        <v>(NEW) Nhuộm màu thời trang Milano</v>
      </c>
      <c r="D201" s="5">
        <v>960</v>
      </c>
      <c r="E201" s="5">
        <f>A201&amp;D201</f>
      </c>
      <c r="F201" s="6">
        <v>332000</v>
      </c>
      <c r="G201" s="8">
        <v>366000</v>
      </c>
      <c r="H201" s="8">
        <v>366000</v>
      </c>
      <c r="I201" s="8">
        <v>366000</v>
      </c>
      <c r="J201" s="3" t="str">
        <v>Điều chỉnh giá</v>
      </c>
      <c r="K201" s="4">
        <f>G201-F201</f>
      </c>
      <c r="L201" s="4">
        <v>182</v>
      </c>
      <c r="M201" s="4">
        <v>960</v>
      </c>
      <c r="N201" s="4" t="str">
        <v>Không đổi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5" t="str">
        <v>186 DTH</v>
      </c>
      <c r="B202" s="5">
        <f>VLOOKUP(A202,'Sheet10'!$A:$C,3,0)</f>
      </c>
      <c r="C202" s="5" t="str">
        <v>(NEW) Nhuộm phủ bạc tiêu chuẩn 199K</v>
      </c>
      <c r="D202" s="5">
        <v>967</v>
      </c>
      <c r="E202" s="5"/>
      <c r="F202" s="6">
        <v>199000</v>
      </c>
      <c r="G202" s="7">
        <v>199000</v>
      </c>
      <c r="H202" s="7">
        <v>199000</v>
      </c>
      <c r="I202" s="7">
        <v>199000</v>
      </c>
      <c r="J202" s="9" t="str">
        <v>Giá không đổi</v>
      </c>
      <c r="K202" s="4">
        <f>G202-F202</f>
      </c>
      <c r="L202" s="4">
        <v>182</v>
      </c>
      <c r="M202" s="4">
        <v>967</v>
      </c>
      <c r="N202" s="4" t="str">
        <v>Không đổi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5" t="str">
        <v>186 DTH</v>
      </c>
      <c r="B203" s="5">
        <f>VLOOKUP(A203,'Sheet10'!$A:$C,3,0)</f>
      </c>
      <c r="C203" s="5" t="str">
        <v>(NEW) Uốn/Duỗi/Định hình full đầu tạo form vào nếp tự nhiên</v>
      </c>
      <c r="D203" s="5">
        <f>VLOOKUP(C203,'Sheet7'!$B:$C,2,0)</f>
      </c>
      <c r="E203" s="5">
        <f>A203&amp;D203</f>
      </c>
      <c r="F203" s="6">
        <v>386000</v>
      </c>
      <c r="G203" s="7">
        <v>386000</v>
      </c>
      <c r="H203" s="7">
        <v>396000</v>
      </c>
      <c r="I203" s="7">
        <v>396000</v>
      </c>
      <c r="J203" s="9" t="str">
        <v>Giá không đổi</v>
      </c>
      <c r="K203" s="4">
        <f>G203-F203</f>
      </c>
      <c r="L203" s="4">
        <v>182</v>
      </c>
      <c r="M203" s="4">
        <v>1009</v>
      </c>
      <c r="N203" s="4" t="str" xml:space="preserve">
        <v>+10.000 VNĐ 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5" t="str">
        <v>186 DTH</v>
      </c>
      <c r="B204" s="5">
        <f>VLOOKUP(A204,'Sheet10'!$A:$C,3,0)</f>
      </c>
      <c r="C204" s="5" t="str">
        <v>[DV] Nhuộm đen phủ bạc R&amp;B thảo dược</v>
      </c>
      <c r="D204" s="5">
        <v>912</v>
      </c>
      <c r="E204" s="5"/>
      <c r="F204" s="6">
        <v>289000</v>
      </c>
      <c r="G204" s="7">
        <v>289000</v>
      </c>
      <c r="H204" s="7">
        <v>289000</v>
      </c>
      <c r="I204" s="7">
        <v>289000</v>
      </c>
      <c r="J204" s="9" t="str">
        <v>Giá không đổi</v>
      </c>
      <c r="K204" s="4">
        <f>G204-F204</f>
      </c>
      <c r="L204" s="4">
        <v>182</v>
      </c>
      <c r="M204" s="4">
        <v>912</v>
      </c>
      <c r="N204" s="4" t="str">
        <v>Không đổi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5" t="str">
        <v>186 DTH</v>
      </c>
      <c r="B205" s="5">
        <f>VLOOKUP(A205,'Sheet10'!$A:$C,3,0)</f>
      </c>
      <c r="C205" s="5" t="str">
        <v>[DV] Tẩy tóc bật tông Ý (1 lần)</v>
      </c>
      <c r="D205" s="5">
        <v>915</v>
      </c>
      <c r="E205" s="5"/>
      <c r="F205" s="6">
        <v>252000</v>
      </c>
      <c r="G205" s="7">
        <v>252000</v>
      </c>
      <c r="H205" s="7">
        <v>252000</v>
      </c>
      <c r="I205" s="7">
        <v>252000</v>
      </c>
      <c r="J205" s="9" t="str">
        <v>Giá không đổi</v>
      </c>
      <c r="K205" s="4">
        <f>G205-F205</f>
      </c>
      <c r="L205" s="4">
        <v>182</v>
      </c>
      <c r="M205" s="4">
        <v>915</v>
      </c>
      <c r="N205" s="4" t="str">
        <v>Không đổi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5" t="str">
        <v>186 DTH</v>
      </c>
      <c r="B206" s="5">
        <f>VLOOKUP(A206,'Sheet10'!$A:$C,3,0)</f>
      </c>
      <c r="C206" s="5" t="str">
        <v>[DV] Tẩy tóc bật tông Ý (2 lần) 500k</v>
      </c>
      <c r="D206" s="5">
        <v>916</v>
      </c>
      <c r="E206" s="5"/>
      <c r="F206" s="6">
        <v>500000</v>
      </c>
      <c r="G206" s="7">
        <v>500000</v>
      </c>
      <c r="H206" s="7">
        <v>500000</v>
      </c>
      <c r="I206" s="7">
        <v>500000</v>
      </c>
      <c r="J206" s="9" t="str">
        <v>Giá không đổi</v>
      </c>
      <c r="K206" s="4">
        <f>G206-F206</f>
      </c>
      <c r="L206" s="4">
        <v>182</v>
      </c>
      <c r="M206" s="4">
        <v>916</v>
      </c>
      <c r="N206" s="4" t="str">
        <v>Không đổi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5" t="str">
        <v>186 DTH</v>
      </c>
      <c r="B207" s="5">
        <f>VLOOKUP(A207,'Sheet10'!$A:$C,3,0)</f>
      </c>
      <c r="C207" s="5" t="str">
        <v>[DV] Uốn Texture con sâu/Uốn Ruffled</v>
      </c>
      <c r="D207" s="5">
        <f>VLOOKUP(C207,'Sheet7'!$B:$C,2,0)</f>
      </c>
      <c r="E207" s="5"/>
      <c r="F207" s="6">
        <v>499000</v>
      </c>
      <c r="G207" s="8">
        <v>550000</v>
      </c>
      <c r="H207" s="7">
        <v>560000</v>
      </c>
      <c r="I207" s="7">
        <v>560000</v>
      </c>
      <c r="J207" s="3" t="str">
        <v>Điều chỉnh giá</v>
      </c>
      <c r="K207" s="4">
        <f>G207-F207</f>
      </c>
      <c r="L207" s="4">
        <v>182</v>
      </c>
      <c r="M207" s="4">
        <v>674</v>
      </c>
      <c r="N207" s="4" t="str" xml:space="preserve">
        <v>+10.000 VNĐ 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5" t="str">
        <v>186 DTH</v>
      </c>
      <c r="B208" s="5">
        <f>VLOOKUP(A208,'Sheet10'!$A:$C,3,0)</f>
      </c>
      <c r="C208" s="5" t="str">
        <v>[DV] Ép side hai bên</v>
      </c>
      <c r="D208" s="5">
        <f>VLOOKUP(C208,'Sheet7'!$B:$C,2,0)</f>
      </c>
      <c r="E208" s="5"/>
      <c r="F208" s="6">
        <v>189000</v>
      </c>
      <c r="G208" s="8">
        <v>216000</v>
      </c>
      <c r="H208" s="7">
        <v>226000</v>
      </c>
      <c r="I208" s="7">
        <v>226000</v>
      </c>
      <c r="J208" s="3" t="str">
        <v>Điều chỉnh giá</v>
      </c>
      <c r="K208" s="4">
        <f>G208-F208</f>
      </c>
      <c r="L208" s="4">
        <v>182</v>
      </c>
      <c r="M208" s="4">
        <v>902</v>
      </c>
      <c r="N208" s="4" t="str" xml:space="preserve">
        <v>+10.000 VNĐ 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5" t="str">
        <v>186 DTH</v>
      </c>
      <c r="B209" s="5">
        <f>VLOOKUP(A209,'Sheet10'!$A:$C,3,0)</f>
      </c>
      <c r="C209" s="5" t="str">
        <v>NHUỘM THIẾT KẾ PHỤC HỒI CHUYÊN SÂU LIPID BOND 2025</v>
      </c>
      <c r="D209" s="5">
        <v>1149</v>
      </c>
      <c r="E209" s="5"/>
      <c r="F209" s="6">
        <v>689000</v>
      </c>
      <c r="G209" s="8">
        <v>759000</v>
      </c>
      <c r="H209" s="8">
        <v>759000</v>
      </c>
      <c r="I209" s="8">
        <v>759000</v>
      </c>
      <c r="J209" s="3" t="str">
        <v>Điều chỉnh giá</v>
      </c>
      <c r="K209" s="4">
        <f>G209-F209</f>
      </c>
      <c r="L209" s="4">
        <v>182</v>
      </c>
      <c r="M209" s="4">
        <v>1149</v>
      </c>
      <c r="N209" s="4" t="str">
        <v>Không đổi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5" t="str">
        <v>186 DTH</v>
      </c>
      <c r="B210" s="5">
        <f>VLOOKUP(A210,'Sheet10'!$A:$C,3,0)</f>
      </c>
      <c r="C210" s="5" t="str">
        <v>Phục hồi trẻ hóa Lipid Bond</v>
      </c>
      <c r="D210" s="5">
        <v>1101</v>
      </c>
      <c r="E210" s="5"/>
      <c r="F210" s="6">
        <v>132000</v>
      </c>
      <c r="G210" s="8">
        <v>146000</v>
      </c>
      <c r="H210" s="8">
        <v>146000</v>
      </c>
      <c r="I210" s="8">
        <v>146000</v>
      </c>
      <c r="J210" s="3" t="str">
        <v>Điều chỉnh giá</v>
      </c>
      <c r="K210" s="4">
        <f>G210-F210</f>
      </c>
      <c r="L210" s="4">
        <v>182</v>
      </c>
      <c r="M210" s="4">
        <v>1101</v>
      </c>
      <c r="N210" s="4" t="str">
        <v>Không đổi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5" t="str">
        <v>186 DTH</v>
      </c>
      <c r="B211" s="5">
        <f>VLOOKUP(A211,'Sheet10'!$A:$C,3,0)</f>
      </c>
      <c r="C211" s="5" t="str">
        <v>UỐN THIẾT KẾ PHỤC HỒI CHUYÊN SÂU LIPID BOND 2025</v>
      </c>
      <c r="D211" s="5">
        <f>VLOOKUP(C211,'Sheet7'!$B:$C,2,0)</f>
      </c>
      <c r="E211" s="5"/>
      <c r="F211" s="6">
        <v>689000</v>
      </c>
      <c r="G211" s="7">
        <v>689000</v>
      </c>
      <c r="H211" s="7">
        <v>699000</v>
      </c>
      <c r="I211" s="7">
        <v>699000</v>
      </c>
      <c r="J211" s="9" t="str">
        <v>Giá không đổi</v>
      </c>
      <c r="K211" s="4">
        <f>G211-F211</f>
      </c>
      <c r="L211" s="4">
        <v>182</v>
      </c>
      <c r="M211" s="4">
        <v>1148</v>
      </c>
      <c r="N211" s="4" t="str" xml:space="preserve">
        <v>+10.000 VNĐ 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5" t="str">
        <v>186 DTH</v>
      </c>
      <c r="B212" s="5">
        <f>VLOOKUP(A212,'Sheet10'!$A:$C,3,0)</f>
      </c>
      <c r="C212" s="5" t="str">
        <v>Uốn định hình nếp tóc cao cấp (K-Perm Collection)</v>
      </c>
      <c r="D212" s="5">
        <f>VLOOKUP(C212,'Sheet7'!$B:$C,2,0)</f>
      </c>
      <c r="E212" s="5"/>
      <c r="F212" s="6">
        <v>478000</v>
      </c>
      <c r="G212" s="7">
        <v>478000</v>
      </c>
      <c r="H212" s="7">
        <v>488000</v>
      </c>
      <c r="I212" s="7">
        <v>488000</v>
      </c>
      <c r="J212" s="9" t="str">
        <v>Giá không đổi</v>
      </c>
      <c r="K212" s="4">
        <f>G212-F212</f>
      </c>
      <c r="L212" s="4">
        <v>182</v>
      </c>
      <c r="M212" s="4">
        <v>952</v>
      </c>
      <c r="N212" s="4" t="str" xml:space="preserve">
        <v>+10.000 VNĐ 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5" t="str">
        <v>186 QT</v>
      </c>
      <c r="B213" s="5">
        <f>VLOOKUP(A213,'Sheet10'!$A:$C,3,0)</f>
      </c>
      <c r="C213" s="5" t="str">
        <v>(2022T) ATS Control Buffer - Khử mùi tạo thơm cho tóc uốn nhuộm 40k</v>
      </c>
      <c r="D213" s="5">
        <v>610</v>
      </c>
      <c r="E213" s="5"/>
      <c r="F213" s="6">
        <v>40000</v>
      </c>
      <c r="G213" s="7">
        <v>40000</v>
      </c>
      <c r="H213" s="7">
        <v>40000</v>
      </c>
      <c r="I213" s="7">
        <v>40000</v>
      </c>
      <c r="J213" s="9" t="str">
        <v>Giá không đổi</v>
      </c>
      <c r="K213" s="4">
        <f>G213-F213</f>
      </c>
      <c r="L213" s="4">
        <v>239</v>
      </c>
      <c r="M213" s="4">
        <v>610</v>
      </c>
      <c r="N213" s="4" t="str">
        <v>Không đổi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5" t="str">
        <v>186 QT</v>
      </c>
      <c r="B214" s="5">
        <f>VLOOKUP(A214,'Sheet10'!$A:$C,3,0)</f>
      </c>
      <c r="C214" s="5" t="str">
        <v>(NEW) Nhuộm màu thời trang Milano</v>
      </c>
      <c r="D214" s="5">
        <v>960</v>
      </c>
      <c r="E214" s="5">
        <f>A214&amp;D214</f>
      </c>
      <c r="F214" s="6">
        <v>332000</v>
      </c>
      <c r="G214" s="7">
        <v>332000</v>
      </c>
      <c r="H214" s="7">
        <v>332000</v>
      </c>
      <c r="I214" s="7">
        <v>332000</v>
      </c>
      <c r="J214" s="9" t="str">
        <v>Giá không đổi</v>
      </c>
      <c r="K214" s="4">
        <f>G214-F214</f>
      </c>
      <c r="L214" s="4">
        <v>239</v>
      </c>
      <c r="M214" s="4">
        <v>960</v>
      </c>
      <c r="N214" s="4" t="str">
        <v>Không đổi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5" t="str">
        <v>186 QT</v>
      </c>
      <c r="B215" s="5">
        <f>VLOOKUP(A215,'Sheet10'!$A:$C,3,0)</f>
      </c>
      <c r="C215" s="5" t="str">
        <v>(NEW) Nhuộm phủ bạc tiêu chuẩn 199K</v>
      </c>
      <c r="D215" s="5">
        <v>967</v>
      </c>
      <c r="E215" s="5"/>
      <c r="F215" s="6">
        <v>199000</v>
      </c>
      <c r="G215" s="7">
        <v>199000</v>
      </c>
      <c r="H215" s="7">
        <v>199000</v>
      </c>
      <c r="I215" s="7">
        <v>199000</v>
      </c>
      <c r="J215" s="9" t="str">
        <v>Giá không đổi</v>
      </c>
      <c r="K215" s="4">
        <f>G215-F215</f>
      </c>
      <c r="L215" s="4">
        <v>239</v>
      </c>
      <c r="M215" s="4">
        <v>967</v>
      </c>
      <c r="N215" s="4" t="str">
        <v>Không đổi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5" t="str">
        <v>186 QT</v>
      </c>
      <c r="B216" s="5">
        <f>VLOOKUP(A216,'Sheet10'!$A:$C,3,0)</f>
      </c>
      <c r="C216" s="5" t="str">
        <v>(NEW) Uốn/Duỗi/Định hình full đầu tạo form vào nếp tự nhiên</v>
      </c>
      <c r="D216" s="5">
        <f>VLOOKUP(C216,'Sheet7'!$B:$C,2,0)</f>
      </c>
      <c r="E216" s="5">
        <f>A216&amp;D216</f>
      </c>
      <c r="F216" s="6">
        <v>386000</v>
      </c>
      <c r="G216" s="7">
        <v>386000</v>
      </c>
      <c r="H216" s="7">
        <v>396000</v>
      </c>
      <c r="I216" s="7">
        <v>396000</v>
      </c>
      <c r="J216" s="9" t="str">
        <v>Giá không đổi</v>
      </c>
      <c r="K216" s="4">
        <f>G216-F216</f>
      </c>
      <c r="L216" s="4">
        <v>239</v>
      </c>
      <c r="M216" s="4">
        <v>1009</v>
      </c>
      <c r="N216" s="4" t="str" xml:space="preserve">
        <v>+10.000 VNĐ 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5" t="str">
        <v>186 QT</v>
      </c>
      <c r="B217" s="5">
        <f>VLOOKUP(A217,'Sheet10'!$A:$C,3,0)</f>
      </c>
      <c r="C217" s="5" t="str">
        <v>[DV] Nhuộm đen phủ bạc R&amp;B thảo dược</v>
      </c>
      <c r="D217" s="5">
        <v>912</v>
      </c>
      <c r="E217" s="5"/>
      <c r="F217" s="6">
        <v>289000</v>
      </c>
      <c r="G217" s="7">
        <v>289000</v>
      </c>
      <c r="H217" s="7">
        <v>289000</v>
      </c>
      <c r="I217" s="7">
        <v>289000</v>
      </c>
      <c r="J217" s="9" t="str">
        <v>Giá không đổi</v>
      </c>
      <c r="K217" s="4">
        <f>G217-F217</f>
      </c>
      <c r="L217" s="4">
        <v>239</v>
      </c>
      <c r="M217" s="4">
        <v>912</v>
      </c>
      <c r="N217" s="4" t="str">
        <v>Không đổi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5" t="str">
        <v>186 QT</v>
      </c>
      <c r="B218" s="5">
        <f>VLOOKUP(A218,'Sheet10'!$A:$C,3,0)</f>
      </c>
      <c r="C218" s="5" t="str">
        <v>[DV] Tẩy tóc bật tông Ý (1 lần)</v>
      </c>
      <c r="D218" s="5">
        <v>915</v>
      </c>
      <c r="E218" s="5"/>
      <c r="F218" s="6">
        <v>252000</v>
      </c>
      <c r="G218" s="7">
        <v>252000</v>
      </c>
      <c r="H218" s="7">
        <v>252000</v>
      </c>
      <c r="I218" s="7">
        <v>252000</v>
      </c>
      <c r="J218" s="9" t="str">
        <v>Giá không đổi</v>
      </c>
      <c r="K218" s="4">
        <f>G218-F218</f>
      </c>
      <c r="L218" s="4">
        <v>239</v>
      </c>
      <c r="M218" s="4">
        <v>915</v>
      </c>
      <c r="N218" s="4" t="str">
        <v>Không đổi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5" t="str">
        <v>186 QT</v>
      </c>
      <c r="B219" s="5">
        <f>VLOOKUP(A219,'Sheet10'!$A:$C,3,0)</f>
      </c>
      <c r="C219" s="5" t="str">
        <v>[DV] Tẩy tóc bật tông Ý (2 lần) 500k</v>
      </c>
      <c r="D219" s="5">
        <v>916</v>
      </c>
      <c r="E219" s="5"/>
      <c r="F219" s="6">
        <v>500000</v>
      </c>
      <c r="G219" s="7">
        <v>500000</v>
      </c>
      <c r="H219" s="7">
        <v>500000</v>
      </c>
      <c r="I219" s="7">
        <v>500000</v>
      </c>
      <c r="J219" s="9" t="str">
        <v>Giá không đổi</v>
      </c>
      <c r="K219" s="4">
        <f>G219-F219</f>
      </c>
      <c r="L219" s="4">
        <v>239</v>
      </c>
      <c r="M219" s="4">
        <v>916</v>
      </c>
      <c r="N219" s="4" t="str">
        <v>Không đổi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5" t="str">
        <v>186 QT</v>
      </c>
      <c r="B220" s="5">
        <f>VLOOKUP(A220,'Sheet10'!$A:$C,3,0)</f>
      </c>
      <c r="C220" s="5" t="str">
        <v>[DV] Uốn Texture con sâu/Uốn Ruffled</v>
      </c>
      <c r="D220" s="5">
        <f>VLOOKUP(C220,'Sheet7'!$B:$C,2,0)</f>
      </c>
      <c r="E220" s="5"/>
      <c r="F220" s="6">
        <v>499000</v>
      </c>
      <c r="G220" s="7">
        <v>499000</v>
      </c>
      <c r="H220" s="7">
        <v>509000</v>
      </c>
      <c r="I220" s="7">
        <v>509000</v>
      </c>
      <c r="J220" s="9" t="str">
        <v>Giá không đổi</v>
      </c>
      <c r="K220" s="4">
        <f>G220-F220</f>
      </c>
      <c r="L220" s="4">
        <v>239</v>
      </c>
      <c r="M220" s="4">
        <v>674</v>
      </c>
      <c r="N220" s="4" t="str" xml:space="preserve">
        <v>+10.000 VNĐ 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5" t="str">
        <v>186 QT</v>
      </c>
      <c r="B221" s="5">
        <f>VLOOKUP(A221,'Sheet10'!$A:$C,3,0)</f>
      </c>
      <c r="C221" s="5" t="str">
        <v>[DV] Ép side hai bên</v>
      </c>
      <c r="D221" s="5">
        <f>VLOOKUP(C221,'Sheet7'!$B:$C,2,0)</f>
      </c>
      <c r="E221" s="5"/>
      <c r="F221" s="6">
        <v>189000</v>
      </c>
      <c r="G221" s="8">
        <v>209000</v>
      </c>
      <c r="H221" s="7">
        <v>219000</v>
      </c>
      <c r="I221" s="7">
        <v>219000</v>
      </c>
      <c r="J221" s="3" t="str">
        <v>Điều chỉnh giá</v>
      </c>
      <c r="K221" s="4">
        <f>G221-F221</f>
      </c>
      <c r="L221" s="4">
        <v>239</v>
      </c>
      <c r="M221" s="4">
        <v>902</v>
      </c>
      <c r="N221" s="4" t="str" xml:space="preserve">
        <v>+10.000 VNĐ 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5" t="str">
        <v>186 QT</v>
      </c>
      <c r="B222" s="5">
        <f>VLOOKUP(A222,'Sheet10'!$A:$C,3,0)</f>
      </c>
      <c r="C222" s="5" t="str">
        <v>NHUỘM THIẾT KẾ PHỤC HỒI CHUYÊN SÂU LIPID BOND 2025</v>
      </c>
      <c r="D222" s="5">
        <v>1149</v>
      </c>
      <c r="E222" s="5"/>
      <c r="F222" s="6">
        <v>689000</v>
      </c>
      <c r="G222" s="7">
        <v>689000</v>
      </c>
      <c r="H222" s="7">
        <v>689000</v>
      </c>
      <c r="I222" s="7">
        <v>689000</v>
      </c>
      <c r="J222" s="9" t="str">
        <v>Giá không đổi</v>
      </c>
      <c r="K222" s="4">
        <f>G222-F222</f>
      </c>
      <c r="L222" s="4">
        <v>239</v>
      </c>
      <c r="M222" s="4">
        <v>1149</v>
      </c>
      <c r="N222" s="4" t="str">
        <v>Không đổi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5" t="str">
        <v>186 QT</v>
      </c>
      <c r="B223" s="5">
        <f>VLOOKUP(A223,'Sheet10'!$A:$C,3,0)</f>
      </c>
      <c r="C223" s="5" t="str">
        <v>Phục hồi trẻ hóa Lipid Bond</v>
      </c>
      <c r="D223" s="5">
        <v>1101</v>
      </c>
      <c r="E223" s="5"/>
      <c r="F223" s="6">
        <v>132000</v>
      </c>
      <c r="G223" s="8">
        <v>146000</v>
      </c>
      <c r="H223" s="8">
        <v>146000</v>
      </c>
      <c r="I223" s="8">
        <v>146000</v>
      </c>
      <c r="J223" s="3" t="str">
        <v>Điều chỉnh giá</v>
      </c>
      <c r="K223" s="4">
        <f>G223-F223</f>
      </c>
      <c r="L223" s="4">
        <v>239</v>
      </c>
      <c r="M223" s="4">
        <v>1101</v>
      </c>
      <c r="N223" s="4" t="str">
        <v>Không đổi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5" t="str">
        <v>186 QT</v>
      </c>
      <c r="B224" s="5">
        <f>VLOOKUP(A224,'Sheet10'!$A:$C,3,0)</f>
      </c>
      <c r="C224" s="5" t="str">
        <v>UỐN THIẾT KẾ PHỤC HỒI CHUYÊN SÂU LIPID BOND 2025</v>
      </c>
      <c r="D224" s="5">
        <f>VLOOKUP(C224,'Sheet7'!$B:$C,2,0)</f>
      </c>
      <c r="E224" s="5"/>
      <c r="F224" s="6">
        <v>689000</v>
      </c>
      <c r="G224" s="7">
        <v>689000</v>
      </c>
      <c r="H224" s="7">
        <v>699000</v>
      </c>
      <c r="I224" s="7">
        <v>699000</v>
      </c>
      <c r="J224" s="9" t="str">
        <v>Giá không đổi</v>
      </c>
      <c r="K224" s="4">
        <f>G224-F224</f>
      </c>
      <c r="L224" s="4">
        <v>239</v>
      </c>
      <c r="M224" s="4">
        <v>1148</v>
      </c>
      <c r="N224" s="4" t="str" xml:space="preserve">
        <v>+10.000 VNĐ 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5" t="str">
        <v>186 QT</v>
      </c>
      <c r="B225" s="5">
        <f>VLOOKUP(A225,'Sheet10'!$A:$C,3,0)</f>
      </c>
      <c r="C225" s="5" t="str">
        <v>Uốn định hình nếp tóc cao cấp (K-Perm Collection)</v>
      </c>
      <c r="D225" s="5">
        <f>VLOOKUP(C225,'Sheet7'!$B:$C,2,0)</f>
      </c>
      <c r="E225" s="5"/>
      <c r="F225" s="6">
        <v>478000</v>
      </c>
      <c r="G225" s="7">
        <v>478000</v>
      </c>
      <c r="H225" s="7">
        <v>488000</v>
      </c>
      <c r="I225" s="7">
        <v>488000</v>
      </c>
      <c r="J225" s="9" t="str">
        <v>Giá không đổi</v>
      </c>
      <c r="K225" s="4">
        <f>G225-F225</f>
      </c>
      <c r="L225" s="4">
        <v>239</v>
      </c>
      <c r="M225" s="4">
        <v>952</v>
      </c>
      <c r="N225" s="4" t="str" xml:space="preserve">
        <v>+10.000 VNĐ 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5" t="str">
        <v>190 HB</v>
      </c>
      <c r="B226" s="5">
        <f>VLOOKUP(A226,'Sheet10'!$A:$C,3,0)</f>
      </c>
      <c r="C226" s="5" t="str">
        <v>(2022T) ATS Control Buffer - Khử mùi tạo thơm cho tóc uốn nhuộm 40k</v>
      </c>
      <c r="D226" s="5">
        <v>610</v>
      </c>
      <c r="E226" s="5"/>
      <c r="F226" s="6">
        <v>40000</v>
      </c>
      <c r="G226" s="7">
        <v>40000</v>
      </c>
      <c r="H226" s="7">
        <v>40000</v>
      </c>
      <c r="I226" s="7">
        <v>40000</v>
      </c>
      <c r="J226" s="9" t="str">
        <v>Giá không đổi</v>
      </c>
      <c r="K226" s="4">
        <f>G226-F226</f>
      </c>
      <c r="L226" s="4">
        <v>188</v>
      </c>
      <c r="M226" s="4">
        <v>610</v>
      </c>
      <c r="N226" s="4" t="str">
        <v>Không đổi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5" t="str">
        <v>190 HB</v>
      </c>
      <c r="B227" s="5">
        <f>VLOOKUP(A227,'Sheet10'!$A:$C,3,0)</f>
      </c>
      <c r="C227" s="5" t="str">
        <v>(NEW) Nhuộm màu thời trang Milano</v>
      </c>
      <c r="D227" s="5">
        <v>960</v>
      </c>
      <c r="E227" s="5">
        <f>A227&amp;D227</f>
      </c>
      <c r="F227" s="6">
        <v>332000</v>
      </c>
      <c r="G227" s="8">
        <v>346000</v>
      </c>
      <c r="H227" s="8">
        <v>346000</v>
      </c>
      <c r="I227" s="8">
        <v>346000</v>
      </c>
      <c r="J227" s="3" t="str">
        <v>Điều chỉnh giá</v>
      </c>
      <c r="K227" s="4">
        <f>G227-F227</f>
      </c>
      <c r="L227" s="4">
        <v>188</v>
      </c>
      <c r="M227" s="4">
        <v>960</v>
      </c>
      <c r="N227" s="4" t="str">
        <v>Không đổi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5" t="str">
        <v>190 HB</v>
      </c>
      <c r="B228" s="5">
        <f>VLOOKUP(A228,'Sheet10'!$A:$C,3,0)</f>
      </c>
      <c r="C228" s="5" t="str">
        <v>(NEW) Nhuộm phủ bạc tiêu chuẩn 199K</v>
      </c>
      <c r="D228" s="5">
        <v>967</v>
      </c>
      <c r="E228" s="5"/>
      <c r="F228" s="6">
        <v>199000</v>
      </c>
      <c r="G228" s="7">
        <v>199000</v>
      </c>
      <c r="H228" s="7">
        <v>199000</v>
      </c>
      <c r="I228" s="7">
        <v>199000</v>
      </c>
      <c r="J228" s="9" t="str">
        <v>Giá không đổi</v>
      </c>
      <c r="K228" s="4">
        <f>G228-F228</f>
      </c>
      <c r="L228" s="4">
        <v>188</v>
      </c>
      <c r="M228" s="4">
        <v>967</v>
      </c>
      <c r="N228" s="4" t="str">
        <v>Không đổi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5" t="str">
        <v>190 HB</v>
      </c>
      <c r="B229" s="5">
        <f>VLOOKUP(A229,'Sheet10'!$A:$C,3,0)</f>
      </c>
      <c r="C229" s="5" t="str">
        <v>(NEW) Uốn/Duỗi/Định hình full đầu tạo form vào nếp tự nhiên</v>
      </c>
      <c r="D229" s="5">
        <f>VLOOKUP(C229,'Sheet7'!$B:$C,2,0)</f>
      </c>
      <c r="E229" s="5">
        <f>A229&amp;D229</f>
      </c>
      <c r="F229" s="6">
        <v>386000</v>
      </c>
      <c r="G229" s="7">
        <v>386000</v>
      </c>
      <c r="H229" s="7">
        <v>396000</v>
      </c>
      <c r="I229" s="7">
        <v>396000</v>
      </c>
      <c r="J229" s="9" t="str">
        <v>Giá không đổi</v>
      </c>
      <c r="K229" s="4">
        <f>G229-F229</f>
      </c>
      <c r="L229" s="4">
        <v>188</v>
      </c>
      <c r="M229" s="4">
        <v>1009</v>
      </c>
      <c r="N229" s="4" t="str" xml:space="preserve">
        <v>+10.000 VNĐ 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5" t="str">
        <v>190 HB</v>
      </c>
      <c r="B230" s="5">
        <f>VLOOKUP(A230,'Sheet10'!$A:$C,3,0)</f>
      </c>
      <c r="C230" s="5" t="str">
        <v>[DV] Nhuộm đen phủ bạc R&amp;B thảo dược</v>
      </c>
      <c r="D230" s="5">
        <v>912</v>
      </c>
      <c r="E230" s="5"/>
      <c r="F230" s="6">
        <v>289000</v>
      </c>
      <c r="G230" s="7">
        <v>289000</v>
      </c>
      <c r="H230" s="7">
        <v>289000</v>
      </c>
      <c r="I230" s="7">
        <v>289000</v>
      </c>
      <c r="J230" s="9" t="str">
        <v>Giá không đổi</v>
      </c>
      <c r="K230" s="4">
        <f>G230-F230</f>
      </c>
      <c r="L230" s="4">
        <v>188</v>
      </c>
      <c r="M230" s="4">
        <v>912</v>
      </c>
      <c r="N230" s="4" t="str">
        <v>Không đổi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5" t="str">
        <v>190 HB</v>
      </c>
      <c r="B231" s="5">
        <f>VLOOKUP(A231,'Sheet10'!$A:$C,3,0)</f>
      </c>
      <c r="C231" s="5" t="str">
        <v>[DV] Tẩy tóc bật tông Ý (1 lần)</v>
      </c>
      <c r="D231" s="5">
        <v>915</v>
      </c>
      <c r="E231" s="5"/>
      <c r="F231" s="6">
        <v>252000</v>
      </c>
      <c r="G231" s="7">
        <v>252000</v>
      </c>
      <c r="H231" s="7">
        <v>252000</v>
      </c>
      <c r="I231" s="7">
        <v>252000</v>
      </c>
      <c r="J231" s="9" t="str">
        <v>Giá không đổi</v>
      </c>
      <c r="K231" s="4">
        <f>G231-F231</f>
      </c>
      <c r="L231" s="4">
        <v>188</v>
      </c>
      <c r="M231" s="4">
        <v>915</v>
      </c>
      <c r="N231" s="4" t="str">
        <v>Không đổi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5" t="str">
        <v>190 HB</v>
      </c>
      <c r="B232" s="5">
        <f>VLOOKUP(A232,'Sheet10'!$A:$C,3,0)</f>
      </c>
      <c r="C232" s="5" t="str">
        <v>[DV] Tẩy tóc bật tông Ý (2 lần) 500k</v>
      </c>
      <c r="D232" s="5">
        <v>916</v>
      </c>
      <c r="E232" s="5"/>
      <c r="F232" s="6">
        <v>500000</v>
      </c>
      <c r="G232" s="7">
        <v>500000</v>
      </c>
      <c r="H232" s="7">
        <v>500000</v>
      </c>
      <c r="I232" s="7">
        <v>500000</v>
      </c>
      <c r="J232" s="9" t="str">
        <v>Giá không đổi</v>
      </c>
      <c r="K232" s="4">
        <f>G232-F232</f>
      </c>
      <c r="L232" s="4">
        <v>188</v>
      </c>
      <c r="M232" s="4">
        <v>916</v>
      </c>
      <c r="N232" s="4" t="str">
        <v>Không đổi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5" t="str">
        <v>190 HB</v>
      </c>
      <c r="B233" s="5">
        <f>VLOOKUP(A233,'Sheet10'!$A:$C,3,0)</f>
      </c>
      <c r="C233" s="5" t="str">
        <v>[DV] Uốn Texture con sâu/Uốn Ruffled</v>
      </c>
      <c r="D233" s="5">
        <f>VLOOKUP(C233,'Sheet7'!$B:$C,2,0)</f>
      </c>
      <c r="E233" s="5"/>
      <c r="F233" s="6">
        <v>499000</v>
      </c>
      <c r="G233" s="8">
        <v>520000</v>
      </c>
      <c r="H233" s="7">
        <v>530000</v>
      </c>
      <c r="I233" s="7">
        <v>530000</v>
      </c>
      <c r="J233" s="3" t="str">
        <v>Điều chỉnh giá</v>
      </c>
      <c r="K233" s="4">
        <f>G233-F233</f>
      </c>
      <c r="L233" s="4">
        <v>188</v>
      </c>
      <c r="M233" s="4">
        <v>674</v>
      </c>
      <c r="N233" s="4" t="str" xml:space="preserve">
        <v>+10.000 VNĐ 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5" t="str">
        <v>190 HB</v>
      </c>
      <c r="B234" s="5">
        <f>VLOOKUP(A234,'Sheet10'!$A:$C,3,0)</f>
      </c>
      <c r="C234" s="5" t="str">
        <v>[DV] Ép side hai bên</v>
      </c>
      <c r="D234" s="5">
        <f>VLOOKUP(C234,'Sheet7'!$B:$C,2,0)</f>
      </c>
      <c r="E234" s="5"/>
      <c r="F234" s="6">
        <v>189000</v>
      </c>
      <c r="G234" s="7">
        <v>189000</v>
      </c>
      <c r="H234" s="7">
        <v>199000</v>
      </c>
      <c r="I234" s="7">
        <v>199000</v>
      </c>
      <c r="J234" s="9" t="str">
        <v>Giá không đổi</v>
      </c>
      <c r="K234" s="4">
        <f>G234-F234</f>
      </c>
      <c r="L234" s="4">
        <v>188</v>
      </c>
      <c r="M234" s="4">
        <v>902</v>
      </c>
      <c r="N234" s="4" t="str" xml:space="preserve">
        <v>+10.000 VNĐ 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5" t="str">
        <v>190 HB</v>
      </c>
      <c r="B235" s="5">
        <f>VLOOKUP(A235,'Sheet10'!$A:$C,3,0)</f>
      </c>
      <c r="C235" s="5" t="str">
        <v>NHUỘM THIẾT KẾ PHỤC HỒI CHUYÊN SÂU LIPID BOND 2025</v>
      </c>
      <c r="D235" s="5">
        <v>1149</v>
      </c>
      <c r="E235" s="5"/>
      <c r="F235" s="6">
        <v>689000</v>
      </c>
      <c r="G235" s="8">
        <v>719000</v>
      </c>
      <c r="H235" s="8">
        <v>719000</v>
      </c>
      <c r="I235" s="8">
        <v>719000</v>
      </c>
      <c r="J235" s="3" t="str">
        <v>Điều chỉnh giá</v>
      </c>
      <c r="K235" s="4">
        <f>G235-F235</f>
      </c>
      <c r="L235" s="4">
        <v>188</v>
      </c>
      <c r="M235" s="4">
        <v>1149</v>
      </c>
      <c r="N235" s="4" t="str">
        <v>Không đổi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5" t="str">
        <v>190 HB</v>
      </c>
      <c r="B236" s="5">
        <f>VLOOKUP(A236,'Sheet10'!$A:$C,3,0)</f>
      </c>
      <c r="C236" s="5" t="str">
        <v>Phục hồi trẻ hóa Lipid Bond</v>
      </c>
      <c r="D236" s="5">
        <v>1101</v>
      </c>
      <c r="E236" s="5"/>
      <c r="F236" s="6">
        <v>132000</v>
      </c>
      <c r="G236" s="8">
        <v>146000</v>
      </c>
      <c r="H236" s="8">
        <v>146000</v>
      </c>
      <c r="I236" s="8">
        <v>146000</v>
      </c>
      <c r="J236" s="3" t="str">
        <v>Điều chỉnh giá</v>
      </c>
      <c r="K236" s="4">
        <f>G236-F236</f>
      </c>
      <c r="L236" s="4">
        <v>188</v>
      </c>
      <c r="M236" s="4">
        <v>1101</v>
      </c>
      <c r="N236" s="4" t="str">
        <v>Không đổi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5" t="str">
        <v>190 HB</v>
      </c>
      <c r="B237" s="5">
        <f>VLOOKUP(A237,'Sheet10'!$A:$C,3,0)</f>
      </c>
      <c r="C237" s="5" t="str">
        <v>UỐN THIẾT KẾ PHỤC HỒI CHUYÊN SÂU LIPID BOND 2025</v>
      </c>
      <c r="D237" s="5">
        <f>VLOOKUP(C237,'Sheet7'!$B:$C,2,0)</f>
      </c>
      <c r="E237" s="5"/>
      <c r="F237" s="6">
        <v>689000</v>
      </c>
      <c r="G237" s="7">
        <v>689000</v>
      </c>
      <c r="H237" s="7">
        <v>699000</v>
      </c>
      <c r="I237" s="7">
        <v>699000</v>
      </c>
      <c r="J237" s="9" t="str">
        <v>Giá không đổi</v>
      </c>
      <c r="K237" s="4">
        <f>G237-F237</f>
      </c>
      <c r="L237" s="4">
        <v>188</v>
      </c>
      <c r="M237" s="4">
        <v>1148</v>
      </c>
      <c r="N237" s="4" t="str" xml:space="preserve">
        <v>+10.000 VNĐ 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5" t="str">
        <v>190 HB</v>
      </c>
      <c r="B238" s="5">
        <f>VLOOKUP(A238,'Sheet10'!$A:$C,3,0)</f>
      </c>
      <c r="C238" s="5" t="str">
        <v>Uốn định hình nếp tóc cao cấp (K-Perm Collection)</v>
      </c>
      <c r="D238" s="5">
        <f>VLOOKUP(C238,'Sheet7'!$B:$C,2,0)</f>
      </c>
      <c r="E238" s="5"/>
      <c r="F238" s="6">
        <v>478000</v>
      </c>
      <c r="G238" s="7">
        <v>478000</v>
      </c>
      <c r="H238" s="7">
        <v>488000</v>
      </c>
      <c r="I238" s="7">
        <v>488000</v>
      </c>
      <c r="J238" s="9" t="str">
        <v>Giá không đổi</v>
      </c>
      <c r="K238" s="4">
        <f>G238-F238</f>
      </c>
      <c r="L238" s="4">
        <v>188</v>
      </c>
      <c r="M238" s="4">
        <v>952</v>
      </c>
      <c r="N238" s="4" t="str" xml:space="preserve">
        <v>+10.000 VNĐ 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5" t="str">
        <v>202 DC</v>
      </c>
      <c r="B239" s="5">
        <f>VLOOKUP(A239,'Sheet10'!$A:$C,3,0)</f>
      </c>
      <c r="C239" s="5" t="str">
        <v>(2022T) ATS Control Buffer - Khử mùi tạo thơm cho tóc uốn nhuộm 40k</v>
      </c>
      <c r="D239" s="5">
        <v>610</v>
      </c>
      <c r="E239" s="5"/>
      <c r="F239" s="6">
        <v>40000</v>
      </c>
      <c r="G239" s="7">
        <v>40000</v>
      </c>
      <c r="H239" s="7">
        <v>40000</v>
      </c>
      <c r="I239" s="7">
        <v>40000</v>
      </c>
      <c r="J239" s="9" t="str">
        <v>Giá không đổi</v>
      </c>
      <c r="K239" s="4">
        <f>G239-F239</f>
      </c>
      <c r="L239" s="4">
        <v>196</v>
      </c>
      <c r="M239" s="4">
        <v>610</v>
      </c>
      <c r="N239" s="4" t="str">
        <v>Không đổi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5" t="str">
        <v>202 DC</v>
      </c>
      <c r="B240" s="5">
        <f>VLOOKUP(A240,'Sheet10'!$A:$C,3,0)</f>
      </c>
      <c r="C240" s="5" t="str">
        <v>(NEW) Nhuộm màu thời trang Milano</v>
      </c>
      <c r="D240" s="5">
        <v>960</v>
      </c>
      <c r="E240" s="5">
        <f>A240&amp;D240</f>
      </c>
      <c r="F240" s="6">
        <v>332000</v>
      </c>
      <c r="G240" s="8">
        <v>369000</v>
      </c>
      <c r="H240" s="8">
        <v>369000</v>
      </c>
      <c r="I240" s="8">
        <v>369000</v>
      </c>
      <c r="J240" s="3" t="str">
        <v>Điều chỉnh giá</v>
      </c>
      <c r="K240" s="4">
        <f>G240-F240</f>
      </c>
      <c r="L240" s="4">
        <v>196</v>
      </c>
      <c r="M240" s="4">
        <v>960</v>
      </c>
      <c r="N240" s="4" t="str">
        <v>Không đổi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5" t="str">
        <v>202 DC</v>
      </c>
      <c r="B241" s="5">
        <f>VLOOKUP(A241,'Sheet10'!$A:$C,3,0)</f>
      </c>
      <c r="C241" s="5" t="str">
        <v>(NEW) Nhuộm phủ bạc tiêu chuẩn 199K</v>
      </c>
      <c r="D241" s="5">
        <v>967</v>
      </c>
      <c r="E241" s="5"/>
      <c r="F241" s="6">
        <v>199000</v>
      </c>
      <c r="G241" s="8">
        <v>227000</v>
      </c>
      <c r="H241" s="8">
        <v>227000</v>
      </c>
      <c r="I241" s="8">
        <v>227000</v>
      </c>
      <c r="J241" s="3" t="str">
        <v>Điều chỉnh giá</v>
      </c>
      <c r="K241" s="4">
        <f>G241-F241</f>
      </c>
      <c r="L241" s="4">
        <v>196</v>
      </c>
      <c r="M241" s="4">
        <v>967</v>
      </c>
      <c r="N241" s="4" t="str">
        <v>Không đổi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5" t="str">
        <v>202 DC</v>
      </c>
      <c r="B242" s="5">
        <f>VLOOKUP(A242,'Sheet10'!$A:$C,3,0)</f>
      </c>
      <c r="C242" s="5" t="str">
        <v>(NEW) Uốn/Duỗi/Định hình full đầu tạo form vào nếp tự nhiên</v>
      </c>
      <c r="D242" s="5">
        <f>VLOOKUP(C242,'Sheet7'!$B:$C,2,0)</f>
      </c>
      <c r="E242" s="5">
        <f>A242&amp;D242</f>
      </c>
      <c r="F242" s="6">
        <v>386000</v>
      </c>
      <c r="G242" s="7">
        <v>386000</v>
      </c>
      <c r="H242" s="7">
        <v>396000</v>
      </c>
      <c r="I242" s="7">
        <v>396000</v>
      </c>
      <c r="J242" s="9" t="str">
        <v>Giá không đổi</v>
      </c>
      <c r="K242" s="4">
        <f>G242-F242</f>
      </c>
      <c r="L242" s="4">
        <v>196</v>
      </c>
      <c r="M242" s="4">
        <v>1009</v>
      </c>
      <c r="N242" s="4" t="str" xml:space="preserve">
        <v>+10.000 VNĐ 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5" t="str">
        <v>202 DC</v>
      </c>
      <c r="B243" s="5">
        <f>VLOOKUP(A243,'Sheet10'!$A:$C,3,0)</f>
      </c>
      <c r="C243" s="5" t="str">
        <v>[DV] Nhuộm đen phủ bạc R&amp;B thảo dược</v>
      </c>
      <c r="D243" s="5">
        <v>912</v>
      </c>
      <c r="E243" s="5"/>
      <c r="F243" s="6">
        <v>289000</v>
      </c>
      <c r="G243" s="8">
        <v>329000</v>
      </c>
      <c r="H243" s="8">
        <v>329000</v>
      </c>
      <c r="I243" s="8">
        <v>329000</v>
      </c>
      <c r="J243" s="3" t="str">
        <v>Điều chỉnh giá</v>
      </c>
      <c r="K243" s="4">
        <f>G243-F243</f>
      </c>
      <c r="L243" s="4">
        <v>196</v>
      </c>
      <c r="M243" s="4">
        <v>912</v>
      </c>
      <c r="N243" s="4" t="str">
        <v>Không đổi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5" t="str">
        <v>202 DC</v>
      </c>
      <c r="B244" s="5">
        <f>VLOOKUP(A244,'Sheet10'!$A:$C,3,0)</f>
      </c>
      <c r="C244" s="5" t="str">
        <v>[DV] Tẩy tóc bật tông Ý (1 lần)</v>
      </c>
      <c r="D244" s="5">
        <v>915</v>
      </c>
      <c r="E244" s="5"/>
      <c r="F244" s="6">
        <v>252000</v>
      </c>
      <c r="G244" s="8">
        <v>269000</v>
      </c>
      <c r="H244" s="8">
        <v>269000</v>
      </c>
      <c r="I244" s="8">
        <v>269000</v>
      </c>
      <c r="J244" s="3" t="str">
        <v>Điều chỉnh giá</v>
      </c>
      <c r="K244" s="4">
        <f>G244-F244</f>
      </c>
      <c r="L244" s="4">
        <v>196</v>
      </c>
      <c r="M244" s="4">
        <v>915</v>
      </c>
      <c r="N244" s="4" t="str">
        <v>Không đổi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5" t="str">
        <v>202 DC</v>
      </c>
      <c r="B245" s="5">
        <f>VLOOKUP(A245,'Sheet10'!$A:$C,3,0)</f>
      </c>
      <c r="C245" s="5" t="str">
        <v>[DV] Tẩy tóc bật tông Ý (2 lần) 500k</v>
      </c>
      <c r="D245" s="5">
        <v>916</v>
      </c>
      <c r="E245" s="5"/>
      <c r="F245" s="6">
        <v>500000</v>
      </c>
      <c r="G245" s="8">
        <v>534000</v>
      </c>
      <c r="H245" s="8">
        <v>534000</v>
      </c>
      <c r="I245" s="8">
        <v>534000</v>
      </c>
      <c r="J245" s="3" t="str">
        <v>Điều chỉnh giá</v>
      </c>
      <c r="K245" s="4">
        <f>G245-F245</f>
      </c>
      <c r="L245" s="4">
        <v>196</v>
      </c>
      <c r="M245" s="4">
        <v>916</v>
      </c>
      <c r="N245" s="4" t="str">
        <v>Không đổi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5" t="str">
        <v>202 DC</v>
      </c>
      <c r="B246" s="5">
        <f>VLOOKUP(A246,'Sheet10'!$A:$C,3,0)</f>
      </c>
      <c r="C246" s="5" t="str">
        <v>[DV] Uốn Texture con sâu/Uốn Ruffled</v>
      </c>
      <c r="D246" s="5">
        <f>VLOOKUP(C246,'Sheet7'!$B:$C,2,0)</f>
      </c>
      <c r="E246" s="5"/>
      <c r="F246" s="6">
        <v>499000</v>
      </c>
      <c r="G246" s="8">
        <v>554000</v>
      </c>
      <c r="H246" s="7">
        <v>564000</v>
      </c>
      <c r="I246" s="7">
        <v>564000</v>
      </c>
      <c r="J246" s="3" t="str">
        <v>Điều chỉnh giá</v>
      </c>
      <c r="K246" s="4">
        <f>G246-F246</f>
      </c>
      <c r="L246" s="4">
        <v>196</v>
      </c>
      <c r="M246" s="4">
        <v>674</v>
      </c>
      <c r="N246" s="4" t="str" xml:space="preserve">
        <v>+10.000 VNĐ 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5" t="str">
        <v>202 DC</v>
      </c>
      <c r="B247" s="5">
        <f>VLOOKUP(A247,'Sheet10'!$A:$C,3,0)</f>
      </c>
      <c r="C247" s="5" t="str">
        <v>[DV] Ép side hai bên</v>
      </c>
      <c r="D247" s="5">
        <f>VLOOKUP(C247,'Sheet7'!$B:$C,2,0)</f>
      </c>
      <c r="E247" s="5"/>
      <c r="F247" s="6">
        <v>189000</v>
      </c>
      <c r="G247" s="8">
        <v>219000</v>
      </c>
      <c r="H247" s="7">
        <v>229000</v>
      </c>
      <c r="I247" s="7">
        <v>229000</v>
      </c>
      <c r="J247" s="3" t="str">
        <v>Điều chỉnh giá</v>
      </c>
      <c r="K247" s="4">
        <f>G247-F247</f>
      </c>
      <c r="L247" s="4">
        <v>196</v>
      </c>
      <c r="M247" s="4">
        <v>902</v>
      </c>
      <c r="N247" s="4" t="str" xml:space="preserve">
        <v>+10.000 VNĐ 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5" t="str">
        <v>202 DC</v>
      </c>
      <c r="B248" s="5">
        <f>VLOOKUP(A248,'Sheet10'!$A:$C,3,0)</f>
      </c>
      <c r="C248" s="5" t="str">
        <v>NHUỘM THIẾT KẾ PHỤC HỒI CHUYÊN SÂU LIPID BOND 2025</v>
      </c>
      <c r="D248" s="5">
        <v>1149</v>
      </c>
      <c r="E248" s="5"/>
      <c r="F248" s="6">
        <v>689000</v>
      </c>
      <c r="G248" s="8">
        <v>759000</v>
      </c>
      <c r="H248" s="8">
        <v>759000</v>
      </c>
      <c r="I248" s="8">
        <v>759000</v>
      </c>
      <c r="J248" s="3" t="str">
        <v>Điều chỉnh giá</v>
      </c>
      <c r="K248" s="4">
        <f>G248-F248</f>
      </c>
      <c r="L248" s="4">
        <v>196</v>
      </c>
      <c r="M248" s="4">
        <v>1149</v>
      </c>
      <c r="N248" s="4" t="str">
        <v>Không đổi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5" t="str">
        <v>202 DC</v>
      </c>
      <c r="B249" s="5">
        <f>VLOOKUP(A249,'Sheet10'!$A:$C,3,0)</f>
      </c>
      <c r="C249" s="5" t="str">
        <v>Phục hồi trẻ hóa Lipid Bond</v>
      </c>
      <c r="D249" s="5">
        <v>1101</v>
      </c>
      <c r="E249" s="5"/>
      <c r="F249" s="6">
        <v>132000</v>
      </c>
      <c r="G249" s="8">
        <v>146000</v>
      </c>
      <c r="H249" s="8">
        <v>146000</v>
      </c>
      <c r="I249" s="8">
        <v>146000</v>
      </c>
      <c r="J249" s="3" t="str">
        <v>Điều chỉnh giá</v>
      </c>
      <c r="K249" s="4">
        <f>G249-F249</f>
      </c>
      <c r="L249" s="4">
        <v>196</v>
      </c>
      <c r="M249" s="4">
        <v>1101</v>
      </c>
      <c r="N249" s="4" t="str">
        <v>Không đổi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5" t="str">
        <v>202 DC</v>
      </c>
      <c r="B250" s="5">
        <f>VLOOKUP(A250,'Sheet10'!$A:$C,3,0)</f>
      </c>
      <c r="C250" s="5" t="str">
        <v>UỐN THIẾT KẾ PHỤC HỒI CHUYÊN SÂU LIPID BOND 2025</v>
      </c>
      <c r="D250" s="5">
        <f>VLOOKUP(C250,'Sheet7'!$B:$C,2,0)</f>
      </c>
      <c r="E250" s="5"/>
      <c r="F250" s="6">
        <v>689000</v>
      </c>
      <c r="G250" s="7">
        <v>689000</v>
      </c>
      <c r="H250" s="7">
        <v>699000</v>
      </c>
      <c r="I250" s="7">
        <v>699000</v>
      </c>
      <c r="J250" s="9" t="str">
        <v>Giá không đổi</v>
      </c>
      <c r="K250" s="4">
        <f>G250-F250</f>
      </c>
      <c r="L250" s="4">
        <v>196</v>
      </c>
      <c r="M250" s="4">
        <v>1148</v>
      </c>
      <c r="N250" s="4" t="str" xml:space="preserve">
        <v>+10.000 VNĐ 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5" t="str">
        <v>202 DC</v>
      </c>
      <c r="B251" s="5">
        <f>VLOOKUP(A251,'Sheet10'!$A:$C,3,0)</f>
      </c>
      <c r="C251" s="5" t="str">
        <v>Uốn định hình nếp tóc cao cấp (K-Perm Collection)</v>
      </c>
      <c r="D251" s="5">
        <f>VLOOKUP(C251,'Sheet7'!$B:$C,2,0)</f>
      </c>
      <c r="E251" s="5"/>
      <c r="F251" s="6">
        <v>478000</v>
      </c>
      <c r="G251" s="7">
        <v>478000</v>
      </c>
      <c r="H251" s="7">
        <v>488000</v>
      </c>
      <c r="I251" s="7">
        <v>488000</v>
      </c>
      <c r="J251" s="9" t="str">
        <v>Giá không đổi</v>
      </c>
      <c r="K251" s="4">
        <f>G251-F251</f>
      </c>
      <c r="L251" s="4">
        <v>196</v>
      </c>
      <c r="M251" s="4">
        <v>952</v>
      </c>
      <c r="N251" s="4" t="str" xml:space="preserve">
        <v>+10.000 VNĐ 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5" t="str">
        <v>236 DBT</v>
      </c>
      <c r="B252" s="5">
        <f>VLOOKUP(A252,'Sheet10'!$A:$C,3,0)</f>
      </c>
      <c r="C252" s="5" t="str">
        <v>(2022T) ATS Control Buffer - Khử mùi tạo thơm cho tóc uốn nhuộm 40k</v>
      </c>
      <c r="D252" s="5">
        <v>610</v>
      </c>
      <c r="E252" s="5"/>
      <c r="F252" s="6">
        <v>40000</v>
      </c>
      <c r="G252" s="7">
        <v>40000</v>
      </c>
      <c r="H252" s="7">
        <v>40000</v>
      </c>
      <c r="I252" s="7">
        <v>40000</v>
      </c>
      <c r="J252" s="9" t="str">
        <v>Giá không đổi</v>
      </c>
      <c r="K252" s="4">
        <f>G252-F252</f>
      </c>
      <c r="L252" s="4">
        <v>141</v>
      </c>
      <c r="M252" s="4">
        <v>610</v>
      </c>
      <c r="N252" s="4" t="str">
        <v>Không đổi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5" t="str">
        <v>236 DBT</v>
      </c>
      <c r="B253" s="5">
        <f>VLOOKUP(A253,'Sheet10'!$A:$C,3,0)</f>
      </c>
      <c r="C253" s="5" t="str">
        <v>(NEW) Nhuộm màu thời trang Milano</v>
      </c>
      <c r="D253" s="5">
        <v>960</v>
      </c>
      <c r="E253" s="5">
        <f>A253&amp;D253</f>
      </c>
      <c r="F253" s="6">
        <v>332000</v>
      </c>
      <c r="G253" s="8">
        <v>366000</v>
      </c>
      <c r="H253" s="8">
        <v>366000</v>
      </c>
      <c r="I253" s="8">
        <v>366000</v>
      </c>
      <c r="J253" s="3" t="str">
        <v>Điều chỉnh giá</v>
      </c>
      <c r="K253" s="4">
        <f>G253-F253</f>
      </c>
      <c r="L253" s="4">
        <v>141</v>
      </c>
      <c r="M253" s="4">
        <v>960</v>
      </c>
      <c r="N253" s="4" t="str">
        <v>Không đổi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5" t="str">
        <v>236 DBT</v>
      </c>
      <c r="B254" s="5">
        <f>VLOOKUP(A254,'Sheet10'!$A:$C,3,0)</f>
      </c>
      <c r="C254" s="5" t="str">
        <v>(NEW) Nhuộm phủ bạc tiêu chuẩn 199K</v>
      </c>
      <c r="D254" s="5">
        <v>967</v>
      </c>
      <c r="E254" s="5"/>
      <c r="F254" s="6">
        <v>199000</v>
      </c>
      <c r="G254" s="7">
        <v>199000</v>
      </c>
      <c r="H254" s="7">
        <v>199000</v>
      </c>
      <c r="I254" s="7">
        <v>199000</v>
      </c>
      <c r="J254" s="9" t="str">
        <v>Giá không đổi</v>
      </c>
      <c r="K254" s="4">
        <f>G254-F254</f>
      </c>
      <c r="L254" s="4">
        <v>141</v>
      </c>
      <c r="M254" s="4">
        <v>967</v>
      </c>
      <c r="N254" s="4" t="str">
        <v>Không đổi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5" t="str">
        <v>236 DBT</v>
      </c>
      <c r="B255" s="5">
        <f>VLOOKUP(A255,'Sheet10'!$A:$C,3,0)</f>
      </c>
      <c r="C255" s="5" t="str">
        <v>(NEW) Uốn/Duỗi/Định hình full đầu tạo form vào nếp tự nhiên</v>
      </c>
      <c r="D255" s="5">
        <f>VLOOKUP(C255,'Sheet7'!$B:$C,2,0)</f>
      </c>
      <c r="E255" s="5">
        <f>A255&amp;D255</f>
      </c>
      <c r="F255" s="6">
        <v>386000</v>
      </c>
      <c r="G255" s="7">
        <v>386000</v>
      </c>
      <c r="H255" s="7">
        <v>396000</v>
      </c>
      <c r="I255" s="7">
        <v>396000</v>
      </c>
      <c r="J255" s="9" t="str">
        <v>Giá không đổi</v>
      </c>
      <c r="K255" s="4">
        <f>G255-F255</f>
      </c>
      <c r="L255" s="4">
        <v>141</v>
      </c>
      <c r="M255" s="4">
        <v>1009</v>
      </c>
      <c r="N255" s="4" t="str" xml:space="preserve">
        <v>+10.000 VNĐ 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5" t="str">
        <v>236 DBT</v>
      </c>
      <c r="B256" s="5">
        <f>VLOOKUP(A256,'Sheet10'!$A:$C,3,0)</f>
      </c>
      <c r="C256" s="5" t="str">
        <v>[DV] Nhuộm đen phủ bạc R&amp;B thảo dược</v>
      </c>
      <c r="D256" s="5">
        <v>912</v>
      </c>
      <c r="E256" s="5"/>
      <c r="F256" s="6">
        <v>289000</v>
      </c>
      <c r="G256" s="7">
        <v>289000</v>
      </c>
      <c r="H256" s="7">
        <v>289000</v>
      </c>
      <c r="I256" s="7">
        <v>289000</v>
      </c>
      <c r="J256" s="9" t="str">
        <v>Giá không đổi</v>
      </c>
      <c r="K256" s="4">
        <f>G256-F256</f>
      </c>
      <c r="L256" s="4">
        <v>141</v>
      </c>
      <c r="M256" s="4">
        <v>912</v>
      </c>
      <c r="N256" s="4" t="str">
        <v>Không đổi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5" t="str">
        <v>236 DBT</v>
      </c>
      <c r="B257" s="5">
        <f>VLOOKUP(A257,'Sheet10'!$A:$C,3,0)</f>
      </c>
      <c r="C257" s="5" t="str">
        <v>[DV] Tẩy tóc bật tông Ý (1 lần)</v>
      </c>
      <c r="D257" s="5">
        <v>915</v>
      </c>
      <c r="E257" s="5"/>
      <c r="F257" s="6">
        <v>252000</v>
      </c>
      <c r="G257" s="8">
        <v>269000</v>
      </c>
      <c r="H257" s="8">
        <v>269000</v>
      </c>
      <c r="I257" s="8">
        <v>269000</v>
      </c>
      <c r="J257" s="3" t="str">
        <v>Điều chỉnh giá</v>
      </c>
      <c r="K257" s="4">
        <f>G257-F257</f>
      </c>
      <c r="L257" s="4">
        <v>141</v>
      </c>
      <c r="M257" s="4">
        <v>915</v>
      </c>
      <c r="N257" s="4" t="str">
        <v>Không đổi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5" t="str">
        <v>236 DBT</v>
      </c>
      <c r="B258" s="5">
        <f>VLOOKUP(A258,'Sheet10'!$A:$C,3,0)</f>
      </c>
      <c r="C258" s="5" t="str">
        <v>[DV] Tẩy tóc bật tông Ý (2 lần) 500k</v>
      </c>
      <c r="D258" s="5">
        <v>916</v>
      </c>
      <c r="E258" s="5"/>
      <c r="F258" s="6">
        <v>500000</v>
      </c>
      <c r="G258" s="8">
        <v>534000</v>
      </c>
      <c r="H258" s="8">
        <v>534000</v>
      </c>
      <c r="I258" s="8">
        <v>534000</v>
      </c>
      <c r="J258" s="3" t="str">
        <v>Điều chỉnh giá</v>
      </c>
      <c r="K258" s="4">
        <f>G258-F258</f>
      </c>
      <c r="L258" s="4">
        <v>141</v>
      </c>
      <c r="M258" s="4">
        <v>916</v>
      </c>
      <c r="N258" s="4" t="str">
        <v>Không đổi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5" t="str">
        <v>236 DBT</v>
      </c>
      <c r="B259" s="5">
        <f>VLOOKUP(A259,'Sheet10'!$A:$C,3,0)</f>
      </c>
      <c r="C259" s="5" t="str">
        <v>[DV] Uốn Texture con sâu/Uốn Ruffled</v>
      </c>
      <c r="D259" s="5">
        <f>VLOOKUP(C259,'Sheet7'!$B:$C,2,0)</f>
      </c>
      <c r="E259" s="5"/>
      <c r="F259" s="6">
        <v>499000</v>
      </c>
      <c r="G259" s="8">
        <v>550000</v>
      </c>
      <c r="H259" s="7">
        <v>560000</v>
      </c>
      <c r="I259" s="7">
        <v>560000</v>
      </c>
      <c r="J259" s="3" t="str">
        <v>Điều chỉnh giá</v>
      </c>
      <c r="K259" s="4">
        <f>G259-F259</f>
      </c>
      <c r="L259" s="4">
        <v>141</v>
      </c>
      <c r="M259" s="4">
        <v>674</v>
      </c>
      <c r="N259" s="4" t="str" xml:space="preserve">
        <v>+10.000 VNĐ 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5" t="str">
        <v>236 DBT</v>
      </c>
      <c r="B260" s="5">
        <f>VLOOKUP(A260,'Sheet10'!$A:$C,3,0)</f>
      </c>
      <c r="C260" s="5" t="str">
        <v>[DV] Ép side hai bên</v>
      </c>
      <c r="D260" s="5">
        <f>VLOOKUP(C260,'Sheet7'!$B:$C,2,0)</f>
      </c>
      <c r="E260" s="5"/>
      <c r="F260" s="6">
        <v>189000</v>
      </c>
      <c r="G260" s="8">
        <v>226000</v>
      </c>
      <c r="H260" s="7">
        <v>236000</v>
      </c>
      <c r="I260" s="7">
        <v>236000</v>
      </c>
      <c r="J260" s="3" t="str">
        <v>Điều chỉnh giá</v>
      </c>
      <c r="K260" s="4">
        <f>G260-F260</f>
      </c>
      <c r="L260" s="4">
        <v>141</v>
      </c>
      <c r="M260" s="4">
        <v>902</v>
      </c>
      <c r="N260" s="4" t="str" xml:space="preserve">
        <v>+10.000 VNĐ 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5" t="str">
        <v>236 DBT</v>
      </c>
      <c r="B261" s="5">
        <f>VLOOKUP(A261,'Sheet10'!$A:$C,3,0)</f>
      </c>
      <c r="C261" s="5" t="str">
        <v>NHUỘM THIẾT KẾ PHỤC HỒI CHUYÊN SÂU LIPID BOND 2025</v>
      </c>
      <c r="D261" s="5">
        <v>1149</v>
      </c>
      <c r="E261" s="5"/>
      <c r="F261" s="6">
        <v>689000</v>
      </c>
      <c r="G261" s="8">
        <v>759000</v>
      </c>
      <c r="H261" s="8">
        <v>759000</v>
      </c>
      <c r="I261" s="8">
        <v>759000</v>
      </c>
      <c r="J261" s="3" t="str">
        <v>Điều chỉnh giá</v>
      </c>
      <c r="K261" s="4">
        <f>G261-F261</f>
      </c>
      <c r="L261" s="4">
        <v>141</v>
      </c>
      <c r="M261" s="4">
        <v>1149</v>
      </c>
      <c r="N261" s="4" t="str">
        <v>Không đổi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5" t="str">
        <v>236 DBT</v>
      </c>
      <c r="B262" s="5">
        <f>VLOOKUP(A262,'Sheet10'!$A:$C,3,0)</f>
      </c>
      <c r="C262" s="5" t="str">
        <v>Phục hồi trẻ hóa Lipid Bond</v>
      </c>
      <c r="D262" s="5">
        <v>1101</v>
      </c>
      <c r="E262" s="5"/>
      <c r="F262" s="6">
        <v>132000</v>
      </c>
      <c r="G262" s="8">
        <v>146000</v>
      </c>
      <c r="H262" s="8">
        <v>146000</v>
      </c>
      <c r="I262" s="8">
        <v>146000</v>
      </c>
      <c r="J262" s="3" t="str">
        <v>Điều chỉnh giá</v>
      </c>
      <c r="K262" s="4">
        <f>G262-F262</f>
      </c>
      <c r="L262" s="4">
        <v>141</v>
      </c>
      <c r="M262" s="4">
        <v>1101</v>
      </c>
      <c r="N262" s="4" t="str">
        <v>Không đổi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5" t="str">
        <v>236 DBT</v>
      </c>
      <c r="B263" s="5">
        <f>VLOOKUP(A263,'Sheet10'!$A:$C,3,0)</f>
      </c>
      <c r="C263" s="5" t="str">
        <v>UỐN THIẾT KẾ PHỤC HỒI CHUYÊN SÂU LIPID BOND 2025</v>
      </c>
      <c r="D263" s="5">
        <f>VLOOKUP(C263,'Sheet7'!$B:$C,2,0)</f>
      </c>
      <c r="E263" s="5"/>
      <c r="F263" s="6">
        <v>689000</v>
      </c>
      <c r="G263" s="7">
        <v>689000</v>
      </c>
      <c r="H263" s="7">
        <v>699000</v>
      </c>
      <c r="I263" s="7">
        <v>699000</v>
      </c>
      <c r="J263" s="9" t="str">
        <v>Giá không đổi</v>
      </c>
      <c r="K263" s="4">
        <f>G263-F263</f>
      </c>
      <c r="L263" s="4">
        <v>141</v>
      </c>
      <c r="M263" s="4">
        <v>1148</v>
      </c>
      <c r="N263" s="4" t="str" xml:space="preserve">
        <v>+10.000 VNĐ 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5" t="str">
        <v>236 DBT</v>
      </c>
      <c r="B264" s="5">
        <f>VLOOKUP(A264,'Sheet10'!$A:$C,3,0)</f>
      </c>
      <c r="C264" s="5" t="str">
        <v>Uốn định hình nếp tóc cao cấp (K-Perm Collection)</v>
      </c>
      <c r="D264" s="5">
        <f>VLOOKUP(C264,'Sheet7'!$B:$C,2,0)</f>
      </c>
      <c r="E264" s="5"/>
      <c r="F264" s="6">
        <v>478000</v>
      </c>
      <c r="G264" s="7">
        <v>478000</v>
      </c>
      <c r="H264" s="7">
        <v>488000</v>
      </c>
      <c r="I264" s="7">
        <v>488000</v>
      </c>
      <c r="J264" s="9" t="str">
        <v>Giá không đổi</v>
      </c>
      <c r="K264" s="4">
        <f>G264-F264</f>
      </c>
      <c r="L264" s="4">
        <v>141</v>
      </c>
      <c r="M264" s="4">
        <v>952</v>
      </c>
      <c r="N264" s="4" t="str" xml:space="preserve">
        <v>+10.000 VNĐ 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5" t="str">
        <v>237 NTT</v>
      </c>
      <c r="B265" s="5">
        <f>VLOOKUP(A265,'Sheet10'!$A:$C,3,0)</f>
      </c>
      <c r="C265" s="5" t="str">
        <v>(2022T) ATS Control Buffer - Khử mùi tạo thơm cho tóc uốn nhuộm 40k</v>
      </c>
      <c r="D265" s="5">
        <v>610</v>
      </c>
      <c r="E265" s="5"/>
      <c r="F265" s="6">
        <v>40000</v>
      </c>
      <c r="G265" s="7">
        <v>40000</v>
      </c>
      <c r="H265" s="7">
        <v>40000</v>
      </c>
      <c r="I265" s="7">
        <v>40000</v>
      </c>
      <c r="J265" s="9" t="str">
        <v>Giá không đổi</v>
      </c>
      <c r="K265" s="4">
        <f>G265-F265</f>
      </c>
      <c r="L265" s="4">
        <v>145</v>
      </c>
      <c r="M265" s="4">
        <v>610</v>
      </c>
      <c r="N265" s="4" t="str">
        <v>Không đổi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5" t="str">
        <v>237 NTT</v>
      </c>
      <c r="B266" s="5">
        <f>VLOOKUP(A266,'Sheet10'!$A:$C,3,0)</f>
      </c>
      <c r="C266" s="5" t="str">
        <v>(NEW) Nhuộm màu thời trang Milano</v>
      </c>
      <c r="D266" s="5">
        <v>960</v>
      </c>
      <c r="E266" s="5">
        <f>A266&amp;D266</f>
      </c>
      <c r="F266" s="6">
        <v>332000</v>
      </c>
      <c r="G266" s="8">
        <v>366000</v>
      </c>
      <c r="H266" s="8">
        <v>366000</v>
      </c>
      <c r="I266" s="8">
        <v>366000</v>
      </c>
      <c r="J266" s="3" t="str">
        <v>Điều chỉnh giá</v>
      </c>
      <c r="K266" s="4">
        <f>G266-F266</f>
      </c>
      <c r="L266" s="4">
        <v>145</v>
      </c>
      <c r="M266" s="4">
        <v>960</v>
      </c>
      <c r="N266" s="4" t="str">
        <v>Không đổi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5" t="str">
        <v>237 NTT</v>
      </c>
      <c r="B267" s="5">
        <f>VLOOKUP(A267,'Sheet10'!$A:$C,3,0)</f>
      </c>
      <c r="C267" s="5" t="str">
        <v>(NEW) Nhuộm phủ bạc tiêu chuẩn 199K</v>
      </c>
      <c r="D267" s="5">
        <v>967</v>
      </c>
      <c r="E267" s="5"/>
      <c r="F267" s="6">
        <v>199000</v>
      </c>
      <c r="G267" s="7">
        <v>199000</v>
      </c>
      <c r="H267" s="7">
        <v>199000</v>
      </c>
      <c r="I267" s="7">
        <v>199000</v>
      </c>
      <c r="J267" s="9" t="str">
        <v>Giá không đổi</v>
      </c>
      <c r="K267" s="4">
        <f>G267-F267</f>
      </c>
      <c r="L267" s="4">
        <v>145</v>
      </c>
      <c r="M267" s="4">
        <v>967</v>
      </c>
      <c r="N267" s="4" t="str">
        <v>Không đổi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5" t="str">
        <v>237 NTT</v>
      </c>
      <c r="B268" s="5">
        <f>VLOOKUP(A268,'Sheet10'!$A:$C,3,0)</f>
      </c>
      <c r="C268" s="5" t="str">
        <v>(NEW) Uốn/Duỗi/Định hình full đầu tạo form vào nếp tự nhiên</v>
      </c>
      <c r="D268" s="5">
        <f>VLOOKUP(C268,'Sheet7'!$B:$C,2,0)</f>
      </c>
      <c r="E268" s="5">
        <f>A268&amp;D268</f>
      </c>
      <c r="F268" s="6">
        <v>386000</v>
      </c>
      <c r="G268" s="7">
        <v>386000</v>
      </c>
      <c r="H268" s="7">
        <v>396000</v>
      </c>
      <c r="I268" s="7">
        <v>396000</v>
      </c>
      <c r="J268" s="9" t="str">
        <v>Giá không đổi</v>
      </c>
      <c r="K268" s="4">
        <f>G268-F268</f>
      </c>
      <c r="L268" s="4">
        <v>145</v>
      </c>
      <c r="M268" s="4">
        <v>1009</v>
      </c>
      <c r="N268" s="4" t="str" xml:space="preserve">
        <v>+10.000 VNĐ 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5" t="str">
        <v>237 NTT</v>
      </c>
      <c r="B269" s="5">
        <f>VLOOKUP(A269,'Sheet10'!$A:$C,3,0)</f>
      </c>
      <c r="C269" s="5" t="str">
        <v>[DV] Nhuộm đen phủ bạc R&amp;B thảo dược</v>
      </c>
      <c r="D269" s="5">
        <v>912</v>
      </c>
      <c r="E269" s="5"/>
      <c r="F269" s="6">
        <v>289000</v>
      </c>
      <c r="G269" s="7">
        <v>289000</v>
      </c>
      <c r="H269" s="7">
        <v>289000</v>
      </c>
      <c r="I269" s="7">
        <v>289000</v>
      </c>
      <c r="J269" s="9" t="str">
        <v>Giá không đổi</v>
      </c>
      <c r="K269" s="4">
        <f>G269-F269</f>
      </c>
      <c r="L269" s="4">
        <v>145</v>
      </c>
      <c r="M269" s="4">
        <v>912</v>
      </c>
      <c r="N269" s="4" t="str">
        <v>Không đổi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5" t="str">
        <v>237 NTT</v>
      </c>
      <c r="B270" s="5">
        <f>VLOOKUP(A270,'Sheet10'!$A:$C,3,0)</f>
      </c>
      <c r="C270" s="5" t="str">
        <v>[DV] Tẩy tóc bật tông Ý (1 lần)</v>
      </c>
      <c r="D270" s="5">
        <v>915</v>
      </c>
      <c r="E270" s="5"/>
      <c r="F270" s="6">
        <v>252000</v>
      </c>
      <c r="G270" s="8">
        <v>259000</v>
      </c>
      <c r="H270" s="8">
        <v>259000</v>
      </c>
      <c r="I270" s="8">
        <v>259000</v>
      </c>
      <c r="J270" s="3" t="str">
        <v>Điều chỉnh giá</v>
      </c>
      <c r="K270" s="4">
        <f>G270-F270</f>
      </c>
      <c r="L270" s="4">
        <v>145</v>
      </c>
      <c r="M270" s="4">
        <v>915</v>
      </c>
      <c r="N270" s="4" t="str">
        <v>Không đổi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5" t="str">
        <v>237 NTT</v>
      </c>
      <c r="B271" s="5">
        <f>VLOOKUP(A271,'Sheet10'!$A:$C,3,0)</f>
      </c>
      <c r="C271" s="5" t="str">
        <v>[DV] Tẩy tóc bật tông Ý (2 lần) 500k</v>
      </c>
      <c r="D271" s="5">
        <v>916</v>
      </c>
      <c r="E271" s="5"/>
      <c r="F271" s="6">
        <v>500000</v>
      </c>
      <c r="G271" s="8">
        <v>514000</v>
      </c>
      <c r="H271" s="8">
        <v>514000</v>
      </c>
      <c r="I271" s="8">
        <v>514000</v>
      </c>
      <c r="J271" s="3" t="str">
        <v>Điều chỉnh giá</v>
      </c>
      <c r="K271" s="4">
        <f>G271-F271</f>
      </c>
      <c r="L271" s="4">
        <v>145</v>
      </c>
      <c r="M271" s="4">
        <v>916</v>
      </c>
      <c r="N271" s="4" t="str">
        <v>Không đổi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5" t="str">
        <v>237 NTT</v>
      </c>
      <c r="B272" s="5">
        <f>VLOOKUP(A272,'Sheet10'!$A:$C,3,0)</f>
      </c>
      <c r="C272" s="5" t="str">
        <v>[DV] Uốn Texture con sâu/Uốn Ruffled</v>
      </c>
      <c r="D272" s="5">
        <f>VLOOKUP(C272,'Sheet7'!$B:$C,2,0)</f>
      </c>
      <c r="E272" s="5"/>
      <c r="F272" s="6">
        <v>499000</v>
      </c>
      <c r="G272" s="8">
        <v>550000</v>
      </c>
      <c r="H272" s="7">
        <v>560000</v>
      </c>
      <c r="I272" s="7">
        <v>560000</v>
      </c>
      <c r="J272" s="3" t="str">
        <v>Điều chỉnh giá</v>
      </c>
      <c r="K272" s="4">
        <f>G272-F272</f>
      </c>
      <c r="L272" s="4">
        <v>145</v>
      </c>
      <c r="M272" s="4">
        <v>674</v>
      </c>
      <c r="N272" s="4" t="str" xml:space="preserve">
        <v>+10.000 VNĐ 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5" t="str">
        <v>237 NTT</v>
      </c>
      <c r="B273" s="5">
        <f>VLOOKUP(A273,'Sheet10'!$A:$C,3,0)</f>
      </c>
      <c r="C273" s="5" t="str">
        <v>[DV] Ép side hai bên</v>
      </c>
      <c r="D273" s="5">
        <f>VLOOKUP(C273,'Sheet7'!$B:$C,2,0)</f>
      </c>
      <c r="E273" s="5"/>
      <c r="F273" s="6">
        <v>189000</v>
      </c>
      <c r="G273" s="8">
        <v>216000</v>
      </c>
      <c r="H273" s="7">
        <v>226000</v>
      </c>
      <c r="I273" s="7">
        <v>226000</v>
      </c>
      <c r="J273" s="3" t="str">
        <v>Điều chỉnh giá</v>
      </c>
      <c r="K273" s="4">
        <f>G273-F273</f>
      </c>
      <c r="L273" s="4">
        <v>145</v>
      </c>
      <c r="M273" s="4">
        <v>902</v>
      </c>
      <c r="N273" s="4" t="str" xml:space="preserve">
        <v>+10.000 VNĐ 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5" t="str">
        <v>237 NTT</v>
      </c>
      <c r="B274" s="5">
        <f>VLOOKUP(A274,'Sheet10'!$A:$C,3,0)</f>
      </c>
      <c r="C274" s="5" t="str">
        <v>NHUỘM THIẾT KẾ PHỤC HỒI CHUYÊN SÂU LIPID BOND 2025</v>
      </c>
      <c r="D274" s="5">
        <v>1149</v>
      </c>
      <c r="E274" s="5"/>
      <c r="F274" s="6">
        <v>689000</v>
      </c>
      <c r="G274" s="8">
        <v>759000</v>
      </c>
      <c r="H274" s="8">
        <v>759000</v>
      </c>
      <c r="I274" s="8">
        <v>759000</v>
      </c>
      <c r="J274" s="3" t="str">
        <v>Điều chỉnh giá</v>
      </c>
      <c r="K274" s="4">
        <f>G274-F274</f>
      </c>
      <c r="L274" s="4">
        <v>145</v>
      </c>
      <c r="M274" s="4">
        <v>1149</v>
      </c>
      <c r="N274" s="4" t="str">
        <v>Không đổi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5" t="str">
        <v>237 NTT</v>
      </c>
      <c r="B275" s="5">
        <f>VLOOKUP(A275,'Sheet10'!$A:$C,3,0)</f>
      </c>
      <c r="C275" s="5" t="str">
        <v>Phục hồi trẻ hóa Lipid Bond</v>
      </c>
      <c r="D275" s="5">
        <v>1101</v>
      </c>
      <c r="E275" s="5"/>
      <c r="F275" s="6">
        <v>132000</v>
      </c>
      <c r="G275" s="8">
        <v>146000</v>
      </c>
      <c r="H275" s="8">
        <v>146000</v>
      </c>
      <c r="I275" s="8">
        <v>146000</v>
      </c>
      <c r="J275" s="3" t="str">
        <v>Điều chỉnh giá</v>
      </c>
      <c r="K275" s="4">
        <f>G275-F275</f>
      </c>
      <c r="L275" s="4">
        <v>145</v>
      </c>
      <c r="M275" s="4">
        <v>1101</v>
      </c>
      <c r="N275" s="4" t="str">
        <v>Không đổi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5" t="str">
        <v>237 NTT</v>
      </c>
      <c r="B276" s="5">
        <f>VLOOKUP(A276,'Sheet10'!$A:$C,3,0)</f>
      </c>
      <c r="C276" s="5" t="str">
        <v>UỐN THIẾT KẾ PHỤC HỒI CHUYÊN SÂU LIPID BOND 2025</v>
      </c>
      <c r="D276" s="5">
        <f>VLOOKUP(C276,'Sheet7'!$B:$C,2,0)</f>
      </c>
      <c r="E276" s="5"/>
      <c r="F276" s="6">
        <v>689000</v>
      </c>
      <c r="G276" s="7">
        <v>689000</v>
      </c>
      <c r="H276" s="7">
        <v>699000</v>
      </c>
      <c r="I276" s="7">
        <v>699000</v>
      </c>
      <c r="J276" s="9" t="str">
        <v>Giá không đổi</v>
      </c>
      <c r="K276" s="4">
        <f>G276-F276</f>
      </c>
      <c r="L276" s="4">
        <v>145</v>
      </c>
      <c r="M276" s="4">
        <v>1148</v>
      </c>
      <c r="N276" s="4" t="str" xml:space="preserve">
        <v>+10.000 VNĐ 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5" t="str">
        <v>237 NTT</v>
      </c>
      <c r="B277" s="5">
        <f>VLOOKUP(A277,'Sheet10'!$A:$C,3,0)</f>
      </c>
      <c r="C277" s="5" t="str">
        <v>Uốn định hình nếp tóc cao cấp (K-Perm Collection)</v>
      </c>
      <c r="D277" s="5">
        <f>VLOOKUP(C277,'Sheet7'!$B:$C,2,0)</f>
      </c>
      <c r="E277" s="5"/>
      <c r="F277" s="6">
        <v>478000</v>
      </c>
      <c r="G277" s="7">
        <v>478000</v>
      </c>
      <c r="H277" s="7">
        <v>488000</v>
      </c>
      <c r="I277" s="7">
        <v>488000</v>
      </c>
      <c r="J277" s="9" t="str">
        <v>Giá không đổi</v>
      </c>
      <c r="K277" s="4">
        <f>G277-F277</f>
      </c>
      <c r="L277" s="4">
        <v>145</v>
      </c>
      <c r="M277" s="4">
        <v>952</v>
      </c>
      <c r="N277" s="4" t="str" xml:space="preserve">
        <v>+10.000 VNĐ 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5" t="str">
        <v>25 TD</v>
      </c>
      <c r="B278" s="5">
        <f>VLOOKUP(A278,'Sheet10'!$A:$C,3,0)</f>
      </c>
      <c r="C278" s="5" t="str">
        <v>(2022T) ATS Control Buffer - Khử mùi tạo thơm cho tóc uốn nhuộm 40k</v>
      </c>
      <c r="D278" s="5">
        <v>610</v>
      </c>
      <c r="E278" s="5"/>
      <c r="F278" s="6">
        <v>40000</v>
      </c>
      <c r="G278" s="7">
        <v>40000</v>
      </c>
      <c r="H278" s="7">
        <v>40000</v>
      </c>
      <c r="I278" s="7">
        <v>40000</v>
      </c>
      <c r="J278" s="9" t="str">
        <v>Giá không đổi</v>
      </c>
      <c r="K278" s="4">
        <f>G278-F278</f>
      </c>
      <c r="L278" s="4">
        <v>45</v>
      </c>
      <c r="M278" s="4">
        <v>610</v>
      </c>
      <c r="N278" s="4" t="str">
        <v>Không đổi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5" t="str">
        <v>25 TD</v>
      </c>
      <c r="B279" s="5">
        <f>VLOOKUP(A279,'Sheet10'!$A:$C,3,0)</f>
      </c>
      <c r="C279" s="5" t="str">
        <v>(NEW) Nhuộm màu thời trang Milano</v>
      </c>
      <c r="D279" s="5">
        <v>960</v>
      </c>
      <c r="E279" s="5">
        <f>A279&amp;D279</f>
      </c>
      <c r="F279" s="6">
        <v>332000</v>
      </c>
      <c r="G279" s="8">
        <v>369000</v>
      </c>
      <c r="H279" s="8">
        <v>369000</v>
      </c>
      <c r="I279" s="8">
        <v>369000</v>
      </c>
      <c r="J279" s="3" t="str">
        <v>Điều chỉnh giá</v>
      </c>
      <c r="K279" s="4">
        <f>G279-F279</f>
      </c>
      <c r="L279" s="4">
        <v>45</v>
      </c>
      <c r="M279" s="4">
        <v>960</v>
      </c>
      <c r="N279" s="4" t="str">
        <v>Không đổi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5" t="str">
        <v>25 TD</v>
      </c>
      <c r="B280" s="5">
        <f>VLOOKUP(A280,'Sheet10'!$A:$C,3,0)</f>
      </c>
      <c r="C280" s="5" t="str">
        <v>(NEW) Nhuộm phủ bạc tiêu chuẩn 199K</v>
      </c>
      <c r="D280" s="5">
        <v>967</v>
      </c>
      <c r="E280" s="5"/>
      <c r="F280" s="6">
        <v>199000</v>
      </c>
      <c r="G280" s="8">
        <v>207000</v>
      </c>
      <c r="H280" s="8">
        <v>207000</v>
      </c>
      <c r="I280" s="8">
        <v>207000</v>
      </c>
      <c r="J280" s="3" t="str">
        <v>Điều chỉnh giá</v>
      </c>
      <c r="K280" s="4">
        <f>G280-F280</f>
      </c>
      <c r="L280" s="4">
        <v>45</v>
      </c>
      <c r="M280" s="4">
        <v>967</v>
      </c>
      <c r="N280" s="4" t="str">
        <v>Không đổi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5" t="str">
        <v>25 TD</v>
      </c>
      <c r="B281" s="5">
        <f>VLOOKUP(A281,'Sheet10'!$A:$C,3,0)</f>
      </c>
      <c r="C281" s="5" t="str">
        <v>(NEW) Uốn/Duỗi/Định hình full đầu tạo form vào nếp tự nhiên</v>
      </c>
      <c r="D281" s="5">
        <f>VLOOKUP(C281,'Sheet7'!$B:$C,2,0)</f>
      </c>
      <c r="E281" s="5">
        <f>A281&amp;D281</f>
      </c>
      <c r="F281" s="6">
        <v>386000</v>
      </c>
      <c r="G281" s="8">
        <v>406000</v>
      </c>
      <c r="H281" s="7">
        <v>416000</v>
      </c>
      <c r="I281" s="7">
        <v>416000</v>
      </c>
      <c r="J281" s="3" t="str">
        <v>Điều chỉnh giá</v>
      </c>
      <c r="K281" s="4">
        <f>G281-F281</f>
      </c>
      <c r="L281" s="4">
        <v>45</v>
      </c>
      <c r="M281" s="4">
        <v>1009</v>
      </c>
      <c r="N281" s="4" t="str" xml:space="preserve">
        <v>+10.000 VNĐ 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5" t="str">
        <v>25 TD</v>
      </c>
      <c r="B282" s="5">
        <f>VLOOKUP(A282,'Sheet10'!$A:$C,3,0)</f>
      </c>
      <c r="C282" s="5" t="str">
        <v>[DV] Nhuộm đen phủ bạc R&amp;B thảo dược</v>
      </c>
      <c r="D282" s="5">
        <v>912</v>
      </c>
      <c r="E282" s="5"/>
      <c r="F282" s="6">
        <v>289000</v>
      </c>
      <c r="G282" s="8">
        <v>299000</v>
      </c>
      <c r="H282" s="8">
        <v>299000</v>
      </c>
      <c r="I282" s="8">
        <v>299000</v>
      </c>
      <c r="J282" s="3" t="str">
        <v>Điều chỉnh giá</v>
      </c>
      <c r="K282" s="4">
        <f>G282-F282</f>
      </c>
      <c r="L282" s="4">
        <v>45</v>
      </c>
      <c r="M282" s="4">
        <v>912</v>
      </c>
      <c r="N282" s="4" t="str">
        <v>Không đổi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5" t="str">
        <v>25 TD</v>
      </c>
      <c r="B283" s="5">
        <f>VLOOKUP(A283,'Sheet10'!$A:$C,3,0)</f>
      </c>
      <c r="C283" s="5" t="str">
        <v>[DV] Tẩy tóc bật tông Ý (1 lần)</v>
      </c>
      <c r="D283" s="5">
        <v>915</v>
      </c>
      <c r="E283" s="5"/>
      <c r="F283" s="6">
        <v>252000</v>
      </c>
      <c r="G283" s="8">
        <v>269000</v>
      </c>
      <c r="H283" s="8">
        <v>269000</v>
      </c>
      <c r="I283" s="8">
        <v>269000</v>
      </c>
      <c r="J283" s="3" t="str">
        <v>Điều chỉnh giá</v>
      </c>
      <c r="K283" s="4">
        <f>G283-F283</f>
      </c>
      <c r="L283" s="4">
        <v>45</v>
      </c>
      <c r="M283" s="4">
        <v>915</v>
      </c>
      <c r="N283" s="4" t="str">
        <v>Không đổi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5" t="str">
        <v>25 TD</v>
      </c>
      <c r="B284" s="5">
        <f>VLOOKUP(A284,'Sheet10'!$A:$C,3,0)</f>
      </c>
      <c r="C284" s="5" t="str">
        <v>[DV] Tẩy tóc bật tông Ý (2 lần) 500k</v>
      </c>
      <c r="D284" s="5">
        <v>916</v>
      </c>
      <c r="E284" s="5"/>
      <c r="F284" s="6">
        <v>500000</v>
      </c>
      <c r="G284" s="8">
        <v>534000</v>
      </c>
      <c r="H284" s="8">
        <v>534000</v>
      </c>
      <c r="I284" s="8">
        <v>534000</v>
      </c>
      <c r="J284" s="3" t="str">
        <v>Điều chỉnh giá</v>
      </c>
      <c r="K284" s="4">
        <f>G284-F284</f>
      </c>
      <c r="L284" s="4">
        <v>45</v>
      </c>
      <c r="M284" s="4">
        <v>916</v>
      </c>
      <c r="N284" s="4" t="str">
        <v>Không đổi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5" t="str">
        <v>25 TD</v>
      </c>
      <c r="B285" s="5">
        <f>VLOOKUP(A285,'Sheet10'!$A:$C,3,0)</f>
      </c>
      <c r="C285" s="5" t="str">
        <v>[DV] Uốn Texture con sâu/Uốn Ruffled</v>
      </c>
      <c r="D285" s="5">
        <f>VLOOKUP(C285,'Sheet7'!$B:$C,2,0)</f>
      </c>
      <c r="E285" s="5"/>
      <c r="F285" s="6">
        <v>499000</v>
      </c>
      <c r="G285" s="8">
        <v>554000</v>
      </c>
      <c r="H285" s="7">
        <v>564000</v>
      </c>
      <c r="I285" s="7">
        <v>564000</v>
      </c>
      <c r="J285" s="3" t="str">
        <v>Điều chỉnh giá</v>
      </c>
      <c r="K285" s="4">
        <f>G285-F285</f>
      </c>
      <c r="L285" s="4">
        <v>45</v>
      </c>
      <c r="M285" s="4">
        <v>674</v>
      </c>
      <c r="N285" s="4" t="str" xml:space="preserve">
        <v>+10.000 VNĐ 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5" t="str">
        <v>25 TD</v>
      </c>
      <c r="B286" s="5">
        <f>VLOOKUP(A286,'Sheet10'!$A:$C,3,0)</f>
      </c>
      <c r="C286" s="5" t="str">
        <v>[DV] Ép side hai bên</v>
      </c>
      <c r="D286" s="5">
        <f>VLOOKUP(C286,'Sheet7'!$B:$C,2,0)</f>
      </c>
      <c r="E286" s="5"/>
      <c r="F286" s="6">
        <v>189000</v>
      </c>
      <c r="G286" s="8">
        <v>219000</v>
      </c>
      <c r="H286" s="7">
        <v>229000</v>
      </c>
      <c r="I286" s="7">
        <v>229000</v>
      </c>
      <c r="J286" s="3" t="str">
        <v>Điều chỉnh giá</v>
      </c>
      <c r="K286" s="4">
        <f>G286-F286</f>
      </c>
      <c r="L286" s="4">
        <v>45</v>
      </c>
      <c r="M286" s="4">
        <v>902</v>
      </c>
      <c r="N286" s="4" t="str" xml:space="preserve">
        <v>+10.000 VNĐ 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5" t="str">
        <v>25 TD</v>
      </c>
      <c r="B287" s="5">
        <f>VLOOKUP(A287,'Sheet10'!$A:$C,3,0)</f>
      </c>
      <c r="C287" s="5" t="str">
        <v>NHUỘM THIẾT KẾ PHỤC HỒI CHUYÊN SÂU LIPID BOND 2025</v>
      </c>
      <c r="D287" s="5">
        <v>1149</v>
      </c>
      <c r="E287" s="5"/>
      <c r="F287" s="6">
        <v>689000</v>
      </c>
      <c r="G287" s="8">
        <v>759000</v>
      </c>
      <c r="H287" s="8">
        <v>759000</v>
      </c>
      <c r="I287" s="8">
        <v>759000</v>
      </c>
      <c r="J287" s="3" t="str">
        <v>Điều chỉnh giá</v>
      </c>
      <c r="K287" s="4">
        <f>G287-F287</f>
      </c>
      <c r="L287" s="4">
        <v>45</v>
      </c>
      <c r="M287" s="4">
        <v>1149</v>
      </c>
      <c r="N287" s="4" t="str">
        <v>Không đổi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5" t="str">
        <v>25 TD</v>
      </c>
      <c r="B288" s="5">
        <f>VLOOKUP(A288,'Sheet10'!$A:$C,3,0)</f>
      </c>
      <c r="C288" s="5" t="str">
        <v>Phục hồi trẻ hóa Lipid Bond</v>
      </c>
      <c r="D288" s="5">
        <v>1101</v>
      </c>
      <c r="E288" s="5"/>
      <c r="F288" s="6">
        <v>132000</v>
      </c>
      <c r="G288" s="8">
        <v>146000</v>
      </c>
      <c r="H288" s="8">
        <v>146000</v>
      </c>
      <c r="I288" s="8">
        <v>146000</v>
      </c>
      <c r="J288" s="3" t="str">
        <v>Điều chỉnh giá</v>
      </c>
      <c r="K288" s="4">
        <f>G288-F288</f>
      </c>
      <c r="L288" s="4">
        <v>45</v>
      </c>
      <c r="M288" s="4">
        <v>1101</v>
      </c>
      <c r="N288" s="4" t="str">
        <v>Không đổi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5" t="str">
        <v>25 TD</v>
      </c>
      <c r="B289" s="5">
        <f>VLOOKUP(A289,'Sheet10'!$A:$C,3,0)</f>
      </c>
      <c r="C289" s="5" t="str">
        <v>UỐN THIẾT KẾ PHỤC HỒI CHUYÊN SÂU LIPID BOND 2025</v>
      </c>
      <c r="D289" s="5">
        <f>VLOOKUP(C289,'Sheet7'!$B:$C,2,0)</f>
      </c>
      <c r="E289" s="5"/>
      <c r="F289" s="6">
        <v>689000</v>
      </c>
      <c r="G289" s="8">
        <v>729000</v>
      </c>
      <c r="H289" s="7">
        <v>739000</v>
      </c>
      <c r="I289" s="7">
        <v>739000</v>
      </c>
      <c r="J289" s="3" t="str">
        <v>Điều chỉnh giá</v>
      </c>
      <c r="K289" s="4">
        <f>G289-F289</f>
      </c>
      <c r="L289" s="4">
        <v>45</v>
      </c>
      <c r="M289" s="4">
        <v>1148</v>
      </c>
      <c r="N289" s="4" t="str" xml:space="preserve">
        <v>+10.000 VNĐ 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5" t="str">
        <v>25 TD</v>
      </c>
      <c r="B290" s="5">
        <f>VLOOKUP(A290,'Sheet10'!$A:$C,3,0)</f>
      </c>
      <c r="C290" s="5" t="str">
        <v>Uốn định hình nếp tóc cao cấp (K-Perm Collection)</v>
      </c>
      <c r="D290" s="5">
        <f>VLOOKUP(C290,'Sheet7'!$B:$C,2,0)</f>
      </c>
      <c r="E290" s="5"/>
      <c r="F290" s="6">
        <v>478000</v>
      </c>
      <c r="G290" s="8">
        <v>502000</v>
      </c>
      <c r="H290" s="7">
        <v>512000</v>
      </c>
      <c r="I290" s="7">
        <v>512000</v>
      </c>
      <c r="J290" s="3" t="str">
        <v>Điều chỉnh giá</v>
      </c>
      <c r="K290" s="4">
        <f>G290-F290</f>
      </c>
      <c r="L290" s="4">
        <v>45</v>
      </c>
      <c r="M290" s="4">
        <v>952</v>
      </c>
      <c r="N290" s="4" t="str" xml:space="preserve">
        <v>+10.000 VNĐ 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5" t="str">
        <v>255 NAN</v>
      </c>
      <c r="B291" s="5">
        <f>VLOOKUP(A291,'Sheet10'!$A:$C,3,0)</f>
      </c>
      <c r="C291" s="5" t="str">
        <v>(2022T) ATS Control Buffer - Khử mùi tạo thơm cho tóc uốn nhuộm 40k</v>
      </c>
      <c r="D291" s="5">
        <v>610</v>
      </c>
      <c r="E291" s="5"/>
      <c r="F291" s="6">
        <v>40000</v>
      </c>
      <c r="G291" s="7">
        <v>40000</v>
      </c>
      <c r="H291" s="7">
        <v>40000</v>
      </c>
      <c r="I291" s="7">
        <v>40000</v>
      </c>
      <c r="J291" s="9" t="str">
        <v>Giá không đổi</v>
      </c>
      <c r="K291" s="4">
        <f>G291-F291</f>
      </c>
      <c r="L291" s="4">
        <v>65</v>
      </c>
      <c r="M291" s="4">
        <v>610</v>
      </c>
      <c r="N291" s="4" t="str">
        <v>Không đổi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5" t="str">
        <v>255 NAN</v>
      </c>
      <c r="B292" s="5">
        <f>VLOOKUP(A292,'Sheet10'!$A:$C,3,0)</f>
      </c>
      <c r="C292" s="5" t="str">
        <v>(NEW) Nhuộm màu thời trang Milano</v>
      </c>
      <c r="D292" s="5">
        <v>960</v>
      </c>
      <c r="E292" s="5">
        <f>A292&amp;D292</f>
      </c>
      <c r="F292" s="6">
        <v>332000</v>
      </c>
      <c r="G292" s="8">
        <v>346000</v>
      </c>
      <c r="H292" s="8">
        <v>346000</v>
      </c>
      <c r="I292" s="8">
        <v>346000</v>
      </c>
      <c r="J292" s="3" t="str">
        <v>Điều chỉnh giá</v>
      </c>
      <c r="K292" s="4">
        <f>G292-F292</f>
      </c>
      <c r="L292" s="4">
        <v>65</v>
      </c>
      <c r="M292" s="4">
        <v>960</v>
      </c>
      <c r="N292" s="4" t="str">
        <v>Không đổi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5" t="str">
        <v>255 NAN</v>
      </c>
      <c r="B293" s="5">
        <f>VLOOKUP(A293,'Sheet10'!$A:$C,3,0)</f>
      </c>
      <c r="C293" s="5" t="str">
        <v>(NEW) Nhuộm phủ bạc tiêu chuẩn 199K</v>
      </c>
      <c r="D293" s="5">
        <v>967</v>
      </c>
      <c r="E293" s="5"/>
      <c r="F293" s="6">
        <v>199000</v>
      </c>
      <c r="G293" s="8">
        <v>202000</v>
      </c>
      <c r="H293" s="8">
        <v>202000</v>
      </c>
      <c r="I293" s="8">
        <v>202000</v>
      </c>
      <c r="J293" s="3" t="str">
        <v>Điều chỉnh giá</v>
      </c>
      <c r="K293" s="4">
        <f>G293-F293</f>
      </c>
      <c r="L293" s="4">
        <v>65</v>
      </c>
      <c r="M293" s="4">
        <v>967</v>
      </c>
      <c r="N293" s="4" t="str">
        <v>Không đổi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5" t="str">
        <v>255 NAN</v>
      </c>
      <c r="B294" s="5">
        <f>VLOOKUP(A294,'Sheet10'!$A:$C,3,0)</f>
      </c>
      <c r="C294" s="5" t="str">
        <v>(NEW) Uốn/Duỗi/Định hình full đầu tạo form vào nếp tự nhiên</v>
      </c>
      <c r="D294" s="5">
        <f>VLOOKUP(C294,'Sheet7'!$B:$C,2,0)</f>
      </c>
      <c r="E294" s="5">
        <f>A294&amp;D294</f>
      </c>
      <c r="F294" s="6">
        <v>386000</v>
      </c>
      <c r="G294" s="7">
        <v>386000</v>
      </c>
      <c r="H294" s="7">
        <v>396000</v>
      </c>
      <c r="I294" s="7">
        <v>396000</v>
      </c>
      <c r="J294" s="9" t="str">
        <v>Giá không đổi</v>
      </c>
      <c r="K294" s="4">
        <f>G294-F294</f>
      </c>
      <c r="L294" s="4">
        <v>65</v>
      </c>
      <c r="M294" s="4">
        <v>1009</v>
      </c>
      <c r="N294" s="4" t="str" xml:space="preserve">
        <v>+10.000 VNĐ 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5" t="str">
        <v>255 NAN</v>
      </c>
      <c r="B295" s="5">
        <f>VLOOKUP(A295,'Sheet10'!$A:$C,3,0)</f>
      </c>
      <c r="C295" s="5" t="str">
        <v>[DV] Nhuộm đen phủ bạc R&amp;B thảo dược</v>
      </c>
      <c r="D295" s="5">
        <v>912</v>
      </c>
      <c r="E295" s="5"/>
      <c r="F295" s="6">
        <v>289000</v>
      </c>
      <c r="G295" s="8">
        <v>293000</v>
      </c>
      <c r="H295" s="8">
        <v>293000</v>
      </c>
      <c r="I295" s="8">
        <v>293000</v>
      </c>
      <c r="J295" s="3" t="str">
        <v>Điều chỉnh giá</v>
      </c>
      <c r="K295" s="4">
        <f>G295-F295</f>
      </c>
      <c r="L295" s="4">
        <v>65</v>
      </c>
      <c r="M295" s="4">
        <v>912</v>
      </c>
      <c r="N295" s="4" t="str">
        <v>Không đổi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5" t="str">
        <v>255 NAN</v>
      </c>
      <c r="B296" s="5">
        <f>VLOOKUP(A296,'Sheet10'!$A:$C,3,0)</f>
      </c>
      <c r="C296" s="5" t="str">
        <v>[DV] Tẩy tóc bật tông Ý (1 lần)</v>
      </c>
      <c r="D296" s="5">
        <v>915</v>
      </c>
      <c r="E296" s="5"/>
      <c r="F296" s="6">
        <v>252000</v>
      </c>
      <c r="G296" s="7">
        <v>252000</v>
      </c>
      <c r="H296" s="7">
        <v>252000</v>
      </c>
      <c r="I296" s="7">
        <v>252000</v>
      </c>
      <c r="J296" s="9" t="str">
        <v>Giá không đổi</v>
      </c>
      <c r="K296" s="4">
        <f>G296-F296</f>
      </c>
      <c r="L296" s="4">
        <v>65</v>
      </c>
      <c r="M296" s="4">
        <v>915</v>
      </c>
      <c r="N296" s="4" t="str">
        <v>Không đổi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5" t="str">
        <v>255 NAN</v>
      </c>
      <c r="B297" s="5">
        <f>VLOOKUP(A297,'Sheet10'!$A:$C,3,0)</f>
      </c>
      <c r="C297" s="5" t="str">
        <v>[DV] Tẩy tóc bật tông Ý (2 lần) 500k</v>
      </c>
      <c r="D297" s="5">
        <v>916</v>
      </c>
      <c r="E297" s="5"/>
      <c r="F297" s="6">
        <v>500000</v>
      </c>
      <c r="G297" s="7">
        <v>500000</v>
      </c>
      <c r="H297" s="7">
        <v>500000</v>
      </c>
      <c r="I297" s="7">
        <v>500000</v>
      </c>
      <c r="J297" s="9" t="str">
        <v>Giá không đổi</v>
      </c>
      <c r="K297" s="4">
        <f>G297-F297</f>
      </c>
      <c r="L297" s="4">
        <v>65</v>
      </c>
      <c r="M297" s="4">
        <v>916</v>
      </c>
      <c r="N297" s="4" t="str">
        <v>Không đổi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5" t="str">
        <v>255 NAN</v>
      </c>
      <c r="B298" s="5">
        <f>VLOOKUP(A298,'Sheet10'!$A:$C,3,0)</f>
      </c>
      <c r="C298" s="5" t="str">
        <v>[DV] Uốn Texture con sâu/Uốn Ruffled</v>
      </c>
      <c r="D298" s="5">
        <f>VLOOKUP(C298,'Sheet7'!$B:$C,2,0)</f>
      </c>
      <c r="E298" s="5"/>
      <c r="F298" s="6">
        <v>499000</v>
      </c>
      <c r="G298" s="8">
        <v>520000</v>
      </c>
      <c r="H298" s="7">
        <v>530000</v>
      </c>
      <c r="I298" s="7">
        <v>530000</v>
      </c>
      <c r="J298" s="3" t="str">
        <v>Điều chỉnh giá</v>
      </c>
      <c r="K298" s="4">
        <f>G298-F298</f>
      </c>
      <c r="L298" s="4">
        <v>65</v>
      </c>
      <c r="M298" s="4">
        <v>674</v>
      </c>
      <c r="N298" s="4" t="str" xml:space="preserve">
        <v>+10.000 VNĐ 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5" t="str">
        <v>255 NAN</v>
      </c>
      <c r="B299" s="5">
        <f>VLOOKUP(A299,'Sheet10'!$A:$C,3,0)</f>
      </c>
      <c r="C299" s="5" t="str">
        <v>[DV] Ép side hai bên</v>
      </c>
      <c r="D299" s="5">
        <f>VLOOKUP(C299,'Sheet7'!$B:$C,2,0)</f>
      </c>
      <c r="E299" s="5"/>
      <c r="F299" s="6">
        <v>189000</v>
      </c>
      <c r="G299" s="8">
        <v>198000</v>
      </c>
      <c r="H299" s="7">
        <v>208000</v>
      </c>
      <c r="I299" s="7">
        <v>208000</v>
      </c>
      <c r="J299" s="3" t="str">
        <v>Điều chỉnh giá</v>
      </c>
      <c r="K299" s="4">
        <f>G299-F299</f>
      </c>
      <c r="L299" s="4">
        <v>65</v>
      </c>
      <c r="M299" s="4">
        <v>902</v>
      </c>
      <c r="N299" s="4" t="str" xml:space="preserve">
        <v>+10.000 VNĐ 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5" t="str">
        <v>255 NAN</v>
      </c>
      <c r="B300" s="5">
        <f>VLOOKUP(A300,'Sheet10'!$A:$C,3,0)</f>
      </c>
      <c r="C300" s="5" t="str">
        <v>NHUỘM THIẾT KẾ PHỤC HỒI CHUYÊN SÂU LIPID BOND 2025</v>
      </c>
      <c r="D300" s="5">
        <v>1149</v>
      </c>
      <c r="E300" s="5"/>
      <c r="F300" s="6">
        <v>689000</v>
      </c>
      <c r="G300" s="8">
        <v>719000</v>
      </c>
      <c r="H300" s="8">
        <v>719000</v>
      </c>
      <c r="I300" s="8">
        <v>719000</v>
      </c>
      <c r="J300" s="3" t="str">
        <v>Điều chỉnh giá</v>
      </c>
      <c r="K300" s="4">
        <f>G300-F300</f>
      </c>
      <c r="L300" s="4">
        <v>65</v>
      </c>
      <c r="M300" s="4">
        <v>1149</v>
      </c>
      <c r="N300" s="4" t="str">
        <v>Không đổi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5" t="str">
        <v>255 NAN</v>
      </c>
      <c r="B301" s="5">
        <f>VLOOKUP(A301,'Sheet10'!$A:$C,3,0)</f>
      </c>
      <c r="C301" s="5" t="str">
        <v>Phục hồi trẻ hóa Lipid Bond</v>
      </c>
      <c r="D301" s="5">
        <v>1101</v>
      </c>
      <c r="E301" s="5"/>
      <c r="F301" s="6">
        <v>132000</v>
      </c>
      <c r="G301" s="8">
        <v>146000</v>
      </c>
      <c r="H301" s="8">
        <v>146000</v>
      </c>
      <c r="I301" s="8">
        <v>146000</v>
      </c>
      <c r="J301" s="3" t="str">
        <v>Điều chỉnh giá</v>
      </c>
      <c r="K301" s="4">
        <f>G301-F301</f>
      </c>
      <c r="L301" s="4">
        <v>65</v>
      </c>
      <c r="M301" s="4">
        <v>1101</v>
      </c>
      <c r="N301" s="4" t="str">
        <v>Không đổi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5" t="str">
        <v>255 NAN</v>
      </c>
      <c r="B302" s="5">
        <f>VLOOKUP(A302,'Sheet10'!$A:$C,3,0)</f>
      </c>
      <c r="C302" s="5" t="str">
        <v>UỐN THIẾT KẾ PHỤC HỒI CHUYÊN SÂU LIPID BOND 2025</v>
      </c>
      <c r="D302" s="5">
        <f>VLOOKUP(C302,'Sheet7'!$B:$C,2,0)</f>
      </c>
      <c r="E302" s="5"/>
      <c r="F302" s="6">
        <v>689000</v>
      </c>
      <c r="G302" s="7">
        <v>689000</v>
      </c>
      <c r="H302" s="7">
        <v>699000</v>
      </c>
      <c r="I302" s="7">
        <v>699000</v>
      </c>
      <c r="J302" s="9" t="str">
        <v>Giá không đổi</v>
      </c>
      <c r="K302" s="4">
        <f>G302-F302</f>
      </c>
      <c r="L302" s="4">
        <v>65</v>
      </c>
      <c r="M302" s="4">
        <v>1148</v>
      </c>
      <c r="N302" s="4" t="str" xml:space="preserve">
        <v>+10.000 VNĐ 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5" t="str">
        <v>255 NAN</v>
      </c>
      <c r="B303" s="5">
        <f>VLOOKUP(A303,'Sheet10'!$A:$C,3,0)</f>
      </c>
      <c r="C303" s="5" t="str">
        <v>Uốn định hình nếp tóc cao cấp (K-Perm Collection)</v>
      </c>
      <c r="D303" s="5">
        <f>VLOOKUP(C303,'Sheet7'!$B:$C,2,0)</f>
      </c>
      <c r="E303" s="5"/>
      <c r="F303" s="6">
        <v>478000</v>
      </c>
      <c r="G303" s="7">
        <v>478000</v>
      </c>
      <c r="H303" s="7">
        <v>488000</v>
      </c>
      <c r="I303" s="7">
        <v>488000</v>
      </c>
      <c r="J303" s="9" t="str">
        <v>Giá không đổi</v>
      </c>
      <c r="K303" s="4">
        <f>G303-F303</f>
      </c>
      <c r="L303" s="4">
        <v>65</v>
      </c>
      <c r="M303" s="4">
        <v>952</v>
      </c>
      <c r="N303" s="4" t="str" xml:space="preserve">
        <v>+10.000 VNĐ 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5" t="str">
        <v>264 LLQ</v>
      </c>
      <c r="B304" s="5">
        <f>VLOOKUP(A304,'Sheet10'!$A:$C,3,0)</f>
      </c>
      <c r="C304" s="5" t="str">
        <v>(2022T) ATS Control Buffer - Khử mùi tạo thơm cho tóc uốn nhuộm 40k</v>
      </c>
      <c r="D304" s="5">
        <v>610</v>
      </c>
      <c r="E304" s="5"/>
      <c r="F304" s="6">
        <v>40000</v>
      </c>
      <c r="G304" s="7">
        <v>40000</v>
      </c>
      <c r="H304" s="7">
        <v>40000</v>
      </c>
      <c r="I304" s="7">
        <v>40000</v>
      </c>
      <c r="J304" s="9" t="str">
        <v>Giá không đổi</v>
      </c>
      <c r="K304" s="4">
        <f>G304-F304</f>
      </c>
      <c r="L304" s="4">
        <v>192</v>
      </c>
      <c r="M304" s="4">
        <v>610</v>
      </c>
      <c r="N304" s="4" t="str">
        <v>Không đổi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5" t="str">
        <v>264 LLQ</v>
      </c>
      <c r="B305" s="5">
        <f>VLOOKUP(A305,'Sheet10'!$A:$C,3,0)</f>
      </c>
      <c r="C305" s="5" t="str">
        <v>(NEW) Nhuộm màu thời trang Milano</v>
      </c>
      <c r="D305" s="5">
        <v>960</v>
      </c>
      <c r="E305" s="5">
        <f>A305&amp;D305</f>
      </c>
      <c r="F305" s="6">
        <v>332000</v>
      </c>
      <c r="G305" s="8">
        <v>332000</v>
      </c>
      <c r="H305" s="8">
        <v>332000</v>
      </c>
      <c r="I305" s="8">
        <v>332000</v>
      </c>
      <c r="J305" s="3" t="str">
        <v>Điều chỉnh giá</v>
      </c>
      <c r="K305" s="4">
        <f>G305-F305</f>
      </c>
      <c r="L305" s="4">
        <v>192</v>
      </c>
      <c r="M305" s="4">
        <v>960</v>
      </c>
      <c r="N305" s="4" t="str">
        <v>Không đổi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5" t="str">
        <v>264 LLQ</v>
      </c>
      <c r="B306" s="5">
        <f>VLOOKUP(A306,'Sheet10'!$A:$C,3,0)</f>
      </c>
      <c r="C306" s="5" t="str">
        <v>(NEW) Nhuộm phủ bạc tiêu chuẩn 199K</v>
      </c>
      <c r="D306" s="5">
        <v>967</v>
      </c>
      <c r="E306" s="5"/>
      <c r="F306" s="6">
        <v>199000</v>
      </c>
      <c r="G306" s="7">
        <v>199000</v>
      </c>
      <c r="H306" s="7">
        <v>199000</v>
      </c>
      <c r="I306" s="7">
        <v>199000</v>
      </c>
      <c r="J306" s="9" t="str">
        <v>Giá không đổi</v>
      </c>
      <c r="K306" s="4">
        <f>G306-F306</f>
      </c>
      <c r="L306" s="4">
        <v>192</v>
      </c>
      <c r="M306" s="4">
        <v>967</v>
      </c>
      <c r="N306" s="4" t="str">
        <v>Không đổi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5" t="str">
        <v>264 LLQ</v>
      </c>
      <c r="B307" s="5">
        <f>VLOOKUP(A307,'Sheet10'!$A:$C,3,0)</f>
      </c>
      <c r="C307" s="5" t="str">
        <v>(NEW) Uốn/Duỗi/Định hình full đầu tạo form vào nếp tự nhiên</v>
      </c>
      <c r="D307" s="5">
        <f>VLOOKUP(C307,'Sheet7'!$B:$C,2,0)</f>
      </c>
      <c r="E307" s="5">
        <f>A307&amp;D307</f>
      </c>
      <c r="F307" s="6">
        <v>386000</v>
      </c>
      <c r="G307" s="8">
        <v>386000</v>
      </c>
      <c r="H307" s="7">
        <v>396000</v>
      </c>
      <c r="I307" s="7">
        <v>396000</v>
      </c>
      <c r="J307" s="3" t="str">
        <v>Điều chỉnh giá</v>
      </c>
      <c r="K307" s="4">
        <f>G307-F307</f>
      </c>
      <c r="L307" s="4">
        <v>192</v>
      </c>
      <c r="M307" s="4">
        <v>1009</v>
      </c>
      <c r="N307" s="4" t="str" xml:space="preserve">
        <v>+10.000 VNĐ 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5" t="str">
        <v>264 LLQ</v>
      </c>
      <c r="B308" s="5">
        <f>VLOOKUP(A308,'Sheet10'!$A:$C,3,0)</f>
      </c>
      <c r="C308" s="5" t="str">
        <v>[DV] Nhuộm đen phủ bạc R&amp;B thảo dược</v>
      </c>
      <c r="D308" s="5">
        <v>912</v>
      </c>
      <c r="E308" s="5"/>
      <c r="F308" s="6">
        <v>289000</v>
      </c>
      <c r="G308" s="7">
        <v>289000</v>
      </c>
      <c r="H308" s="7">
        <v>289000</v>
      </c>
      <c r="I308" s="7">
        <v>289000</v>
      </c>
      <c r="J308" s="9" t="str">
        <v>Giá không đổi</v>
      </c>
      <c r="K308" s="4">
        <f>G308-F308</f>
      </c>
      <c r="L308" s="4">
        <v>192</v>
      </c>
      <c r="M308" s="4">
        <v>912</v>
      </c>
      <c r="N308" s="4" t="str">
        <v>Không đổi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5" t="str">
        <v>264 LLQ</v>
      </c>
      <c r="B309" s="5">
        <f>VLOOKUP(A309,'Sheet10'!$A:$C,3,0)</f>
      </c>
      <c r="C309" s="5" t="str">
        <v>[DV] Tẩy tóc bật tông Ý (1 lần)</v>
      </c>
      <c r="D309" s="5">
        <v>915</v>
      </c>
      <c r="E309" s="5"/>
      <c r="F309" s="6">
        <v>252000</v>
      </c>
      <c r="G309" s="8">
        <v>269000</v>
      </c>
      <c r="H309" s="8">
        <v>269000</v>
      </c>
      <c r="I309" s="8">
        <v>269000</v>
      </c>
      <c r="J309" s="3" t="str">
        <v>Điều chỉnh giá</v>
      </c>
      <c r="K309" s="4">
        <f>G309-F309</f>
      </c>
      <c r="L309" s="4">
        <v>192</v>
      </c>
      <c r="M309" s="4">
        <v>915</v>
      </c>
      <c r="N309" s="4" t="str">
        <v>Không đổi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5" t="str">
        <v>264 LLQ</v>
      </c>
      <c r="B310" s="5">
        <f>VLOOKUP(A310,'Sheet10'!$A:$C,3,0)</f>
      </c>
      <c r="C310" s="5" t="str">
        <v>[DV] Tẩy tóc bật tông Ý (2 lần) 500k</v>
      </c>
      <c r="D310" s="5">
        <v>916</v>
      </c>
      <c r="E310" s="5"/>
      <c r="F310" s="6">
        <v>500000</v>
      </c>
      <c r="G310" s="8">
        <v>525000</v>
      </c>
      <c r="H310" s="8">
        <v>525000</v>
      </c>
      <c r="I310" s="8">
        <v>525000</v>
      </c>
      <c r="J310" s="3" t="str">
        <v>Điều chỉnh giá</v>
      </c>
      <c r="K310" s="4">
        <f>G310-F310</f>
      </c>
      <c r="L310" s="4">
        <v>192</v>
      </c>
      <c r="M310" s="4">
        <v>916</v>
      </c>
      <c r="N310" s="4" t="str">
        <v>Không đổi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5" t="str">
        <v>264 LLQ</v>
      </c>
      <c r="B311" s="5">
        <f>VLOOKUP(A311,'Sheet10'!$A:$C,3,0)</f>
      </c>
      <c r="C311" s="5" t="str">
        <v>[DV] Uốn Texture con sâu/Uốn Ruffled</v>
      </c>
      <c r="D311" s="5">
        <f>VLOOKUP(C311,'Sheet7'!$B:$C,2,0)</f>
      </c>
      <c r="E311" s="5"/>
      <c r="F311" s="6">
        <v>499000</v>
      </c>
      <c r="G311" s="8">
        <v>554000</v>
      </c>
      <c r="H311" s="7">
        <v>564000</v>
      </c>
      <c r="I311" s="7">
        <v>564000</v>
      </c>
      <c r="J311" s="3" t="str">
        <v>Điều chỉnh giá</v>
      </c>
      <c r="K311" s="4">
        <f>G311-F311</f>
      </c>
      <c r="L311" s="4">
        <v>192</v>
      </c>
      <c r="M311" s="4">
        <v>674</v>
      </c>
      <c r="N311" s="4" t="str" xml:space="preserve">
        <v>+10.000 VNĐ 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5" t="str">
        <v>264 LLQ</v>
      </c>
      <c r="B312" s="5">
        <f>VLOOKUP(A312,'Sheet10'!$A:$C,3,0)</f>
      </c>
      <c r="C312" s="5" t="str">
        <v>[DV] Ép side hai bên</v>
      </c>
      <c r="D312" s="5">
        <f>VLOOKUP(C312,'Sheet7'!$B:$C,2,0)</f>
      </c>
      <c r="E312" s="5"/>
      <c r="F312" s="6">
        <v>189000</v>
      </c>
      <c r="G312" s="7">
        <v>189000</v>
      </c>
      <c r="H312" s="7">
        <v>199000</v>
      </c>
      <c r="I312" s="7">
        <v>199000</v>
      </c>
      <c r="J312" s="9" t="str">
        <v>Giá không đổi</v>
      </c>
      <c r="K312" s="4">
        <f>G312-F312</f>
      </c>
      <c r="L312" s="4">
        <v>192</v>
      </c>
      <c r="M312" s="4">
        <v>902</v>
      </c>
      <c r="N312" s="4" t="str" xml:space="preserve">
        <v>+10.000 VNĐ 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5" t="str">
        <v>264 LLQ</v>
      </c>
      <c r="B313" s="5">
        <f>VLOOKUP(A313,'Sheet10'!$A:$C,3,0)</f>
      </c>
      <c r="C313" s="5" t="str">
        <v>NHUỘM THIẾT KẾ PHỤC HỒI CHUYÊN SÂU LIPID BOND 2025</v>
      </c>
      <c r="D313" s="5">
        <v>1149</v>
      </c>
      <c r="E313" s="5"/>
      <c r="F313" s="6">
        <v>689000</v>
      </c>
      <c r="G313" s="8">
        <v>759000</v>
      </c>
      <c r="H313" s="8">
        <v>759000</v>
      </c>
      <c r="I313" s="8">
        <v>759000</v>
      </c>
      <c r="J313" s="3" t="str">
        <v>Điều chỉnh giá</v>
      </c>
      <c r="K313" s="4">
        <f>G313-F313</f>
      </c>
      <c r="L313" s="4">
        <v>192</v>
      </c>
      <c r="M313" s="4">
        <v>1149</v>
      </c>
      <c r="N313" s="4" t="str">
        <v>Không đổi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5" t="str">
        <v>264 LLQ</v>
      </c>
      <c r="B314" s="5">
        <f>VLOOKUP(A314,'Sheet10'!$A:$C,3,0)</f>
      </c>
      <c r="C314" s="5" t="str">
        <v>Phục hồi trẻ hóa Lipid Bond</v>
      </c>
      <c r="D314" s="5">
        <v>1101</v>
      </c>
      <c r="E314" s="5"/>
      <c r="F314" s="6">
        <v>132000</v>
      </c>
      <c r="G314" s="8">
        <v>146000</v>
      </c>
      <c r="H314" s="8">
        <v>146000</v>
      </c>
      <c r="I314" s="8">
        <v>146000</v>
      </c>
      <c r="J314" s="3" t="str">
        <v>Điều chỉnh giá</v>
      </c>
      <c r="K314" s="4">
        <f>G314-F314</f>
      </c>
      <c r="L314" s="4">
        <v>192</v>
      </c>
      <c r="M314" s="4">
        <v>1101</v>
      </c>
      <c r="N314" s="4" t="str">
        <v>Không đổi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5" t="str">
        <v>264 LLQ</v>
      </c>
      <c r="B315" s="5">
        <f>VLOOKUP(A315,'Sheet10'!$A:$C,3,0)</f>
      </c>
      <c r="C315" s="5" t="str">
        <v>UỐN THIẾT KẾ PHỤC HỒI CHUYÊN SÂU LIPID BOND 2025</v>
      </c>
      <c r="D315" s="5">
        <f>VLOOKUP(C315,'Sheet7'!$B:$C,2,0)</f>
      </c>
      <c r="E315" s="5"/>
      <c r="F315" s="6">
        <v>689000</v>
      </c>
      <c r="G315" s="8">
        <v>729000</v>
      </c>
      <c r="H315" s="7">
        <v>739000</v>
      </c>
      <c r="I315" s="7">
        <v>739000</v>
      </c>
      <c r="J315" s="3" t="str">
        <v>Điều chỉnh giá</v>
      </c>
      <c r="K315" s="4">
        <f>G315-F315</f>
      </c>
      <c r="L315" s="4">
        <v>192</v>
      </c>
      <c r="M315" s="4">
        <v>1148</v>
      </c>
      <c r="N315" s="4" t="str" xml:space="preserve">
        <v>+10.000 VNĐ 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5" t="str">
        <v>264 LLQ</v>
      </c>
      <c r="B316" s="5">
        <f>VLOOKUP(A316,'Sheet10'!$A:$C,3,0)</f>
      </c>
      <c r="C316" s="5" t="str">
        <v>Uốn định hình nếp tóc cao cấp (K-Perm Collection)</v>
      </c>
      <c r="D316" s="5">
        <f>VLOOKUP(C316,'Sheet7'!$B:$C,2,0)</f>
      </c>
      <c r="E316" s="5"/>
      <c r="F316" s="6">
        <v>478000</v>
      </c>
      <c r="G316" s="8">
        <v>502000</v>
      </c>
      <c r="H316" s="7">
        <v>512000</v>
      </c>
      <c r="I316" s="7">
        <v>512000</v>
      </c>
      <c r="J316" s="3" t="str">
        <v>Điều chỉnh giá</v>
      </c>
      <c r="K316" s="4">
        <f>G316-F316</f>
      </c>
      <c r="L316" s="4">
        <v>192</v>
      </c>
      <c r="M316" s="4">
        <v>952</v>
      </c>
      <c r="N316" s="4" t="str" xml:space="preserve">
        <v>+10.000 VNĐ 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5" t="str">
        <v>29 HB</v>
      </c>
      <c r="B317" s="5">
        <f>VLOOKUP(A317,'Sheet10'!$A:$C,3,0)</f>
      </c>
      <c r="C317" s="5" t="str">
        <v>(2022T) ATS Control Buffer - Khử mùi tạo thơm cho tóc uốn nhuộm 40k</v>
      </c>
      <c r="D317" s="5">
        <v>610</v>
      </c>
      <c r="E317" s="5"/>
      <c r="F317" s="6">
        <v>40000</v>
      </c>
      <c r="G317" s="7">
        <v>40000</v>
      </c>
      <c r="H317" s="7">
        <v>40000</v>
      </c>
      <c r="I317" s="7">
        <v>40000</v>
      </c>
      <c r="J317" s="9" t="str">
        <v>Giá không đổi</v>
      </c>
      <c r="K317" s="4">
        <f>G317-F317</f>
      </c>
      <c r="L317" s="4">
        <v>63</v>
      </c>
      <c r="M317" s="4">
        <v>610</v>
      </c>
      <c r="N317" s="4" t="str">
        <v>Không đổi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5" t="str">
        <v>29 HB</v>
      </c>
      <c r="B318" s="5">
        <f>VLOOKUP(A318,'Sheet10'!$A:$C,3,0)</f>
      </c>
      <c r="C318" s="5" t="str">
        <v>(NEW) Nhuộm màu thời trang Milano</v>
      </c>
      <c r="D318" s="5">
        <v>960</v>
      </c>
      <c r="E318" s="5">
        <f>A318&amp;D318</f>
      </c>
      <c r="F318" s="6">
        <v>332000</v>
      </c>
      <c r="G318" s="8">
        <v>346000</v>
      </c>
      <c r="H318" s="8">
        <v>346000</v>
      </c>
      <c r="I318" s="8">
        <v>346000</v>
      </c>
      <c r="J318" s="3" t="str">
        <v>Điều chỉnh giá</v>
      </c>
      <c r="K318" s="4">
        <f>G318-F318</f>
      </c>
      <c r="L318" s="4">
        <v>63</v>
      </c>
      <c r="M318" s="4">
        <v>960</v>
      </c>
      <c r="N318" s="4" t="str">
        <v>Không đổi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5" t="str">
        <v>29 HB</v>
      </c>
      <c r="B319" s="5">
        <f>VLOOKUP(A319,'Sheet10'!$A:$C,3,0)</f>
      </c>
      <c r="C319" s="5" t="str">
        <v>(NEW) Nhuộm phủ bạc tiêu chuẩn 199K</v>
      </c>
      <c r="D319" s="5">
        <v>967</v>
      </c>
      <c r="E319" s="5"/>
      <c r="F319" s="6">
        <v>199000</v>
      </c>
      <c r="G319" s="7">
        <v>199000</v>
      </c>
      <c r="H319" s="7">
        <v>199000</v>
      </c>
      <c r="I319" s="7">
        <v>199000</v>
      </c>
      <c r="J319" s="9" t="str">
        <v>Giá không đổi</v>
      </c>
      <c r="K319" s="4">
        <f>G319-F319</f>
      </c>
      <c r="L319" s="4">
        <v>63</v>
      </c>
      <c r="M319" s="4">
        <v>967</v>
      </c>
      <c r="N319" s="4" t="str">
        <v>Không đổi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5" t="str">
        <v>29 HB</v>
      </c>
      <c r="B320" s="5">
        <f>VLOOKUP(A320,'Sheet10'!$A:$C,3,0)</f>
      </c>
      <c r="C320" s="5" t="str">
        <v>(NEW) Uốn/Duỗi/Định hình full đầu tạo form vào nếp tự nhiên</v>
      </c>
      <c r="D320" s="5">
        <f>VLOOKUP(C320,'Sheet7'!$B:$C,2,0)</f>
      </c>
      <c r="E320" s="5">
        <f>A320&amp;D320</f>
      </c>
      <c r="F320" s="6">
        <v>386000</v>
      </c>
      <c r="G320" s="7">
        <v>386000</v>
      </c>
      <c r="H320" s="7">
        <v>396000</v>
      </c>
      <c r="I320" s="7">
        <v>396000</v>
      </c>
      <c r="J320" s="9" t="str">
        <v>Giá không đổi</v>
      </c>
      <c r="K320" s="4">
        <f>G320-F320</f>
      </c>
      <c r="L320" s="4">
        <v>63</v>
      </c>
      <c r="M320" s="4">
        <v>1009</v>
      </c>
      <c r="N320" s="4" t="str" xml:space="preserve">
        <v>+10.000 VNĐ 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5" t="str">
        <v>29 HB</v>
      </c>
      <c r="B321" s="5">
        <f>VLOOKUP(A321,'Sheet10'!$A:$C,3,0)</f>
      </c>
      <c r="C321" s="5" t="str">
        <v>[DV] Nhuộm đen phủ bạc R&amp;B thảo dược</v>
      </c>
      <c r="D321" s="5">
        <v>912</v>
      </c>
      <c r="E321" s="5"/>
      <c r="F321" s="6">
        <v>289000</v>
      </c>
      <c r="G321" s="7">
        <v>289000</v>
      </c>
      <c r="H321" s="7">
        <v>289000</v>
      </c>
      <c r="I321" s="7">
        <v>289000</v>
      </c>
      <c r="J321" s="9" t="str">
        <v>Giá không đổi</v>
      </c>
      <c r="K321" s="4">
        <f>G321-F321</f>
      </c>
      <c r="L321" s="4">
        <v>63</v>
      </c>
      <c r="M321" s="4">
        <v>912</v>
      </c>
      <c r="N321" s="4" t="str">
        <v>Không đổi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5" t="str">
        <v>29 HB</v>
      </c>
      <c r="B322" s="5">
        <f>VLOOKUP(A322,'Sheet10'!$A:$C,3,0)</f>
      </c>
      <c r="C322" s="5" t="str">
        <v>[DV] Tẩy tóc bật tông Ý (1 lần)</v>
      </c>
      <c r="D322" s="5">
        <v>915</v>
      </c>
      <c r="E322" s="5"/>
      <c r="F322" s="6">
        <v>252000</v>
      </c>
      <c r="G322" s="7">
        <v>252000</v>
      </c>
      <c r="H322" s="7">
        <v>252000</v>
      </c>
      <c r="I322" s="7">
        <v>252000</v>
      </c>
      <c r="J322" s="9" t="str">
        <v>Giá không đổi</v>
      </c>
      <c r="K322" s="4">
        <f>G322-F322</f>
      </c>
      <c r="L322" s="4">
        <v>63</v>
      </c>
      <c r="M322" s="4">
        <v>915</v>
      </c>
      <c r="N322" s="4" t="str">
        <v>Không đổi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5" t="str">
        <v>29 HB</v>
      </c>
      <c r="B323" s="5">
        <f>VLOOKUP(A323,'Sheet10'!$A:$C,3,0)</f>
      </c>
      <c r="C323" s="5" t="str">
        <v>[DV] Tẩy tóc bật tông Ý (2 lần) 500k</v>
      </c>
      <c r="D323" s="5">
        <v>916</v>
      </c>
      <c r="E323" s="5"/>
      <c r="F323" s="6">
        <v>500000</v>
      </c>
      <c r="G323" s="7">
        <v>500000</v>
      </c>
      <c r="H323" s="7">
        <v>500000</v>
      </c>
      <c r="I323" s="7">
        <v>500000</v>
      </c>
      <c r="J323" s="9" t="str">
        <v>Giá không đổi</v>
      </c>
      <c r="K323" s="4">
        <f>G323-F323</f>
      </c>
      <c r="L323" s="4">
        <v>63</v>
      </c>
      <c r="M323" s="4">
        <v>916</v>
      </c>
      <c r="N323" s="4" t="str">
        <v>Không đổi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5" t="str">
        <v>29 HB</v>
      </c>
      <c r="B324" s="5">
        <f>VLOOKUP(A324,'Sheet10'!$A:$C,3,0)</f>
      </c>
      <c r="C324" s="5" t="str">
        <v>[DV] Uốn Texture con sâu/Uốn Ruffled</v>
      </c>
      <c r="D324" s="5">
        <f>VLOOKUP(C324,'Sheet7'!$B:$C,2,0)</f>
      </c>
      <c r="E324" s="5"/>
      <c r="F324" s="6">
        <v>499000</v>
      </c>
      <c r="G324" s="8">
        <v>520000</v>
      </c>
      <c r="H324" s="7">
        <v>530000</v>
      </c>
      <c r="I324" s="7">
        <v>530000</v>
      </c>
      <c r="J324" s="3" t="str">
        <v>Điều chỉnh giá</v>
      </c>
      <c r="K324" s="4">
        <f>G324-F324</f>
      </c>
      <c r="L324" s="4">
        <v>63</v>
      </c>
      <c r="M324" s="4">
        <v>674</v>
      </c>
      <c r="N324" s="4" t="str" xml:space="preserve">
        <v>+10.000 VNĐ 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5" t="str">
        <v>29 HB</v>
      </c>
      <c r="B325" s="5">
        <f>VLOOKUP(A325,'Sheet10'!$A:$C,3,0)</f>
      </c>
      <c r="C325" s="5" t="str">
        <v>[DV] Ép side hai bên</v>
      </c>
      <c r="D325" s="5">
        <f>VLOOKUP(C325,'Sheet7'!$B:$C,2,0)</f>
      </c>
      <c r="E325" s="5"/>
      <c r="F325" s="6">
        <v>189000</v>
      </c>
      <c r="G325" s="7">
        <v>189000</v>
      </c>
      <c r="H325" s="7">
        <v>199000</v>
      </c>
      <c r="I325" s="7">
        <v>199000</v>
      </c>
      <c r="J325" s="9" t="str">
        <v>Giá không đổi</v>
      </c>
      <c r="K325" s="4">
        <f>G325-F325</f>
      </c>
      <c r="L325" s="4">
        <v>63</v>
      </c>
      <c r="M325" s="4">
        <v>902</v>
      </c>
      <c r="N325" s="4" t="str" xml:space="preserve">
        <v>+10.000 VNĐ 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5" t="str">
        <v>29 HB</v>
      </c>
      <c r="B326" s="5">
        <f>VLOOKUP(A326,'Sheet10'!$A:$C,3,0)</f>
      </c>
      <c r="C326" s="5" t="str">
        <v>NHUỘM THIẾT KẾ PHỤC HỒI CHUYÊN SÂU LIPID BOND 2025</v>
      </c>
      <c r="D326" s="5">
        <v>1149</v>
      </c>
      <c r="E326" s="5"/>
      <c r="F326" s="6">
        <v>689000</v>
      </c>
      <c r="G326" s="8">
        <v>719000</v>
      </c>
      <c r="H326" s="8">
        <v>719000</v>
      </c>
      <c r="I326" s="8">
        <v>719000</v>
      </c>
      <c r="J326" s="3" t="str">
        <v>Điều chỉnh giá</v>
      </c>
      <c r="K326" s="4">
        <f>G326-F326</f>
      </c>
      <c r="L326" s="4">
        <v>63</v>
      </c>
      <c r="M326" s="4">
        <v>1149</v>
      </c>
      <c r="N326" s="4" t="str">
        <v>Không đổi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5" t="str">
        <v>29 HB</v>
      </c>
      <c r="B327" s="5">
        <f>VLOOKUP(A327,'Sheet10'!$A:$C,3,0)</f>
      </c>
      <c r="C327" s="5" t="str">
        <v>Phục hồi trẻ hóa Lipid Bond</v>
      </c>
      <c r="D327" s="5">
        <v>1101</v>
      </c>
      <c r="E327" s="5"/>
      <c r="F327" s="6">
        <v>132000</v>
      </c>
      <c r="G327" s="8">
        <v>146000</v>
      </c>
      <c r="H327" s="8">
        <v>146000</v>
      </c>
      <c r="I327" s="8">
        <v>146000</v>
      </c>
      <c r="J327" s="3" t="str">
        <v>Điều chỉnh giá</v>
      </c>
      <c r="K327" s="4">
        <f>G327-F327</f>
      </c>
      <c r="L327" s="4">
        <v>63</v>
      </c>
      <c r="M327" s="4">
        <v>1101</v>
      </c>
      <c r="N327" s="4" t="str">
        <v>Không đổi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5" t="str">
        <v>29 HB</v>
      </c>
      <c r="B328" s="5">
        <f>VLOOKUP(A328,'Sheet10'!$A:$C,3,0)</f>
      </c>
      <c r="C328" s="5" t="str">
        <v>UỐN THIẾT KẾ PHỤC HỒI CHUYÊN SÂU LIPID BOND 2025</v>
      </c>
      <c r="D328" s="5">
        <f>VLOOKUP(C328,'Sheet7'!$B:$C,2,0)</f>
      </c>
      <c r="E328" s="5"/>
      <c r="F328" s="6">
        <v>689000</v>
      </c>
      <c r="G328" s="7">
        <v>689000</v>
      </c>
      <c r="H328" s="7">
        <v>699000</v>
      </c>
      <c r="I328" s="7">
        <v>699000</v>
      </c>
      <c r="J328" s="9" t="str">
        <v>Giá không đổi</v>
      </c>
      <c r="K328" s="4">
        <f>G328-F328</f>
      </c>
      <c r="L328" s="4">
        <v>63</v>
      </c>
      <c r="M328" s="4">
        <v>1148</v>
      </c>
      <c r="N328" s="4" t="str" xml:space="preserve">
        <v>+10.000 VNĐ 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5" t="str">
        <v>29 HB</v>
      </c>
      <c r="B329" s="5">
        <f>VLOOKUP(A329,'Sheet10'!$A:$C,3,0)</f>
      </c>
      <c r="C329" s="5" t="str">
        <v>Uốn định hình nếp tóc cao cấp (K-Perm Collection)</v>
      </c>
      <c r="D329" s="5">
        <f>VLOOKUP(C329,'Sheet7'!$B:$C,2,0)</f>
      </c>
      <c r="E329" s="5"/>
      <c r="F329" s="6">
        <v>478000</v>
      </c>
      <c r="G329" s="7">
        <v>478000</v>
      </c>
      <c r="H329" s="7">
        <v>488000</v>
      </c>
      <c r="I329" s="7">
        <v>488000</v>
      </c>
      <c r="J329" s="9" t="str">
        <v>Giá không đổi</v>
      </c>
      <c r="K329" s="4">
        <f>G329-F329</f>
      </c>
      <c r="L329" s="4">
        <v>63</v>
      </c>
      <c r="M329" s="4">
        <v>952</v>
      </c>
      <c r="N329" s="4" t="str" xml:space="preserve">
        <v>+10.000 VNĐ 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5" t="str">
        <v>290 QT TH</v>
      </c>
      <c r="B330" s="5">
        <f>VLOOKUP(A330,'Sheet10'!$A:$C,3,0)</f>
      </c>
      <c r="C330" s="5" t="str">
        <v>(2022T) ATS Control Buffer - Khử mùi tạo thơm cho tóc uốn nhuộm 40k</v>
      </c>
      <c r="D330" s="5">
        <v>610</v>
      </c>
      <c r="E330" s="5"/>
      <c r="F330" s="6">
        <v>40000</v>
      </c>
      <c r="G330" s="7">
        <v>40000</v>
      </c>
      <c r="H330" s="7">
        <v>40000</v>
      </c>
      <c r="I330" s="7">
        <v>40000</v>
      </c>
      <c r="J330" s="9" t="str">
        <v>Giá không đổi</v>
      </c>
      <c r="K330" s="4">
        <f>G330-F330</f>
      </c>
      <c r="L330" s="4">
        <v>230</v>
      </c>
      <c r="M330" s="4">
        <v>610</v>
      </c>
      <c r="N330" s="4" t="str">
        <v>Không đổi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5" t="str">
        <v>290 QT TH</v>
      </c>
      <c r="B331" s="5">
        <f>VLOOKUP(A331,'Sheet10'!$A:$C,3,0)</f>
      </c>
      <c r="C331" s="5" t="str">
        <v>(NEW) Nhuộm màu thời trang Milano</v>
      </c>
      <c r="D331" s="5">
        <v>960</v>
      </c>
      <c r="E331" s="5">
        <f>A331&amp;D331</f>
      </c>
      <c r="F331" s="6">
        <v>332000</v>
      </c>
      <c r="G331" s="8">
        <v>369000</v>
      </c>
      <c r="H331" s="8">
        <v>369000</v>
      </c>
      <c r="I331" s="8">
        <v>369000</v>
      </c>
      <c r="J331" s="3" t="str">
        <v>Điều chỉnh giá</v>
      </c>
      <c r="K331" s="4">
        <f>G331-F331</f>
      </c>
      <c r="L331" s="4">
        <v>230</v>
      </c>
      <c r="M331" s="4">
        <v>960</v>
      </c>
      <c r="N331" s="4" t="str">
        <v>Không đổi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5" t="str">
        <v>290 QT TH</v>
      </c>
      <c r="B332" s="5">
        <f>VLOOKUP(A332,'Sheet10'!$A:$C,3,0)</f>
      </c>
      <c r="C332" s="5" t="str">
        <v>(NEW) Nhuộm phủ bạc tiêu chuẩn 199K</v>
      </c>
      <c r="D332" s="5">
        <v>967</v>
      </c>
      <c r="E332" s="5"/>
      <c r="F332" s="6">
        <v>199000</v>
      </c>
      <c r="G332" s="7">
        <v>199000</v>
      </c>
      <c r="H332" s="7">
        <v>199000</v>
      </c>
      <c r="I332" s="7">
        <v>199000</v>
      </c>
      <c r="J332" s="9" t="str">
        <v>Giá không đổi</v>
      </c>
      <c r="K332" s="4">
        <f>G332-F332</f>
      </c>
      <c r="L332" s="4">
        <v>230</v>
      </c>
      <c r="M332" s="4">
        <v>967</v>
      </c>
      <c r="N332" s="4" t="str">
        <v>Không đổi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5" t="str">
        <v>290 QT TH</v>
      </c>
      <c r="B333" s="5">
        <f>VLOOKUP(A333,'Sheet10'!$A:$C,3,0)</f>
      </c>
      <c r="C333" s="5" t="str">
        <v>(NEW) Uốn/Duỗi/Định hình full đầu tạo form vào nếp tự nhiên</v>
      </c>
      <c r="D333" s="5">
        <f>VLOOKUP(C333,'Sheet7'!$B:$C,2,0)</f>
      </c>
      <c r="E333" s="5">
        <f>A333&amp;D333</f>
      </c>
      <c r="F333" s="6">
        <v>386000</v>
      </c>
      <c r="G333" s="7">
        <v>386000</v>
      </c>
      <c r="H333" s="7">
        <v>396000</v>
      </c>
      <c r="I333" s="7">
        <v>396000</v>
      </c>
      <c r="J333" s="9" t="str">
        <v>Giá không đổi</v>
      </c>
      <c r="K333" s="4">
        <f>G333-F333</f>
      </c>
      <c r="L333" s="4">
        <v>230</v>
      </c>
      <c r="M333" s="4">
        <v>1009</v>
      </c>
      <c r="N333" s="4" t="str" xml:space="preserve">
        <v>+10.000 VNĐ 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5" t="str">
        <v>290 QT TH</v>
      </c>
      <c r="B334" s="5">
        <f>VLOOKUP(A334,'Sheet10'!$A:$C,3,0)</f>
      </c>
      <c r="C334" s="5" t="str">
        <v>[DV] Nhuộm đen phủ bạc R&amp;B thảo dược</v>
      </c>
      <c r="D334" s="5">
        <v>912</v>
      </c>
      <c r="E334" s="5"/>
      <c r="F334" s="6">
        <v>289000</v>
      </c>
      <c r="G334" s="7">
        <v>289000</v>
      </c>
      <c r="H334" s="7">
        <v>289000</v>
      </c>
      <c r="I334" s="7">
        <v>289000</v>
      </c>
      <c r="J334" s="9" t="str">
        <v>Giá không đổi</v>
      </c>
      <c r="K334" s="4">
        <f>G334-F334</f>
      </c>
      <c r="L334" s="4">
        <v>230</v>
      </c>
      <c r="M334" s="4">
        <v>912</v>
      </c>
      <c r="N334" s="4" t="str">
        <v>Không đổi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5" t="str">
        <v>290 QT TH</v>
      </c>
      <c r="B335" s="5">
        <f>VLOOKUP(A335,'Sheet10'!$A:$C,3,0)</f>
      </c>
      <c r="C335" s="5" t="str">
        <v>[DV] Tẩy tóc bật tông Ý (1 lần)</v>
      </c>
      <c r="D335" s="5">
        <v>915</v>
      </c>
      <c r="E335" s="5"/>
      <c r="F335" s="6">
        <v>252000</v>
      </c>
      <c r="G335" s="8">
        <v>269000</v>
      </c>
      <c r="H335" s="8">
        <v>269000</v>
      </c>
      <c r="I335" s="8">
        <v>269000</v>
      </c>
      <c r="J335" s="3" t="str">
        <v>Điều chỉnh giá</v>
      </c>
      <c r="K335" s="4">
        <f>G335-F335</f>
      </c>
      <c r="L335" s="4">
        <v>230</v>
      </c>
      <c r="M335" s="4">
        <v>915</v>
      </c>
      <c r="N335" s="4" t="str">
        <v>Không đổi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5" t="str">
        <v>290 QT TH</v>
      </c>
      <c r="B336" s="5">
        <f>VLOOKUP(A336,'Sheet10'!$A:$C,3,0)</f>
      </c>
      <c r="C336" s="5" t="str">
        <v>[DV] Tẩy tóc bật tông Ý (2 lần) 500k</v>
      </c>
      <c r="D336" s="5">
        <v>916</v>
      </c>
      <c r="E336" s="5"/>
      <c r="F336" s="6">
        <v>500000</v>
      </c>
      <c r="G336" s="8">
        <v>525000</v>
      </c>
      <c r="H336" s="8">
        <v>525000</v>
      </c>
      <c r="I336" s="8">
        <v>525000</v>
      </c>
      <c r="J336" s="3" t="str">
        <v>Điều chỉnh giá</v>
      </c>
      <c r="K336" s="4">
        <f>G336-F336</f>
      </c>
      <c r="L336" s="4">
        <v>230</v>
      </c>
      <c r="M336" s="4">
        <v>916</v>
      </c>
      <c r="N336" s="4" t="str">
        <v>Không đổi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5" t="str">
        <v>290 QT TH</v>
      </c>
      <c r="B337" s="5">
        <f>VLOOKUP(A337,'Sheet10'!$A:$C,3,0)</f>
      </c>
      <c r="C337" s="5" t="str">
        <v>[DV] Uốn Texture con sâu/Uốn Ruffled</v>
      </c>
      <c r="D337" s="5">
        <f>VLOOKUP(C337,'Sheet7'!$B:$C,2,0)</f>
      </c>
      <c r="E337" s="5"/>
      <c r="F337" s="6">
        <v>499000</v>
      </c>
      <c r="G337" s="8">
        <v>554000</v>
      </c>
      <c r="H337" s="7">
        <v>564000</v>
      </c>
      <c r="I337" s="7">
        <v>564000</v>
      </c>
      <c r="J337" s="3" t="str">
        <v>Điều chỉnh giá</v>
      </c>
      <c r="K337" s="4">
        <f>G337-F337</f>
      </c>
      <c r="L337" s="4">
        <v>230</v>
      </c>
      <c r="M337" s="4">
        <v>674</v>
      </c>
      <c r="N337" s="4" t="str" xml:space="preserve">
        <v>+10.000 VNĐ 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5" t="str">
        <v>290 QT TH</v>
      </c>
      <c r="B338" s="5">
        <f>VLOOKUP(A338,'Sheet10'!$A:$C,3,0)</f>
      </c>
      <c r="C338" s="5" t="str">
        <v>[DV] Ép side hai bên</v>
      </c>
      <c r="D338" s="5">
        <f>VLOOKUP(C338,'Sheet7'!$B:$C,2,0)</f>
      </c>
      <c r="E338" s="5"/>
      <c r="F338" s="6">
        <v>189000</v>
      </c>
      <c r="G338" s="7">
        <v>189000</v>
      </c>
      <c r="H338" s="7">
        <v>199000</v>
      </c>
      <c r="I338" s="7">
        <v>199000</v>
      </c>
      <c r="J338" s="9" t="str">
        <v>Giá không đổi</v>
      </c>
      <c r="K338" s="4">
        <f>G338-F338</f>
      </c>
      <c r="L338" s="4">
        <v>230</v>
      </c>
      <c r="M338" s="4">
        <v>902</v>
      </c>
      <c r="N338" s="4" t="str" xml:space="preserve">
        <v>+10.000 VNĐ 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5" t="str">
        <v>290 QT TH</v>
      </c>
      <c r="B339" s="5">
        <f>VLOOKUP(A339,'Sheet10'!$A:$C,3,0)</f>
      </c>
      <c r="C339" s="5" t="str">
        <v>NHUỘM THIẾT KẾ PHỤC HỒI CHUYÊN SÂU LIPID BOND 2025</v>
      </c>
      <c r="D339" s="5">
        <v>1149</v>
      </c>
      <c r="E339" s="5"/>
      <c r="F339" s="6">
        <v>689000</v>
      </c>
      <c r="G339" s="8">
        <v>759000</v>
      </c>
      <c r="H339" s="8">
        <v>759000</v>
      </c>
      <c r="I339" s="8">
        <v>759000</v>
      </c>
      <c r="J339" s="3" t="str">
        <v>Điều chỉnh giá</v>
      </c>
      <c r="K339" s="4">
        <f>G339-F339</f>
      </c>
      <c r="L339" s="4">
        <v>230</v>
      </c>
      <c r="M339" s="4">
        <v>1149</v>
      </c>
      <c r="N339" s="4" t="str">
        <v>Không đổi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5" t="str">
        <v>290 QT TH</v>
      </c>
      <c r="B340" s="5">
        <f>VLOOKUP(A340,'Sheet10'!$A:$C,3,0)</f>
      </c>
      <c r="C340" s="5" t="str">
        <v>Phục hồi trẻ hóa Lipid Bond</v>
      </c>
      <c r="D340" s="5">
        <v>1101</v>
      </c>
      <c r="E340" s="5"/>
      <c r="F340" s="6">
        <v>132000</v>
      </c>
      <c r="G340" s="8">
        <v>146000</v>
      </c>
      <c r="H340" s="8">
        <v>146000</v>
      </c>
      <c r="I340" s="8">
        <v>146000</v>
      </c>
      <c r="J340" s="3" t="str">
        <v>Điều chỉnh giá</v>
      </c>
      <c r="K340" s="4">
        <f>G340-F340</f>
      </c>
      <c r="L340" s="4">
        <v>230</v>
      </c>
      <c r="M340" s="4">
        <v>1101</v>
      </c>
      <c r="N340" s="4" t="str">
        <v>Không đổi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5" t="str">
        <v>290 QT TH</v>
      </c>
      <c r="B341" s="5">
        <f>VLOOKUP(A341,'Sheet10'!$A:$C,3,0)</f>
      </c>
      <c r="C341" s="5" t="str">
        <v>UỐN THIẾT KẾ PHỤC HỒI CHUYÊN SÂU LIPID BOND 2025</v>
      </c>
      <c r="D341" s="5">
        <f>VLOOKUP(C341,'Sheet7'!$B:$C,2,0)</f>
      </c>
      <c r="E341" s="5"/>
      <c r="F341" s="6">
        <v>689000</v>
      </c>
      <c r="G341" s="7">
        <v>689000</v>
      </c>
      <c r="H341" s="7">
        <v>699000</v>
      </c>
      <c r="I341" s="7">
        <v>699000</v>
      </c>
      <c r="J341" s="9" t="str">
        <v>Giá không đổi</v>
      </c>
      <c r="K341" s="4">
        <f>G341-F341</f>
      </c>
      <c r="L341" s="4">
        <v>230</v>
      </c>
      <c r="M341" s="4">
        <v>1148</v>
      </c>
      <c r="N341" s="4" t="str" xml:space="preserve">
        <v>+10.000 VNĐ 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5" t="str">
        <v>290 QT TH</v>
      </c>
      <c r="B342" s="5">
        <f>VLOOKUP(A342,'Sheet10'!$A:$C,3,0)</f>
      </c>
      <c r="C342" s="5" t="str">
        <v>Uốn định hình nếp tóc cao cấp (K-Perm Collection)</v>
      </c>
      <c r="D342" s="5">
        <f>VLOOKUP(C342,'Sheet7'!$B:$C,2,0)</f>
      </c>
      <c r="E342" s="5"/>
      <c r="F342" s="6">
        <v>478000</v>
      </c>
      <c r="G342" s="7">
        <v>478000</v>
      </c>
      <c r="H342" s="7">
        <v>488000</v>
      </c>
      <c r="I342" s="7">
        <v>488000</v>
      </c>
      <c r="J342" s="9" t="str">
        <v>Giá không đổi</v>
      </c>
      <c r="K342" s="4">
        <f>G342-F342</f>
      </c>
      <c r="L342" s="4">
        <v>230</v>
      </c>
      <c r="M342" s="4">
        <v>952</v>
      </c>
      <c r="N342" s="4" t="str" xml:space="preserve">
        <v>+10.000 VNĐ 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5" t="str">
        <v>304 NT TH</v>
      </c>
      <c r="B343" s="5">
        <f>VLOOKUP(A343,'Sheet10'!$A:$C,3,0)</f>
      </c>
      <c r="C343" s="5" t="str">
        <v>(2022T) ATS Control Buffer - Khử mùi tạo thơm cho tóc uốn nhuộm 40k</v>
      </c>
      <c r="D343" s="5">
        <v>610</v>
      </c>
      <c r="E343" s="5"/>
      <c r="F343" s="6">
        <v>40000</v>
      </c>
      <c r="G343" s="7">
        <v>40000</v>
      </c>
      <c r="H343" s="7">
        <v>40000</v>
      </c>
      <c r="I343" s="7">
        <v>40000</v>
      </c>
      <c r="J343" s="9" t="str">
        <v>Giá không đổi</v>
      </c>
      <c r="K343" s="4">
        <f>G343-F343</f>
      </c>
      <c r="L343" s="4">
        <v>231</v>
      </c>
      <c r="M343" s="4">
        <v>610</v>
      </c>
      <c r="N343" s="4" t="str">
        <v>Không đổi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5" t="str">
        <v>304 NT TH</v>
      </c>
      <c r="B344" s="5">
        <f>VLOOKUP(A344,'Sheet10'!$A:$C,3,0)</f>
      </c>
      <c r="C344" s="5" t="str">
        <v>(NEW) Nhuộm màu thời trang Milano</v>
      </c>
      <c r="D344" s="5">
        <v>960</v>
      </c>
      <c r="E344" s="5">
        <f>A344&amp;D344</f>
      </c>
      <c r="F344" s="6">
        <v>332000</v>
      </c>
      <c r="G344" s="7">
        <v>332000</v>
      </c>
      <c r="H344" s="7">
        <v>332000</v>
      </c>
      <c r="I344" s="7">
        <v>332000</v>
      </c>
      <c r="J344" s="9" t="str">
        <v>Giá không đổi</v>
      </c>
      <c r="K344" s="4">
        <f>G344-F344</f>
      </c>
      <c r="L344" s="4">
        <v>231</v>
      </c>
      <c r="M344" s="4">
        <v>960</v>
      </c>
      <c r="N344" s="4" t="str">
        <v>Không đổi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5" t="str">
        <v>304 NT TH</v>
      </c>
      <c r="B345" s="5">
        <f>VLOOKUP(A345,'Sheet10'!$A:$C,3,0)</f>
      </c>
      <c r="C345" s="5" t="str">
        <v>(NEW) Nhuộm phủ bạc tiêu chuẩn 199K</v>
      </c>
      <c r="D345" s="5">
        <v>967</v>
      </c>
      <c r="E345" s="5"/>
      <c r="F345" s="6">
        <v>199000</v>
      </c>
      <c r="G345" s="8">
        <v>202000</v>
      </c>
      <c r="H345" s="8">
        <v>202000</v>
      </c>
      <c r="I345" s="8">
        <v>202000</v>
      </c>
      <c r="J345" s="3" t="str">
        <v>Điều chỉnh giá</v>
      </c>
      <c r="K345" s="4">
        <f>G345-F345</f>
      </c>
      <c r="L345" s="4">
        <v>231</v>
      </c>
      <c r="M345" s="4">
        <v>967</v>
      </c>
      <c r="N345" s="4" t="str">
        <v>Không đổi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5" t="str">
        <v>304 NT TH</v>
      </c>
      <c r="B346" s="5">
        <f>VLOOKUP(A346,'Sheet10'!$A:$C,3,0)</f>
      </c>
      <c r="C346" s="5" t="str">
        <v>(NEW) Uốn/Duỗi/Định hình full đầu tạo form vào nếp tự nhiên</v>
      </c>
      <c r="D346" s="5">
        <f>VLOOKUP(C346,'Sheet7'!$B:$C,2,0)</f>
      </c>
      <c r="E346" s="5">
        <f>A346&amp;D346</f>
      </c>
      <c r="F346" s="6">
        <v>386000</v>
      </c>
      <c r="G346" s="7">
        <v>386000</v>
      </c>
      <c r="H346" s="7">
        <v>396000</v>
      </c>
      <c r="I346" s="7">
        <v>396000</v>
      </c>
      <c r="J346" s="9" t="str">
        <v>Giá không đổi</v>
      </c>
      <c r="K346" s="4">
        <f>G346-F346</f>
      </c>
      <c r="L346" s="4">
        <v>231</v>
      </c>
      <c r="M346" s="4">
        <v>1009</v>
      </c>
      <c r="N346" s="4" t="str" xml:space="preserve">
        <v>+10.000 VNĐ 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5" t="str">
        <v>304 NT TH</v>
      </c>
      <c r="B347" s="5">
        <f>VLOOKUP(A347,'Sheet10'!$A:$C,3,0)</f>
      </c>
      <c r="C347" s="5" t="str">
        <v>[DV] Nhuộm đen phủ bạc R&amp;B thảo dược</v>
      </c>
      <c r="D347" s="5">
        <v>912</v>
      </c>
      <c r="E347" s="5"/>
      <c r="F347" s="6">
        <v>289000</v>
      </c>
      <c r="G347" s="8">
        <v>293000</v>
      </c>
      <c r="H347" s="8">
        <v>293000</v>
      </c>
      <c r="I347" s="8">
        <v>293000</v>
      </c>
      <c r="J347" s="3" t="str">
        <v>Điều chỉnh giá</v>
      </c>
      <c r="K347" s="4">
        <f>G347-F347</f>
      </c>
      <c r="L347" s="4">
        <v>231</v>
      </c>
      <c r="M347" s="4">
        <v>912</v>
      </c>
      <c r="N347" s="4" t="str">
        <v>Không đổi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5" t="str">
        <v>304 NT TH</v>
      </c>
      <c r="B348" s="5">
        <f>VLOOKUP(A348,'Sheet10'!$A:$C,3,0)</f>
      </c>
      <c r="C348" s="5" t="str">
        <v>[DV] Tẩy tóc bật tông Ý (1 lần)</v>
      </c>
      <c r="D348" s="5">
        <v>915</v>
      </c>
      <c r="E348" s="5"/>
      <c r="F348" s="6">
        <v>252000</v>
      </c>
      <c r="G348" s="7">
        <v>252000</v>
      </c>
      <c r="H348" s="7">
        <v>252000</v>
      </c>
      <c r="I348" s="7">
        <v>252000</v>
      </c>
      <c r="J348" s="9" t="str">
        <v>Giá không đổi</v>
      </c>
      <c r="K348" s="4">
        <f>G348-F348</f>
      </c>
      <c r="L348" s="4">
        <v>231</v>
      </c>
      <c r="M348" s="4">
        <v>915</v>
      </c>
      <c r="N348" s="4" t="str">
        <v>Không đổi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5" t="str">
        <v>304 NT TH</v>
      </c>
      <c r="B349" s="5">
        <f>VLOOKUP(A349,'Sheet10'!$A:$C,3,0)</f>
      </c>
      <c r="C349" s="5" t="str">
        <v>[DV] Tẩy tóc bật tông Ý (2 lần) 500k</v>
      </c>
      <c r="D349" s="5">
        <v>916</v>
      </c>
      <c r="E349" s="5"/>
      <c r="F349" s="6">
        <v>500000</v>
      </c>
      <c r="G349" s="7">
        <v>500000</v>
      </c>
      <c r="H349" s="7">
        <v>500000</v>
      </c>
      <c r="I349" s="7">
        <v>500000</v>
      </c>
      <c r="J349" s="9" t="str">
        <v>Giá không đổi</v>
      </c>
      <c r="K349" s="4">
        <f>G349-F349</f>
      </c>
      <c r="L349" s="4">
        <v>231</v>
      </c>
      <c r="M349" s="4">
        <v>916</v>
      </c>
      <c r="N349" s="4" t="str">
        <v>Không đổi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5" t="str">
        <v>304 NT TH</v>
      </c>
      <c r="B350" s="5">
        <f>VLOOKUP(A350,'Sheet10'!$A:$C,3,0)</f>
      </c>
      <c r="C350" s="5" t="str">
        <v>[DV] Uốn Texture con sâu/Uốn Ruffled</v>
      </c>
      <c r="D350" s="5">
        <f>VLOOKUP(C350,'Sheet7'!$B:$C,2,0)</f>
      </c>
      <c r="E350" s="5"/>
      <c r="F350" s="6">
        <v>499000</v>
      </c>
      <c r="G350" s="7">
        <v>499000</v>
      </c>
      <c r="H350" s="7">
        <v>509000</v>
      </c>
      <c r="I350" s="7">
        <v>509000</v>
      </c>
      <c r="J350" s="9" t="str">
        <v>Giá không đổi</v>
      </c>
      <c r="K350" s="4">
        <f>G350-F350</f>
      </c>
      <c r="L350" s="4">
        <v>231</v>
      </c>
      <c r="M350" s="4">
        <v>674</v>
      </c>
      <c r="N350" s="4" t="str" xml:space="preserve">
        <v>+10.000 VNĐ 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5" t="str">
        <v>304 NT TH</v>
      </c>
      <c r="B351" s="5">
        <f>VLOOKUP(A351,'Sheet10'!$A:$C,3,0)</f>
      </c>
      <c r="C351" s="5" t="str">
        <v>[DV] Ép side hai bên</v>
      </c>
      <c r="D351" s="5">
        <f>VLOOKUP(C351,'Sheet7'!$B:$C,2,0)</f>
      </c>
      <c r="E351" s="5"/>
      <c r="F351" s="6">
        <v>189000</v>
      </c>
      <c r="G351" s="7">
        <v>189000</v>
      </c>
      <c r="H351" s="7">
        <v>199000</v>
      </c>
      <c r="I351" s="7">
        <v>199000</v>
      </c>
      <c r="J351" s="9" t="str">
        <v>Giá không đổi</v>
      </c>
      <c r="K351" s="4">
        <f>G351-F351</f>
      </c>
      <c r="L351" s="4">
        <v>231</v>
      </c>
      <c r="M351" s="4">
        <v>902</v>
      </c>
      <c r="N351" s="4" t="str" xml:space="preserve">
        <v>+10.000 VNĐ 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5" t="str">
        <v>304 NT TH</v>
      </c>
      <c r="B352" s="5">
        <f>VLOOKUP(A352,'Sheet10'!$A:$C,3,0)</f>
      </c>
      <c r="C352" s="5" t="str">
        <v>NHUỘM THIẾT KẾ PHỤC HỒI CHUYÊN SÂU LIPID BOND 2025</v>
      </c>
      <c r="D352" s="5">
        <v>1149</v>
      </c>
      <c r="E352" s="5"/>
      <c r="F352" s="6">
        <v>689000</v>
      </c>
      <c r="G352" s="7">
        <v>689000</v>
      </c>
      <c r="H352" s="7">
        <v>689000</v>
      </c>
      <c r="I352" s="7">
        <v>689000</v>
      </c>
      <c r="J352" s="9" t="str">
        <v>Giá không đổi</v>
      </c>
      <c r="K352" s="4">
        <f>G352-F352</f>
      </c>
      <c r="L352" s="4">
        <v>231</v>
      </c>
      <c r="M352" s="4">
        <v>1149</v>
      </c>
      <c r="N352" s="4" t="str">
        <v>Không đổi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5" t="str">
        <v>304 NT TH</v>
      </c>
      <c r="B353" s="5">
        <f>VLOOKUP(A353,'Sheet10'!$A:$C,3,0)</f>
      </c>
      <c r="C353" s="5" t="str">
        <v>Phục hồi trẻ hóa Lipid Bond</v>
      </c>
      <c r="D353" s="5">
        <v>1101</v>
      </c>
      <c r="E353" s="5"/>
      <c r="F353" s="6">
        <v>132000</v>
      </c>
      <c r="G353" s="8">
        <v>146000</v>
      </c>
      <c r="H353" s="8">
        <v>146000</v>
      </c>
      <c r="I353" s="8">
        <v>146000</v>
      </c>
      <c r="J353" s="3" t="str">
        <v>Điều chỉnh giá</v>
      </c>
      <c r="K353" s="4">
        <f>G353-F353</f>
      </c>
      <c r="L353" s="4">
        <v>231</v>
      </c>
      <c r="M353" s="4">
        <v>1101</v>
      </c>
      <c r="N353" s="4" t="str">
        <v>Không đổi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5" t="str">
        <v>304 NT TH</v>
      </c>
      <c r="B354" s="5">
        <f>VLOOKUP(A354,'Sheet10'!$A:$C,3,0)</f>
      </c>
      <c r="C354" s="5" t="str">
        <v>UỐN THIẾT KẾ PHỤC HỒI CHUYÊN SÂU LIPID BOND 2025</v>
      </c>
      <c r="D354" s="5">
        <f>VLOOKUP(C354,'Sheet7'!$B:$C,2,0)</f>
      </c>
      <c r="E354" s="5"/>
      <c r="F354" s="6">
        <v>689000</v>
      </c>
      <c r="G354" s="7">
        <v>689000</v>
      </c>
      <c r="H354" s="7">
        <v>699000</v>
      </c>
      <c r="I354" s="7">
        <v>699000</v>
      </c>
      <c r="J354" s="9" t="str">
        <v>Giá không đổi</v>
      </c>
      <c r="K354" s="4">
        <f>G354-F354</f>
      </c>
      <c r="L354" s="4">
        <v>231</v>
      </c>
      <c r="M354" s="4">
        <v>1148</v>
      </c>
      <c r="N354" s="4" t="str" xml:space="preserve">
        <v>+10.000 VNĐ 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5" t="str">
        <v>304 NT TH</v>
      </c>
      <c r="B355" s="5">
        <f>VLOOKUP(A355,'Sheet10'!$A:$C,3,0)</f>
      </c>
      <c r="C355" s="5" t="str">
        <v>Uốn định hình nếp tóc cao cấp (K-Perm Collection)</v>
      </c>
      <c r="D355" s="5">
        <f>VLOOKUP(C355,'Sheet7'!$B:$C,2,0)</f>
      </c>
      <c r="E355" s="5"/>
      <c r="F355" s="6">
        <v>478000</v>
      </c>
      <c r="G355" s="7">
        <v>478000</v>
      </c>
      <c r="H355" s="7">
        <v>488000</v>
      </c>
      <c r="I355" s="7">
        <v>488000</v>
      </c>
      <c r="J355" s="9" t="str">
        <v>Giá không đổi</v>
      </c>
      <c r="K355" s="4">
        <f>G355-F355</f>
      </c>
      <c r="L355" s="4">
        <v>231</v>
      </c>
      <c r="M355" s="4">
        <v>952</v>
      </c>
      <c r="N355" s="4" t="str" xml:space="preserve">
        <v>+10.000 VNĐ 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5" t="str">
        <v>312 LVS</v>
      </c>
      <c r="B356" s="5">
        <f>VLOOKUP(A356,'Sheet10'!$A:$C,3,0)</f>
      </c>
      <c r="C356" s="5" t="str">
        <v>(2022T) ATS Control Buffer - Khử mùi tạo thơm cho tóc uốn nhuộm 40k</v>
      </c>
      <c r="D356" s="5">
        <v>610</v>
      </c>
      <c r="E356" s="5"/>
      <c r="F356" s="6">
        <v>40000</v>
      </c>
      <c r="G356" s="7">
        <v>40000</v>
      </c>
      <c r="H356" s="7">
        <v>40000</v>
      </c>
      <c r="I356" s="7">
        <v>40000</v>
      </c>
      <c r="J356" s="9" t="str">
        <v>Giá không đổi</v>
      </c>
      <c r="K356" s="4">
        <f>G356-F356</f>
      </c>
      <c r="L356" s="4">
        <v>69</v>
      </c>
      <c r="M356" s="4">
        <v>610</v>
      </c>
      <c r="N356" s="4" t="str">
        <v>Không đổi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5" t="str">
        <v>312 LVS</v>
      </c>
      <c r="B357" s="5">
        <f>VLOOKUP(A357,'Sheet10'!$A:$C,3,0)</f>
      </c>
      <c r="C357" s="5" t="str">
        <v>(NEW) Nhuộm màu thời trang Milano</v>
      </c>
      <c r="D357" s="5">
        <v>960</v>
      </c>
      <c r="E357" s="5">
        <f>A357&amp;D357</f>
      </c>
      <c r="F357" s="6">
        <v>332000</v>
      </c>
      <c r="G357" s="8">
        <v>366000</v>
      </c>
      <c r="H357" s="8">
        <v>366000</v>
      </c>
      <c r="I357" s="8">
        <v>366000</v>
      </c>
      <c r="J357" s="3" t="str">
        <v>Điều chỉnh giá</v>
      </c>
      <c r="K357" s="4">
        <f>G357-F357</f>
      </c>
      <c r="L357" s="4">
        <v>69</v>
      </c>
      <c r="M357" s="4">
        <v>960</v>
      </c>
      <c r="N357" s="4" t="str">
        <v>Không đổi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5" t="str">
        <v>312 LVS</v>
      </c>
      <c r="B358" s="5">
        <f>VLOOKUP(A358,'Sheet10'!$A:$C,3,0)</f>
      </c>
      <c r="C358" s="5" t="str">
        <v>(NEW) Nhuộm phủ bạc tiêu chuẩn 199K</v>
      </c>
      <c r="D358" s="5">
        <v>967</v>
      </c>
      <c r="E358" s="5"/>
      <c r="F358" s="6">
        <v>199000</v>
      </c>
      <c r="G358" s="7">
        <v>199000</v>
      </c>
      <c r="H358" s="7">
        <v>199000</v>
      </c>
      <c r="I358" s="7">
        <v>199000</v>
      </c>
      <c r="J358" s="9" t="str">
        <v>Giá không đổi</v>
      </c>
      <c r="K358" s="4">
        <f>G358-F358</f>
      </c>
      <c r="L358" s="4">
        <v>69</v>
      </c>
      <c r="M358" s="4">
        <v>967</v>
      </c>
      <c r="N358" s="4" t="str">
        <v>Không đổi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5" t="str">
        <v>312 LVS</v>
      </c>
      <c r="B359" s="5">
        <f>VLOOKUP(A359,'Sheet10'!$A:$C,3,0)</f>
      </c>
      <c r="C359" s="5" t="str">
        <v>(NEW) Uốn/Duỗi/Định hình full đầu tạo form vào nếp tự nhiên</v>
      </c>
      <c r="D359" s="5">
        <f>VLOOKUP(C359,'Sheet7'!$B:$C,2,0)</f>
      </c>
      <c r="E359" s="5">
        <f>A359&amp;D359</f>
      </c>
      <c r="F359" s="6">
        <v>386000</v>
      </c>
      <c r="G359" s="7">
        <v>386000</v>
      </c>
      <c r="H359" s="7">
        <v>396000</v>
      </c>
      <c r="I359" s="7">
        <v>396000</v>
      </c>
      <c r="J359" s="9" t="str">
        <v>Giá không đổi</v>
      </c>
      <c r="K359" s="4">
        <f>G359-F359</f>
      </c>
      <c r="L359" s="4">
        <v>69</v>
      </c>
      <c r="M359" s="4">
        <v>1009</v>
      </c>
      <c r="N359" s="4" t="str" xml:space="preserve">
        <v>+10.000 VNĐ 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5" t="str">
        <v>312 LVS</v>
      </c>
      <c r="B360" s="5">
        <f>VLOOKUP(A360,'Sheet10'!$A:$C,3,0)</f>
      </c>
      <c r="C360" s="5" t="str">
        <v>[DV] Nhuộm đen phủ bạc R&amp;B thảo dược</v>
      </c>
      <c r="D360" s="5">
        <v>912</v>
      </c>
      <c r="E360" s="5"/>
      <c r="F360" s="6">
        <v>289000</v>
      </c>
      <c r="G360" s="7">
        <v>289000</v>
      </c>
      <c r="H360" s="7">
        <v>289000</v>
      </c>
      <c r="I360" s="7">
        <v>289000</v>
      </c>
      <c r="J360" s="9" t="str">
        <v>Giá không đổi</v>
      </c>
      <c r="K360" s="4">
        <f>G360-F360</f>
      </c>
      <c r="L360" s="4">
        <v>69</v>
      </c>
      <c r="M360" s="4">
        <v>912</v>
      </c>
      <c r="N360" s="4" t="str">
        <v>Không đổi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5" t="str">
        <v>312 LVS</v>
      </c>
      <c r="B361" s="5">
        <f>VLOOKUP(A361,'Sheet10'!$A:$C,3,0)</f>
      </c>
      <c r="C361" s="5" t="str">
        <v>[DV] Tẩy tóc bật tông Ý (1 lần)</v>
      </c>
      <c r="D361" s="5">
        <v>915</v>
      </c>
      <c r="E361" s="5"/>
      <c r="F361" s="6">
        <v>252000</v>
      </c>
      <c r="G361" s="7">
        <v>252000</v>
      </c>
      <c r="H361" s="7">
        <v>252000</v>
      </c>
      <c r="I361" s="7">
        <v>252000</v>
      </c>
      <c r="J361" s="9" t="str">
        <v>Giá không đổi</v>
      </c>
      <c r="K361" s="4">
        <f>G361-F361</f>
      </c>
      <c r="L361" s="4">
        <v>69</v>
      </c>
      <c r="M361" s="4">
        <v>915</v>
      </c>
      <c r="N361" s="4" t="str">
        <v>Không đổi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5" t="str">
        <v>312 LVS</v>
      </c>
      <c r="B362" s="5">
        <f>VLOOKUP(A362,'Sheet10'!$A:$C,3,0)</f>
      </c>
      <c r="C362" s="5" t="str">
        <v>[DV] Tẩy tóc bật tông Ý (2 lần) 500k</v>
      </c>
      <c r="D362" s="5">
        <v>916</v>
      </c>
      <c r="E362" s="5"/>
      <c r="F362" s="6">
        <v>500000</v>
      </c>
      <c r="G362" s="7">
        <v>500000</v>
      </c>
      <c r="H362" s="7">
        <v>500000</v>
      </c>
      <c r="I362" s="7">
        <v>500000</v>
      </c>
      <c r="J362" s="9" t="str">
        <v>Giá không đổi</v>
      </c>
      <c r="K362" s="4">
        <f>G362-F362</f>
      </c>
      <c r="L362" s="4">
        <v>69</v>
      </c>
      <c r="M362" s="4">
        <v>916</v>
      </c>
      <c r="N362" s="4" t="str">
        <v>Không đổi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5" t="str">
        <v>312 LVS</v>
      </c>
      <c r="B363" s="5">
        <f>VLOOKUP(A363,'Sheet10'!$A:$C,3,0)</f>
      </c>
      <c r="C363" s="5" t="str">
        <v>[DV] Uốn Texture con sâu/Uốn Ruffled</v>
      </c>
      <c r="D363" s="5">
        <f>VLOOKUP(C363,'Sheet7'!$B:$C,2,0)</f>
      </c>
      <c r="E363" s="5"/>
      <c r="F363" s="6">
        <v>499000</v>
      </c>
      <c r="G363" s="8">
        <v>550000</v>
      </c>
      <c r="H363" s="7">
        <v>560000</v>
      </c>
      <c r="I363" s="7">
        <v>560000</v>
      </c>
      <c r="J363" s="3" t="str">
        <v>Điều chỉnh giá</v>
      </c>
      <c r="K363" s="4">
        <f>G363-F363</f>
      </c>
      <c r="L363" s="4">
        <v>69</v>
      </c>
      <c r="M363" s="4">
        <v>674</v>
      </c>
      <c r="N363" s="4" t="str" xml:space="preserve">
        <v>+10.000 VNĐ 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5" t="str">
        <v>312 LVS</v>
      </c>
      <c r="B364" s="5">
        <f>VLOOKUP(A364,'Sheet10'!$A:$C,3,0)</f>
      </c>
      <c r="C364" s="5" t="str">
        <v>[DV] Ép side hai bên</v>
      </c>
      <c r="D364" s="5">
        <f>VLOOKUP(C364,'Sheet7'!$B:$C,2,0)</f>
      </c>
      <c r="E364" s="5"/>
      <c r="F364" s="6">
        <v>189000</v>
      </c>
      <c r="G364" s="8">
        <v>216000</v>
      </c>
      <c r="H364" s="7">
        <v>226000</v>
      </c>
      <c r="I364" s="7">
        <v>226000</v>
      </c>
      <c r="J364" s="3" t="str">
        <v>Điều chỉnh giá</v>
      </c>
      <c r="K364" s="4">
        <f>G364-F364</f>
      </c>
      <c r="L364" s="4">
        <v>69</v>
      </c>
      <c r="M364" s="4">
        <v>902</v>
      </c>
      <c r="N364" s="4" t="str" xml:space="preserve">
        <v>+10.000 VNĐ 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5" t="str">
        <v>312 LVS</v>
      </c>
      <c r="B365" s="5">
        <f>VLOOKUP(A365,'Sheet10'!$A:$C,3,0)</f>
      </c>
      <c r="C365" s="5" t="str">
        <v>NHUỘM THIẾT KẾ PHỤC HỒI CHUYÊN SÂU LIPID BOND 2025</v>
      </c>
      <c r="D365" s="5">
        <v>1149</v>
      </c>
      <c r="E365" s="5"/>
      <c r="F365" s="6">
        <v>689000</v>
      </c>
      <c r="G365" s="8">
        <v>759000</v>
      </c>
      <c r="H365" s="8">
        <v>759000</v>
      </c>
      <c r="I365" s="8">
        <v>759000</v>
      </c>
      <c r="J365" s="3" t="str">
        <v>Điều chỉnh giá</v>
      </c>
      <c r="K365" s="4">
        <f>G365-F365</f>
      </c>
      <c r="L365" s="4">
        <v>69</v>
      </c>
      <c r="M365" s="4">
        <v>1149</v>
      </c>
      <c r="N365" s="4" t="str">
        <v>Không đổi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5" t="str">
        <v>312 LVS</v>
      </c>
      <c r="B366" s="5">
        <f>VLOOKUP(A366,'Sheet10'!$A:$C,3,0)</f>
      </c>
      <c r="C366" s="5" t="str">
        <v>Phục hồi trẻ hóa Lipid Bond</v>
      </c>
      <c r="D366" s="5">
        <v>1101</v>
      </c>
      <c r="E366" s="5"/>
      <c r="F366" s="6">
        <v>132000</v>
      </c>
      <c r="G366" s="8">
        <v>146000</v>
      </c>
      <c r="H366" s="8">
        <v>146000</v>
      </c>
      <c r="I366" s="8">
        <v>146000</v>
      </c>
      <c r="J366" s="3" t="str">
        <v>Điều chỉnh giá</v>
      </c>
      <c r="K366" s="4">
        <f>G366-F366</f>
      </c>
      <c r="L366" s="4">
        <v>69</v>
      </c>
      <c r="M366" s="4">
        <v>1101</v>
      </c>
      <c r="N366" s="4" t="str">
        <v>Không đổi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5" t="str">
        <v>312 LVS</v>
      </c>
      <c r="B367" s="5">
        <f>VLOOKUP(A367,'Sheet10'!$A:$C,3,0)</f>
      </c>
      <c r="C367" s="5" t="str">
        <v>UỐN THIẾT KẾ PHỤC HỒI CHUYÊN SÂU LIPID BOND 2025</v>
      </c>
      <c r="D367" s="5">
        <f>VLOOKUP(C367,'Sheet7'!$B:$C,2,0)</f>
      </c>
      <c r="E367" s="5"/>
      <c r="F367" s="6">
        <v>689000</v>
      </c>
      <c r="G367" s="7">
        <v>689000</v>
      </c>
      <c r="H367" s="7">
        <v>699000</v>
      </c>
      <c r="I367" s="7">
        <v>699000</v>
      </c>
      <c r="J367" s="9" t="str">
        <v>Giá không đổi</v>
      </c>
      <c r="K367" s="4">
        <f>G367-F367</f>
      </c>
      <c r="L367" s="4">
        <v>69</v>
      </c>
      <c r="M367" s="4">
        <v>1148</v>
      </c>
      <c r="N367" s="4" t="str" xml:space="preserve">
        <v>+10.000 VNĐ 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5" t="str">
        <v>312 LVS</v>
      </c>
      <c r="B368" s="5">
        <f>VLOOKUP(A368,'Sheet10'!$A:$C,3,0)</f>
      </c>
      <c r="C368" s="5" t="str">
        <v>Uốn định hình nếp tóc cao cấp (K-Perm Collection)</v>
      </c>
      <c r="D368" s="5">
        <f>VLOOKUP(C368,'Sheet7'!$B:$C,2,0)</f>
      </c>
      <c r="E368" s="5"/>
      <c r="F368" s="6">
        <v>478000</v>
      </c>
      <c r="G368" s="7">
        <v>478000</v>
      </c>
      <c r="H368" s="7">
        <v>488000</v>
      </c>
      <c r="I368" s="7">
        <v>488000</v>
      </c>
      <c r="J368" s="9" t="str">
        <v>Giá không đổi</v>
      </c>
      <c r="K368" s="4">
        <f>G368-F368</f>
      </c>
      <c r="L368" s="4">
        <v>69</v>
      </c>
      <c r="M368" s="4">
        <v>952</v>
      </c>
      <c r="N368" s="4" t="str" xml:space="preserve">
        <v>+10.000 VNĐ 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5" t="str">
        <v>32 NAT</v>
      </c>
      <c r="B369" s="5">
        <f>VLOOKUP(A369,'Sheet10'!$A:$C,3,0)</f>
      </c>
      <c r="C369" s="5" t="str">
        <v>(2022T) ATS Control Buffer - Khử mùi tạo thơm cho tóc uốn nhuộm 40k</v>
      </c>
      <c r="D369" s="5">
        <v>610</v>
      </c>
      <c r="E369" s="5"/>
      <c r="F369" s="6">
        <v>40000</v>
      </c>
      <c r="G369" s="7">
        <v>40000</v>
      </c>
      <c r="H369" s="7">
        <v>40000</v>
      </c>
      <c r="I369" s="7">
        <v>40000</v>
      </c>
      <c r="J369" s="9" t="str">
        <v>Giá không đổi</v>
      </c>
      <c r="K369" s="4">
        <f>G369-F369</f>
      </c>
      <c r="L369" s="4">
        <v>274</v>
      </c>
      <c r="M369" s="4">
        <v>610</v>
      </c>
      <c r="N369" s="4" t="str">
        <v>Không đổi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5" t="str">
        <v>32 NAT</v>
      </c>
      <c r="B370" s="5">
        <f>VLOOKUP(A370,'Sheet10'!$A:$C,3,0)</f>
      </c>
      <c r="C370" s="5" t="str">
        <v>(NEW) Nhuộm màu thời trang Milano</v>
      </c>
      <c r="D370" s="5">
        <v>960</v>
      </c>
      <c r="E370" s="5">
        <f>A370&amp;D370</f>
      </c>
      <c r="F370" s="6">
        <v>332000</v>
      </c>
      <c r="G370" s="7">
        <v>332000</v>
      </c>
      <c r="H370" s="7">
        <v>332000</v>
      </c>
      <c r="I370" s="7">
        <v>332000</v>
      </c>
      <c r="J370" s="9" t="str">
        <v>Giá không đổi</v>
      </c>
      <c r="K370" s="4">
        <f>G370-F370</f>
      </c>
      <c r="L370" s="4">
        <v>274</v>
      </c>
      <c r="M370" s="4">
        <v>960</v>
      </c>
      <c r="N370" s="4" t="str">
        <v>Không đổi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5" t="str">
        <v>32 NAT</v>
      </c>
      <c r="B371" s="5">
        <f>VLOOKUP(A371,'Sheet10'!$A:$C,3,0)</f>
      </c>
      <c r="C371" s="5" t="str">
        <v>(NEW) Nhuộm phủ bạc tiêu chuẩn 199K</v>
      </c>
      <c r="D371" s="5">
        <v>967</v>
      </c>
      <c r="E371" s="5"/>
      <c r="F371" s="6">
        <v>199000</v>
      </c>
      <c r="G371" s="7">
        <v>199000</v>
      </c>
      <c r="H371" s="7">
        <v>199000</v>
      </c>
      <c r="I371" s="7">
        <v>199000</v>
      </c>
      <c r="J371" s="9" t="str">
        <v>Giá không đổi</v>
      </c>
      <c r="K371" s="4">
        <f>G371-F371</f>
      </c>
      <c r="L371" s="4">
        <v>274</v>
      </c>
      <c r="M371" s="4">
        <v>967</v>
      </c>
      <c r="N371" s="4" t="str">
        <v>Không đổi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5" t="str">
        <v>32 NAT</v>
      </c>
      <c r="B372" s="5">
        <f>VLOOKUP(A372,'Sheet10'!$A:$C,3,0)</f>
      </c>
      <c r="C372" s="5" t="str">
        <v>(NEW) Uốn/Duỗi/Định hình full đầu tạo form vào nếp tự nhiên</v>
      </c>
      <c r="D372" s="5">
        <f>VLOOKUP(C372,'Sheet7'!$B:$C,2,0)</f>
      </c>
      <c r="E372" s="5">
        <f>A372&amp;D372</f>
      </c>
      <c r="F372" s="6">
        <v>386000</v>
      </c>
      <c r="G372" s="7">
        <v>386000</v>
      </c>
      <c r="H372" s="7">
        <v>396000</v>
      </c>
      <c r="I372" s="7">
        <v>396000</v>
      </c>
      <c r="J372" s="9" t="str">
        <v>Giá không đổi</v>
      </c>
      <c r="K372" s="4">
        <f>G372-F372</f>
      </c>
      <c r="L372" s="4">
        <v>274</v>
      </c>
      <c r="M372" s="4">
        <v>1009</v>
      </c>
      <c r="N372" s="4" t="str" xml:space="preserve">
        <v>+10.000 VNĐ 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5" t="str">
        <v>32 NAT</v>
      </c>
      <c r="B373" s="5">
        <f>VLOOKUP(A373,'Sheet10'!$A:$C,3,0)</f>
      </c>
      <c r="C373" s="5" t="str">
        <v>[DV] Nhuộm đen phủ bạc R&amp;B thảo dược</v>
      </c>
      <c r="D373" s="5">
        <v>912</v>
      </c>
      <c r="E373" s="5"/>
      <c r="F373" s="6">
        <v>289000</v>
      </c>
      <c r="G373" s="7">
        <v>289000</v>
      </c>
      <c r="H373" s="7">
        <v>289000</v>
      </c>
      <c r="I373" s="7">
        <v>289000</v>
      </c>
      <c r="J373" s="9" t="str">
        <v>Giá không đổi</v>
      </c>
      <c r="K373" s="4">
        <f>G373-F373</f>
      </c>
      <c r="L373" s="4">
        <v>274</v>
      </c>
      <c r="M373" s="4">
        <v>912</v>
      </c>
      <c r="N373" s="4" t="str">
        <v>Không đổi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5" t="str">
        <v>32 NAT</v>
      </c>
      <c r="B374" s="5">
        <f>VLOOKUP(A374,'Sheet10'!$A:$C,3,0)</f>
      </c>
      <c r="C374" s="5" t="str">
        <v>[DV] Tẩy tóc bật tông Ý (1 lần)</v>
      </c>
      <c r="D374" s="5">
        <v>915</v>
      </c>
      <c r="E374" s="5"/>
      <c r="F374" s="6">
        <v>252000</v>
      </c>
      <c r="G374" s="7">
        <v>252000</v>
      </c>
      <c r="H374" s="7">
        <v>252000</v>
      </c>
      <c r="I374" s="7">
        <v>252000</v>
      </c>
      <c r="J374" s="9" t="str">
        <v>Giá không đổi</v>
      </c>
      <c r="K374" s="4">
        <f>G374-F374</f>
      </c>
      <c r="L374" s="4">
        <v>274</v>
      </c>
      <c r="M374" s="4">
        <v>915</v>
      </c>
      <c r="N374" s="4" t="str">
        <v>Không đổi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5" t="str">
        <v>32 NAT</v>
      </c>
      <c r="B375" s="5">
        <f>VLOOKUP(A375,'Sheet10'!$A:$C,3,0)</f>
      </c>
      <c r="C375" s="5" t="str">
        <v>[DV] Tẩy tóc bật tông Ý (2 lần) 500k</v>
      </c>
      <c r="D375" s="5">
        <v>916</v>
      </c>
      <c r="E375" s="5"/>
      <c r="F375" s="6">
        <v>500000</v>
      </c>
      <c r="G375" s="7">
        <v>500000</v>
      </c>
      <c r="H375" s="7">
        <v>500000</v>
      </c>
      <c r="I375" s="7">
        <v>500000</v>
      </c>
      <c r="J375" s="9" t="str">
        <v>Giá không đổi</v>
      </c>
      <c r="K375" s="4">
        <f>G375-F375</f>
      </c>
      <c r="L375" s="4">
        <v>274</v>
      </c>
      <c r="M375" s="4">
        <v>916</v>
      </c>
      <c r="N375" s="4" t="str">
        <v>Không đổi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5" t="str">
        <v>32 NAT</v>
      </c>
      <c r="B376" s="5">
        <f>VLOOKUP(A376,'Sheet10'!$A:$C,3,0)</f>
      </c>
      <c r="C376" s="5" t="str">
        <v>[DV] Uốn Texture con sâu/Uốn Ruffled</v>
      </c>
      <c r="D376" s="5">
        <f>VLOOKUP(C376,'Sheet7'!$B:$C,2,0)</f>
      </c>
      <c r="E376" s="5"/>
      <c r="F376" s="6">
        <v>499000</v>
      </c>
      <c r="G376" s="7">
        <v>499000</v>
      </c>
      <c r="H376" s="7">
        <v>509000</v>
      </c>
      <c r="I376" s="7">
        <v>509000</v>
      </c>
      <c r="J376" s="9" t="str">
        <v>Giá không đổi</v>
      </c>
      <c r="K376" s="4">
        <f>G376-F376</f>
      </c>
      <c r="L376" s="4">
        <v>274</v>
      </c>
      <c r="M376" s="4">
        <v>674</v>
      </c>
      <c r="N376" s="4" t="str" xml:space="preserve">
        <v>+10.000 VNĐ 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5" t="str">
        <v>32 NAT</v>
      </c>
      <c r="B377" s="5">
        <f>VLOOKUP(A377,'Sheet10'!$A:$C,3,0)</f>
      </c>
      <c r="C377" s="5" t="str">
        <v>[DV] Ép side hai bên</v>
      </c>
      <c r="D377" s="5">
        <f>VLOOKUP(C377,'Sheet7'!$B:$C,2,0)</f>
      </c>
      <c r="E377" s="5"/>
      <c r="F377" s="6">
        <v>189000</v>
      </c>
      <c r="G377" s="7">
        <v>189000</v>
      </c>
      <c r="H377" s="7">
        <v>199000</v>
      </c>
      <c r="I377" s="7">
        <v>199000</v>
      </c>
      <c r="J377" s="9" t="str">
        <v>Giá không đổi</v>
      </c>
      <c r="K377" s="4">
        <f>G377-F377</f>
      </c>
      <c r="L377" s="4">
        <v>274</v>
      </c>
      <c r="M377" s="4">
        <v>902</v>
      </c>
      <c r="N377" s="4" t="str" xml:space="preserve">
        <v>+10.000 VNĐ 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5" t="str">
        <v>32 NAT</v>
      </c>
      <c r="B378" s="5">
        <f>VLOOKUP(A378,'Sheet10'!$A:$C,3,0)</f>
      </c>
      <c r="C378" s="5" t="str">
        <v>NHUỘM THIẾT KẾ PHỤC HỒI CHUYÊN SÂU LIPID BOND 2025</v>
      </c>
      <c r="D378" s="5">
        <v>1149</v>
      </c>
      <c r="E378" s="5"/>
      <c r="F378" s="6">
        <v>689000</v>
      </c>
      <c r="G378" s="7">
        <v>689000</v>
      </c>
      <c r="H378" s="7">
        <v>689000</v>
      </c>
      <c r="I378" s="7">
        <v>689000</v>
      </c>
      <c r="J378" s="9" t="str">
        <v>Giá không đổi</v>
      </c>
      <c r="K378" s="4">
        <f>G378-F378</f>
      </c>
      <c r="L378" s="4">
        <v>274</v>
      </c>
      <c r="M378" s="4">
        <v>1149</v>
      </c>
      <c r="N378" s="4" t="str">
        <v>Không đổi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5" t="str">
        <v>32 NAT</v>
      </c>
      <c r="B379" s="5">
        <f>VLOOKUP(A379,'Sheet10'!$A:$C,3,0)</f>
      </c>
      <c r="C379" s="5" t="str">
        <v>Phục hồi trẻ hóa Lipid Bond</v>
      </c>
      <c r="D379" s="5">
        <v>1101</v>
      </c>
      <c r="E379" s="5"/>
      <c r="F379" s="6">
        <v>132000</v>
      </c>
      <c r="G379" s="8">
        <v>146000</v>
      </c>
      <c r="H379" s="8">
        <v>146000</v>
      </c>
      <c r="I379" s="8">
        <v>146000</v>
      </c>
      <c r="J379" s="3" t="str">
        <v>Điều chỉnh giá</v>
      </c>
      <c r="K379" s="4">
        <f>G379-F379</f>
      </c>
      <c r="L379" s="4">
        <v>274</v>
      </c>
      <c r="M379" s="4">
        <v>1101</v>
      </c>
      <c r="N379" s="4" t="str">
        <v>Không đổi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5" t="str">
        <v>32 NAT</v>
      </c>
      <c r="B380" s="5">
        <f>VLOOKUP(A380,'Sheet10'!$A:$C,3,0)</f>
      </c>
      <c r="C380" s="5" t="str">
        <v>UỐN THIẾT KẾ PHỤC HỒI CHUYÊN SÂU LIPID BOND 2025</v>
      </c>
      <c r="D380" s="5">
        <f>VLOOKUP(C380,'Sheet7'!$B:$C,2,0)</f>
      </c>
      <c r="E380" s="5"/>
      <c r="F380" s="6">
        <v>689000</v>
      </c>
      <c r="G380" s="7">
        <v>689000</v>
      </c>
      <c r="H380" s="7">
        <v>699000</v>
      </c>
      <c r="I380" s="7">
        <v>699000</v>
      </c>
      <c r="J380" s="9" t="str">
        <v>Giá không đổi</v>
      </c>
      <c r="K380" s="4">
        <f>G380-F380</f>
      </c>
      <c r="L380" s="4">
        <v>274</v>
      </c>
      <c r="M380" s="4">
        <v>1148</v>
      </c>
      <c r="N380" s="4" t="str" xml:space="preserve">
        <v>+10.000 VNĐ 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5" t="str">
        <v>32 NAT</v>
      </c>
      <c r="B381" s="5">
        <f>VLOOKUP(A381,'Sheet10'!$A:$C,3,0)</f>
      </c>
      <c r="C381" s="5" t="str">
        <v>Uốn định hình nếp tóc cao cấp (K-Perm Collection)</v>
      </c>
      <c r="D381" s="5">
        <f>VLOOKUP(C381,'Sheet7'!$B:$C,2,0)</f>
      </c>
      <c r="E381" s="5"/>
      <c r="F381" s="6">
        <v>478000</v>
      </c>
      <c r="G381" s="7">
        <v>478000</v>
      </c>
      <c r="H381" s="7">
        <v>488000</v>
      </c>
      <c r="I381" s="7">
        <v>488000</v>
      </c>
      <c r="J381" s="9" t="str">
        <v>Giá không đổi</v>
      </c>
      <c r="K381" s="4">
        <f>G381-F381</f>
      </c>
      <c r="L381" s="4">
        <v>274</v>
      </c>
      <c r="M381" s="4">
        <v>952</v>
      </c>
      <c r="N381" s="4" t="str" xml:space="preserve">
        <v>+10.000 VNĐ 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5" t="str">
        <v>341 XVNT</v>
      </c>
      <c r="B382" s="5">
        <f>VLOOKUP(A382,'Sheet10'!$A:$C,3,0)</f>
      </c>
      <c r="C382" s="5" t="str">
        <v>(2022T) ATS Control Buffer - Khử mùi tạo thơm cho tóc uốn nhuộm 40k</v>
      </c>
      <c r="D382" s="5">
        <v>610</v>
      </c>
      <c r="E382" s="5"/>
      <c r="F382" s="6">
        <v>40000</v>
      </c>
      <c r="G382" s="7">
        <v>40000</v>
      </c>
      <c r="H382" s="7">
        <v>40000</v>
      </c>
      <c r="I382" s="7">
        <v>40000</v>
      </c>
      <c r="J382" s="9" t="str">
        <v>Giá không đổi</v>
      </c>
      <c r="K382" s="4">
        <f>G382-F382</f>
      </c>
      <c r="L382" s="4">
        <v>205</v>
      </c>
      <c r="M382" s="4">
        <v>610</v>
      </c>
      <c r="N382" s="4" t="str">
        <v>Không đổi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5" t="str">
        <v>341 XVNT</v>
      </c>
      <c r="B383" s="5">
        <f>VLOOKUP(A383,'Sheet10'!$A:$C,3,0)</f>
      </c>
      <c r="C383" s="5" t="str">
        <v>(NEW) Nhuộm màu thời trang Milano</v>
      </c>
      <c r="D383" s="5">
        <v>960</v>
      </c>
      <c r="E383" s="5">
        <f>A383&amp;D383</f>
      </c>
      <c r="F383" s="6">
        <v>332000</v>
      </c>
      <c r="G383" s="7">
        <v>332000</v>
      </c>
      <c r="H383" s="7">
        <v>332000</v>
      </c>
      <c r="I383" s="7">
        <v>332000</v>
      </c>
      <c r="J383" s="9" t="str">
        <v>Giá không đổi</v>
      </c>
      <c r="K383" s="4">
        <f>G383-F383</f>
      </c>
      <c r="L383" s="4">
        <v>205</v>
      </c>
      <c r="M383" s="4">
        <v>960</v>
      </c>
      <c r="N383" s="4" t="str">
        <v>Không đổi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5" t="str">
        <v>341 XVNT</v>
      </c>
      <c r="B384" s="5">
        <f>VLOOKUP(A384,'Sheet10'!$A:$C,3,0)</f>
      </c>
      <c r="C384" s="5" t="str">
        <v>(NEW) Nhuộm phủ bạc tiêu chuẩn 199K</v>
      </c>
      <c r="D384" s="5">
        <v>967</v>
      </c>
      <c r="E384" s="5"/>
      <c r="F384" s="6">
        <v>199000</v>
      </c>
      <c r="G384" s="7">
        <v>199000</v>
      </c>
      <c r="H384" s="7">
        <v>199000</v>
      </c>
      <c r="I384" s="7">
        <v>199000</v>
      </c>
      <c r="J384" s="9" t="str">
        <v>Giá không đổi</v>
      </c>
      <c r="K384" s="4">
        <f>G384-F384</f>
      </c>
      <c r="L384" s="4">
        <v>205</v>
      </c>
      <c r="M384" s="4">
        <v>967</v>
      </c>
      <c r="N384" s="4" t="str">
        <v>Không đổi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5" t="str">
        <v>341 XVNT</v>
      </c>
      <c r="B385" s="5">
        <f>VLOOKUP(A385,'Sheet10'!$A:$C,3,0)</f>
      </c>
      <c r="C385" s="5" t="str">
        <v>(NEW) Uốn/Duỗi/Định hình full đầu tạo form vào nếp tự nhiên</v>
      </c>
      <c r="D385" s="5">
        <f>VLOOKUP(C385,'Sheet7'!$B:$C,2,0)</f>
      </c>
      <c r="E385" s="5">
        <f>A385&amp;D385</f>
      </c>
      <c r="F385" s="6">
        <v>386000</v>
      </c>
      <c r="G385" s="7">
        <v>386000</v>
      </c>
      <c r="H385" s="7">
        <v>396000</v>
      </c>
      <c r="I385" s="7">
        <v>396000</v>
      </c>
      <c r="J385" s="9" t="str">
        <v>Giá không đổi</v>
      </c>
      <c r="K385" s="4">
        <f>G385-F385</f>
      </c>
      <c r="L385" s="4">
        <v>205</v>
      </c>
      <c r="M385" s="4">
        <v>1009</v>
      </c>
      <c r="N385" s="4" t="str" xml:space="preserve">
        <v>+10.000 VNĐ 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5" t="str">
        <v>341 XVNT</v>
      </c>
      <c r="B386" s="5">
        <f>VLOOKUP(A386,'Sheet10'!$A:$C,3,0)</f>
      </c>
      <c r="C386" s="5" t="str">
        <v>[DV] Nhuộm đen phủ bạc R&amp;B thảo dược</v>
      </c>
      <c r="D386" s="5">
        <v>912</v>
      </c>
      <c r="E386" s="5"/>
      <c r="F386" s="6">
        <v>289000</v>
      </c>
      <c r="G386" s="7">
        <v>289000</v>
      </c>
      <c r="H386" s="7">
        <v>289000</v>
      </c>
      <c r="I386" s="7">
        <v>289000</v>
      </c>
      <c r="J386" s="9" t="str">
        <v>Giá không đổi</v>
      </c>
      <c r="K386" s="4">
        <f>G386-F386</f>
      </c>
      <c r="L386" s="4">
        <v>205</v>
      </c>
      <c r="M386" s="4">
        <v>912</v>
      </c>
      <c r="N386" s="4" t="str">
        <v>Không đổi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5" t="str">
        <v>341 XVNT</v>
      </c>
      <c r="B387" s="5">
        <f>VLOOKUP(A387,'Sheet10'!$A:$C,3,0)</f>
      </c>
      <c r="C387" s="5" t="str">
        <v>[DV] Tẩy tóc bật tông Ý (1 lần)</v>
      </c>
      <c r="D387" s="5">
        <v>915</v>
      </c>
      <c r="E387" s="5"/>
      <c r="F387" s="6">
        <v>252000</v>
      </c>
      <c r="G387" s="7">
        <v>252000</v>
      </c>
      <c r="H387" s="7">
        <v>252000</v>
      </c>
      <c r="I387" s="7">
        <v>252000</v>
      </c>
      <c r="J387" s="9" t="str">
        <v>Giá không đổi</v>
      </c>
      <c r="K387" s="4">
        <f>G387-F387</f>
      </c>
      <c r="L387" s="4">
        <v>205</v>
      </c>
      <c r="M387" s="4">
        <v>915</v>
      </c>
      <c r="N387" s="4" t="str">
        <v>Không đổi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5" t="str">
        <v>341 XVNT</v>
      </c>
      <c r="B388" s="5">
        <f>VLOOKUP(A388,'Sheet10'!$A:$C,3,0)</f>
      </c>
      <c r="C388" s="5" t="str">
        <v>[DV] Tẩy tóc bật tông Ý (2 lần) 500k</v>
      </c>
      <c r="D388" s="5">
        <v>916</v>
      </c>
      <c r="E388" s="5"/>
      <c r="F388" s="6">
        <v>500000</v>
      </c>
      <c r="G388" s="7">
        <v>500000</v>
      </c>
      <c r="H388" s="7">
        <v>500000</v>
      </c>
      <c r="I388" s="7">
        <v>500000</v>
      </c>
      <c r="J388" s="9" t="str">
        <v>Giá không đổi</v>
      </c>
      <c r="K388" s="4">
        <f>G388-F388</f>
      </c>
      <c r="L388" s="4">
        <v>205</v>
      </c>
      <c r="M388" s="4">
        <v>916</v>
      </c>
      <c r="N388" s="4" t="str">
        <v>Không đổi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5" t="str">
        <v>341 XVNT</v>
      </c>
      <c r="B389" s="5">
        <f>VLOOKUP(A389,'Sheet10'!$A:$C,3,0)</f>
      </c>
      <c r="C389" s="5" t="str">
        <v>[DV] Uốn Texture con sâu/Uốn Ruffled</v>
      </c>
      <c r="D389" s="5">
        <f>VLOOKUP(C389,'Sheet7'!$B:$C,2,0)</f>
      </c>
      <c r="E389" s="5"/>
      <c r="F389" s="6">
        <v>499000</v>
      </c>
      <c r="G389" s="7">
        <v>499000</v>
      </c>
      <c r="H389" s="7">
        <v>509000</v>
      </c>
      <c r="I389" s="7">
        <v>509000</v>
      </c>
      <c r="J389" s="9" t="str">
        <v>Giá không đổi</v>
      </c>
      <c r="K389" s="4">
        <f>G389-F389</f>
      </c>
      <c r="L389" s="4">
        <v>205</v>
      </c>
      <c r="M389" s="4">
        <v>674</v>
      </c>
      <c r="N389" s="4" t="str" xml:space="preserve">
        <v>+10.000 VNĐ 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5" t="str">
        <v>341 XVNT</v>
      </c>
      <c r="B390" s="5">
        <f>VLOOKUP(A390,'Sheet10'!$A:$C,3,0)</f>
      </c>
      <c r="C390" s="5" t="str">
        <v>[DV] Ép side hai bên</v>
      </c>
      <c r="D390" s="5">
        <f>VLOOKUP(C390,'Sheet7'!$B:$C,2,0)</f>
      </c>
      <c r="E390" s="5"/>
      <c r="F390" s="6">
        <v>189000</v>
      </c>
      <c r="G390" s="8">
        <v>198000</v>
      </c>
      <c r="H390" s="7">
        <v>208000</v>
      </c>
      <c r="I390" s="7">
        <v>208000</v>
      </c>
      <c r="J390" s="3" t="str">
        <v>Điều chỉnh giá</v>
      </c>
      <c r="K390" s="4">
        <f>G390-F390</f>
      </c>
      <c r="L390" s="4">
        <v>205</v>
      </c>
      <c r="M390" s="4">
        <v>902</v>
      </c>
      <c r="N390" s="4" t="str" xml:space="preserve">
        <v>+10.000 VNĐ 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5" t="str">
        <v>341 XVNT</v>
      </c>
      <c r="B391" s="5">
        <f>VLOOKUP(A391,'Sheet10'!$A:$C,3,0)</f>
      </c>
      <c r="C391" s="5" t="str">
        <v>NHUỘM THIẾT KẾ PHỤC HỒI CHUYÊN SÂU LIPID BOND 2025</v>
      </c>
      <c r="D391" s="5">
        <v>1149</v>
      </c>
      <c r="E391" s="5"/>
      <c r="F391" s="6">
        <v>689000</v>
      </c>
      <c r="G391" s="7">
        <v>689000</v>
      </c>
      <c r="H391" s="7">
        <v>689000</v>
      </c>
      <c r="I391" s="7">
        <v>689000</v>
      </c>
      <c r="J391" s="9" t="str">
        <v>Giá không đổi</v>
      </c>
      <c r="K391" s="4">
        <f>G391-F391</f>
      </c>
      <c r="L391" s="4">
        <v>205</v>
      </c>
      <c r="M391" s="4">
        <v>1149</v>
      </c>
      <c r="N391" s="4" t="str">
        <v>Không đổi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5" t="str">
        <v>341 XVNT</v>
      </c>
      <c r="B392" s="5">
        <f>VLOOKUP(A392,'Sheet10'!$A:$C,3,0)</f>
      </c>
      <c r="C392" s="5" t="str">
        <v>Phục hồi trẻ hóa Lipid Bond</v>
      </c>
      <c r="D392" s="5">
        <v>1101</v>
      </c>
      <c r="E392" s="5"/>
      <c r="F392" s="6">
        <v>132000</v>
      </c>
      <c r="G392" s="8">
        <v>146000</v>
      </c>
      <c r="H392" s="8">
        <v>146000</v>
      </c>
      <c r="I392" s="8">
        <v>146000</v>
      </c>
      <c r="J392" s="3" t="str">
        <v>Điều chỉnh giá</v>
      </c>
      <c r="K392" s="4">
        <f>G392-F392</f>
      </c>
      <c r="L392" s="4">
        <v>205</v>
      </c>
      <c r="M392" s="4">
        <v>1101</v>
      </c>
      <c r="N392" s="4" t="str">
        <v>Không đổi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5" t="str">
        <v>341 XVNT</v>
      </c>
      <c r="B393" s="5">
        <f>VLOOKUP(A393,'Sheet10'!$A:$C,3,0)</f>
      </c>
      <c r="C393" s="5" t="str">
        <v>UỐN THIẾT KẾ PHỤC HỒI CHUYÊN SÂU LIPID BOND 2025</v>
      </c>
      <c r="D393" s="5">
        <f>VLOOKUP(C393,'Sheet7'!$B:$C,2,0)</f>
      </c>
      <c r="E393" s="5"/>
      <c r="F393" s="6">
        <v>689000</v>
      </c>
      <c r="G393" s="7">
        <v>689000</v>
      </c>
      <c r="H393" s="7">
        <v>699000</v>
      </c>
      <c r="I393" s="7">
        <v>699000</v>
      </c>
      <c r="J393" s="9" t="str">
        <v>Giá không đổi</v>
      </c>
      <c r="K393" s="4">
        <f>G393-F393</f>
      </c>
      <c r="L393" s="4">
        <v>205</v>
      </c>
      <c r="M393" s="4">
        <v>1148</v>
      </c>
      <c r="N393" s="4" t="str" xml:space="preserve">
        <v>+10.000 VNĐ 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5" t="str">
        <v>341 XVNT</v>
      </c>
      <c r="B394" s="5">
        <f>VLOOKUP(A394,'Sheet10'!$A:$C,3,0)</f>
      </c>
      <c r="C394" s="5" t="str">
        <v>Uốn định hình nếp tóc cao cấp (K-Perm Collection)</v>
      </c>
      <c r="D394" s="5">
        <f>VLOOKUP(C394,'Sheet7'!$B:$C,2,0)</f>
      </c>
      <c r="E394" s="5"/>
      <c r="F394" s="6">
        <v>478000</v>
      </c>
      <c r="G394" s="7">
        <v>478000</v>
      </c>
      <c r="H394" s="7">
        <v>488000</v>
      </c>
      <c r="I394" s="7">
        <v>488000</v>
      </c>
      <c r="J394" s="9" t="str">
        <v>Giá không đổi</v>
      </c>
      <c r="K394" s="4">
        <f>G394-F394</f>
      </c>
      <c r="L394" s="4">
        <v>205</v>
      </c>
      <c r="M394" s="4">
        <v>952</v>
      </c>
      <c r="N394" s="4" t="str" xml:space="preserve">
        <v>+10.000 VNĐ 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5" t="str">
        <v>346 KT</v>
      </c>
      <c r="B395" s="5">
        <f>VLOOKUP(A395,'Sheet10'!$A:$C,3,0)</f>
      </c>
      <c r="C395" s="5" t="str">
        <v>(2022T) ATS Control Buffer - Khử mùi tạo thơm cho tóc uốn nhuộm 40k</v>
      </c>
      <c r="D395" s="5">
        <v>610</v>
      </c>
      <c r="E395" s="5"/>
      <c r="F395" s="6">
        <v>40000</v>
      </c>
      <c r="G395" s="7">
        <v>40000</v>
      </c>
      <c r="H395" s="7">
        <v>40000</v>
      </c>
      <c r="I395" s="7">
        <v>40000</v>
      </c>
      <c r="J395" s="9" t="str">
        <v>Giá không đổi</v>
      </c>
      <c r="K395" s="4">
        <f>G395-F395</f>
      </c>
      <c r="L395" s="4">
        <v>2</v>
      </c>
      <c r="M395" s="4">
        <v>610</v>
      </c>
      <c r="N395" s="4" t="str">
        <v>Không đổi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5" t="str">
        <v>346 KT</v>
      </c>
      <c r="B396" s="5">
        <f>VLOOKUP(A396,'Sheet10'!$A:$C,3,0)</f>
      </c>
      <c r="C396" s="5" t="str">
        <v>(NEW) Nhuộm màu thời trang Milano</v>
      </c>
      <c r="D396" s="5">
        <v>960</v>
      </c>
      <c r="E396" s="5">
        <f>A396&amp;D396</f>
      </c>
      <c r="F396" s="6">
        <v>332000</v>
      </c>
      <c r="G396" s="8">
        <v>369000</v>
      </c>
      <c r="H396" s="8">
        <v>369000</v>
      </c>
      <c r="I396" s="8">
        <v>369000</v>
      </c>
      <c r="J396" s="3" t="str">
        <v>Điều chỉnh giá</v>
      </c>
      <c r="K396" s="4">
        <f>G396-F396</f>
      </c>
      <c r="L396" s="4">
        <v>2</v>
      </c>
      <c r="M396" s="4">
        <v>960</v>
      </c>
      <c r="N396" s="4" t="str">
        <v>Không đổi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5" t="str">
        <v>346 KT</v>
      </c>
      <c r="B397" s="5">
        <f>VLOOKUP(A397,'Sheet10'!$A:$C,3,0)</f>
      </c>
      <c r="C397" s="5" t="str">
        <v>(NEW) Nhuộm phủ bạc tiêu chuẩn 199K</v>
      </c>
      <c r="D397" s="5">
        <v>967</v>
      </c>
      <c r="E397" s="5"/>
      <c r="F397" s="6">
        <v>199000</v>
      </c>
      <c r="G397" s="8">
        <v>227000</v>
      </c>
      <c r="H397" s="8">
        <v>227000</v>
      </c>
      <c r="I397" s="8">
        <v>227000</v>
      </c>
      <c r="J397" s="3" t="str">
        <v>Điều chỉnh giá</v>
      </c>
      <c r="K397" s="4">
        <f>G397-F397</f>
      </c>
      <c r="L397" s="4">
        <v>2</v>
      </c>
      <c r="M397" s="4">
        <v>967</v>
      </c>
      <c r="N397" s="4" t="str">
        <v>Không đổi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5" t="str">
        <v>346 KT</v>
      </c>
      <c r="B398" s="5">
        <f>VLOOKUP(A398,'Sheet10'!$A:$C,3,0)</f>
      </c>
      <c r="C398" s="5" t="str">
        <v>(NEW) Uốn/Duỗi/Định hình full đầu tạo form vào nếp tự nhiên</v>
      </c>
      <c r="D398" s="5">
        <f>VLOOKUP(C398,'Sheet7'!$B:$C,2,0)</f>
      </c>
      <c r="E398" s="5">
        <f>A398&amp;D398</f>
      </c>
      <c r="F398" s="6">
        <v>386000</v>
      </c>
      <c r="G398" s="8">
        <v>406000</v>
      </c>
      <c r="H398" s="7">
        <v>416000</v>
      </c>
      <c r="I398" s="7">
        <v>416000</v>
      </c>
      <c r="J398" s="3" t="str">
        <v>Điều chỉnh giá</v>
      </c>
      <c r="K398" s="4">
        <f>G398-F398</f>
      </c>
      <c r="L398" s="4">
        <v>2</v>
      </c>
      <c r="M398" s="4">
        <v>1009</v>
      </c>
      <c r="N398" s="4" t="str" xml:space="preserve">
        <v>+10.000 VNĐ 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5" t="str">
        <v>346 KT</v>
      </c>
      <c r="B399" s="5">
        <f>VLOOKUP(A399,'Sheet10'!$A:$C,3,0)</f>
      </c>
      <c r="C399" s="5" t="str">
        <v>[DV] Nhuộm đen phủ bạc R&amp;B thảo dược</v>
      </c>
      <c r="D399" s="5">
        <v>912</v>
      </c>
      <c r="E399" s="5"/>
      <c r="F399" s="6">
        <v>289000</v>
      </c>
      <c r="G399" s="8">
        <v>329000</v>
      </c>
      <c r="H399" s="8">
        <v>329000</v>
      </c>
      <c r="I399" s="8">
        <v>329000</v>
      </c>
      <c r="J399" s="3" t="str">
        <v>Điều chỉnh giá</v>
      </c>
      <c r="K399" s="4">
        <f>G399-F399</f>
      </c>
      <c r="L399" s="4">
        <v>2</v>
      </c>
      <c r="M399" s="4">
        <v>912</v>
      </c>
      <c r="N399" s="4" t="str">
        <v>Không đổi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5" t="str">
        <v>346 KT</v>
      </c>
      <c r="B400" s="5">
        <f>VLOOKUP(A400,'Sheet10'!$A:$C,3,0)</f>
      </c>
      <c r="C400" s="5" t="str">
        <v>[DV] Tẩy tóc bật tông Ý (1 lần)</v>
      </c>
      <c r="D400" s="5">
        <v>915</v>
      </c>
      <c r="E400" s="5"/>
      <c r="F400" s="6">
        <v>252000</v>
      </c>
      <c r="G400" s="8">
        <v>269000</v>
      </c>
      <c r="H400" s="8">
        <v>269000</v>
      </c>
      <c r="I400" s="8">
        <v>269000</v>
      </c>
      <c r="J400" s="3" t="str">
        <v>Điều chỉnh giá</v>
      </c>
      <c r="K400" s="4">
        <f>G400-F400</f>
      </c>
      <c r="L400" s="4">
        <v>2</v>
      </c>
      <c r="M400" s="4">
        <v>915</v>
      </c>
      <c r="N400" s="4" t="str">
        <v>Không đổi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5" t="str">
        <v>346 KT</v>
      </c>
      <c r="B401" s="5">
        <f>VLOOKUP(A401,'Sheet10'!$A:$C,3,0)</f>
      </c>
      <c r="C401" s="5" t="str">
        <v>[DV] Tẩy tóc bật tông Ý (2 lần) 500k</v>
      </c>
      <c r="D401" s="5">
        <v>916</v>
      </c>
      <c r="E401" s="5"/>
      <c r="F401" s="6">
        <v>500000</v>
      </c>
      <c r="G401" s="8">
        <v>534000</v>
      </c>
      <c r="H401" s="8">
        <v>534000</v>
      </c>
      <c r="I401" s="8">
        <v>534000</v>
      </c>
      <c r="J401" s="3" t="str">
        <v>Điều chỉnh giá</v>
      </c>
      <c r="K401" s="4">
        <f>G401-F401</f>
      </c>
      <c r="L401" s="4">
        <v>2</v>
      </c>
      <c r="M401" s="4">
        <v>916</v>
      </c>
      <c r="N401" s="4" t="str">
        <v>Không đổi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5" t="str">
        <v>346 KT</v>
      </c>
      <c r="B402" s="5">
        <f>VLOOKUP(A402,'Sheet10'!$A:$C,3,0)</f>
      </c>
      <c r="C402" s="5" t="str">
        <v>[DV] Uốn Texture con sâu/Uốn Ruffled</v>
      </c>
      <c r="D402" s="5">
        <f>VLOOKUP(C402,'Sheet7'!$B:$C,2,0)</f>
      </c>
      <c r="E402" s="5"/>
      <c r="F402" s="6">
        <v>499000</v>
      </c>
      <c r="G402" s="8">
        <v>554000</v>
      </c>
      <c r="H402" s="7">
        <v>564000</v>
      </c>
      <c r="I402" s="7">
        <v>564000</v>
      </c>
      <c r="J402" s="3" t="str">
        <v>Điều chỉnh giá</v>
      </c>
      <c r="K402" s="4">
        <f>G402-F402</f>
      </c>
      <c r="L402" s="4">
        <v>2</v>
      </c>
      <c r="M402" s="4">
        <v>674</v>
      </c>
      <c r="N402" s="4" t="str" xml:space="preserve">
        <v>+10.000 VNĐ 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5" t="str">
        <v>346 KT</v>
      </c>
      <c r="B403" s="5">
        <f>VLOOKUP(A403,'Sheet10'!$A:$C,3,0)</f>
      </c>
      <c r="C403" s="5" t="str">
        <v>[DV] Ép side hai bên</v>
      </c>
      <c r="D403" s="5">
        <f>VLOOKUP(C403,'Sheet7'!$B:$C,2,0)</f>
      </c>
      <c r="E403" s="5"/>
      <c r="F403" s="6">
        <v>189000</v>
      </c>
      <c r="G403" s="8">
        <v>198000</v>
      </c>
      <c r="H403" s="7">
        <v>208000</v>
      </c>
      <c r="I403" s="7">
        <v>208000</v>
      </c>
      <c r="J403" s="3" t="str">
        <v>Điều chỉnh giá</v>
      </c>
      <c r="K403" s="4">
        <f>G403-F403</f>
      </c>
      <c r="L403" s="4">
        <v>2</v>
      </c>
      <c r="M403" s="4">
        <v>902</v>
      </c>
      <c r="N403" s="4" t="str" xml:space="preserve">
        <v>+10.000 VNĐ 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5" t="str">
        <v>346 KT</v>
      </c>
      <c r="B404" s="5">
        <f>VLOOKUP(A404,'Sheet10'!$A:$C,3,0)</f>
      </c>
      <c r="C404" s="5" t="str">
        <v>NHUỘM THIẾT KẾ PHỤC HỒI CHUYÊN SÂU LIPID BOND 2025</v>
      </c>
      <c r="D404" s="5">
        <v>1149</v>
      </c>
      <c r="E404" s="5"/>
      <c r="F404" s="6">
        <v>689000</v>
      </c>
      <c r="G404" s="8">
        <v>759000</v>
      </c>
      <c r="H404" s="8">
        <v>759000</v>
      </c>
      <c r="I404" s="8">
        <v>759000</v>
      </c>
      <c r="J404" s="3" t="str">
        <v>Điều chỉnh giá</v>
      </c>
      <c r="K404" s="4">
        <f>G404-F404</f>
      </c>
      <c r="L404" s="4">
        <v>2</v>
      </c>
      <c r="M404" s="4">
        <v>1149</v>
      </c>
      <c r="N404" s="4" t="str">
        <v>Không đổi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5" t="str">
        <v>346 KT</v>
      </c>
      <c r="B405" s="5">
        <f>VLOOKUP(A405,'Sheet10'!$A:$C,3,0)</f>
      </c>
      <c r="C405" s="5" t="str">
        <v>Phục hồi trẻ hóa Lipid Bond</v>
      </c>
      <c r="D405" s="5">
        <v>1101</v>
      </c>
      <c r="E405" s="5"/>
      <c r="F405" s="6">
        <v>132000</v>
      </c>
      <c r="G405" s="8">
        <v>146000</v>
      </c>
      <c r="H405" s="8">
        <v>146000</v>
      </c>
      <c r="I405" s="8">
        <v>146000</v>
      </c>
      <c r="J405" s="3" t="str">
        <v>Điều chỉnh giá</v>
      </c>
      <c r="K405" s="4">
        <f>G405-F405</f>
      </c>
      <c r="L405" s="4">
        <v>2</v>
      </c>
      <c r="M405" s="4">
        <v>1101</v>
      </c>
      <c r="N405" s="4" t="str">
        <v>Không đổi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5" t="str">
        <v>346 KT</v>
      </c>
      <c r="B406" s="5">
        <f>VLOOKUP(A406,'Sheet10'!$A:$C,3,0)</f>
      </c>
      <c r="C406" s="5" t="str">
        <v>UỐN THIẾT KẾ PHỤC HỒI CHUYÊN SÂU LIPID BOND 2025</v>
      </c>
      <c r="D406" s="5">
        <f>VLOOKUP(C406,'Sheet7'!$B:$C,2,0)</f>
      </c>
      <c r="E406" s="5"/>
      <c r="F406" s="6">
        <v>689000</v>
      </c>
      <c r="G406" s="8">
        <v>729000</v>
      </c>
      <c r="H406" s="7">
        <v>739000</v>
      </c>
      <c r="I406" s="7">
        <v>739000</v>
      </c>
      <c r="J406" s="3" t="str">
        <v>Điều chỉnh giá</v>
      </c>
      <c r="K406" s="4">
        <f>G406-F406</f>
      </c>
      <c r="L406" s="4">
        <v>2</v>
      </c>
      <c r="M406" s="4">
        <v>1148</v>
      </c>
      <c r="N406" s="4" t="str" xml:space="preserve">
        <v>+10.000 VNĐ 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5" t="str">
        <v>346 KT</v>
      </c>
      <c r="B407" s="5">
        <f>VLOOKUP(A407,'Sheet10'!$A:$C,3,0)</f>
      </c>
      <c r="C407" s="5" t="str">
        <v>Uốn định hình nếp tóc cao cấp (K-Perm Collection)</v>
      </c>
      <c r="D407" s="5">
        <f>VLOOKUP(C407,'Sheet7'!$B:$C,2,0)</f>
      </c>
      <c r="E407" s="5"/>
      <c r="F407" s="6">
        <v>478000</v>
      </c>
      <c r="G407" s="8">
        <v>502000</v>
      </c>
      <c r="H407" s="7">
        <v>512000</v>
      </c>
      <c r="I407" s="7">
        <v>512000</v>
      </c>
      <c r="J407" s="3" t="str">
        <v>Điều chỉnh giá</v>
      </c>
      <c r="K407" s="4">
        <f>G407-F407</f>
      </c>
      <c r="L407" s="4">
        <v>2</v>
      </c>
      <c r="M407" s="4">
        <v>952</v>
      </c>
      <c r="N407" s="4" t="str" xml:space="preserve">
        <v>+10.000 VNĐ 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5" t="str">
        <v>36 N1 BD</v>
      </c>
      <c r="B408" s="5">
        <f>VLOOKUP(A408,'Sheet10'!$A:$C,3,0)</f>
      </c>
      <c r="C408" s="5" t="str">
        <v>(2022T) ATS Control Buffer - Khử mùi tạo thơm cho tóc uốn nhuộm 40k</v>
      </c>
      <c r="D408" s="5">
        <v>610</v>
      </c>
      <c r="E408" s="5"/>
      <c r="F408" s="6">
        <v>40000</v>
      </c>
      <c r="G408" s="7">
        <v>40000</v>
      </c>
      <c r="H408" s="7">
        <v>40000</v>
      </c>
      <c r="I408" s="7">
        <v>40000</v>
      </c>
      <c r="J408" s="9" t="str">
        <v>Giá không đổi</v>
      </c>
      <c r="K408" s="4">
        <f>G408-F408</f>
      </c>
      <c r="L408" s="4">
        <v>184</v>
      </c>
      <c r="M408" s="4">
        <v>610</v>
      </c>
      <c r="N408" s="4" t="str">
        <v>Không đổi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5" t="str">
        <v>36 N1 BD</v>
      </c>
      <c r="B409" s="5">
        <f>VLOOKUP(A409,'Sheet10'!$A:$C,3,0)</f>
      </c>
      <c r="C409" s="5" t="str">
        <v>(NEW) Nhuộm màu thời trang Milano</v>
      </c>
      <c r="D409" s="5">
        <v>960</v>
      </c>
      <c r="E409" s="5">
        <f>A409&amp;D409</f>
      </c>
      <c r="F409" s="6">
        <v>332000</v>
      </c>
      <c r="G409" s="7">
        <v>332000</v>
      </c>
      <c r="H409" s="7">
        <v>332000</v>
      </c>
      <c r="I409" s="7">
        <v>332000</v>
      </c>
      <c r="J409" s="9" t="str">
        <v>Giá không đổi</v>
      </c>
      <c r="K409" s="4">
        <f>G409-F409</f>
      </c>
      <c r="L409" s="4">
        <v>184</v>
      </c>
      <c r="M409" s="4">
        <v>960</v>
      </c>
      <c r="N409" s="4" t="str">
        <v>Không đổi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5" t="str">
        <v>36 N1 BD</v>
      </c>
      <c r="B410" s="5">
        <f>VLOOKUP(A410,'Sheet10'!$A:$C,3,0)</f>
      </c>
      <c r="C410" s="5" t="str">
        <v>(NEW) Nhuộm phủ bạc tiêu chuẩn 199K</v>
      </c>
      <c r="D410" s="5">
        <v>967</v>
      </c>
      <c r="E410" s="5"/>
      <c r="F410" s="6">
        <v>199000</v>
      </c>
      <c r="G410" s="7">
        <v>199000</v>
      </c>
      <c r="H410" s="7">
        <v>199000</v>
      </c>
      <c r="I410" s="7">
        <v>199000</v>
      </c>
      <c r="J410" s="9" t="str">
        <v>Giá không đổi</v>
      </c>
      <c r="K410" s="4">
        <f>G410-F410</f>
      </c>
      <c r="L410" s="4">
        <v>184</v>
      </c>
      <c r="M410" s="4">
        <v>967</v>
      </c>
      <c r="N410" s="4" t="str">
        <v>Không đổi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5" t="str">
        <v>36 N1 BD</v>
      </c>
      <c r="B411" s="5">
        <f>VLOOKUP(A411,'Sheet10'!$A:$C,3,0)</f>
      </c>
      <c r="C411" s="5" t="str">
        <v>(NEW) Uốn/Duỗi/Định hình full đầu tạo form vào nếp tự nhiên</v>
      </c>
      <c r="D411" s="5">
        <f>VLOOKUP(C411,'Sheet7'!$B:$C,2,0)</f>
      </c>
      <c r="E411" s="5">
        <f>A411&amp;D411</f>
      </c>
      <c r="F411" s="6">
        <v>386000</v>
      </c>
      <c r="G411" s="7">
        <v>386000</v>
      </c>
      <c r="H411" s="7">
        <v>396000</v>
      </c>
      <c r="I411" s="7">
        <v>396000</v>
      </c>
      <c r="J411" s="9" t="str">
        <v>Giá không đổi</v>
      </c>
      <c r="K411" s="4">
        <f>G411-F411</f>
      </c>
      <c r="L411" s="4">
        <v>184</v>
      </c>
      <c r="M411" s="4">
        <v>1009</v>
      </c>
      <c r="N411" s="4" t="str" xml:space="preserve">
        <v>+10.000 VNĐ 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5" t="str">
        <v>36 N1 BD</v>
      </c>
      <c r="B412" s="5">
        <f>VLOOKUP(A412,'Sheet10'!$A:$C,3,0)</f>
      </c>
      <c r="C412" s="5" t="str">
        <v>[DV] Nhuộm đen phủ bạc R&amp;B thảo dược</v>
      </c>
      <c r="D412" s="5">
        <v>912</v>
      </c>
      <c r="E412" s="5"/>
      <c r="F412" s="6">
        <v>289000</v>
      </c>
      <c r="G412" s="7">
        <v>289000</v>
      </c>
      <c r="H412" s="7">
        <v>289000</v>
      </c>
      <c r="I412" s="7">
        <v>289000</v>
      </c>
      <c r="J412" s="9" t="str">
        <v>Giá không đổi</v>
      </c>
      <c r="K412" s="4">
        <f>G412-F412</f>
      </c>
      <c r="L412" s="4">
        <v>184</v>
      </c>
      <c r="M412" s="4">
        <v>912</v>
      </c>
      <c r="N412" s="4" t="str">
        <v>Không đổi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5" t="str">
        <v>36 N1 BD</v>
      </c>
      <c r="B413" s="5">
        <f>VLOOKUP(A413,'Sheet10'!$A:$C,3,0)</f>
      </c>
      <c r="C413" s="5" t="str">
        <v>[DV] Tẩy tóc bật tông Ý (1 lần)</v>
      </c>
      <c r="D413" s="5">
        <v>915</v>
      </c>
      <c r="E413" s="5"/>
      <c r="F413" s="6">
        <v>252000</v>
      </c>
      <c r="G413" s="7">
        <v>252000</v>
      </c>
      <c r="H413" s="7">
        <v>252000</v>
      </c>
      <c r="I413" s="7">
        <v>252000</v>
      </c>
      <c r="J413" s="9" t="str">
        <v>Giá không đổi</v>
      </c>
      <c r="K413" s="4">
        <f>G413-F413</f>
      </c>
      <c r="L413" s="4">
        <v>184</v>
      </c>
      <c r="M413" s="4">
        <v>915</v>
      </c>
      <c r="N413" s="4" t="str">
        <v>Không đổi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5" t="str">
        <v>36 N1 BD</v>
      </c>
      <c r="B414" s="5">
        <f>VLOOKUP(A414,'Sheet10'!$A:$C,3,0)</f>
      </c>
      <c r="C414" s="5" t="str">
        <v>[DV] Tẩy tóc bật tông Ý (2 lần) 500k</v>
      </c>
      <c r="D414" s="5">
        <v>916</v>
      </c>
      <c r="E414" s="5"/>
      <c r="F414" s="6">
        <v>500000</v>
      </c>
      <c r="G414" s="7">
        <v>500000</v>
      </c>
      <c r="H414" s="7">
        <v>500000</v>
      </c>
      <c r="I414" s="7">
        <v>500000</v>
      </c>
      <c r="J414" s="9" t="str">
        <v>Giá không đổi</v>
      </c>
      <c r="K414" s="4">
        <f>G414-F414</f>
      </c>
      <c r="L414" s="4">
        <v>184</v>
      </c>
      <c r="M414" s="4">
        <v>916</v>
      </c>
      <c r="N414" s="4" t="str">
        <v>Không đổi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5" t="str">
        <v>36 N1 BD</v>
      </c>
      <c r="B415" s="5">
        <f>VLOOKUP(A415,'Sheet10'!$A:$C,3,0)</f>
      </c>
      <c r="C415" s="5" t="str">
        <v>[DV] Uốn Texture con sâu/Uốn Ruffled</v>
      </c>
      <c r="D415" s="5">
        <f>VLOOKUP(C415,'Sheet7'!$B:$C,2,0)</f>
      </c>
      <c r="E415" s="5"/>
      <c r="F415" s="6">
        <v>499000</v>
      </c>
      <c r="G415" s="7">
        <v>499000</v>
      </c>
      <c r="H415" s="7">
        <v>509000</v>
      </c>
      <c r="I415" s="7">
        <v>509000</v>
      </c>
      <c r="J415" s="9" t="str">
        <v>Giá không đổi</v>
      </c>
      <c r="K415" s="4">
        <f>G415-F415</f>
      </c>
      <c r="L415" s="4">
        <v>184</v>
      </c>
      <c r="M415" s="4">
        <v>674</v>
      </c>
      <c r="N415" s="4" t="str" xml:space="preserve">
        <v>+10.000 VNĐ 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5" t="str">
        <v>36 N1 BD</v>
      </c>
      <c r="B416" s="5">
        <f>VLOOKUP(A416,'Sheet10'!$A:$C,3,0)</f>
      </c>
      <c r="C416" s="5" t="str">
        <v>[DV] Ép side hai bên</v>
      </c>
      <c r="D416" s="5">
        <f>VLOOKUP(C416,'Sheet7'!$B:$C,2,0)</f>
      </c>
      <c r="E416" s="5"/>
      <c r="F416" s="6">
        <v>189000</v>
      </c>
      <c r="G416" s="7">
        <v>189000</v>
      </c>
      <c r="H416" s="7">
        <v>199000</v>
      </c>
      <c r="I416" s="7">
        <v>199000</v>
      </c>
      <c r="J416" s="9" t="str">
        <v>Giá không đổi</v>
      </c>
      <c r="K416" s="4">
        <f>G416-F416</f>
      </c>
      <c r="L416" s="4">
        <v>184</v>
      </c>
      <c r="M416" s="4">
        <v>902</v>
      </c>
      <c r="N416" s="4" t="str" xml:space="preserve">
        <v>+10.000 VNĐ 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5" t="str">
        <v>36 N1 BD</v>
      </c>
      <c r="B417" s="5">
        <f>VLOOKUP(A417,'Sheet10'!$A:$C,3,0)</f>
      </c>
      <c r="C417" s="5" t="str">
        <v>NHUỘM THIẾT KẾ PHỤC HỒI CHUYÊN SÂU LIPID BOND 2025</v>
      </c>
      <c r="D417" s="5">
        <v>1149</v>
      </c>
      <c r="E417" s="5"/>
      <c r="F417" s="6">
        <v>689000</v>
      </c>
      <c r="G417" s="7">
        <v>689000</v>
      </c>
      <c r="H417" s="7">
        <v>689000</v>
      </c>
      <c r="I417" s="7">
        <v>689000</v>
      </c>
      <c r="J417" s="9" t="str">
        <v>Giá không đổi</v>
      </c>
      <c r="K417" s="4">
        <f>G417-F417</f>
      </c>
      <c r="L417" s="4">
        <v>184</v>
      </c>
      <c r="M417" s="4">
        <v>1149</v>
      </c>
      <c r="N417" s="4" t="str">
        <v>Không đổi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5" t="str">
        <v>36 N1 BD</v>
      </c>
      <c r="B418" s="5">
        <f>VLOOKUP(A418,'Sheet10'!$A:$C,3,0)</f>
      </c>
      <c r="C418" s="5" t="str">
        <v>Phục hồi trẻ hóa Lipid Bond</v>
      </c>
      <c r="D418" s="5">
        <v>1101</v>
      </c>
      <c r="E418" s="5"/>
      <c r="F418" s="6">
        <v>132000</v>
      </c>
      <c r="G418" s="8">
        <v>146000</v>
      </c>
      <c r="H418" s="8">
        <v>146000</v>
      </c>
      <c r="I418" s="8">
        <v>146000</v>
      </c>
      <c r="J418" s="3" t="str">
        <v>Điều chỉnh giá</v>
      </c>
      <c r="K418" s="4">
        <f>G418-F418</f>
      </c>
      <c r="L418" s="4">
        <v>184</v>
      </c>
      <c r="M418" s="4">
        <v>1101</v>
      </c>
      <c r="N418" s="4" t="str">
        <v>Không đổi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5" t="str">
        <v>36 N1 BD</v>
      </c>
      <c r="B419" s="5">
        <f>VLOOKUP(A419,'Sheet10'!$A:$C,3,0)</f>
      </c>
      <c r="C419" s="5" t="str">
        <v>UỐN THIẾT KẾ PHỤC HỒI CHUYÊN SÂU LIPID BOND 2025</v>
      </c>
      <c r="D419" s="5">
        <f>VLOOKUP(C419,'Sheet7'!$B:$C,2,0)</f>
      </c>
      <c r="E419" s="5"/>
      <c r="F419" s="6">
        <v>689000</v>
      </c>
      <c r="G419" s="7">
        <v>689000</v>
      </c>
      <c r="H419" s="7">
        <v>699000</v>
      </c>
      <c r="I419" s="7">
        <v>699000</v>
      </c>
      <c r="J419" s="9" t="str">
        <v>Giá không đổi</v>
      </c>
      <c r="K419" s="4">
        <f>G419-F419</f>
      </c>
      <c r="L419" s="4">
        <v>184</v>
      </c>
      <c r="M419" s="4">
        <v>1148</v>
      </c>
      <c r="N419" s="4" t="str" xml:space="preserve">
        <v>+10.000 VNĐ 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5" t="str">
        <v>36 N1 BD</v>
      </c>
      <c r="B420" s="5">
        <f>VLOOKUP(A420,'Sheet10'!$A:$C,3,0)</f>
      </c>
      <c r="C420" s="5" t="str">
        <v>Uốn định hình nếp tóc cao cấp (K-Perm Collection)</v>
      </c>
      <c r="D420" s="5">
        <f>VLOOKUP(C420,'Sheet7'!$B:$C,2,0)</f>
      </c>
      <c r="E420" s="5"/>
      <c r="F420" s="6">
        <v>478000</v>
      </c>
      <c r="G420" s="7">
        <v>478000</v>
      </c>
      <c r="H420" s="7">
        <v>488000</v>
      </c>
      <c r="I420" s="7">
        <v>488000</v>
      </c>
      <c r="J420" s="9" t="str">
        <v>Giá không đổi</v>
      </c>
      <c r="K420" s="4">
        <f>G420-F420</f>
      </c>
      <c r="L420" s="4">
        <v>184</v>
      </c>
      <c r="M420" s="4">
        <v>952</v>
      </c>
      <c r="N420" s="4" t="str" xml:space="preserve">
        <v>+10.000 VNĐ 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5" t="str">
        <v>36 N1 BD</v>
      </c>
      <c r="B421" s="5">
        <f>VLOOKUP(A421,'Sheet10'!$A:$C,3,0)</f>
      </c>
      <c r="C421" s="5" t="str">
        <v>Uốn/ Nhuộm thiết kế phục hồi 2025</v>
      </c>
      <c r="D421" s="5"/>
      <c r="E421" s="5"/>
      <c r="F421" s="6">
        <v>1199000</v>
      </c>
      <c r="G421" s="7">
        <v>1199000</v>
      </c>
      <c r="H421" s="7">
        <v>1199000</v>
      </c>
      <c r="I421" s="7">
        <v>1199000</v>
      </c>
      <c r="J421" s="9" t="str">
        <v>Giá không đổi</v>
      </c>
      <c r="K421" s="4">
        <f>G421-F421</f>
      </c>
      <c r="L421" s="4">
        <v>184</v>
      </c>
      <c r="M421" s="4">
        <v>1193</v>
      </c>
      <c r="N421" s="4" t="str">
        <v>Không đổi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5" t="str">
        <v>362 NGT BN</v>
      </c>
      <c r="B422" s="5">
        <f>VLOOKUP(A422,'Sheet10'!$A:$C,3,0)</f>
      </c>
      <c r="C422" s="5" t="str">
        <v>(2022T) ATS Control Buffer - Khử mùi tạo thơm cho tóc uốn nhuộm 40k</v>
      </c>
      <c r="D422" s="5">
        <v>610</v>
      </c>
      <c r="E422" s="5"/>
      <c r="F422" s="6">
        <v>40000</v>
      </c>
      <c r="G422" s="7">
        <v>40000</v>
      </c>
      <c r="H422" s="7">
        <v>40000</v>
      </c>
      <c r="I422" s="7">
        <v>40000</v>
      </c>
      <c r="J422" s="9" t="str">
        <v>Giá không đổi</v>
      </c>
      <c r="K422" s="4">
        <f>G422-F422</f>
      </c>
      <c r="L422" s="4">
        <v>302</v>
      </c>
      <c r="M422" s="4">
        <v>610</v>
      </c>
      <c r="N422" s="4" t="str">
        <v>Không đổi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5" t="str">
        <v>362 NGT BN</v>
      </c>
      <c r="B423" s="5">
        <f>VLOOKUP(A423,'Sheet10'!$A:$C,3,0)</f>
      </c>
      <c r="C423" s="5" t="str">
        <v>(NEW) Nhuộm màu thời trang Milano</v>
      </c>
      <c r="D423" s="5">
        <v>960</v>
      </c>
      <c r="E423" s="5">
        <f>A423&amp;D423</f>
      </c>
      <c r="F423" s="6">
        <v>332000</v>
      </c>
      <c r="G423" s="8">
        <v>366000</v>
      </c>
      <c r="H423" s="8">
        <v>366000</v>
      </c>
      <c r="I423" s="8">
        <v>366000</v>
      </c>
      <c r="J423" s="3" t="str">
        <v>Điều chỉnh giá</v>
      </c>
      <c r="K423" s="4">
        <f>G423-F423</f>
      </c>
      <c r="L423" s="4">
        <v>302</v>
      </c>
      <c r="M423" s="4">
        <v>960</v>
      </c>
      <c r="N423" s="4" t="str">
        <v>Không đổi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5" t="str">
        <v>362 NGT BN</v>
      </c>
      <c r="B424" s="5">
        <f>VLOOKUP(A424,'Sheet10'!$A:$C,3,0)</f>
      </c>
      <c r="C424" s="5" t="str">
        <v>(NEW) Nhuộm phủ bạc tiêu chuẩn 199K</v>
      </c>
      <c r="D424" s="5">
        <v>967</v>
      </c>
      <c r="E424" s="5"/>
      <c r="F424" s="6">
        <v>199000</v>
      </c>
      <c r="G424" s="8">
        <v>227000</v>
      </c>
      <c r="H424" s="8">
        <v>227000</v>
      </c>
      <c r="I424" s="8">
        <v>227000</v>
      </c>
      <c r="J424" s="3" t="str">
        <v>Điều chỉnh giá</v>
      </c>
      <c r="K424" s="4">
        <f>G424-F424</f>
      </c>
      <c r="L424" s="4">
        <v>302</v>
      </c>
      <c r="M424" s="4">
        <v>967</v>
      </c>
      <c r="N424" s="4" t="str">
        <v>Không đổi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5" t="str">
        <v>362 NGT BN</v>
      </c>
      <c r="B425" s="5">
        <f>VLOOKUP(A425,'Sheet10'!$A:$C,3,0)</f>
      </c>
      <c r="C425" s="5" t="str">
        <v>(NEW) Uốn/Duỗi/Định hình full đầu tạo form vào nếp tự nhiên</v>
      </c>
      <c r="D425" s="5">
        <f>VLOOKUP(C425,'Sheet7'!$B:$C,2,0)</f>
      </c>
      <c r="E425" s="5">
        <f>A425&amp;D425</f>
      </c>
      <c r="F425" s="6">
        <v>386000</v>
      </c>
      <c r="G425" s="7">
        <v>386000</v>
      </c>
      <c r="H425" s="7">
        <v>396000</v>
      </c>
      <c r="I425" s="7">
        <v>396000</v>
      </c>
      <c r="J425" s="9" t="str">
        <v>Giá không đổi</v>
      </c>
      <c r="K425" s="4">
        <f>G425-F425</f>
      </c>
      <c r="L425" s="4">
        <v>302</v>
      </c>
      <c r="M425" s="4">
        <v>1009</v>
      </c>
      <c r="N425" s="4" t="str" xml:space="preserve">
        <v>+10.000 VNĐ 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5" t="str">
        <v>362 NGT BN</v>
      </c>
      <c r="B426" s="5">
        <f>VLOOKUP(A426,'Sheet10'!$A:$C,3,0)</f>
      </c>
      <c r="C426" s="5" t="str">
        <v>[DV] Nhuộm đen phủ bạc R&amp;B thảo dược</v>
      </c>
      <c r="D426" s="5">
        <v>912</v>
      </c>
      <c r="E426" s="5"/>
      <c r="F426" s="6">
        <v>289000</v>
      </c>
      <c r="G426" s="8">
        <v>329000</v>
      </c>
      <c r="H426" s="8">
        <v>329000</v>
      </c>
      <c r="I426" s="8">
        <v>329000</v>
      </c>
      <c r="J426" s="3" t="str">
        <v>Điều chỉnh giá</v>
      </c>
      <c r="K426" s="4">
        <f>G426-F426</f>
      </c>
      <c r="L426" s="4">
        <v>302</v>
      </c>
      <c r="M426" s="4">
        <v>912</v>
      </c>
      <c r="N426" s="4" t="str">
        <v>Không đổi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5" t="str">
        <v>362 NGT BN</v>
      </c>
      <c r="B427" s="5">
        <f>VLOOKUP(A427,'Sheet10'!$A:$C,3,0)</f>
      </c>
      <c r="C427" s="5" t="str">
        <v>[DV] Tẩy tóc bật tông Ý (1 lần)</v>
      </c>
      <c r="D427" s="5">
        <v>915</v>
      </c>
      <c r="E427" s="5"/>
      <c r="F427" s="6">
        <v>252000</v>
      </c>
      <c r="G427" s="8">
        <v>259000</v>
      </c>
      <c r="H427" s="8">
        <v>259000</v>
      </c>
      <c r="I427" s="8">
        <v>259000</v>
      </c>
      <c r="J427" s="3" t="str">
        <v>Điều chỉnh giá</v>
      </c>
      <c r="K427" s="4">
        <f>G427-F427</f>
      </c>
      <c r="L427" s="4">
        <v>302</v>
      </c>
      <c r="M427" s="4">
        <v>915</v>
      </c>
      <c r="N427" s="4" t="str">
        <v>Không đổi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5" t="str">
        <v>362 NGT BN</v>
      </c>
      <c r="B428" s="5">
        <f>VLOOKUP(A428,'Sheet10'!$A:$C,3,0)</f>
      </c>
      <c r="C428" s="5" t="str">
        <v>[DV] Tẩy tóc bật tông Ý (2 lần) 500k</v>
      </c>
      <c r="D428" s="5">
        <v>916</v>
      </c>
      <c r="E428" s="5"/>
      <c r="F428" s="6">
        <v>500000</v>
      </c>
      <c r="G428" s="8">
        <v>514000</v>
      </c>
      <c r="H428" s="8">
        <v>514000</v>
      </c>
      <c r="I428" s="8">
        <v>514000</v>
      </c>
      <c r="J428" s="3" t="str">
        <v>Điều chỉnh giá</v>
      </c>
      <c r="K428" s="4">
        <f>G428-F428</f>
      </c>
      <c r="L428" s="4">
        <v>302</v>
      </c>
      <c r="M428" s="4">
        <v>916</v>
      </c>
      <c r="N428" s="4" t="str">
        <v>Không đổi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5" t="str">
        <v>362 NGT BN</v>
      </c>
      <c r="B429" s="5">
        <f>VLOOKUP(A429,'Sheet10'!$A:$C,3,0)</f>
      </c>
      <c r="C429" s="5" t="str">
        <v>[DV] Uốn Texture con sâu/Uốn Ruffled</v>
      </c>
      <c r="D429" s="5">
        <f>VLOOKUP(C429,'Sheet7'!$B:$C,2,0)</f>
      </c>
      <c r="E429" s="5"/>
      <c r="F429" s="6">
        <v>499000</v>
      </c>
      <c r="G429" s="8">
        <v>550000</v>
      </c>
      <c r="H429" s="7">
        <v>560000</v>
      </c>
      <c r="I429" s="7">
        <v>560000</v>
      </c>
      <c r="J429" s="3" t="str">
        <v>Điều chỉnh giá</v>
      </c>
      <c r="K429" s="4">
        <f>G429-F429</f>
      </c>
      <c r="L429" s="4">
        <v>302</v>
      </c>
      <c r="M429" s="4">
        <v>674</v>
      </c>
      <c r="N429" s="4" t="str" xml:space="preserve">
        <v>+10.000 VNĐ 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5" t="str">
        <v>362 NGT BN</v>
      </c>
      <c r="B430" s="5">
        <f>VLOOKUP(A430,'Sheet10'!$A:$C,3,0)</f>
      </c>
      <c r="C430" s="5" t="str">
        <v>[DV] Ép side hai bên</v>
      </c>
      <c r="D430" s="5">
        <f>VLOOKUP(C430,'Sheet7'!$B:$C,2,0)</f>
      </c>
      <c r="E430" s="5"/>
      <c r="F430" s="6">
        <v>189000</v>
      </c>
      <c r="G430" s="8">
        <v>216000</v>
      </c>
      <c r="H430" s="7">
        <v>226000</v>
      </c>
      <c r="I430" s="7">
        <v>226000</v>
      </c>
      <c r="J430" s="3" t="str">
        <v>Điều chỉnh giá</v>
      </c>
      <c r="K430" s="4">
        <f>G430-F430</f>
      </c>
      <c r="L430" s="4">
        <v>302</v>
      </c>
      <c r="M430" s="4">
        <v>902</v>
      </c>
      <c r="N430" s="4" t="str" xml:space="preserve">
        <v>+10.000 VNĐ 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5" t="str">
        <v>362 NGT BN</v>
      </c>
      <c r="B431" s="5">
        <f>VLOOKUP(A431,'Sheet10'!$A:$C,3,0)</f>
      </c>
      <c r="C431" s="5" t="str">
        <v>NHUỘM THIẾT KẾ PHỤC HỒI CHUYÊN SÂU LIPID BOND 2025</v>
      </c>
      <c r="D431" s="5">
        <v>1149</v>
      </c>
      <c r="E431" s="5"/>
      <c r="F431" s="6">
        <v>689000</v>
      </c>
      <c r="G431" s="8">
        <v>759000</v>
      </c>
      <c r="H431" s="8">
        <v>759000</v>
      </c>
      <c r="I431" s="8">
        <v>759000</v>
      </c>
      <c r="J431" s="3" t="str">
        <v>Điều chỉnh giá</v>
      </c>
      <c r="K431" s="4">
        <f>G431-F431</f>
      </c>
      <c r="L431" s="4">
        <v>302</v>
      </c>
      <c r="M431" s="4">
        <v>1149</v>
      </c>
      <c r="N431" s="4" t="str">
        <v>Không đổi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5" t="str">
        <v>362 NGT BN</v>
      </c>
      <c r="B432" s="5">
        <f>VLOOKUP(A432,'Sheet10'!$A:$C,3,0)</f>
      </c>
      <c r="C432" s="5" t="str">
        <v>Phục hồi trẻ hóa Lipid Bond</v>
      </c>
      <c r="D432" s="5">
        <v>1101</v>
      </c>
      <c r="E432" s="5"/>
      <c r="F432" s="6">
        <v>132000</v>
      </c>
      <c r="G432" s="8">
        <v>146000</v>
      </c>
      <c r="H432" s="8">
        <v>146000</v>
      </c>
      <c r="I432" s="8">
        <v>146000</v>
      </c>
      <c r="J432" s="3" t="str">
        <v>Điều chỉnh giá</v>
      </c>
      <c r="K432" s="4">
        <f>G432-F432</f>
      </c>
      <c r="L432" s="4">
        <v>302</v>
      </c>
      <c r="M432" s="4">
        <v>1101</v>
      </c>
      <c r="N432" s="4" t="str">
        <v>Không đổi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5" t="str">
        <v>362 NGT BN</v>
      </c>
      <c r="B433" s="5">
        <f>VLOOKUP(A433,'Sheet10'!$A:$C,3,0)</f>
      </c>
      <c r="C433" s="5" t="str">
        <v>UỐN THIẾT KẾ PHỤC HỒI CHUYÊN SÂU LIPID BOND 2025</v>
      </c>
      <c r="D433" s="5">
        <f>VLOOKUP(C433,'Sheet7'!$B:$C,2,0)</f>
      </c>
      <c r="E433" s="5"/>
      <c r="F433" s="6">
        <v>689000</v>
      </c>
      <c r="G433" s="7">
        <v>689000</v>
      </c>
      <c r="H433" s="7">
        <v>699000</v>
      </c>
      <c r="I433" s="7">
        <v>699000</v>
      </c>
      <c r="J433" s="9" t="str">
        <v>Giá không đổi</v>
      </c>
      <c r="K433" s="4">
        <f>G433-F433</f>
      </c>
      <c r="L433" s="4">
        <v>302</v>
      </c>
      <c r="M433" s="4">
        <v>1148</v>
      </c>
      <c r="N433" s="4" t="str" xml:space="preserve">
        <v>+10.000 VNĐ 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5" t="str">
        <v>362 NGT BN</v>
      </c>
      <c r="B434" s="5">
        <f>VLOOKUP(A434,'Sheet10'!$A:$C,3,0)</f>
      </c>
      <c r="C434" s="5" t="str">
        <v>Uốn định hình nếp tóc cao cấp (K-Perm Collection)</v>
      </c>
      <c r="D434" s="5">
        <f>VLOOKUP(C434,'Sheet7'!$B:$C,2,0)</f>
      </c>
      <c r="E434" s="5"/>
      <c r="F434" s="6">
        <v>478000</v>
      </c>
      <c r="G434" s="7">
        <v>478000</v>
      </c>
      <c r="H434" s="7">
        <v>488000</v>
      </c>
      <c r="I434" s="7">
        <v>488000</v>
      </c>
      <c r="J434" s="9" t="str">
        <v>Giá không đổi</v>
      </c>
      <c r="K434" s="4">
        <f>G434-F434</f>
      </c>
      <c r="L434" s="4">
        <v>302</v>
      </c>
      <c r="M434" s="4">
        <v>952</v>
      </c>
      <c r="N434" s="4" t="str" xml:space="preserve">
        <v>+10.000 VNĐ 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5" t="str">
        <v>363 LNQ TN</v>
      </c>
      <c r="B435" s="5">
        <f>VLOOKUP(A435,'Sheet10'!$A:$C,3,0)</f>
      </c>
      <c r="C435" s="5" t="str">
        <v>(2022T) ATS Control Buffer - Khử mùi tạo thơm cho tóc uốn nhuộm 40k</v>
      </c>
      <c r="D435" s="5">
        <v>610</v>
      </c>
      <c r="E435" s="5"/>
      <c r="F435" s="6">
        <v>40000</v>
      </c>
      <c r="G435" s="7">
        <v>40000</v>
      </c>
      <c r="H435" s="7">
        <v>40000</v>
      </c>
      <c r="I435" s="7">
        <v>40000</v>
      </c>
      <c r="J435" s="9" t="str">
        <v>Giá không đổi</v>
      </c>
      <c r="K435" s="4">
        <f>G435-F435</f>
      </c>
      <c r="L435" s="4">
        <v>85</v>
      </c>
      <c r="M435" s="4">
        <v>610</v>
      </c>
      <c r="N435" s="4" t="str">
        <v>Không đổi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5" t="str">
        <v>363 LNQ TN</v>
      </c>
      <c r="B436" s="5">
        <f>VLOOKUP(A436,'Sheet10'!$A:$C,3,0)</f>
      </c>
      <c r="C436" s="5" t="str">
        <v>(NEW) Nhuộm màu thời trang Milano</v>
      </c>
      <c r="D436" s="5">
        <v>960</v>
      </c>
      <c r="E436" s="5">
        <f>A436&amp;D436</f>
      </c>
      <c r="F436" s="6">
        <v>332000</v>
      </c>
      <c r="G436" s="8">
        <v>366000</v>
      </c>
      <c r="H436" s="8">
        <v>366000</v>
      </c>
      <c r="I436" s="8">
        <v>366000</v>
      </c>
      <c r="J436" s="3" t="str">
        <v>Điều chỉnh giá</v>
      </c>
      <c r="K436" s="4">
        <f>G436-F436</f>
      </c>
      <c r="L436" s="4">
        <v>85</v>
      </c>
      <c r="M436" s="4">
        <v>960</v>
      </c>
      <c r="N436" s="4" t="str">
        <v>Không đổi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5" t="str">
        <v>363 LNQ TN</v>
      </c>
      <c r="B437" s="5">
        <f>VLOOKUP(A437,'Sheet10'!$A:$C,3,0)</f>
      </c>
      <c r="C437" s="5" t="str">
        <v>(NEW) Nhuộm phủ bạc tiêu chuẩn 199K</v>
      </c>
      <c r="D437" s="5">
        <v>967</v>
      </c>
      <c r="E437" s="5"/>
      <c r="F437" s="6">
        <v>199000</v>
      </c>
      <c r="G437" s="8">
        <v>202000</v>
      </c>
      <c r="H437" s="8">
        <v>202000</v>
      </c>
      <c r="I437" s="8">
        <v>202000</v>
      </c>
      <c r="J437" s="3" t="str">
        <v>Điều chỉnh giá</v>
      </c>
      <c r="K437" s="4">
        <f>G437-F437</f>
      </c>
      <c r="L437" s="4">
        <v>85</v>
      </c>
      <c r="M437" s="4">
        <v>967</v>
      </c>
      <c r="N437" s="4" t="str">
        <v>Không đổi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5" t="str">
        <v>363 LNQ TN</v>
      </c>
      <c r="B438" s="5">
        <f>VLOOKUP(A438,'Sheet10'!$A:$C,3,0)</f>
      </c>
      <c r="C438" s="5" t="str">
        <v>(NEW) Uốn/Duỗi/Định hình full đầu tạo form vào nếp tự nhiên</v>
      </c>
      <c r="D438" s="5">
        <f>VLOOKUP(C438,'Sheet7'!$B:$C,2,0)</f>
      </c>
      <c r="E438" s="5">
        <f>A438&amp;D438</f>
      </c>
      <c r="F438" s="6">
        <v>386000</v>
      </c>
      <c r="G438" s="8">
        <v>406000</v>
      </c>
      <c r="H438" s="7">
        <v>416000</v>
      </c>
      <c r="I438" s="7">
        <v>416000</v>
      </c>
      <c r="J438" s="3" t="str">
        <v>Điều chỉnh giá</v>
      </c>
      <c r="K438" s="4">
        <f>G438-F438</f>
      </c>
      <c r="L438" s="4">
        <v>85</v>
      </c>
      <c r="M438" s="4">
        <v>1009</v>
      </c>
      <c r="N438" s="4" t="str" xml:space="preserve">
        <v>+10.000 VNĐ 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5" t="str">
        <v>363 LNQ TN</v>
      </c>
      <c r="B439" s="5">
        <f>VLOOKUP(A439,'Sheet10'!$A:$C,3,0)</f>
      </c>
      <c r="C439" s="5" t="str">
        <v>[DV] Nhuộm đen phủ bạc R&amp;B thảo dược</v>
      </c>
      <c r="D439" s="5">
        <v>912</v>
      </c>
      <c r="E439" s="5"/>
      <c r="F439" s="6">
        <v>289000</v>
      </c>
      <c r="G439" s="8">
        <v>293000</v>
      </c>
      <c r="H439" s="8">
        <v>293000</v>
      </c>
      <c r="I439" s="8">
        <v>293000</v>
      </c>
      <c r="J439" s="3" t="str">
        <v>Điều chỉnh giá</v>
      </c>
      <c r="K439" s="4">
        <f>G439-F439</f>
      </c>
      <c r="L439" s="4">
        <v>85</v>
      </c>
      <c r="M439" s="4">
        <v>912</v>
      </c>
      <c r="N439" s="4" t="str">
        <v>Không đổi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5" t="str">
        <v>363 LNQ TN</v>
      </c>
      <c r="B440" s="5">
        <f>VLOOKUP(A440,'Sheet10'!$A:$C,3,0)</f>
      </c>
      <c r="C440" s="5" t="str">
        <v>[DV] Tẩy tóc bật tông Ý (1 lần)</v>
      </c>
      <c r="D440" s="5">
        <v>915</v>
      </c>
      <c r="E440" s="5"/>
      <c r="F440" s="6">
        <v>252000</v>
      </c>
      <c r="G440" s="7">
        <v>252000</v>
      </c>
      <c r="H440" s="7">
        <v>252000</v>
      </c>
      <c r="I440" s="7">
        <v>252000</v>
      </c>
      <c r="J440" s="9" t="str">
        <v>Giá không đổi</v>
      </c>
      <c r="K440" s="4">
        <f>G440-F440</f>
      </c>
      <c r="L440" s="4">
        <v>85</v>
      </c>
      <c r="M440" s="4">
        <v>915</v>
      </c>
      <c r="N440" s="4" t="str">
        <v>Không đổi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5" t="str">
        <v>363 LNQ TN</v>
      </c>
      <c r="B441" s="5">
        <f>VLOOKUP(A441,'Sheet10'!$A:$C,3,0)</f>
      </c>
      <c r="C441" s="5" t="str">
        <v>[DV] Tẩy tóc bật tông Ý (2 lần) 500k</v>
      </c>
      <c r="D441" s="5">
        <v>916</v>
      </c>
      <c r="E441" s="5"/>
      <c r="F441" s="6">
        <v>500000</v>
      </c>
      <c r="G441" s="7">
        <v>500000</v>
      </c>
      <c r="H441" s="7">
        <v>500000</v>
      </c>
      <c r="I441" s="7">
        <v>500000</v>
      </c>
      <c r="J441" s="9" t="str">
        <v>Giá không đổi</v>
      </c>
      <c r="K441" s="4">
        <f>G441-F441</f>
      </c>
      <c r="L441" s="4">
        <v>85</v>
      </c>
      <c r="M441" s="4">
        <v>916</v>
      </c>
      <c r="N441" s="4" t="str">
        <v>Không đổi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5" t="str">
        <v>363 LNQ TN</v>
      </c>
      <c r="B442" s="5">
        <f>VLOOKUP(A442,'Sheet10'!$A:$C,3,0)</f>
      </c>
      <c r="C442" s="5" t="str">
        <v>[DV] Uốn Texture con sâu/Uốn Ruffled</v>
      </c>
      <c r="D442" s="5">
        <f>VLOOKUP(C442,'Sheet7'!$B:$C,2,0)</f>
      </c>
      <c r="E442" s="5"/>
      <c r="F442" s="6">
        <v>499000</v>
      </c>
      <c r="G442" s="8">
        <v>550000</v>
      </c>
      <c r="H442" s="7">
        <v>560000</v>
      </c>
      <c r="I442" s="7">
        <v>560000</v>
      </c>
      <c r="J442" s="3" t="str">
        <v>Điều chỉnh giá</v>
      </c>
      <c r="K442" s="4">
        <f>G442-F442</f>
      </c>
      <c r="L442" s="4">
        <v>85</v>
      </c>
      <c r="M442" s="4">
        <v>674</v>
      </c>
      <c r="N442" s="4" t="str" xml:space="preserve">
        <v>+10.000 VNĐ 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5" t="str">
        <v>363 LNQ TN</v>
      </c>
      <c r="B443" s="5">
        <f>VLOOKUP(A443,'Sheet10'!$A:$C,3,0)</f>
      </c>
      <c r="C443" s="5" t="str">
        <v>[DV] Ép side hai bên</v>
      </c>
      <c r="D443" s="5">
        <f>VLOOKUP(C443,'Sheet7'!$B:$C,2,0)</f>
      </c>
      <c r="E443" s="5"/>
      <c r="F443" s="6">
        <v>189000</v>
      </c>
      <c r="G443" s="8">
        <v>209000</v>
      </c>
      <c r="H443" s="7">
        <v>219000</v>
      </c>
      <c r="I443" s="7">
        <v>219000</v>
      </c>
      <c r="J443" s="3" t="str">
        <v>Điều chỉnh giá</v>
      </c>
      <c r="K443" s="4">
        <f>G443-F443</f>
      </c>
      <c r="L443" s="4">
        <v>85</v>
      </c>
      <c r="M443" s="4">
        <v>902</v>
      </c>
      <c r="N443" s="4" t="str" xml:space="preserve">
        <v>+10.000 VNĐ 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5" t="str">
        <v>363 LNQ TN</v>
      </c>
      <c r="B444" s="5">
        <f>VLOOKUP(A444,'Sheet10'!$A:$C,3,0)</f>
      </c>
      <c r="C444" s="5" t="str">
        <v>NHUỘM THIẾT KẾ PHỤC HỒI CHUYÊN SÂU LIPID BOND 2025</v>
      </c>
      <c r="D444" s="5">
        <v>1149</v>
      </c>
      <c r="E444" s="5"/>
      <c r="F444" s="6">
        <v>689000</v>
      </c>
      <c r="G444" s="8">
        <v>759000</v>
      </c>
      <c r="H444" s="8">
        <v>759000</v>
      </c>
      <c r="I444" s="8">
        <v>759000</v>
      </c>
      <c r="J444" s="3" t="str">
        <v>Điều chỉnh giá</v>
      </c>
      <c r="K444" s="4">
        <f>G444-F444</f>
      </c>
      <c r="L444" s="4">
        <v>85</v>
      </c>
      <c r="M444" s="4">
        <v>1149</v>
      </c>
      <c r="N444" s="4" t="str">
        <v>Không đổi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5" t="str">
        <v>363 LNQ TN</v>
      </c>
      <c r="B445" s="5">
        <f>VLOOKUP(A445,'Sheet10'!$A:$C,3,0)</f>
      </c>
      <c r="C445" s="5" t="str">
        <v>Phục hồi trẻ hóa Lipid Bond</v>
      </c>
      <c r="D445" s="5">
        <v>1101</v>
      </c>
      <c r="E445" s="5"/>
      <c r="F445" s="6">
        <v>132000</v>
      </c>
      <c r="G445" s="8">
        <v>146000</v>
      </c>
      <c r="H445" s="8">
        <v>146000</v>
      </c>
      <c r="I445" s="8">
        <v>146000</v>
      </c>
      <c r="J445" s="3" t="str">
        <v>Điều chỉnh giá</v>
      </c>
      <c r="K445" s="4">
        <f>G445-F445</f>
      </c>
      <c r="L445" s="4">
        <v>85</v>
      </c>
      <c r="M445" s="4">
        <v>1101</v>
      </c>
      <c r="N445" s="4" t="str">
        <v>Không đổi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5" t="str">
        <v>363 LNQ TN</v>
      </c>
      <c r="B446" s="5">
        <f>VLOOKUP(A446,'Sheet10'!$A:$C,3,0)</f>
      </c>
      <c r="C446" s="5" t="str">
        <v>UỐN THIẾT KẾ PHỤC HỒI CHUYÊN SÂU LIPID BOND 2025</v>
      </c>
      <c r="D446" s="5">
        <f>VLOOKUP(C446,'Sheet7'!$B:$C,2,0)</f>
      </c>
      <c r="E446" s="5"/>
      <c r="F446" s="6">
        <v>689000</v>
      </c>
      <c r="G446" s="8">
        <v>719000</v>
      </c>
      <c r="H446" s="7">
        <v>729000</v>
      </c>
      <c r="I446" s="7">
        <v>729000</v>
      </c>
      <c r="J446" s="3" t="str">
        <v>Điều chỉnh giá</v>
      </c>
      <c r="K446" s="4">
        <f>G446-F446</f>
      </c>
      <c r="L446" s="4">
        <v>85</v>
      </c>
      <c r="M446" s="4">
        <v>1148</v>
      </c>
      <c r="N446" s="4" t="str" xml:space="preserve">
        <v>+10.000 VNĐ 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5" t="str">
        <v>363 LNQ TN</v>
      </c>
      <c r="B447" s="5">
        <f>VLOOKUP(A447,'Sheet10'!$A:$C,3,0)</f>
      </c>
      <c r="C447" s="5" t="str">
        <v>Uốn định hình nếp tóc cao cấp (K-Perm Collection)</v>
      </c>
      <c r="D447" s="5">
        <f>VLOOKUP(C447,'Sheet7'!$B:$C,2,0)</f>
      </c>
      <c r="E447" s="5"/>
      <c r="F447" s="6">
        <v>478000</v>
      </c>
      <c r="G447" s="8">
        <v>502000</v>
      </c>
      <c r="H447" s="7">
        <v>512000</v>
      </c>
      <c r="I447" s="7">
        <v>512000</v>
      </c>
      <c r="J447" s="3" t="str">
        <v>Điều chỉnh giá</v>
      </c>
      <c r="K447" s="4">
        <f>G447-F447</f>
      </c>
      <c r="L447" s="4">
        <v>85</v>
      </c>
      <c r="M447" s="4">
        <v>952</v>
      </c>
      <c r="N447" s="4" t="str" xml:space="preserve">
        <v>+10.000 VNĐ 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5" t="str">
        <v>382 NT</v>
      </c>
      <c r="B448" s="5">
        <f>VLOOKUP(A448,'Sheet10'!$A:$C,3,0)</f>
      </c>
      <c r="C448" s="5" t="str">
        <v>(2022T) ATS Control Buffer - Khử mùi tạo thơm cho tóc uốn nhuộm 40k</v>
      </c>
      <c r="D448" s="5">
        <v>610</v>
      </c>
      <c r="E448" s="5"/>
      <c r="F448" s="6">
        <v>40000</v>
      </c>
      <c r="G448" s="7">
        <v>40000</v>
      </c>
      <c r="H448" s="7">
        <v>40000</v>
      </c>
      <c r="I448" s="7">
        <v>40000</v>
      </c>
      <c r="J448" s="9" t="str">
        <v>Giá không đổi</v>
      </c>
      <c r="K448" s="4">
        <f>G448-F448</f>
      </c>
      <c r="L448" s="4">
        <v>20</v>
      </c>
      <c r="M448" s="4">
        <v>610</v>
      </c>
      <c r="N448" s="4" t="str">
        <v>Không đổi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5" t="str">
        <v>382 NT</v>
      </c>
      <c r="B449" s="5">
        <f>VLOOKUP(A449,'Sheet10'!$A:$C,3,0)</f>
      </c>
      <c r="C449" s="5" t="str">
        <v>(NEW) Nhuộm màu thời trang Milano</v>
      </c>
      <c r="D449" s="5">
        <v>960</v>
      </c>
      <c r="E449" s="5">
        <f>A449&amp;D449</f>
      </c>
      <c r="F449" s="6">
        <v>332000</v>
      </c>
      <c r="G449" s="8">
        <v>369000</v>
      </c>
      <c r="H449" s="8">
        <v>369000</v>
      </c>
      <c r="I449" s="8">
        <v>369000</v>
      </c>
      <c r="J449" s="3" t="str">
        <v>Điều chỉnh giá</v>
      </c>
      <c r="K449" s="4">
        <f>G449-F449</f>
      </c>
      <c r="L449" s="4">
        <v>20</v>
      </c>
      <c r="M449" s="4">
        <v>960</v>
      </c>
      <c r="N449" s="4" t="str">
        <v>Không đổi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5" t="str">
        <v>382 NT</v>
      </c>
      <c r="B450" s="5">
        <f>VLOOKUP(A450,'Sheet10'!$A:$C,3,0)</f>
      </c>
      <c r="C450" s="5" t="str">
        <v>(NEW) Nhuộm phủ bạc tiêu chuẩn 199K</v>
      </c>
      <c r="D450" s="5">
        <v>967</v>
      </c>
      <c r="E450" s="5"/>
      <c r="F450" s="6">
        <v>199000</v>
      </c>
      <c r="G450" s="8">
        <v>207000</v>
      </c>
      <c r="H450" s="8">
        <v>207000</v>
      </c>
      <c r="I450" s="8">
        <v>207000</v>
      </c>
      <c r="J450" s="3" t="str">
        <v>Điều chỉnh giá</v>
      </c>
      <c r="K450" s="4">
        <f>G450-F450</f>
      </c>
      <c r="L450" s="4">
        <v>20</v>
      </c>
      <c r="M450" s="4">
        <v>967</v>
      </c>
      <c r="N450" s="4" t="str">
        <v>Không đổi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5" t="str">
        <v>382 NT</v>
      </c>
      <c r="B451" s="5">
        <f>VLOOKUP(A451,'Sheet10'!$A:$C,3,0)</f>
      </c>
      <c r="C451" s="5" t="str">
        <v>(NEW) Uốn/Duỗi/Định hình full đầu tạo form vào nếp tự nhiên</v>
      </c>
      <c r="D451" s="5">
        <f>VLOOKUP(C451,'Sheet7'!$B:$C,2,0)</f>
      </c>
      <c r="E451" s="5">
        <f>A451&amp;D451</f>
      </c>
      <c r="F451" s="6">
        <v>386000</v>
      </c>
      <c r="G451" s="7">
        <v>386000</v>
      </c>
      <c r="H451" s="7">
        <v>396000</v>
      </c>
      <c r="I451" s="7">
        <v>396000</v>
      </c>
      <c r="J451" s="9" t="str">
        <v>Giá không đổi</v>
      </c>
      <c r="K451" s="4">
        <f>G451-F451</f>
      </c>
      <c r="L451" s="4">
        <v>20</v>
      </c>
      <c r="M451" s="4">
        <v>1009</v>
      </c>
      <c r="N451" s="4" t="str" xml:space="preserve">
        <v>+10.000 VNĐ 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5" t="str">
        <v>382 NT</v>
      </c>
      <c r="B452" s="5">
        <f>VLOOKUP(A452,'Sheet10'!$A:$C,3,0)</f>
      </c>
      <c r="C452" s="5" t="str">
        <v>[DV] Nhuộm đen phủ bạc R&amp;B thảo dược</v>
      </c>
      <c r="D452" s="5">
        <v>912</v>
      </c>
      <c r="E452" s="5"/>
      <c r="F452" s="6">
        <v>289000</v>
      </c>
      <c r="G452" s="8">
        <v>299000</v>
      </c>
      <c r="H452" s="8">
        <v>299000</v>
      </c>
      <c r="I452" s="8">
        <v>299000</v>
      </c>
      <c r="J452" s="3" t="str">
        <v>Điều chỉnh giá</v>
      </c>
      <c r="K452" s="4">
        <f>G452-F452</f>
      </c>
      <c r="L452" s="4">
        <v>20</v>
      </c>
      <c r="M452" s="4">
        <v>912</v>
      </c>
      <c r="N452" s="4" t="str">
        <v>Không đổi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5" t="str">
        <v>382 NT</v>
      </c>
      <c r="B453" s="5">
        <f>VLOOKUP(A453,'Sheet10'!$A:$C,3,0)</f>
      </c>
      <c r="C453" s="5" t="str">
        <v>[DV] Tẩy tóc bật tông Ý (1 lần)</v>
      </c>
      <c r="D453" s="5">
        <v>915</v>
      </c>
      <c r="E453" s="5"/>
      <c r="F453" s="6">
        <v>252000</v>
      </c>
      <c r="G453" s="8">
        <v>269000</v>
      </c>
      <c r="H453" s="8">
        <v>269000</v>
      </c>
      <c r="I453" s="8">
        <v>269000</v>
      </c>
      <c r="J453" s="3" t="str">
        <v>Điều chỉnh giá</v>
      </c>
      <c r="K453" s="4">
        <f>G453-F453</f>
      </c>
      <c r="L453" s="4">
        <v>20</v>
      </c>
      <c r="M453" s="4">
        <v>915</v>
      </c>
      <c r="N453" s="4" t="str">
        <v>Không đổi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5" t="str">
        <v>382 NT</v>
      </c>
      <c r="B454" s="5">
        <f>VLOOKUP(A454,'Sheet10'!$A:$C,3,0)</f>
      </c>
      <c r="C454" s="5" t="str">
        <v>[DV] Tẩy tóc bật tông Ý (2 lần) 500k</v>
      </c>
      <c r="D454" s="5">
        <v>916</v>
      </c>
      <c r="E454" s="5"/>
      <c r="F454" s="6">
        <v>500000</v>
      </c>
      <c r="G454" s="8">
        <v>534000</v>
      </c>
      <c r="H454" s="8">
        <v>534000</v>
      </c>
      <c r="I454" s="8">
        <v>534000</v>
      </c>
      <c r="J454" s="3" t="str">
        <v>Điều chỉnh giá</v>
      </c>
      <c r="K454" s="4">
        <f>G454-F454</f>
      </c>
      <c r="L454" s="4">
        <v>20</v>
      </c>
      <c r="M454" s="4">
        <v>916</v>
      </c>
      <c r="N454" s="4" t="str">
        <v>Không đổi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5" t="str">
        <v>382 NT</v>
      </c>
      <c r="B455" s="5">
        <f>VLOOKUP(A455,'Sheet10'!$A:$C,3,0)</f>
      </c>
      <c r="C455" s="5" t="str">
        <v>[DV] Uốn Texture con sâu/Uốn Ruffled</v>
      </c>
      <c r="D455" s="5">
        <f>VLOOKUP(C455,'Sheet7'!$B:$C,2,0)</f>
      </c>
      <c r="E455" s="5"/>
      <c r="F455" s="6">
        <v>499000</v>
      </c>
      <c r="G455" s="8">
        <v>554000</v>
      </c>
      <c r="H455" s="7">
        <v>564000</v>
      </c>
      <c r="I455" s="7">
        <v>564000</v>
      </c>
      <c r="J455" s="3" t="str">
        <v>Điều chỉnh giá</v>
      </c>
      <c r="K455" s="4">
        <f>G455-F455</f>
      </c>
      <c r="L455" s="4">
        <v>20</v>
      </c>
      <c r="M455" s="4">
        <v>674</v>
      </c>
      <c r="N455" s="4" t="str" xml:space="preserve">
        <v>+10.000 VNĐ 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5" t="str">
        <v>382 NT</v>
      </c>
      <c r="B456" s="5">
        <f>VLOOKUP(A456,'Sheet10'!$A:$C,3,0)</f>
      </c>
      <c r="C456" s="5" t="str">
        <v>[DV] Ép side hai bên</v>
      </c>
      <c r="D456" s="5">
        <f>VLOOKUP(C456,'Sheet7'!$B:$C,2,0)</f>
      </c>
      <c r="E456" s="5"/>
      <c r="F456" s="6">
        <v>189000</v>
      </c>
      <c r="G456" s="8">
        <v>219000</v>
      </c>
      <c r="H456" s="7">
        <v>229000</v>
      </c>
      <c r="I456" s="7">
        <v>229000</v>
      </c>
      <c r="J456" s="3" t="str">
        <v>Điều chỉnh giá</v>
      </c>
      <c r="K456" s="4">
        <f>G456-F456</f>
      </c>
      <c r="L456" s="4">
        <v>20</v>
      </c>
      <c r="M456" s="4">
        <v>902</v>
      </c>
      <c r="N456" s="4" t="str" xml:space="preserve">
        <v>+10.000 VNĐ 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5" t="str">
        <v>382 NT</v>
      </c>
      <c r="B457" s="5">
        <f>VLOOKUP(A457,'Sheet10'!$A:$C,3,0)</f>
      </c>
      <c r="C457" s="5" t="str">
        <v>NHUỘM THIẾT KẾ PHỤC HỒI CHUYÊN SÂU LIPID BOND 2025</v>
      </c>
      <c r="D457" s="5">
        <v>1149</v>
      </c>
      <c r="E457" s="5"/>
      <c r="F457" s="6">
        <v>689000</v>
      </c>
      <c r="G457" s="8">
        <v>759000</v>
      </c>
      <c r="H457" s="8">
        <v>759000</v>
      </c>
      <c r="I457" s="8">
        <v>759000</v>
      </c>
      <c r="J457" s="3" t="str">
        <v>Điều chỉnh giá</v>
      </c>
      <c r="K457" s="4">
        <f>G457-F457</f>
      </c>
      <c r="L457" s="4">
        <v>20</v>
      </c>
      <c r="M457" s="4">
        <v>1149</v>
      </c>
      <c r="N457" s="4" t="str">
        <v>Không đổi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5" t="str">
        <v>382 NT</v>
      </c>
      <c r="B458" s="5">
        <f>VLOOKUP(A458,'Sheet10'!$A:$C,3,0)</f>
      </c>
      <c r="C458" s="5" t="str">
        <v>Phục hồi trẻ hóa Lipid Bond</v>
      </c>
      <c r="D458" s="5">
        <v>1101</v>
      </c>
      <c r="E458" s="5"/>
      <c r="F458" s="6">
        <v>132000</v>
      </c>
      <c r="G458" s="8">
        <v>146000</v>
      </c>
      <c r="H458" s="8">
        <v>146000</v>
      </c>
      <c r="I458" s="8">
        <v>146000</v>
      </c>
      <c r="J458" s="3" t="str">
        <v>Điều chỉnh giá</v>
      </c>
      <c r="K458" s="4">
        <f>G458-F458</f>
      </c>
      <c r="L458" s="4">
        <v>20</v>
      </c>
      <c r="M458" s="4">
        <v>1101</v>
      </c>
      <c r="N458" s="4" t="str">
        <v>Không đổi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5" t="str">
        <v>382 NT</v>
      </c>
      <c r="B459" s="5">
        <f>VLOOKUP(A459,'Sheet10'!$A:$C,3,0)</f>
      </c>
      <c r="C459" s="5" t="str">
        <v>UỐN THIẾT KẾ PHỤC HỒI CHUYÊN SÂU LIPID BOND 2025</v>
      </c>
      <c r="D459" s="5">
        <f>VLOOKUP(C459,'Sheet7'!$B:$C,2,0)</f>
      </c>
      <c r="E459" s="5"/>
      <c r="F459" s="6">
        <v>689000</v>
      </c>
      <c r="G459" s="7">
        <v>689000</v>
      </c>
      <c r="H459" s="7">
        <v>699000</v>
      </c>
      <c r="I459" s="7">
        <v>699000</v>
      </c>
      <c r="J459" s="9" t="str">
        <v>Giá không đổi</v>
      </c>
      <c r="K459" s="4">
        <f>G459-F459</f>
      </c>
      <c r="L459" s="4">
        <v>20</v>
      </c>
      <c r="M459" s="4">
        <v>1148</v>
      </c>
      <c r="N459" s="4" t="str" xml:space="preserve">
        <v>+10.000 VNĐ 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5" t="str">
        <v>382 NT</v>
      </c>
      <c r="B460" s="5">
        <f>VLOOKUP(A460,'Sheet10'!$A:$C,3,0)</f>
      </c>
      <c r="C460" s="5" t="str">
        <v>Uốn định hình nếp tóc cao cấp (K-Perm Collection)</v>
      </c>
      <c r="D460" s="5">
        <f>VLOOKUP(C460,'Sheet7'!$B:$C,2,0)</f>
      </c>
      <c r="E460" s="5"/>
      <c r="F460" s="6">
        <v>478000</v>
      </c>
      <c r="G460" s="7">
        <v>478000</v>
      </c>
      <c r="H460" s="7">
        <v>488000</v>
      </c>
      <c r="I460" s="7">
        <v>488000</v>
      </c>
      <c r="J460" s="9" t="str">
        <v>Giá không đổi</v>
      </c>
      <c r="K460" s="4">
        <f>G460-F460</f>
      </c>
      <c r="L460" s="4">
        <v>20</v>
      </c>
      <c r="M460" s="4">
        <v>952</v>
      </c>
      <c r="N460" s="4" t="str" xml:space="preserve">
        <v>+10.000 VNĐ 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5" t="str">
        <v>39 HBT</v>
      </c>
      <c r="B461" s="5">
        <f>VLOOKUP(A461,'Sheet10'!$A:$C,3,0)</f>
      </c>
      <c r="C461" s="5" t="str">
        <v>(2022T) ATS Control Buffer - Khử mùi tạo thơm cho tóc uốn nhuộm 40k</v>
      </c>
      <c r="D461" s="5">
        <v>610</v>
      </c>
      <c r="E461" s="5"/>
      <c r="F461" s="6">
        <v>40000</v>
      </c>
      <c r="G461" s="7">
        <v>40000</v>
      </c>
      <c r="H461" s="7">
        <v>40000</v>
      </c>
      <c r="I461" s="7">
        <v>40000</v>
      </c>
      <c r="J461" s="9" t="str">
        <v>Giá không đổi</v>
      </c>
      <c r="K461" s="4">
        <f>G461-F461</f>
      </c>
      <c r="L461" s="4">
        <v>200</v>
      </c>
      <c r="M461" s="4">
        <v>610</v>
      </c>
      <c r="N461" s="4" t="str">
        <v>Không đổi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5" t="str">
        <v>39 HBT</v>
      </c>
      <c r="B462" s="5">
        <f>VLOOKUP(A462,'Sheet10'!$A:$C,3,0)</f>
      </c>
      <c r="C462" s="5" t="str">
        <v>Phục hồi trẻ hóa Lipid Bond</v>
      </c>
      <c r="D462" s="5">
        <v>1101</v>
      </c>
      <c r="E462" s="5"/>
      <c r="F462" s="6">
        <v>132000</v>
      </c>
      <c r="G462" s="8">
        <v>146000</v>
      </c>
      <c r="H462" s="8">
        <v>146000</v>
      </c>
      <c r="I462" s="8">
        <v>146000</v>
      </c>
      <c r="J462" s="3" t="str">
        <v>Điều chỉnh giá</v>
      </c>
      <c r="K462" s="4">
        <f>G462-F462</f>
      </c>
      <c r="L462" s="4">
        <v>200</v>
      </c>
      <c r="M462" s="4">
        <v>1101</v>
      </c>
      <c r="N462" s="4" t="str">
        <v>Không đổi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5" t="str">
        <v>39 HBT</v>
      </c>
      <c r="B463" s="5">
        <f>VLOOKUP(A463,'Sheet10'!$A:$C,3,0)</f>
      </c>
      <c r="C463" s="5" t="str">
        <v>(2022T) ATS Control Buffer - Khử mùi tạo thơm cho tóc uốn nhuộm 40k</v>
      </c>
      <c r="D463" s="5">
        <v>610</v>
      </c>
      <c r="E463" s="5"/>
      <c r="F463" s="6">
        <v>40000</v>
      </c>
      <c r="G463" s="7">
        <v>40000</v>
      </c>
      <c r="H463" s="7">
        <v>40000</v>
      </c>
      <c r="I463" s="7">
        <v>40000</v>
      </c>
      <c r="J463" s="9" t="str">
        <v>Giá không đổi</v>
      </c>
      <c r="K463" s="4">
        <f>G463-F463</f>
      </c>
      <c r="L463" s="4">
        <v>200</v>
      </c>
      <c r="M463" s="4">
        <v>610</v>
      </c>
      <c r="N463" s="4" t="str">
        <v>Không đổi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5" t="str">
        <v>39 HBT</v>
      </c>
      <c r="B464" s="5">
        <f>VLOOKUP(A464,'Sheet10'!$A:$C,3,0)</f>
      </c>
      <c r="C464" s="5" t="str">
        <v>[DV] Uốn Texture con sâu/Uốn Ruffled</v>
      </c>
      <c r="D464" s="5">
        <f>VLOOKUP(C464,'Sheet7'!$B:$C,2,0)</f>
      </c>
      <c r="E464" s="5"/>
      <c r="F464" s="6">
        <v>499000</v>
      </c>
      <c r="G464" s="7">
        <v>499000</v>
      </c>
      <c r="H464" s="7">
        <v>509000</v>
      </c>
      <c r="I464" s="7">
        <v>509000</v>
      </c>
      <c r="J464" s="9" t="str">
        <v>Giá không đổi</v>
      </c>
      <c r="K464" s="4">
        <f>G464-F464</f>
      </c>
      <c r="L464" s="4">
        <v>200</v>
      </c>
      <c r="M464" s="4">
        <v>674</v>
      </c>
      <c r="N464" s="4" t="str" xml:space="preserve">
        <v>+10.000 VNĐ 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5" t="str">
        <v>39 HBT</v>
      </c>
      <c r="B465" s="5">
        <f>VLOOKUP(A465,'Sheet10'!$A:$C,3,0)</f>
      </c>
      <c r="C465" s="5" t="str">
        <v>[DV] Ép side hai bên</v>
      </c>
      <c r="D465" s="5">
        <f>VLOOKUP(C465,'Sheet7'!$B:$C,2,0)</f>
      </c>
      <c r="E465" s="5"/>
      <c r="F465" s="6">
        <v>189000</v>
      </c>
      <c r="G465" s="7">
        <v>189000</v>
      </c>
      <c r="H465" s="7">
        <v>199000</v>
      </c>
      <c r="I465" s="7">
        <v>199000</v>
      </c>
      <c r="J465" s="9" t="str">
        <v>Giá không đổi</v>
      </c>
      <c r="K465" s="4">
        <f>G465-F465</f>
      </c>
      <c r="L465" s="4">
        <v>200</v>
      </c>
      <c r="M465" s="4">
        <v>902</v>
      </c>
      <c r="N465" s="4" t="str" xml:space="preserve">
        <v>+10.000 VNĐ 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5" t="str">
        <v>39 HBT</v>
      </c>
      <c r="B466" s="5">
        <f>VLOOKUP(A466,'Sheet10'!$A:$C,3,0)</f>
      </c>
      <c r="C466" s="5" t="str">
        <v>[DV] Nhuộm đen phủ bạc R&amp;B thảo dược</v>
      </c>
      <c r="D466" s="5">
        <v>912</v>
      </c>
      <c r="E466" s="5"/>
      <c r="F466" s="6">
        <v>289000</v>
      </c>
      <c r="G466" s="7">
        <v>289000</v>
      </c>
      <c r="H466" s="7">
        <v>289000</v>
      </c>
      <c r="I466" s="7">
        <v>289000</v>
      </c>
      <c r="J466" s="9" t="str">
        <v>Giá không đổi</v>
      </c>
      <c r="K466" s="4">
        <f>G466-F466</f>
      </c>
      <c r="L466" s="4">
        <v>200</v>
      </c>
      <c r="M466" s="4">
        <v>912</v>
      </c>
      <c r="N466" s="4" t="str">
        <v>Không đổi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5" t="str">
        <v>39 HBT</v>
      </c>
      <c r="B467" s="5">
        <f>VLOOKUP(A467,'Sheet10'!$A:$C,3,0)</f>
      </c>
      <c r="C467" s="5" t="str">
        <v>[DV] Tẩy tóc bật tông Ý (1 lần)</v>
      </c>
      <c r="D467" s="5">
        <v>915</v>
      </c>
      <c r="E467" s="5"/>
      <c r="F467" s="6">
        <v>252000</v>
      </c>
      <c r="G467" s="7">
        <v>252000</v>
      </c>
      <c r="H467" s="7">
        <v>252000</v>
      </c>
      <c r="I467" s="7">
        <v>252000</v>
      </c>
      <c r="J467" s="9" t="str">
        <v>Giá không đổi</v>
      </c>
      <c r="K467" s="4">
        <f>G467-F467</f>
      </c>
      <c r="L467" s="4">
        <v>200</v>
      </c>
      <c r="M467" s="4">
        <v>915</v>
      </c>
      <c r="N467" s="4" t="str">
        <v>Không đổi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5" t="str">
        <v>39 HBT</v>
      </c>
      <c r="B468" s="5">
        <f>VLOOKUP(A468,'Sheet10'!$A:$C,3,0)</f>
      </c>
      <c r="C468" s="5" t="str">
        <v>[DV] Tẩy tóc bật tông Ý (2 lần) 500k</v>
      </c>
      <c r="D468" s="5">
        <v>916</v>
      </c>
      <c r="E468" s="5"/>
      <c r="F468" s="6">
        <v>500000</v>
      </c>
      <c r="G468" s="7">
        <v>500000</v>
      </c>
      <c r="H468" s="7">
        <v>500000</v>
      </c>
      <c r="I468" s="7">
        <v>500000</v>
      </c>
      <c r="J468" s="9" t="str">
        <v>Giá không đổi</v>
      </c>
      <c r="K468" s="4">
        <f>G468-F468</f>
      </c>
      <c r="L468" s="4">
        <v>200</v>
      </c>
      <c r="M468" s="4">
        <v>916</v>
      </c>
      <c r="N468" s="4" t="str">
        <v>Không đổi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5" t="str">
        <v>39 HBT</v>
      </c>
      <c r="B469" s="5">
        <f>VLOOKUP(A469,'Sheet10'!$A:$C,3,0)</f>
      </c>
      <c r="C469" s="5" t="str">
        <v>Uốn định hình nếp tóc cao cấp (K-Perm Collection)</v>
      </c>
      <c r="D469" s="5">
        <f>VLOOKUP(C469,'Sheet7'!$B:$C,2,0)</f>
      </c>
      <c r="E469" s="5"/>
      <c r="F469" s="6">
        <v>478000</v>
      </c>
      <c r="G469" s="7">
        <v>478000</v>
      </c>
      <c r="H469" s="7">
        <v>488000</v>
      </c>
      <c r="I469" s="7">
        <v>488000</v>
      </c>
      <c r="J469" s="9" t="str">
        <v>Giá không đổi</v>
      </c>
      <c r="K469" s="4">
        <f>G469-F469</f>
      </c>
      <c r="L469" s="4">
        <v>200</v>
      </c>
      <c r="M469" s="4">
        <v>952</v>
      </c>
      <c r="N469" s="4" t="str" xml:space="preserve">
        <v>+10.000 VNĐ 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5" t="str">
        <v>39 HBT</v>
      </c>
      <c r="B470" s="5">
        <f>VLOOKUP(A470,'Sheet10'!$A:$C,3,0)</f>
      </c>
      <c r="C470" s="5" t="str">
        <v>(NEW) Nhuộm màu thời trang Milano</v>
      </c>
      <c r="D470" s="5">
        <v>960</v>
      </c>
      <c r="E470" s="5">
        <f>A470&amp;D470</f>
      </c>
      <c r="F470" s="6">
        <v>332000</v>
      </c>
      <c r="G470" s="7">
        <v>332000</v>
      </c>
      <c r="H470" s="7">
        <v>332000</v>
      </c>
      <c r="I470" s="7">
        <v>332000</v>
      </c>
      <c r="J470" s="9" t="str">
        <v>Giá không đổi</v>
      </c>
      <c r="K470" s="4">
        <f>G470-F470</f>
      </c>
      <c r="L470" s="4">
        <v>200</v>
      </c>
      <c r="M470" s="4">
        <v>960</v>
      </c>
      <c r="N470" s="4" t="str">
        <v>Không đổi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5" t="str">
        <v>39 HBT</v>
      </c>
      <c r="B471" s="5">
        <f>VLOOKUP(A471,'Sheet10'!$A:$C,3,0)</f>
      </c>
      <c r="C471" s="5" t="str">
        <v>(NEW) Nhuộm phủ bạc tiêu chuẩn 199K</v>
      </c>
      <c r="D471" s="5">
        <v>967</v>
      </c>
      <c r="E471" s="5"/>
      <c r="F471" s="6">
        <v>199000</v>
      </c>
      <c r="G471" s="7">
        <v>199000</v>
      </c>
      <c r="H471" s="7">
        <v>199000</v>
      </c>
      <c r="I471" s="7">
        <v>199000</v>
      </c>
      <c r="J471" s="9" t="str">
        <v>Giá không đổi</v>
      </c>
      <c r="K471" s="4">
        <f>G471-F471</f>
      </c>
      <c r="L471" s="4">
        <v>200</v>
      </c>
      <c r="M471" s="4">
        <v>967</v>
      </c>
      <c r="N471" s="4" t="str">
        <v>Không đổi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5" t="str">
        <v>39 HBT</v>
      </c>
      <c r="B472" s="5">
        <f>VLOOKUP(A472,'Sheet10'!$A:$C,3,0)</f>
      </c>
      <c r="C472" s="5" t="str">
        <v>(NEW) Uốn/Duỗi/Định hình full đầu tạo form vào nếp tự nhiên</v>
      </c>
      <c r="D472" s="5">
        <f>VLOOKUP(C472,'Sheet7'!$B:$C,2,0)</f>
      </c>
      <c r="E472" s="5">
        <f>A472&amp;D472</f>
      </c>
      <c r="F472" s="6">
        <v>386000</v>
      </c>
      <c r="G472" s="7">
        <v>386000</v>
      </c>
      <c r="H472" s="7">
        <v>396000</v>
      </c>
      <c r="I472" s="7">
        <v>396000</v>
      </c>
      <c r="J472" s="9" t="str">
        <v>Giá không đổi</v>
      </c>
      <c r="K472" s="4">
        <f>G472-F472</f>
      </c>
      <c r="L472" s="4">
        <v>200</v>
      </c>
      <c r="M472" s="4">
        <v>1009</v>
      </c>
      <c r="N472" s="4" t="str" xml:space="preserve">
        <v>+10.000 VNĐ 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5" t="str">
        <v>39 HBT</v>
      </c>
      <c r="B473" s="5">
        <f>VLOOKUP(A473,'Sheet10'!$A:$C,3,0)</f>
      </c>
      <c r="C473" s="5" t="str">
        <v>Phục hồi trẻ hóa Lipid Bond</v>
      </c>
      <c r="D473" s="5">
        <v>1101</v>
      </c>
      <c r="E473" s="5"/>
      <c r="F473" s="6">
        <v>132000</v>
      </c>
      <c r="G473" s="8">
        <v>146000</v>
      </c>
      <c r="H473" s="8">
        <v>146000</v>
      </c>
      <c r="I473" s="8">
        <v>146000</v>
      </c>
      <c r="J473" s="3" t="str">
        <v>Điều chỉnh giá</v>
      </c>
      <c r="K473" s="4">
        <f>G473-F473</f>
      </c>
      <c r="L473" s="4">
        <v>200</v>
      </c>
      <c r="M473" s="4">
        <v>1101</v>
      </c>
      <c r="N473" s="4" t="str">
        <v>Không đổi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5" t="str">
        <v>39 HBT</v>
      </c>
      <c r="B474" s="5">
        <f>VLOOKUP(A474,'Sheet10'!$A:$C,3,0)</f>
      </c>
      <c r="C474" s="5" t="str">
        <v>UỐN THIẾT KẾ PHỤC HỒI CHUYÊN SÂU LIPID BOND 2025</v>
      </c>
      <c r="D474" s="5">
        <f>VLOOKUP(C474,'Sheet7'!$B:$C,2,0)</f>
      </c>
      <c r="E474" s="5"/>
      <c r="F474" s="6">
        <v>689000</v>
      </c>
      <c r="G474" s="7">
        <v>689000</v>
      </c>
      <c r="H474" s="7">
        <v>699000</v>
      </c>
      <c r="I474" s="7">
        <v>699000</v>
      </c>
      <c r="J474" s="9" t="str">
        <v>Giá không đổi</v>
      </c>
      <c r="K474" s="4">
        <f>G474-F474</f>
      </c>
      <c r="L474" s="4">
        <v>200</v>
      </c>
      <c r="M474" s="4">
        <v>1148</v>
      </c>
      <c r="N474" s="4" t="str" xml:space="preserve">
        <v>+10.000 VNĐ 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5" t="str">
        <v>39 HBT</v>
      </c>
      <c r="B475" s="5">
        <f>VLOOKUP(A475,'Sheet10'!$A:$C,3,0)</f>
      </c>
      <c r="C475" s="5" t="str">
        <v>NHUỘM THIẾT KẾ PHỤC HỒI CHUYÊN SÂU LIPID BOND 2025</v>
      </c>
      <c r="D475" s="5">
        <v>1149</v>
      </c>
      <c r="E475" s="5"/>
      <c r="F475" s="6">
        <v>689000</v>
      </c>
      <c r="G475" s="8">
        <v>729000</v>
      </c>
      <c r="H475" s="8">
        <v>729000</v>
      </c>
      <c r="I475" s="8">
        <v>729000</v>
      </c>
      <c r="J475" s="3" t="str">
        <v>Điều chỉnh giá</v>
      </c>
      <c r="K475" s="4">
        <f>G475-F475</f>
      </c>
      <c r="L475" s="4">
        <v>200</v>
      </c>
      <c r="M475" s="4">
        <v>1149</v>
      </c>
      <c r="N475" s="4" t="str">
        <v>Không đổi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5" t="str">
        <v>4 LQD BN</v>
      </c>
      <c r="B476" s="5">
        <f>VLOOKUP(A476,'Sheet10'!$A:$C,3,0)</f>
      </c>
      <c r="C476" s="5" t="str">
        <v>(2022T) ATS Control Buffer - Khử mùi tạo thơm cho tóc uốn nhuộm 40k</v>
      </c>
      <c r="D476" s="5">
        <v>610</v>
      </c>
      <c r="E476" s="5"/>
      <c r="F476" s="6">
        <v>40000</v>
      </c>
      <c r="G476" s="7">
        <v>40000</v>
      </c>
      <c r="H476" s="7">
        <v>40000</v>
      </c>
      <c r="I476" s="7">
        <v>40000</v>
      </c>
      <c r="J476" s="9" t="str">
        <v>Giá không đổi</v>
      </c>
      <c r="K476" s="4">
        <f>G476-F476</f>
      </c>
      <c r="L476" s="4">
        <v>201</v>
      </c>
      <c r="M476" s="4">
        <v>610</v>
      </c>
      <c r="N476" s="4" t="str">
        <v>Không đổi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5" t="str">
        <v>4 LQD BN</v>
      </c>
      <c r="B477" s="5">
        <f>VLOOKUP(A477,'Sheet10'!$A:$C,3,0)</f>
      </c>
      <c r="C477" s="5" t="str">
        <v>Phục hồi trẻ hóa Lipid Bond</v>
      </c>
      <c r="D477" s="5">
        <v>1101</v>
      </c>
      <c r="E477" s="5"/>
      <c r="F477" s="6">
        <v>132000</v>
      </c>
      <c r="G477" s="8">
        <v>146000</v>
      </c>
      <c r="H477" s="8">
        <v>146000</v>
      </c>
      <c r="I477" s="8">
        <v>146000</v>
      </c>
      <c r="J477" s="3" t="str">
        <v>Điều chỉnh giá</v>
      </c>
      <c r="K477" s="4">
        <f>G477-F477</f>
      </c>
      <c r="L477" s="4">
        <v>201</v>
      </c>
      <c r="M477" s="4">
        <v>1101</v>
      </c>
      <c r="N477" s="4" t="str">
        <v>Không đổi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5" t="str">
        <v>4 LQD BN</v>
      </c>
      <c r="B478" s="5">
        <f>VLOOKUP(A478,'Sheet10'!$A:$C,3,0)</f>
      </c>
      <c r="C478" s="5" t="str">
        <v>(2022T) ATS Control Buffer - Khử mùi tạo thơm cho tóc uốn nhuộm 40k</v>
      </c>
      <c r="D478" s="5">
        <v>610</v>
      </c>
      <c r="E478" s="5"/>
      <c r="F478" s="6">
        <v>40000</v>
      </c>
      <c r="G478" s="7">
        <v>40000</v>
      </c>
      <c r="H478" s="7">
        <v>40000</v>
      </c>
      <c r="I478" s="7">
        <v>40000</v>
      </c>
      <c r="J478" s="9" t="str">
        <v>Giá không đổi</v>
      </c>
      <c r="K478" s="4">
        <f>G478-F478</f>
      </c>
      <c r="L478" s="4">
        <v>201</v>
      </c>
      <c r="M478" s="4">
        <v>610</v>
      </c>
      <c r="N478" s="4" t="str">
        <v>Không đổi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5" t="str">
        <v>4 LQD BN</v>
      </c>
      <c r="B479" s="5">
        <f>VLOOKUP(A479,'Sheet10'!$A:$C,3,0)</f>
      </c>
      <c r="C479" s="5" t="str">
        <v>[DV] Uốn Texture con sâu/Uốn Ruffled</v>
      </c>
      <c r="D479" s="5">
        <f>VLOOKUP(C479,'Sheet7'!$B:$C,2,0)</f>
      </c>
      <c r="E479" s="5"/>
      <c r="F479" s="6">
        <v>499000</v>
      </c>
      <c r="G479" s="7">
        <v>499000</v>
      </c>
      <c r="H479" s="7">
        <v>509000</v>
      </c>
      <c r="I479" s="7">
        <v>509000</v>
      </c>
      <c r="J479" s="9" t="str">
        <v>Giá không đổi</v>
      </c>
      <c r="K479" s="4">
        <f>G479-F479</f>
      </c>
      <c r="L479" s="4">
        <v>201</v>
      </c>
      <c r="M479" s="4">
        <v>674</v>
      </c>
      <c r="N479" s="4" t="str" xml:space="preserve">
        <v>+10.000 VNĐ 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5" t="str">
        <v>4 LQD BN</v>
      </c>
      <c r="B480" s="5">
        <f>VLOOKUP(A480,'Sheet10'!$A:$C,3,0)</f>
      </c>
      <c r="C480" s="5" t="str">
        <v>[DV] Ép side hai bên</v>
      </c>
      <c r="D480" s="5">
        <f>VLOOKUP(C480,'Sheet7'!$B:$C,2,0)</f>
      </c>
      <c r="E480" s="5"/>
      <c r="F480" s="6">
        <v>189000</v>
      </c>
      <c r="G480" s="8">
        <v>209000</v>
      </c>
      <c r="H480" s="7">
        <v>219000</v>
      </c>
      <c r="I480" s="7">
        <v>219000</v>
      </c>
      <c r="J480" s="3" t="str">
        <v>Điều chỉnh giá</v>
      </c>
      <c r="K480" s="4">
        <f>G480-F480</f>
      </c>
      <c r="L480" s="4">
        <v>201</v>
      </c>
      <c r="M480" s="4">
        <v>902</v>
      </c>
      <c r="N480" s="4" t="str" xml:space="preserve">
        <v>+10.000 VNĐ 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5" t="str">
        <v>4 LQD BN</v>
      </c>
      <c r="B481" s="5">
        <f>VLOOKUP(A481,'Sheet10'!$A:$C,3,0)</f>
      </c>
      <c r="C481" s="5" t="str">
        <v>[DV] Nhuộm đen phủ bạc R&amp;B thảo dược</v>
      </c>
      <c r="D481" s="5">
        <v>912</v>
      </c>
      <c r="E481" s="5"/>
      <c r="F481" s="6">
        <v>289000</v>
      </c>
      <c r="G481" s="7">
        <v>289000</v>
      </c>
      <c r="H481" s="7">
        <v>289000</v>
      </c>
      <c r="I481" s="7">
        <v>289000</v>
      </c>
      <c r="J481" s="9" t="str">
        <v>Giá không đổi</v>
      </c>
      <c r="K481" s="4">
        <f>G481-F481</f>
      </c>
      <c r="L481" s="4">
        <v>201</v>
      </c>
      <c r="M481" s="4">
        <v>912</v>
      </c>
      <c r="N481" s="4" t="str">
        <v>Không đổi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5" t="str">
        <v>4 LQD BN</v>
      </c>
      <c r="B482" s="5">
        <f>VLOOKUP(A482,'Sheet10'!$A:$C,3,0)</f>
      </c>
      <c r="C482" s="5" t="str">
        <v>[DV] Tẩy tóc bật tông Ý (1 lần)</v>
      </c>
      <c r="D482" s="5">
        <v>915</v>
      </c>
      <c r="E482" s="5"/>
      <c r="F482" s="6">
        <v>252000</v>
      </c>
      <c r="G482" s="7">
        <v>252000</v>
      </c>
      <c r="H482" s="7">
        <v>252000</v>
      </c>
      <c r="I482" s="7">
        <v>252000</v>
      </c>
      <c r="J482" s="9" t="str">
        <v>Giá không đổi</v>
      </c>
      <c r="K482" s="4">
        <f>G482-F482</f>
      </c>
      <c r="L482" s="4">
        <v>201</v>
      </c>
      <c r="M482" s="4">
        <v>915</v>
      </c>
      <c r="N482" s="4" t="str">
        <v>Không đổi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5" t="str">
        <v>4 LQD BN</v>
      </c>
      <c r="B483" s="5">
        <f>VLOOKUP(A483,'Sheet10'!$A:$C,3,0)</f>
      </c>
      <c r="C483" s="5" t="str">
        <v>[DV] Tẩy tóc bật tông Ý (2 lần) 500k</v>
      </c>
      <c r="D483" s="5">
        <v>916</v>
      </c>
      <c r="E483" s="5"/>
      <c r="F483" s="6">
        <v>500000</v>
      </c>
      <c r="G483" s="7">
        <v>500000</v>
      </c>
      <c r="H483" s="7">
        <v>500000</v>
      </c>
      <c r="I483" s="7">
        <v>500000</v>
      </c>
      <c r="J483" s="9" t="str">
        <v>Giá không đổi</v>
      </c>
      <c r="K483" s="4">
        <f>G483-F483</f>
      </c>
      <c r="L483" s="4">
        <v>201</v>
      </c>
      <c r="M483" s="4">
        <v>916</v>
      </c>
      <c r="N483" s="4" t="str">
        <v>Không đổi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5" t="str">
        <v>4 LQD BN</v>
      </c>
      <c r="B484" s="5">
        <f>VLOOKUP(A484,'Sheet10'!$A:$C,3,0)</f>
      </c>
      <c r="C484" s="5" t="str">
        <v>Uốn định hình nếp tóc cao cấp (K-Perm Collection)</v>
      </c>
      <c r="D484" s="5">
        <f>VLOOKUP(C484,'Sheet7'!$B:$C,2,0)</f>
      </c>
      <c r="E484" s="5"/>
      <c r="F484" s="6">
        <v>478000</v>
      </c>
      <c r="G484" s="7">
        <v>478000</v>
      </c>
      <c r="H484" s="7">
        <v>488000</v>
      </c>
      <c r="I484" s="7">
        <v>488000</v>
      </c>
      <c r="J484" s="9" t="str">
        <v>Giá không đổi</v>
      </c>
      <c r="K484" s="4">
        <f>G484-F484</f>
      </c>
      <c r="L484" s="4">
        <v>201</v>
      </c>
      <c r="M484" s="4">
        <v>952</v>
      </c>
      <c r="N484" s="4" t="str" xml:space="preserve">
        <v>+10.000 VNĐ 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5" t="str">
        <v>4 LQD BN</v>
      </c>
      <c r="B485" s="5">
        <f>VLOOKUP(A485,'Sheet10'!$A:$C,3,0)</f>
      </c>
      <c r="C485" s="5" t="str">
        <v>(NEW) Nhuộm màu thời trang Milano</v>
      </c>
      <c r="D485" s="5">
        <v>960</v>
      </c>
      <c r="E485" s="5">
        <f>A485&amp;D485</f>
      </c>
      <c r="F485" s="6">
        <v>332000</v>
      </c>
      <c r="G485" s="7">
        <v>332000</v>
      </c>
      <c r="H485" s="7">
        <v>332000</v>
      </c>
      <c r="I485" s="7">
        <v>332000</v>
      </c>
      <c r="J485" s="9" t="str">
        <v>Giá không đổi</v>
      </c>
      <c r="K485" s="4">
        <f>G485-F485</f>
      </c>
      <c r="L485" s="4">
        <v>201</v>
      </c>
      <c r="M485" s="4">
        <v>960</v>
      </c>
      <c r="N485" s="4" t="str">
        <v>Không đổi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5" t="str">
        <v>4 LQD BN</v>
      </c>
      <c r="B486" s="5">
        <f>VLOOKUP(A486,'Sheet10'!$A:$C,3,0)</f>
      </c>
      <c r="C486" s="5" t="str">
        <v>(NEW) Nhuộm phủ bạc tiêu chuẩn 199K</v>
      </c>
      <c r="D486" s="5">
        <v>967</v>
      </c>
      <c r="E486" s="5"/>
      <c r="F486" s="6">
        <v>199000</v>
      </c>
      <c r="G486" s="7">
        <v>199000</v>
      </c>
      <c r="H486" s="7">
        <v>199000</v>
      </c>
      <c r="I486" s="7">
        <v>199000</v>
      </c>
      <c r="J486" s="9" t="str">
        <v>Giá không đổi</v>
      </c>
      <c r="K486" s="4">
        <f>G486-F486</f>
      </c>
      <c r="L486" s="4">
        <v>201</v>
      </c>
      <c r="M486" s="4">
        <v>967</v>
      </c>
      <c r="N486" s="4" t="str">
        <v>Không đổi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5" t="str">
        <v>4 LQD BN</v>
      </c>
      <c r="B487" s="5">
        <f>VLOOKUP(A487,'Sheet10'!$A:$C,3,0)</f>
      </c>
      <c r="C487" s="5" t="str">
        <v>(NEW) Uốn/Duỗi/Định hình full đầu tạo form vào nếp tự nhiên</v>
      </c>
      <c r="D487" s="5">
        <f>VLOOKUP(C487,'Sheet7'!$B:$C,2,0)</f>
      </c>
      <c r="E487" s="5">
        <f>A487&amp;D487</f>
      </c>
      <c r="F487" s="6">
        <v>386000</v>
      </c>
      <c r="G487" s="7">
        <v>386000</v>
      </c>
      <c r="H487" s="7">
        <v>396000</v>
      </c>
      <c r="I487" s="7">
        <v>396000</v>
      </c>
      <c r="J487" s="9" t="str">
        <v>Giá không đổi</v>
      </c>
      <c r="K487" s="4">
        <f>G487-F487</f>
      </c>
      <c r="L487" s="4">
        <v>201</v>
      </c>
      <c r="M487" s="4">
        <v>1009</v>
      </c>
      <c r="N487" s="4" t="str" xml:space="preserve">
        <v>+10.000 VNĐ 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5" t="str">
        <v>4 LQD BN</v>
      </c>
      <c r="B488" s="5">
        <f>VLOOKUP(A488,'Sheet10'!$A:$C,3,0)</f>
      </c>
      <c r="C488" s="5" t="str">
        <v>Phục hồi trẻ hóa Lipid Bond</v>
      </c>
      <c r="D488" s="5">
        <v>1101</v>
      </c>
      <c r="E488" s="5"/>
      <c r="F488" s="6">
        <v>132000</v>
      </c>
      <c r="G488" s="8">
        <v>146000</v>
      </c>
      <c r="H488" s="8">
        <v>146000</v>
      </c>
      <c r="I488" s="8">
        <v>146000</v>
      </c>
      <c r="J488" s="3" t="str">
        <v>Điều chỉnh giá</v>
      </c>
      <c r="K488" s="4">
        <f>G488-F488</f>
      </c>
      <c r="L488" s="4">
        <v>201</v>
      </c>
      <c r="M488" s="4">
        <v>1101</v>
      </c>
      <c r="N488" s="4" t="str">
        <v>Không đổi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5" t="str">
        <v>4 LQD BN</v>
      </c>
      <c r="B489" s="5">
        <f>VLOOKUP(A489,'Sheet10'!$A:$C,3,0)</f>
      </c>
      <c r="C489" s="5" t="str">
        <v>UỐN THIẾT KẾ PHỤC HỒI CHUYÊN SÂU LIPID BOND 2025</v>
      </c>
      <c r="D489" s="5">
        <f>VLOOKUP(C489,'Sheet7'!$B:$C,2,0)</f>
      </c>
      <c r="E489" s="5"/>
      <c r="F489" s="6">
        <v>689000</v>
      </c>
      <c r="G489" s="7">
        <v>689000</v>
      </c>
      <c r="H489" s="7">
        <v>699000</v>
      </c>
      <c r="I489" s="7">
        <v>699000</v>
      </c>
      <c r="J489" s="9" t="str">
        <v>Giá không đổi</v>
      </c>
      <c r="K489" s="4">
        <f>G489-F489</f>
      </c>
      <c r="L489" s="4">
        <v>201</v>
      </c>
      <c r="M489" s="4">
        <v>1148</v>
      </c>
      <c r="N489" s="4" t="str" xml:space="preserve">
        <v>+10.000 VNĐ 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5" t="str">
        <v>4 LQD BN</v>
      </c>
      <c r="B490" s="5">
        <f>VLOOKUP(A490,'Sheet10'!$A:$C,3,0)</f>
      </c>
      <c r="C490" s="5" t="str">
        <v>NHUỘM THIẾT KẾ PHỤC HỒI CHUYÊN SÂU LIPID BOND 2025</v>
      </c>
      <c r="D490" s="5">
        <v>1149</v>
      </c>
      <c r="E490" s="5"/>
      <c r="F490" s="6">
        <v>689000</v>
      </c>
      <c r="G490" s="7">
        <v>689000</v>
      </c>
      <c r="H490" s="7">
        <v>689000</v>
      </c>
      <c r="I490" s="7">
        <v>689000</v>
      </c>
      <c r="J490" s="9" t="str">
        <v>Giá không đổi</v>
      </c>
      <c r="K490" s="4">
        <f>G490-F490</f>
      </c>
      <c r="L490" s="4">
        <v>201</v>
      </c>
      <c r="M490" s="4">
        <v>1149</v>
      </c>
      <c r="N490" s="4" t="str">
        <v>Không đổi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5" t="str">
        <v>401/1 NDT</v>
      </c>
      <c r="B491" s="5">
        <f>VLOOKUP(A491,'Sheet10'!$A:$C,3,0)</f>
      </c>
      <c r="C491" s="5" t="str">
        <v>(2022T) ATS Control Buffer - Khử mùi tạo thơm cho tóc uốn nhuộm 40k</v>
      </c>
      <c r="D491" s="5">
        <v>610</v>
      </c>
      <c r="E491" s="5"/>
      <c r="F491" s="6">
        <v>40000</v>
      </c>
      <c r="G491" s="7">
        <v>40000</v>
      </c>
      <c r="H491" s="7">
        <v>40000</v>
      </c>
      <c r="I491" s="7">
        <v>40000</v>
      </c>
      <c r="J491" s="9" t="str">
        <v>Giá không đổi</v>
      </c>
      <c r="K491" s="4">
        <f>G491-F491</f>
      </c>
      <c r="L491" s="4">
        <v>204</v>
      </c>
      <c r="M491" s="4">
        <v>610</v>
      </c>
      <c r="N491" s="4" t="str">
        <v>Không đổi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5" t="str">
        <v>401/1 NDT</v>
      </c>
      <c r="B492" s="5">
        <f>VLOOKUP(A492,'Sheet10'!$A:$C,3,0)</f>
      </c>
      <c r="C492" s="5" t="str">
        <v>(NEW) Nhuộm màu thời trang Milano</v>
      </c>
      <c r="D492" s="5">
        <v>960</v>
      </c>
      <c r="E492" s="5">
        <f>A492&amp;D492</f>
      </c>
      <c r="F492" s="6">
        <v>332000</v>
      </c>
      <c r="G492" s="8">
        <v>346000</v>
      </c>
      <c r="H492" s="8">
        <v>346000</v>
      </c>
      <c r="I492" s="8">
        <v>346000</v>
      </c>
      <c r="J492" s="3" t="str">
        <v>Điều chỉnh giá</v>
      </c>
      <c r="K492" s="4">
        <f>G492-F492</f>
      </c>
      <c r="L492" s="4">
        <v>204</v>
      </c>
      <c r="M492" s="4">
        <v>960</v>
      </c>
      <c r="N492" s="4" t="str">
        <v>Không đổi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5" t="str">
        <v>401/1 NDT</v>
      </c>
      <c r="B493" s="5">
        <f>VLOOKUP(A493,'Sheet10'!$A:$C,3,0)</f>
      </c>
      <c r="C493" s="5" t="str">
        <v>(NEW) Nhuộm phủ bạc tiêu chuẩn 199K</v>
      </c>
      <c r="D493" s="5">
        <v>967</v>
      </c>
      <c r="E493" s="5"/>
      <c r="F493" s="6">
        <v>199000</v>
      </c>
      <c r="G493" s="8">
        <v>202000</v>
      </c>
      <c r="H493" s="8">
        <v>202000</v>
      </c>
      <c r="I493" s="8">
        <v>202000</v>
      </c>
      <c r="J493" s="3" t="str">
        <v>Điều chỉnh giá</v>
      </c>
      <c r="K493" s="4">
        <f>G493-F493</f>
      </c>
      <c r="L493" s="4">
        <v>204</v>
      </c>
      <c r="M493" s="4">
        <v>967</v>
      </c>
      <c r="N493" s="4" t="str">
        <v>Không đổi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5" t="str">
        <v>401/1 NDT</v>
      </c>
      <c r="B494" s="5">
        <f>VLOOKUP(A494,'Sheet10'!$A:$C,3,0)</f>
      </c>
      <c r="C494" s="5" t="str">
        <v>(NEW) Uốn/Duỗi/Định hình full đầu tạo form vào nếp tự nhiên</v>
      </c>
      <c r="D494" s="5">
        <f>VLOOKUP(C494,'Sheet7'!$B:$C,2,0)</f>
      </c>
      <c r="E494" s="5">
        <f>A494&amp;D494</f>
      </c>
      <c r="F494" s="6">
        <v>386000</v>
      </c>
      <c r="G494" s="7">
        <v>386000</v>
      </c>
      <c r="H494" s="7">
        <v>396000</v>
      </c>
      <c r="I494" s="7">
        <v>396000</v>
      </c>
      <c r="J494" s="9" t="str">
        <v>Giá không đổi</v>
      </c>
      <c r="K494" s="4">
        <f>G494-F494</f>
      </c>
      <c r="L494" s="4">
        <v>204</v>
      </c>
      <c r="M494" s="4">
        <v>1009</v>
      </c>
      <c r="N494" s="4" t="str" xml:space="preserve">
        <v>+10.000 VNĐ 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5" t="str">
        <v>401/1 NDT</v>
      </c>
      <c r="B495" s="5">
        <f>VLOOKUP(A495,'Sheet10'!$A:$C,3,0)</f>
      </c>
      <c r="C495" s="5" t="str">
        <v>[DV] Nhuộm đen phủ bạc R&amp;B thảo dược</v>
      </c>
      <c r="D495" s="5">
        <v>912</v>
      </c>
      <c r="E495" s="5"/>
      <c r="F495" s="6">
        <v>289000</v>
      </c>
      <c r="G495" s="8">
        <v>293000</v>
      </c>
      <c r="H495" s="8">
        <v>293000</v>
      </c>
      <c r="I495" s="8">
        <v>293000</v>
      </c>
      <c r="J495" s="3" t="str">
        <v>Điều chỉnh giá</v>
      </c>
      <c r="K495" s="4">
        <f>G495-F495</f>
      </c>
      <c r="L495" s="4">
        <v>204</v>
      </c>
      <c r="M495" s="4">
        <v>912</v>
      </c>
      <c r="N495" s="4" t="str">
        <v>Không đổi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5" t="str">
        <v>401/1 NDT</v>
      </c>
      <c r="B496" s="5">
        <f>VLOOKUP(A496,'Sheet10'!$A:$C,3,0)</f>
      </c>
      <c r="C496" s="5" t="str">
        <v>[DV] Tẩy tóc bật tông Ý (1 lần)</v>
      </c>
      <c r="D496" s="5">
        <v>915</v>
      </c>
      <c r="E496" s="5"/>
      <c r="F496" s="6">
        <v>252000</v>
      </c>
      <c r="G496" s="7">
        <v>252000</v>
      </c>
      <c r="H496" s="7">
        <v>252000</v>
      </c>
      <c r="I496" s="7">
        <v>252000</v>
      </c>
      <c r="J496" s="9" t="str">
        <v>Giá không đổi</v>
      </c>
      <c r="K496" s="4">
        <f>G496-F496</f>
      </c>
      <c r="L496" s="4">
        <v>204</v>
      </c>
      <c r="M496" s="4">
        <v>915</v>
      </c>
      <c r="N496" s="4" t="str">
        <v>Không đổi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5" t="str">
        <v>401/1 NDT</v>
      </c>
      <c r="B497" s="5">
        <f>VLOOKUP(A497,'Sheet10'!$A:$C,3,0)</f>
      </c>
      <c r="C497" s="5" t="str">
        <v>[DV] Tẩy tóc bật tông Ý (2 lần) 500k</v>
      </c>
      <c r="D497" s="5">
        <v>916</v>
      </c>
      <c r="E497" s="5"/>
      <c r="F497" s="6">
        <v>500000</v>
      </c>
      <c r="G497" s="7">
        <v>500000</v>
      </c>
      <c r="H497" s="7">
        <v>500000</v>
      </c>
      <c r="I497" s="7">
        <v>500000</v>
      </c>
      <c r="J497" s="9" t="str">
        <v>Giá không đổi</v>
      </c>
      <c r="K497" s="4">
        <f>G497-F497</f>
      </c>
      <c r="L497" s="4">
        <v>204</v>
      </c>
      <c r="M497" s="4">
        <v>916</v>
      </c>
      <c r="N497" s="4" t="str">
        <v>Không đổi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5" t="str">
        <v>401/1 NDT</v>
      </c>
      <c r="B498" s="5">
        <f>VLOOKUP(A498,'Sheet10'!$A:$C,3,0)</f>
      </c>
      <c r="C498" s="5" t="str">
        <v>[DV] Uốn Texture con sâu/Uốn Ruffled</v>
      </c>
      <c r="D498" s="5">
        <f>VLOOKUP(C498,'Sheet7'!$B:$C,2,0)</f>
      </c>
      <c r="E498" s="5"/>
      <c r="F498" s="6">
        <v>499000</v>
      </c>
      <c r="G498" s="8">
        <v>520000</v>
      </c>
      <c r="H498" s="7">
        <v>530000</v>
      </c>
      <c r="I498" s="7">
        <v>530000</v>
      </c>
      <c r="J498" s="3" t="str">
        <v>Điều chỉnh giá</v>
      </c>
      <c r="K498" s="4">
        <f>G498-F498</f>
      </c>
      <c r="L498" s="4">
        <v>204</v>
      </c>
      <c r="M498" s="4">
        <v>674</v>
      </c>
      <c r="N498" s="4" t="str" xml:space="preserve">
        <v>+10.000 VNĐ 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5" t="str">
        <v>401/1 NDT</v>
      </c>
      <c r="B499" s="5">
        <f>VLOOKUP(A499,'Sheet10'!$A:$C,3,0)</f>
      </c>
      <c r="C499" s="5" t="str">
        <v>[DV] Ép side hai bên</v>
      </c>
      <c r="D499" s="5">
        <f>VLOOKUP(C499,'Sheet7'!$B:$C,2,0)</f>
      </c>
      <c r="E499" s="5"/>
      <c r="F499" s="6">
        <v>189000</v>
      </c>
      <c r="G499" s="8">
        <v>198000</v>
      </c>
      <c r="H499" s="7">
        <v>208000</v>
      </c>
      <c r="I499" s="7">
        <v>208000</v>
      </c>
      <c r="J499" s="3" t="str">
        <v>Điều chỉnh giá</v>
      </c>
      <c r="K499" s="4">
        <f>G499-F499</f>
      </c>
      <c r="L499" s="4">
        <v>204</v>
      </c>
      <c r="M499" s="4">
        <v>902</v>
      </c>
      <c r="N499" s="4" t="str" xml:space="preserve">
        <v>+10.000 VNĐ 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5" t="str">
        <v>401/1 NDT</v>
      </c>
      <c r="B500" s="5">
        <f>VLOOKUP(A500,'Sheet10'!$A:$C,3,0)</f>
      </c>
      <c r="C500" s="5" t="str">
        <v>NHUỘM THIẾT KẾ PHỤC HỒI CHUYÊN SÂU LIPID BOND 2025</v>
      </c>
      <c r="D500" s="5">
        <v>1149</v>
      </c>
      <c r="E500" s="5"/>
      <c r="F500" s="6">
        <v>689000</v>
      </c>
      <c r="G500" s="8">
        <v>719000</v>
      </c>
      <c r="H500" s="8">
        <v>719000</v>
      </c>
      <c r="I500" s="8">
        <v>719000</v>
      </c>
      <c r="J500" s="3" t="str">
        <v>Điều chỉnh giá</v>
      </c>
      <c r="K500" s="4">
        <f>G500-F500</f>
      </c>
      <c r="L500" s="4">
        <v>204</v>
      </c>
      <c r="M500" s="4">
        <v>1149</v>
      </c>
      <c r="N500" s="4" t="str">
        <v>Không đổi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5" t="str">
        <v>401/1 NDT</v>
      </c>
      <c r="B501" s="5">
        <f>VLOOKUP(A501,'Sheet10'!$A:$C,3,0)</f>
      </c>
      <c r="C501" s="5" t="str">
        <v>Phục hồi trẻ hóa Lipid Bond</v>
      </c>
      <c r="D501" s="5">
        <v>1101</v>
      </c>
      <c r="E501" s="5"/>
      <c r="F501" s="6">
        <v>132000</v>
      </c>
      <c r="G501" s="8">
        <v>146000</v>
      </c>
      <c r="H501" s="8">
        <v>146000</v>
      </c>
      <c r="I501" s="8">
        <v>146000</v>
      </c>
      <c r="J501" s="3" t="str">
        <v>Điều chỉnh giá</v>
      </c>
      <c r="K501" s="4">
        <f>G501-F501</f>
      </c>
      <c r="L501" s="4">
        <v>204</v>
      </c>
      <c r="M501" s="4">
        <v>1101</v>
      </c>
      <c r="N501" s="4" t="str">
        <v>Không đổi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5" t="str">
        <v>401/1 NDT</v>
      </c>
      <c r="B502" s="5">
        <f>VLOOKUP(A502,'Sheet10'!$A:$C,3,0)</f>
      </c>
      <c r="C502" s="5" t="str">
        <v>UỐN THIẾT KẾ PHỤC HỒI CHUYÊN SÂU LIPID BOND 2025</v>
      </c>
      <c r="D502" s="5">
        <f>VLOOKUP(C502,'Sheet7'!$B:$C,2,0)</f>
      </c>
      <c r="E502" s="5"/>
      <c r="F502" s="6">
        <v>689000</v>
      </c>
      <c r="G502" s="7">
        <v>689000</v>
      </c>
      <c r="H502" s="7">
        <v>699000</v>
      </c>
      <c r="I502" s="7">
        <v>699000</v>
      </c>
      <c r="J502" s="9" t="str">
        <v>Giá không đổi</v>
      </c>
      <c r="K502" s="4">
        <f>G502-F502</f>
      </c>
      <c r="L502" s="4">
        <v>204</v>
      </c>
      <c r="M502" s="4">
        <v>1148</v>
      </c>
      <c r="N502" s="4" t="str" xml:space="preserve">
        <v>+10.000 VNĐ 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5" t="str">
        <v>401/1 NDT</v>
      </c>
      <c r="B503" s="5">
        <f>VLOOKUP(A503,'Sheet10'!$A:$C,3,0)</f>
      </c>
      <c r="C503" s="5" t="str">
        <v>Uốn định hình nếp tóc cao cấp (K-Perm Collection)</v>
      </c>
      <c r="D503" s="5">
        <f>VLOOKUP(C503,'Sheet7'!$B:$C,2,0)</f>
      </c>
      <c r="E503" s="5"/>
      <c r="F503" s="6">
        <v>478000</v>
      </c>
      <c r="G503" s="7">
        <v>478000</v>
      </c>
      <c r="H503" s="7">
        <v>488000</v>
      </c>
      <c r="I503" s="7">
        <v>488000</v>
      </c>
      <c r="J503" s="9" t="str">
        <v>Giá không đổi</v>
      </c>
      <c r="K503" s="4">
        <f>G503-F503</f>
      </c>
      <c r="L503" s="4">
        <v>204</v>
      </c>
      <c r="M503" s="4">
        <v>952</v>
      </c>
      <c r="N503" s="4" t="str" xml:space="preserve">
        <v>+10.000 VNĐ 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5" t="str">
        <v>420 HTP</v>
      </c>
      <c r="B504" s="5">
        <f>VLOOKUP(A504,'Sheet10'!$A:$C,3,0)</f>
      </c>
      <c r="C504" s="5" t="str">
        <v>(2022T) ATS Control Buffer - Khử mùi tạo thơm cho tóc uốn nhuộm 40k</v>
      </c>
      <c r="D504" s="5">
        <v>610</v>
      </c>
      <c r="E504" s="5"/>
      <c r="F504" s="6">
        <v>40000</v>
      </c>
      <c r="G504" s="7">
        <v>40000</v>
      </c>
      <c r="H504" s="7">
        <v>40000</v>
      </c>
      <c r="I504" s="7">
        <v>40000</v>
      </c>
      <c r="J504" s="9" t="str">
        <v>Giá không đổi</v>
      </c>
      <c r="K504" s="4">
        <f>G504-F504</f>
      </c>
      <c r="L504" s="4">
        <v>51</v>
      </c>
      <c r="M504" s="4">
        <v>610</v>
      </c>
      <c r="N504" s="4" t="str">
        <v>Không đổi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5" t="str">
        <v>420 HTP</v>
      </c>
      <c r="B505" s="5">
        <f>VLOOKUP(A505,'Sheet10'!$A:$C,3,0)</f>
      </c>
      <c r="C505" s="5" t="str">
        <v>(NEW) Nhuộm màu thời trang Milano</v>
      </c>
      <c r="D505" s="5">
        <v>960</v>
      </c>
      <c r="E505" s="5">
        <f>A505&amp;D505</f>
      </c>
      <c r="F505" s="6">
        <v>332000</v>
      </c>
      <c r="G505" s="8">
        <v>366000</v>
      </c>
      <c r="H505" s="8">
        <v>366000</v>
      </c>
      <c r="I505" s="8">
        <v>366000</v>
      </c>
      <c r="J505" s="3" t="str">
        <v>Điều chỉnh giá</v>
      </c>
      <c r="K505" s="4">
        <f>G505-F505</f>
      </c>
      <c r="L505" s="4">
        <v>51</v>
      </c>
      <c r="M505" s="4">
        <v>960</v>
      </c>
      <c r="N505" s="4" t="str">
        <v>Không đổi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5" t="str">
        <v>420 HTP</v>
      </c>
      <c r="B506" s="5">
        <f>VLOOKUP(A506,'Sheet10'!$A:$C,3,0)</f>
      </c>
      <c r="C506" s="5" t="str">
        <v>(NEW) Nhuộm phủ bạc tiêu chuẩn 199K</v>
      </c>
      <c r="D506" s="5">
        <v>967</v>
      </c>
      <c r="E506" s="5"/>
      <c r="F506" s="6">
        <v>199000</v>
      </c>
      <c r="G506" s="7">
        <v>199000</v>
      </c>
      <c r="H506" s="7">
        <v>199000</v>
      </c>
      <c r="I506" s="7">
        <v>199000</v>
      </c>
      <c r="J506" s="9" t="str">
        <v>Giá không đổi</v>
      </c>
      <c r="K506" s="4">
        <f>G506-F506</f>
      </c>
      <c r="L506" s="4">
        <v>51</v>
      </c>
      <c r="M506" s="4">
        <v>967</v>
      </c>
      <c r="N506" s="4" t="str">
        <v>Không đổi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5" t="str">
        <v>420 HTP</v>
      </c>
      <c r="B507" s="5">
        <f>VLOOKUP(A507,'Sheet10'!$A:$C,3,0)</f>
      </c>
      <c r="C507" s="5" t="str">
        <v>(NEW) Uốn/Duỗi/Định hình full đầu tạo form vào nếp tự nhiên</v>
      </c>
      <c r="D507" s="5">
        <f>VLOOKUP(C507,'Sheet7'!$B:$C,2,0)</f>
      </c>
      <c r="E507" s="5">
        <f>A507&amp;D507</f>
      </c>
      <c r="F507" s="6">
        <v>386000</v>
      </c>
      <c r="G507" s="7">
        <v>386000</v>
      </c>
      <c r="H507" s="7">
        <v>396000</v>
      </c>
      <c r="I507" s="7">
        <v>396000</v>
      </c>
      <c r="J507" s="9" t="str">
        <v>Giá không đổi</v>
      </c>
      <c r="K507" s="4">
        <f>G507-F507</f>
      </c>
      <c r="L507" s="4">
        <v>51</v>
      </c>
      <c r="M507" s="4">
        <v>1009</v>
      </c>
      <c r="N507" s="4" t="str" xml:space="preserve">
        <v>+10.000 VNĐ 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5" t="str">
        <v>420 HTP</v>
      </c>
      <c r="B508" s="5">
        <f>VLOOKUP(A508,'Sheet10'!$A:$C,3,0)</f>
      </c>
      <c r="C508" s="5" t="str">
        <v>[DV] Nhuộm đen phủ bạc R&amp;B thảo dược</v>
      </c>
      <c r="D508" s="5">
        <v>912</v>
      </c>
      <c r="E508" s="5"/>
      <c r="F508" s="6">
        <v>289000</v>
      </c>
      <c r="G508" s="7">
        <v>289000</v>
      </c>
      <c r="H508" s="7">
        <v>289000</v>
      </c>
      <c r="I508" s="7">
        <v>289000</v>
      </c>
      <c r="J508" s="9" t="str">
        <v>Giá không đổi</v>
      </c>
      <c r="K508" s="4">
        <f>G508-F508</f>
      </c>
      <c r="L508" s="4">
        <v>51</v>
      </c>
      <c r="M508" s="4">
        <v>912</v>
      </c>
      <c r="N508" s="4" t="str">
        <v>Không đổi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5" t="str">
        <v>420 HTP</v>
      </c>
      <c r="B509" s="5">
        <f>VLOOKUP(A509,'Sheet10'!$A:$C,3,0)</f>
      </c>
      <c r="C509" s="5" t="str">
        <v>[DV] Tẩy tóc bật tông Ý (1 lần)</v>
      </c>
      <c r="D509" s="5">
        <v>915</v>
      </c>
      <c r="E509" s="5"/>
      <c r="F509" s="6">
        <v>252000</v>
      </c>
      <c r="G509" s="7">
        <v>252000</v>
      </c>
      <c r="H509" s="7">
        <v>252000</v>
      </c>
      <c r="I509" s="7">
        <v>252000</v>
      </c>
      <c r="J509" s="9" t="str">
        <v>Giá không đổi</v>
      </c>
      <c r="K509" s="4">
        <f>G509-F509</f>
      </c>
      <c r="L509" s="4">
        <v>51</v>
      </c>
      <c r="M509" s="4">
        <v>915</v>
      </c>
      <c r="N509" s="4" t="str">
        <v>Không đổi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5" t="str">
        <v>420 HTP</v>
      </c>
      <c r="B510" s="5">
        <f>VLOOKUP(A510,'Sheet10'!$A:$C,3,0)</f>
      </c>
      <c r="C510" s="5" t="str">
        <v>[DV] Tẩy tóc bật tông Ý (2 lần) 500k</v>
      </c>
      <c r="D510" s="5">
        <v>916</v>
      </c>
      <c r="E510" s="5"/>
      <c r="F510" s="6">
        <v>500000</v>
      </c>
      <c r="G510" s="7">
        <v>500000</v>
      </c>
      <c r="H510" s="7">
        <v>500000</v>
      </c>
      <c r="I510" s="7">
        <v>500000</v>
      </c>
      <c r="J510" s="9" t="str">
        <v>Giá không đổi</v>
      </c>
      <c r="K510" s="4">
        <f>G510-F510</f>
      </c>
      <c r="L510" s="4">
        <v>51</v>
      </c>
      <c r="M510" s="4">
        <v>916</v>
      </c>
      <c r="N510" s="4" t="str">
        <v>Không đổi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5" t="str">
        <v>420 HTP</v>
      </c>
      <c r="B511" s="5">
        <f>VLOOKUP(A511,'Sheet10'!$A:$C,3,0)</f>
      </c>
      <c r="C511" s="5" t="str">
        <v>[DV] Uốn Texture con sâu/Uốn Ruffled</v>
      </c>
      <c r="D511" s="5">
        <f>VLOOKUP(C511,'Sheet7'!$B:$C,2,0)</f>
      </c>
      <c r="E511" s="5"/>
      <c r="F511" s="6">
        <v>499000</v>
      </c>
      <c r="G511" s="8">
        <v>550000</v>
      </c>
      <c r="H511" s="7">
        <v>560000</v>
      </c>
      <c r="I511" s="7">
        <v>560000</v>
      </c>
      <c r="J511" s="3" t="str">
        <v>Điều chỉnh giá</v>
      </c>
      <c r="K511" s="4">
        <f>G511-F511</f>
      </c>
      <c r="L511" s="4">
        <v>51</v>
      </c>
      <c r="M511" s="4">
        <v>674</v>
      </c>
      <c r="N511" s="4" t="str" xml:space="preserve">
        <v>+10.000 VNĐ 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5" t="str">
        <v>420 HTP</v>
      </c>
      <c r="B512" s="5">
        <f>VLOOKUP(A512,'Sheet10'!$A:$C,3,0)</f>
      </c>
      <c r="C512" s="5" t="str">
        <v>[DV] Ép side hai bên</v>
      </c>
      <c r="D512" s="5">
        <f>VLOOKUP(C512,'Sheet7'!$B:$C,2,0)</f>
      </c>
      <c r="E512" s="5"/>
      <c r="F512" s="6">
        <v>189000</v>
      </c>
      <c r="G512" s="8">
        <v>216000</v>
      </c>
      <c r="H512" s="7">
        <v>226000</v>
      </c>
      <c r="I512" s="7">
        <v>226000</v>
      </c>
      <c r="J512" s="3" t="str">
        <v>Điều chỉnh giá</v>
      </c>
      <c r="K512" s="4">
        <f>G512-F512</f>
      </c>
      <c r="L512" s="4">
        <v>51</v>
      </c>
      <c r="M512" s="4">
        <v>902</v>
      </c>
      <c r="N512" s="4" t="str" xml:space="preserve">
        <v>+10.000 VNĐ 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5" t="str">
        <v>420 HTP</v>
      </c>
      <c r="B513" s="5">
        <f>VLOOKUP(A513,'Sheet10'!$A:$C,3,0)</f>
      </c>
      <c r="C513" s="5" t="str">
        <v>NHUỘM THIẾT KẾ PHỤC HỒI CHUYÊN SÂU LIPID BOND 2025</v>
      </c>
      <c r="D513" s="5">
        <v>1149</v>
      </c>
      <c r="E513" s="5"/>
      <c r="F513" s="6">
        <v>689000</v>
      </c>
      <c r="G513" s="8">
        <v>759000</v>
      </c>
      <c r="H513" s="8">
        <v>759000</v>
      </c>
      <c r="I513" s="8">
        <v>759000</v>
      </c>
      <c r="J513" s="3" t="str">
        <v>Điều chỉnh giá</v>
      </c>
      <c r="K513" s="4">
        <f>G513-F513</f>
      </c>
      <c r="L513" s="4">
        <v>51</v>
      </c>
      <c r="M513" s="4">
        <v>1149</v>
      </c>
      <c r="N513" s="4" t="str">
        <v>Không đổi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5" t="str">
        <v>420 HTP</v>
      </c>
      <c r="B514" s="5">
        <f>VLOOKUP(A514,'Sheet10'!$A:$C,3,0)</f>
      </c>
      <c r="C514" s="5" t="str">
        <v>Phục hồi trẻ hóa Lipid Bond</v>
      </c>
      <c r="D514" s="5">
        <v>1101</v>
      </c>
      <c r="E514" s="5"/>
      <c r="F514" s="6">
        <v>132000</v>
      </c>
      <c r="G514" s="8">
        <v>146000</v>
      </c>
      <c r="H514" s="8">
        <v>146000</v>
      </c>
      <c r="I514" s="8">
        <v>146000</v>
      </c>
      <c r="J514" s="3" t="str">
        <v>Điều chỉnh giá</v>
      </c>
      <c r="K514" s="4">
        <f>G514-F514</f>
      </c>
      <c r="L514" s="4">
        <v>51</v>
      </c>
      <c r="M514" s="4">
        <v>1101</v>
      </c>
      <c r="N514" s="4" t="str">
        <v>Không đổi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5" t="str">
        <v>420 HTP</v>
      </c>
      <c r="B515" s="5">
        <f>VLOOKUP(A515,'Sheet10'!$A:$C,3,0)</f>
      </c>
      <c r="C515" s="5" t="str">
        <v>UỐN THIẾT KẾ PHỤC HỒI CHUYÊN SÂU LIPID BOND 2025</v>
      </c>
      <c r="D515" s="5">
        <f>VLOOKUP(C515,'Sheet7'!$B:$C,2,0)</f>
      </c>
      <c r="E515" s="5"/>
      <c r="F515" s="6">
        <v>689000</v>
      </c>
      <c r="G515" s="7">
        <v>689000</v>
      </c>
      <c r="H515" s="7">
        <v>699000</v>
      </c>
      <c r="I515" s="7">
        <v>699000</v>
      </c>
      <c r="J515" s="9" t="str">
        <v>Giá không đổi</v>
      </c>
      <c r="K515" s="4">
        <f>G515-F515</f>
      </c>
      <c r="L515" s="4">
        <v>51</v>
      </c>
      <c r="M515" s="4">
        <v>1148</v>
      </c>
      <c r="N515" s="4" t="str" xml:space="preserve">
        <v>+10.000 VNĐ 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5" t="str">
        <v>420 HTP</v>
      </c>
      <c r="B516" s="5">
        <f>VLOOKUP(A516,'Sheet10'!$A:$C,3,0)</f>
      </c>
      <c r="C516" s="5" t="str">
        <v>Uốn định hình nếp tóc cao cấp (K-Perm Collection)</v>
      </c>
      <c r="D516" s="5">
        <f>VLOOKUP(C516,'Sheet7'!$B:$C,2,0)</f>
      </c>
      <c r="E516" s="5"/>
      <c r="F516" s="6">
        <v>478000</v>
      </c>
      <c r="G516" s="7">
        <v>478000</v>
      </c>
      <c r="H516" s="7">
        <v>488000</v>
      </c>
      <c r="I516" s="7">
        <v>488000</v>
      </c>
      <c r="J516" s="9" t="str">
        <v>Giá không đổi</v>
      </c>
      <c r="K516" s="4">
        <f>G516-F516</f>
      </c>
      <c r="L516" s="4">
        <v>51</v>
      </c>
      <c r="M516" s="4">
        <v>952</v>
      </c>
      <c r="N516" s="4" t="str" xml:space="preserve">
        <v>+10.000 VNĐ 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5" t="str">
        <v>451 PVT</v>
      </c>
      <c r="B517" s="5">
        <f>VLOOKUP(A517,'Sheet10'!$A:$C,3,0)</f>
      </c>
      <c r="C517" s="5" t="str">
        <v>(2022T) ATS Control Buffer - Khử mùi tạo thơm cho tóc uốn nhuộm 40k</v>
      </c>
      <c r="D517" s="5">
        <v>610</v>
      </c>
      <c r="E517" s="5"/>
      <c r="F517" s="6">
        <v>40000</v>
      </c>
      <c r="G517" s="7">
        <v>40000</v>
      </c>
      <c r="H517" s="7">
        <v>40000</v>
      </c>
      <c r="I517" s="7">
        <v>40000</v>
      </c>
      <c r="J517" s="9" t="str">
        <v>Giá không đổi</v>
      </c>
      <c r="K517" s="4">
        <f>G517-F517</f>
      </c>
      <c r="L517" s="4">
        <v>52</v>
      </c>
      <c r="M517" s="4">
        <v>610</v>
      </c>
      <c r="N517" s="4" t="str">
        <v>Không đổi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5" t="str">
        <v>451 PVT</v>
      </c>
      <c r="B518" s="5">
        <f>VLOOKUP(A518,'Sheet10'!$A:$C,3,0)</f>
      </c>
      <c r="C518" s="5" t="str">
        <v>(NEW) Nhuộm màu thời trang Milano</v>
      </c>
      <c r="D518" s="5">
        <v>960</v>
      </c>
      <c r="E518" s="5">
        <f>A518&amp;D518</f>
      </c>
      <c r="F518" s="6">
        <v>332000</v>
      </c>
      <c r="G518" s="7">
        <v>332000</v>
      </c>
      <c r="H518" s="7">
        <v>332000</v>
      </c>
      <c r="I518" s="7">
        <v>332000</v>
      </c>
      <c r="J518" s="9" t="str">
        <v>Giá không đổi</v>
      </c>
      <c r="K518" s="4">
        <f>G518-F518</f>
      </c>
      <c r="L518" s="4">
        <v>52</v>
      </c>
      <c r="M518" s="4">
        <v>960</v>
      </c>
      <c r="N518" s="4" t="str">
        <v>Không đổi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5" t="str">
        <v>451 PVT</v>
      </c>
      <c r="B519" s="5">
        <f>VLOOKUP(A519,'Sheet10'!$A:$C,3,0)</f>
      </c>
      <c r="C519" s="5" t="str">
        <v>(NEW) Nhuộm phủ bạc tiêu chuẩn 199K</v>
      </c>
      <c r="D519" s="5">
        <v>967</v>
      </c>
      <c r="E519" s="5"/>
      <c r="F519" s="6">
        <v>199000</v>
      </c>
      <c r="G519" s="7">
        <v>199000</v>
      </c>
      <c r="H519" s="7">
        <v>199000</v>
      </c>
      <c r="I519" s="7">
        <v>199000</v>
      </c>
      <c r="J519" s="9" t="str">
        <v>Giá không đổi</v>
      </c>
      <c r="K519" s="4">
        <f>G519-F519</f>
      </c>
      <c r="L519" s="4">
        <v>52</v>
      </c>
      <c r="M519" s="4">
        <v>967</v>
      </c>
      <c r="N519" s="4" t="str">
        <v>Không đổi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5" t="str">
        <v>451 PVT</v>
      </c>
      <c r="B520" s="5">
        <f>VLOOKUP(A520,'Sheet10'!$A:$C,3,0)</f>
      </c>
      <c r="C520" s="5" t="str">
        <v>(NEW) Uốn/Duỗi/Định hình full đầu tạo form vào nếp tự nhiên</v>
      </c>
      <c r="D520" s="5">
        <f>VLOOKUP(C520,'Sheet7'!$B:$C,2,0)</f>
      </c>
      <c r="E520" s="5">
        <f>A520&amp;D520</f>
      </c>
      <c r="F520" s="6">
        <v>386000</v>
      </c>
      <c r="G520" s="7">
        <v>386000</v>
      </c>
      <c r="H520" s="7">
        <v>396000</v>
      </c>
      <c r="I520" s="7">
        <v>396000</v>
      </c>
      <c r="J520" s="9" t="str">
        <v>Giá không đổi</v>
      </c>
      <c r="K520" s="4">
        <f>G520-F520</f>
      </c>
      <c r="L520" s="4">
        <v>52</v>
      </c>
      <c r="M520" s="4">
        <v>1009</v>
      </c>
      <c r="N520" s="4" t="str" xml:space="preserve">
        <v>+10.000 VNĐ 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5" t="str">
        <v>451 PVT</v>
      </c>
      <c r="B521" s="5">
        <f>VLOOKUP(A521,'Sheet10'!$A:$C,3,0)</f>
      </c>
      <c r="C521" s="5" t="str">
        <v>[DV] Nhuộm đen phủ bạc R&amp;B thảo dược</v>
      </c>
      <c r="D521" s="5">
        <v>912</v>
      </c>
      <c r="E521" s="5"/>
      <c r="F521" s="6">
        <v>289000</v>
      </c>
      <c r="G521" s="7">
        <v>289000</v>
      </c>
      <c r="H521" s="7">
        <v>289000</v>
      </c>
      <c r="I521" s="7">
        <v>289000</v>
      </c>
      <c r="J521" s="9" t="str">
        <v>Giá không đổi</v>
      </c>
      <c r="K521" s="4">
        <f>G521-F521</f>
      </c>
      <c r="L521" s="4">
        <v>52</v>
      </c>
      <c r="M521" s="4">
        <v>912</v>
      </c>
      <c r="N521" s="4" t="str">
        <v>Không đổi</v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5" t="str">
        <v>451 PVT</v>
      </c>
      <c r="B522" s="5">
        <f>VLOOKUP(A522,'Sheet10'!$A:$C,3,0)</f>
      </c>
      <c r="C522" s="5" t="str">
        <v>[DV] Tẩy tóc bật tông Ý (1 lần)</v>
      </c>
      <c r="D522" s="5">
        <v>915</v>
      </c>
      <c r="E522" s="5"/>
      <c r="F522" s="6">
        <v>252000</v>
      </c>
      <c r="G522" s="7">
        <v>252000</v>
      </c>
      <c r="H522" s="7">
        <v>252000</v>
      </c>
      <c r="I522" s="7">
        <v>252000</v>
      </c>
      <c r="J522" s="9" t="str">
        <v>Giá không đổi</v>
      </c>
      <c r="K522" s="4">
        <f>G522-F522</f>
      </c>
      <c r="L522" s="4">
        <v>52</v>
      </c>
      <c r="M522" s="4">
        <v>915</v>
      </c>
      <c r="N522" s="4" t="str">
        <v>Không đổi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5" t="str">
        <v>451 PVT</v>
      </c>
      <c r="B523" s="5">
        <f>VLOOKUP(A523,'Sheet10'!$A:$C,3,0)</f>
      </c>
      <c r="C523" s="5" t="str">
        <v>[DV] Tẩy tóc bật tông Ý (2 lần) 500k</v>
      </c>
      <c r="D523" s="5">
        <v>916</v>
      </c>
      <c r="E523" s="5"/>
      <c r="F523" s="6">
        <v>500000</v>
      </c>
      <c r="G523" s="7">
        <v>500000</v>
      </c>
      <c r="H523" s="7">
        <v>500000</v>
      </c>
      <c r="I523" s="7">
        <v>500000</v>
      </c>
      <c r="J523" s="9" t="str">
        <v>Giá không đổi</v>
      </c>
      <c r="K523" s="4">
        <f>G523-F523</f>
      </c>
      <c r="L523" s="4">
        <v>52</v>
      </c>
      <c r="M523" s="4">
        <v>916</v>
      </c>
      <c r="N523" s="4" t="str">
        <v>Không đổi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5" t="str">
        <v>451 PVT</v>
      </c>
      <c r="B524" s="5">
        <f>VLOOKUP(A524,'Sheet10'!$A:$C,3,0)</f>
      </c>
      <c r="C524" s="5" t="str">
        <v>[DV] Uốn Texture con sâu/Uốn Ruffled</v>
      </c>
      <c r="D524" s="5">
        <f>VLOOKUP(C524,'Sheet7'!$B:$C,2,0)</f>
      </c>
      <c r="E524" s="5"/>
      <c r="F524" s="6">
        <v>499000</v>
      </c>
      <c r="G524" s="7">
        <v>499000</v>
      </c>
      <c r="H524" s="7">
        <v>509000</v>
      </c>
      <c r="I524" s="7">
        <v>509000</v>
      </c>
      <c r="J524" s="9" t="str">
        <v>Giá không đổi</v>
      </c>
      <c r="K524" s="4">
        <f>G524-F524</f>
      </c>
      <c r="L524" s="4">
        <v>52</v>
      </c>
      <c r="M524" s="4">
        <v>674</v>
      </c>
      <c r="N524" s="4" t="str" xml:space="preserve">
        <v>+10.000 VNĐ 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5" t="str">
        <v>451 PVT</v>
      </c>
      <c r="B525" s="5">
        <f>VLOOKUP(A525,'Sheet10'!$A:$C,3,0)</f>
      </c>
      <c r="C525" s="5" t="str">
        <v>[DV] Ép side hai bên</v>
      </c>
      <c r="D525" s="5">
        <f>VLOOKUP(C525,'Sheet7'!$B:$C,2,0)</f>
      </c>
      <c r="E525" s="5"/>
      <c r="F525" s="6">
        <v>189000</v>
      </c>
      <c r="G525" s="7">
        <v>189000</v>
      </c>
      <c r="H525" s="7">
        <v>199000</v>
      </c>
      <c r="I525" s="7">
        <v>199000</v>
      </c>
      <c r="J525" s="9" t="str">
        <v>Giá không đổi</v>
      </c>
      <c r="K525" s="4">
        <f>G525-F525</f>
      </c>
      <c r="L525" s="4">
        <v>52</v>
      </c>
      <c r="M525" s="4">
        <v>902</v>
      </c>
      <c r="N525" s="4" t="str" xml:space="preserve">
        <v>+10.000 VNĐ 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5" t="str">
        <v>451 PVT</v>
      </c>
      <c r="B526" s="5">
        <f>VLOOKUP(A526,'Sheet10'!$A:$C,3,0)</f>
      </c>
      <c r="C526" s="5" t="str">
        <v>NHUỘM THIẾT KẾ PHỤC HỒI CHUYÊN SÂU LIPID BOND 2025</v>
      </c>
      <c r="D526" s="5">
        <v>1149</v>
      </c>
      <c r="E526" s="5"/>
      <c r="F526" s="6">
        <v>689000</v>
      </c>
      <c r="G526" s="7">
        <v>689000</v>
      </c>
      <c r="H526" s="7">
        <v>689000</v>
      </c>
      <c r="I526" s="7">
        <v>689000</v>
      </c>
      <c r="J526" s="9" t="str">
        <v>Giá không đổi</v>
      </c>
      <c r="K526" s="4">
        <f>G526-F526</f>
      </c>
      <c r="L526" s="4">
        <v>52</v>
      </c>
      <c r="M526" s="4">
        <v>1149</v>
      </c>
      <c r="N526" s="4" t="str">
        <v>Không đổi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5" t="str">
        <v>451 PVT</v>
      </c>
      <c r="B527" s="5">
        <f>VLOOKUP(A527,'Sheet10'!$A:$C,3,0)</f>
      </c>
      <c r="C527" s="5" t="str">
        <v>Phục hồi trẻ hóa Lipid Bond</v>
      </c>
      <c r="D527" s="5">
        <v>1101</v>
      </c>
      <c r="E527" s="5"/>
      <c r="F527" s="6">
        <v>132000</v>
      </c>
      <c r="G527" s="8">
        <v>146000</v>
      </c>
      <c r="H527" s="8">
        <v>146000</v>
      </c>
      <c r="I527" s="8">
        <v>146000</v>
      </c>
      <c r="J527" s="3" t="str">
        <v>Điều chỉnh giá</v>
      </c>
      <c r="K527" s="4">
        <f>G527-F527</f>
      </c>
      <c r="L527" s="4">
        <v>52</v>
      </c>
      <c r="M527" s="4">
        <v>1101</v>
      </c>
      <c r="N527" s="4" t="str">
        <v>Không đổi</v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5" t="str">
        <v>451 PVT</v>
      </c>
      <c r="B528" s="5">
        <f>VLOOKUP(A528,'Sheet10'!$A:$C,3,0)</f>
      </c>
      <c r="C528" s="5" t="str">
        <v>UỐN THIẾT KẾ PHỤC HỒI CHUYÊN SÂU LIPID BOND 2025</v>
      </c>
      <c r="D528" s="5">
        <f>VLOOKUP(C528,'Sheet7'!$B:$C,2,0)</f>
      </c>
      <c r="E528" s="5"/>
      <c r="F528" s="6">
        <v>689000</v>
      </c>
      <c r="G528" s="7">
        <v>689000</v>
      </c>
      <c r="H528" s="7">
        <v>699000</v>
      </c>
      <c r="I528" s="7">
        <v>699000</v>
      </c>
      <c r="J528" s="9" t="str">
        <v>Giá không đổi</v>
      </c>
      <c r="K528" s="4">
        <f>G528-F528</f>
      </c>
      <c r="L528" s="4">
        <v>52</v>
      </c>
      <c r="M528" s="4">
        <v>1148</v>
      </c>
      <c r="N528" s="4" t="str" xml:space="preserve">
        <v>+10.000 VNĐ 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5" t="str">
        <v>451 PVT</v>
      </c>
      <c r="B529" s="5">
        <f>VLOOKUP(A529,'Sheet10'!$A:$C,3,0)</f>
      </c>
      <c r="C529" s="5" t="str">
        <v>Uốn định hình nếp tóc cao cấp (K-Perm Collection)</v>
      </c>
      <c r="D529" s="5">
        <f>VLOOKUP(C529,'Sheet7'!$B:$C,2,0)</f>
      </c>
      <c r="E529" s="5"/>
      <c r="F529" s="6">
        <v>478000</v>
      </c>
      <c r="G529" s="7">
        <v>478000</v>
      </c>
      <c r="H529" s="7">
        <v>488000</v>
      </c>
      <c r="I529" s="7">
        <v>488000</v>
      </c>
      <c r="J529" s="9" t="str">
        <v>Giá không đổi</v>
      </c>
      <c r="K529" s="4">
        <f>G529-F529</f>
      </c>
      <c r="L529" s="4">
        <v>52</v>
      </c>
      <c r="M529" s="4">
        <v>952</v>
      </c>
      <c r="N529" s="4" t="str" xml:space="preserve">
        <v>+10.000 VNĐ 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5" t="str">
        <v>483 TN</v>
      </c>
      <c r="B530" s="5">
        <f>VLOOKUP(A530,'Sheet10'!$A:$C,3,0)</f>
      </c>
      <c r="C530" s="5" t="str">
        <v>(2022T) ATS Control Buffer - Khử mùi tạo thơm cho tóc uốn nhuộm 40k</v>
      </c>
      <c r="D530" s="5">
        <v>610</v>
      </c>
      <c r="E530" s="5"/>
      <c r="F530" s="6">
        <v>40000</v>
      </c>
      <c r="G530" s="7">
        <v>40000</v>
      </c>
      <c r="H530" s="7">
        <v>40000</v>
      </c>
      <c r="I530" s="7">
        <v>40000</v>
      </c>
      <c r="J530" s="9" t="str">
        <v>Giá không đổi</v>
      </c>
      <c r="K530" s="4">
        <f>G530-F530</f>
      </c>
      <c r="L530" s="4">
        <v>46</v>
      </c>
      <c r="M530" s="4">
        <v>610</v>
      </c>
      <c r="N530" s="4" t="str">
        <v>Không đổi</v>
      </c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5" t="str">
        <v>483 TN</v>
      </c>
      <c r="B531" s="5">
        <f>VLOOKUP(A531,'Sheet10'!$A:$C,3,0)</f>
      </c>
      <c r="C531" s="5" t="str">
        <v>(NEW) Nhuộm màu thời trang Milano</v>
      </c>
      <c r="D531" s="5">
        <v>960</v>
      </c>
      <c r="E531" s="5">
        <f>A531&amp;D531</f>
      </c>
      <c r="F531" s="6">
        <v>332000</v>
      </c>
      <c r="G531" s="8">
        <v>332000</v>
      </c>
      <c r="H531" s="8">
        <v>332000</v>
      </c>
      <c r="I531" s="8">
        <v>332000</v>
      </c>
      <c r="J531" s="3"/>
      <c r="K531" s="4">
        <f>G531-F531</f>
      </c>
      <c r="L531" s="4">
        <v>46</v>
      </c>
      <c r="M531" s="4">
        <v>960</v>
      </c>
      <c r="N531" s="4" t="str">
        <v>Không đổi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5" t="str">
        <v>483 TN</v>
      </c>
      <c r="B532" s="5">
        <f>VLOOKUP(A532,'Sheet10'!$A:$C,3,0)</f>
      </c>
      <c r="C532" s="5" t="str">
        <v>(NEW) Nhuộm phủ bạc tiêu chuẩn 199K</v>
      </c>
      <c r="D532" s="5">
        <v>967</v>
      </c>
      <c r="E532" s="5"/>
      <c r="F532" s="6">
        <v>199000</v>
      </c>
      <c r="G532" s="7">
        <v>199000</v>
      </c>
      <c r="H532" s="7">
        <v>199000</v>
      </c>
      <c r="I532" s="7">
        <v>199000</v>
      </c>
      <c r="J532" s="9" t="str">
        <v>Giá không đổi</v>
      </c>
      <c r="K532" s="4">
        <f>G532-F532</f>
      </c>
      <c r="L532" s="4">
        <v>46</v>
      </c>
      <c r="M532" s="4">
        <v>967</v>
      </c>
      <c r="N532" s="4" t="str">
        <v>Không đổi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5" t="str">
        <v>483 TN</v>
      </c>
      <c r="B533" s="5">
        <f>VLOOKUP(A533,'Sheet10'!$A:$C,3,0)</f>
      </c>
      <c r="C533" s="5" t="str">
        <v>(NEW) Uốn/Duỗi/Định hình full đầu tạo form vào nếp tự nhiên</v>
      </c>
      <c r="D533" s="5">
        <f>VLOOKUP(C533,'Sheet7'!$B:$C,2,0)</f>
      </c>
      <c r="E533" s="5">
        <f>A533&amp;D533</f>
      </c>
      <c r="F533" s="6">
        <v>386000</v>
      </c>
      <c r="G533" s="7">
        <v>386000</v>
      </c>
      <c r="H533" s="7">
        <v>396000</v>
      </c>
      <c r="I533" s="7">
        <v>396000</v>
      </c>
      <c r="J533" s="9" t="str">
        <v>Giá không đổi</v>
      </c>
      <c r="K533" s="4">
        <f>G533-F533</f>
      </c>
      <c r="L533" s="4">
        <v>46</v>
      </c>
      <c r="M533" s="4">
        <v>1009</v>
      </c>
      <c r="N533" s="4" t="str" xml:space="preserve">
        <v>+10.000 VNĐ 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5" t="str">
        <v>483 TN</v>
      </c>
      <c r="B534" s="5">
        <f>VLOOKUP(A534,'Sheet10'!$A:$C,3,0)</f>
      </c>
      <c r="C534" s="5" t="str">
        <v>[DV] Nhuộm đen phủ bạc R&amp;B thảo dược</v>
      </c>
      <c r="D534" s="5">
        <v>912</v>
      </c>
      <c r="E534" s="5"/>
      <c r="F534" s="6">
        <v>289000</v>
      </c>
      <c r="G534" s="7">
        <v>289000</v>
      </c>
      <c r="H534" s="7">
        <v>289000</v>
      </c>
      <c r="I534" s="7">
        <v>289000</v>
      </c>
      <c r="J534" s="9" t="str">
        <v>Giá không đổi</v>
      </c>
      <c r="K534" s="4">
        <f>G534-F534</f>
      </c>
      <c r="L534" s="4">
        <v>46</v>
      </c>
      <c r="M534" s="4">
        <v>912</v>
      </c>
      <c r="N534" s="4" t="str">
        <v>Không đổi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5" t="str">
        <v>483 TN</v>
      </c>
      <c r="B535" s="5">
        <f>VLOOKUP(A535,'Sheet10'!$A:$C,3,0)</f>
      </c>
      <c r="C535" s="5" t="str">
        <v>[DV] Tẩy tóc bật tông Ý (1 lần)</v>
      </c>
      <c r="D535" s="5">
        <v>915</v>
      </c>
      <c r="E535" s="5"/>
      <c r="F535" s="6">
        <v>252000</v>
      </c>
      <c r="G535" s="7">
        <v>252000</v>
      </c>
      <c r="H535" s="7">
        <v>252000</v>
      </c>
      <c r="I535" s="7">
        <v>252000</v>
      </c>
      <c r="J535" s="9" t="str">
        <v>Giá không đổi</v>
      </c>
      <c r="K535" s="4">
        <f>G535-F535</f>
      </c>
      <c r="L535" s="4">
        <v>46</v>
      </c>
      <c r="M535" s="4">
        <v>915</v>
      </c>
      <c r="N535" s="4" t="str">
        <v>Không đổi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5" t="str">
        <v>483 TN</v>
      </c>
      <c r="B536" s="5">
        <f>VLOOKUP(A536,'Sheet10'!$A:$C,3,0)</f>
      </c>
      <c r="C536" s="5" t="str">
        <v>[DV] Tẩy tóc bật tông Ý (2 lần) 500k</v>
      </c>
      <c r="D536" s="5">
        <v>916</v>
      </c>
      <c r="E536" s="5"/>
      <c r="F536" s="6">
        <v>500000</v>
      </c>
      <c r="G536" s="7">
        <v>500000</v>
      </c>
      <c r="H536" s="7">
        <v>500000</v>
      </c>
      <c r="I536" s="7">
        <v>500000</v>
      </c>
      <c r="J536" s="9" t="str">
        <v>Giá không đổi</v>
      </c>
      <c r="K536" s="4">
        <f>G536-F536</f>
      </c>
      <c r="L536" s="4">
        <v>46</v>
      </c>
      <c r="M536" s="4">
        <v>916</v>
      </c>
      <c r="N536" s="4" t="str">
        <v>Không đổi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5" t="str">
        <v>483 TN</v>
      </c>
      <c r="B537" s="5">
        <f>VLOOKUP(A537,'Sheet10'!$A:$C,3,0)</f>
      </c>
      <c r="C537" s="5" t="str">
        <v>[DV] Uốn Texture con sâu/Uốn Ruffled</v>
      </c>
      <c r="D537" s="5">
        <f>VLOOKUP(C537,'Sheet7'!$B:$C,2,0)</f>
      </c>
      <c r="E537" s="5"/>
      <c r="F537" s="6">
        <v>499000</v>
      </c>
      <c r="G537" s="8">
        <v>550000</v>
      </c>
      <c r="H537" s="7">
        <v>560000</v>
      </c>
      <c r="I537" s="7">
        <v>560000</v>
      </c>
      <c r="J537" s="3" t="str">
        <v>Điều chỉnh giá</v>
      </c>
      <c r="K537" s="4">
        <f>G537-F537</f>
      </c>
      <c r="L537" s="4">
        <v>46</v>
      </c>
      <c r="M537" s="4">
        <v>674</v>
      </c>
      <c r="N537" s="4" t="str" xml:space="preserve">
        <v>+10.000 VNĐ 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5" t="str">
        <v>483 TN</v>
      </c>
      <c r="B538" s="5">
        <f>VLOOKUP(A538,'Sheet10'!$A:$C,3,0)</f>
      </c>
      <c r="C538" s="5" t="str">
        <v>[DV] Ép side hai bên</v>
      </c>
      <c r="D538" s="5">
        <f>VLOOKUP(C538,'Sheet7'!$B:$C,2,0)</f>
      </c>
      <c r="E538" s="5"/>
      <c r="F538" s="6">
        <v>189000</v>
      </c>
      <c r="G538" s="8">
        <v>216000</v>
      </c>
      <c r="H538" s="7">
        <v>226000</v>
      </c>
      <c r="I538" s="7">
        <v>226000</v>
      </c>
      <c r="J538" s="3" t="str">
        <v>Điều chỉnh giá</v>
      </c>
      <c r="K538" s="4">
        <f>G538-F538</f>
      </c>
      <c r="L538" s="4">
        <v>46</v>
      </c>
      <c r="M538" s="4">
        <v>902</v>
      </c>
      <c r="N538" s="4" t="str" xml:space="preserve">
        <v>+10.000 VNĐ 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5" t="str">
        <v>483 TN</v>
      </c>
      <c r="B539" s="5">
        <f>VLOOKUP(A539,'Sheet10'!$A:$C,3,0)</f>
      </c>
      <c r="C539" s="5" t="str">
        <v>NHUỘM THIẾT KẾ PHỤC HỒI CHUYÊN SÂU LIPID BOND 2025</v>
      </c>
      <c r="D539" s="5">
        <v>1149</v>
      </c>
      <c r="E539" s="5"/>
      <c r="F539" s="6">
        <v>689000</v>
      </c>
      <c r="G539" s="8">
        <v>759000</v>
      </c>
      <c r="H539" s="8">
        <v>759000</v>
      </c>
      <c r="I539" s="8">
        <v>759000</v>
      </c>
      <c r="J539" s="3" t="str">
        <v>Điều chỉnh giá</v>
      </c>
      <c r="K539" s="4">
        <f>G539-F539</f>
      </c>
      <c r="L539" s="4">
        <v>46</v>
      </c>
      <c r="M539" s="4">
        <v>1149</v>
      </c>
      <c r="N539" s="4" t="str">
        <v>Không đổi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5" t="str">
        <v>483 TN</v>
      </c>
      <c r="B540" s="5">
        <f>VLOOKUP(A540,'Sheet10'!$A:$C,3,0)</f>
      </c>
      <c r="C540" s="5" t="str">
        <v>Phục hồi trẻ hóa Lipid Bond</v>
      </c>
      <c r="D540" s="5">
        <v>1101</v>
      </c>
      <c r="E540" s="5"/>
      <c r="F540" s="6">
        <v>132000</v>
      </c>
      <c r="G540" s="8">
        <v>146000</v>
      </c>
      <c r="H540" s="8">
        <v>146000</v>
      </c>
      <c r="I540" s="8">
        <v>146000</v>
      </c>
      <c r="J540" s="3" t="str">
        <v>Điều chỉnh giá</v>
      </c>
      <c r="K540" s="4">
        <f>G540-F540</f>
      </c>
      <c r="L540" s="4">
        <v>46</v>
      </c>
      <c r="M540" s="4">
        <v>1101</v>
      </c>
      <c r="N540" s="4" t="str">
        <v>Không đổi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5" t="str">
        <v>483 TN</v>
      </c>
      <c r="B541" s="5">
        <f>VLOOKUP(A541,'Sheet10'!$A:$C,3,0)</f>
      </c>
      <c r="C541" s="5" t="str">
        <v>UỐN THIẾT KẾ PHỤC HỒI CHUYÊN SÂU LIPID BOND 2025</v>
      </c>
      <c r="D541" s="5">
        <f>VLOOKUP(C541,'Sheet7'!$B:$C,2,0)</f>
      </c>
      <c r="E541" s="5"/>
      <c r="F541" s="6">
        <v>689000</v>
      </c>
      <c r="G541" s="7">
        <v>689000</v>
      </c>
      <c r="H541" s="7">
        <v>699000</v>
      </c>
      <c r="I541" s="7">
        <v>699000</v>
      </c>
      <c r="J541" s="9" t="str">
        <v>Giá không đổi</v>
      </c>
      <c r="K541" s="4">
        <f>G541-F541</f>
      </c>
      <c r="L541" s="4">
        <v>46</v>
      </c>
      <c r="M541" s="4">
        <v>1148</v>
      </c>
      <c r="N541" s="4" t="str" xml:space="preserve">
        <v>+10.000 VNĐ 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5" t="str">
        <v>483 TN</v>
      </c>
      <c r="B542" s="5">
        <f>VLOOKUP(A542,'Sheet10'!$A:$C,3,0)</f>
      </c>
      <c r="C542" s="5" t="str">
        <v>Uốn định hình nếp tóc cao cấp (K-Perm Collection)</v>
      </c>
      <c r="D542" s="5">
        <f>VLOOKUP(C542,'Sheet7'!$B:$C,2,0)</f>
      </c>
      <c r="E542" s="5"/>
      <c r="F542" s="6">
        <v>478000</v>
      </c>
      <c r="G542" s="7">
        <v>478000</v>
      </c>
      <c r="H542" s="7">
        <v>488000</v>
      </c>
      <c r="I542" s="7">
        <v>488000</v>
      </c>
      <c r="J542" s="9" t="str">
        <v>Giá không đổi</v>
      </c>
      <c r="K542" s="4">
        <f>G542-F542</f>
      </c>
      <c r="L542" s="4">
        <v>46</v>
      </c>
      <c r="M542" s="4">
        <v>952</v>
      </c>
      <c r="N542" s="4" t="str" xml:space="preserve">
        <v>+10.000 VNĐ 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5" t="str">
        <v>50BT4 NPC LD</v>
      </c>
      <c r="B543" s="5">
        <f>VLOOKUP(A543,'Sheet10'!$A:$C,3,0)</f>
      </c>
      <c r="C543" s="5" t="str">
        <v>(2022T) ATS Control Buffer - Khử mùi tạo thơm cho tóc uốn nhuộm 40k</v>
      </c>
      <c r="D543" s="5">
        <v>610</v>
      </c>
      <c r="E543" s="5"/>
      <c r="F543" s="6">
        <v>40000</v>
      </c>
      <c r="G543" s="7">
        <v>40000</v>
      </c>
      <c r="H543" s="7">
        <v>40000</v>
      </c>
      <c r="I543" s="7">
        <v>40000</v>
      </c>
      <c r="J543" s="9" t="str">
        <v>Giá không đổi</v>
      </c>
      <c r="K543" s="4">
        <f>G543-F543</f>
      </c>
      <c r="L543" s="4">
        <v>179</v>
      </c>
      <c r="M543" s="4">
        <v>610</v>
      </c>
      <c r="N543" s="4" t="str">
        <v>Không đổi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5" t="str">
        <v>50BT4 NPC LD</v>
      </c>
      <c r="B544" s="5">
        <f>VLOOKUP(A544,'Sheet10'!$A:$C,3,0)</f>
      </c>
      <c r="C544" s="5" t="str">
        <v>Phục hồi trẻ hóa Lipid Bond</v>
      </c>
      <c r="D544" s="5">
        <v>1101</v>
      </c>
      <c r="E544" s="5"/>
      <c r="F544" s="6">
        <v>132000</v>
      </c>
      <c r="G544" s="8">
        <v>146000</v>
      </c>
      <c r="H544" s="8">
        <v>146000</v>
      </c>
      <c r="I544" s="8">
        <v>146000</v>
      </c>
      <c r="J544" s="3" t="str">
        <v>Điều chỉnh giá</v>
      </c>
      <c r="K544" s="4">
        <f>G544-F544</f>
      </c>
      <c r="L544" s="4">
        <v>179</v>
      </c>
      <c r="M544" s="4">
        <v>1101</v>
      </c>
      <c r="N544" s="4" t="str">
        <v>Không đổi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5" t="str">
        <v>50BT4 NPC LD</v>
      </c>
      <c r="B545" s="5">
        <f>VLOOKUP(A545,'Sheet10'!$A:$C,3,0)</f>
      </c>
      <c r="C545" s="5" t="str">
        <v>(2022T) ATS Control Buffer - Khử mùi tạo thơm cho tóc uốn nhuộm 40k</v>
      </c>
      <c r="D545" s="5">
        <v>610</v>
      </c>
      <c r="E545" s="5"/>
      <c r="F545" s="6">
        <v>40000</v>
      </c>
      <c r="G545" s="7">
        <v>40000</v>
      </c>
      <c r="H545" s="7">
        <v>40000</v>
      </c>
      <c r="I545" s="7">
        <v>40000</v>
      </c>
      <c r="J545" s="9" t="str">
        <v>Giá không đổi</v>
      </c>
      <c r="K545" s="4">
        <f>G545-F545</f>
      </c>
      <c r="L545" s="4">
        <v>179</v>
      </c>
      <c r="M545" s="4">
        <v>610</v>
      </c>
      <c r="N545" s="4" t="str">
        <v>Không đổi</v>
      </c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5" t="str">
        <v>50BT4 NPC LD</v>
      </c>
      <c r="B546" s="5">
        <f>VLOOKUP(A546,'Sheet10'!$A:$C,3,0)</f>
      </c>
      <c r="C546" s="5" t="str">
        <v>[DV] Uốn Texture con sâu/Uốn Ruffled</v>
      </c>
      <c r="D546" s="5">
        <f>VLOOKUP(C546,'Sheet7'!$B:$C,2,0)</f>
      </c>
      <c r="E546" s="5"/>
      <c r="F546" s="6">
        <v>499000</v>
      </c>
      <c r="G546" s="7">
        <v>499000</v>
      </c>
      <c r="H546" s="7">
        <v>509000</v>
      </c>
      <c r="I546" s="7">
        <v>509000</v>
      </c>
      <c r="J546" s="9" t="str">
        <v>Giá không đổi</v>
      </c>
      <c r="K546" s="4">
        <f>G546-F546</f>
      </c>
      <c r="L546" s="4">
        <v>179</v>
      </c>
      <c r="M546" s="4">
        <v>674</v>
      </c>
      <c r="N546" s="4" t="str" xml:space="preserve">
        <v>+10.000 VNĐ 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5" t="str">
        <v>50BT4 NPC LD</v>
      </c>
      <c r="B547" s="5">
        <f>VLOOKUP(A547,'Sheet10'!$A:$C,3,0)</f>
      </c>
      <c r="C547" s="5" t="str">
        <v>[DV] Ép side hai bên</v>
      </c>
      <c r="D547" s="5">
        <f>VLOOKUP(C547,'Sheet7'!$B:$C,2,0)</f>
      </c>
      <c r="E547" s="5"/>
      <c r="F547" s="6">
        <v>189000</v>
      </c>
      <c r="G547" s="7">
        <v>189000</v>
      </c>
      <c r="H547" s="7">
        <v>199000</v>
      </c>
      <c r="I547" s="7">
        <v>199000</v>
      </c>
      <c r="J547" s="9" t="str">
        <v>Giá không đổi</v>
      </c>
      <c r="K547" s="4">
        <f>G547-F547</f>
      </c>
      <c r="L547" s="4">
        <v>179</v>
      </c>
      <c r="M547" s="4">
        <v>902</v>
      </c>
      <c r="N547" s="4" t="str" xml:space="preserve">
        <v>+10.000 VNĐ 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5" t="str">
        <v>50BT4 NPC LD</v>
      </c>
      <c r="B548" s="5">
        <f>VLOOKUP(A548,'Sheet10'!$A:$C,3,0)</f>
      </c>
      <c r="C548" s="5" t="str">
        <v>[DV] Nhuộm đen phủ bạc R&amp;B thảo dược</v>
      </c>
      <c r="D548" s="5">
        <v>912</v>
      </c>
      <c r="E548" s="5"/>
      <c r="F548" s="6">
        <v>289000</v>
      </c>
      <c r="G548" s="7">
        <v>289000</v>
      </c>
      <c r="H548" s="7">
        <v>289000</v>
      </c>
      <c r="I548" s="7">
        <v>289000</v>
      </c>
      <c r="J548" s="9" t="str">
        <v>Giá không đổi</v>
      </c>
      <c r="K548" s="4">
        <f>G548-F548</f>
      </c>
      <c r="L548" s="4">
        <v>179</v>
      </c>
      <c r="M548" s="4">
        <v>912</v>
      </c>
      <c r="N548" s="4" t="str">
        <v>Không đổi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5" t="str">
        <v>50BT4 NPC LD</v>
      </c>
      <c r="B549" s="5">
        <f>VLOOKUP(A549,'Sheet10'!$A:$C,3,0)</f>
      </c>
      <c r="C549" s="5" t="str">
        <v>[DV] Tẩy tóc bật tông Ý (1 lần)</v>
      </c>
      <c r="D549" s="5">
        <v>915</v>
      </c>
      <c r="E549" s="5"/>
      <c r="F549" s="6">
        <v>252000</v>
      </c>
      <c r="G549" s="7">
        <v>252000</v>
      </c>
      <c r="H549" s="7">
        <v>252000</v>
      </c>
      <c r="I549" s="7">
        <v>252000</v>
      </c>
      <c r="J549" s="9" t="str">
        <v>Giá không đổi</v>
      </c>
      <c r="K549" s="4">
        <f>G549-F549</f>
      </c>
      <c r="L549" s="4">
        <v>179</v>
      </c>
      <c r="M549" s="4">
        <v>915</v>
      </c>
      <c r="N549" s="4" t="str">
        <v>Không đổi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5" t="str">
        <v>50BT4 NPC LD</v>
      </c>
      <c r="B550" s="5">
        <f>VLOOKUP(A550,'Sheet10'!$A:$C,3,0)</f>
      </c>
      <c r="C550" s="5" t="str">
        <v>[DV] Tẩy tóc bật tông Ý (2 lần) 500k</v>
      </c>
      <c r="D550" s="5">
        <v>916</v>
      </c>
      <c r="E550" s="5"/>
      <c r="F550" s="6">
        <v>500000</v>
      </c>
      <c r="G550" s="7">
        <v>500000</v>
      </c>
      <c r="H550" s="7">
        <v>500000</v>
      </c>
      <c r="I550" s="7">
        <v>500000</v>
      </c>
      <c r="J550" s="9" t="str">
        <v>Giá không đổi</v>
      </c>
      <c r="K550" s="4">
        <f>G550-F550</f>
      </c>
      <c r="L550" s="4">
        <v>179</v>
      </c>
      <c r="M550" s="4">
        <v>916</v>
      </c>
      <c r="N550" s="4" t="str">
        <v>Không đổi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5" t="str">
        <v>50BT4 NPC LD</v>
      </c>
      <c r="B551" s="5">
        <f>VLOOKUP(A551,'Sheet10'!$A:$C,3,0)</f>
      </c>
      <c r="C551" s="5" t="str">
        <v>Uốn định hình nếp tóc cao cấp (K-Perm Collection)</v>
      </c>
      <c r="D551" s="5">
        <f>VLOOKUP(C551,'Sheet7'!$B:$C,2,0)</f>
      </c>
      <c r="E551" s="5"/>
      <c r="F551" s="6">
        <v>478000</v>
      </c>
      <c r="G551" s="7">
        <v>478000</v>
      </c>
      <c r="H551" s="7">
        <v>488000</v>
      </c>
      <c r="I551" s="7">
        <v>488000</v>
      </c>
      <c r="J551" s="9" t="str">
        <v>Giá không đổi</v>
      </c>
      <c r="K551" s="4">
        <f>G551-F551</f>
      </c>
      <c r="L551" s="4">
        <v>179</v>
      </c>
      <c r="M551" s="4">
        <v>952</v>
      </c>
      <c r="N551" s="4" t="str" xml:space="preserve">
        <v>+10.000 VNĐ 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5" t="str">
        <v>50BT4 NPC LD</v>
      </c>
      <c r="B552" s="5">
        <f>VLOOKUP(A552,'Sheet10'!$A:$C,3,0)</f>
      </c>
      <c r="C552" s="5" t="str">
        <v>(NEW) Nhuộm màu thời trang Milano</v>
      </c>
      <c r="D552" s="5">
        <v>960</v>
      </c>
      <c r="E552" s="5">
        <f>A552&amp;D552</f>
      </c>
      <c r="F552" s="6">
        <v>332000</v>
      </c>
      <c r="G552" s="7">
        <v>332000</v>
      </c>
      <c r="H552" s="7">
        <v>332000</v>
      </c>
      <c r="I552" s="7">
        <v>332000</v>
      </c>
      <c r="J552" s="9" t="str">
        <v>Giá không đổi</v>
      </c>
      <c r="K552" s="4">
        <f>G552-F552</f>
      </c>
      <c r="L552" s="4">
        <v>179</v>
      </c>
      <c r="M552" s="4">
        <v>960</v>
      </c>
      <c r="N552" s="4" t="str">
        <v>Không đổi</v>
      </c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5" t="str">
        <v>50BT4 NPC LD</v>
      </c>
      <c r="B553" s="5">
        <f>VLOOKUP(A553,'Sheet10'!$A:$C,3,0)</f>
      </c>
      <c r="C553" s="5" t="str">
        <v>(NEW) Nhuộm phủ bạc tiêu chuẩn 199K</v>
      </c>
      <c r="D553" s="5">
        <v>967</v>
      </c>
      <c r="E553" s="5"/>
      <c r="F553" s="6">
        <v>199000</v>
      </c>
      <c r="G553" s="7">
        <v>199000</v>
      </c>
      <c r="H553" s="7">
        <v>199000</v>
      </c>
      <c r="I553" s="7">
        <v>199000</v>
      </c>
      <c r="J553" s="9" t="str">
        <v>Giá không đổi</v>
      </c>
      <c r="K553" s="4">
        <f>G553-F553</f>
      </c>
      <c r="L553" s="4">
        <v>179</v>
      </c>
      <c r="M553" s="4">
        <v>967</v>
      </c>
      <c r="N553" s="4" t="str">
        <v>Không đổi</v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5" t="str">
        <v>50BT4 NPC LD</v>
      </c>
      <c r="B554" s="5">
        <f>VLOOKUP(A554,'Sheet10'!$A:$C,3,0)</f>
      </c>
      <c r="C554" s="5" t="str">
        <v>(NEW) Uốn/Duỗi/Định hình full đầu tạo form vào nếp tự nhiên</v>
      </c>
      <c r="D554" s="5">
        <f>VLOOKUP(C554,'Sheet7'!$B:$C,2,0)</f>
      </c>
      <c r="E554" s="5">
        <f>A554&amp;D554</f>
      </c>
      <c r="F554" s="6">
        <v>386000</v>
      </c>
      <c r="G554" s="7">
        <v>386000</v>
      </c>
      <c r="H554" s="7">
        <v>396000</v>
      </c>
      <c r="I554" s="7">
        <v>396000</v>
      </c>
      <c r="J554" s="9" t="str">
        <v>Giá không đổi</v>
      </c>
      <c r="K554" s="4">
        <f>G554-F554</f>
      </c>
      <c r="L554" s="4">
        <v>179</v>
      </c>
      <c r="M554" s="4">
        <v>1009</v>
      </c>
      <c r="N554" s="4" t="str" xml:space="preserve">
        <v>+10.000 VNĐ 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5" t="str">
        <v>50BT4 NPC LD</v>
      </c>
      <c r="B555" s="5">
        <f>VLOOKUP(A555,'Sheet10'!$A:$C,3,0)</f>
      </c>
      <c r="C555" s="5" t="str">
        <v>Phục hồi trẻ hóa Lipid Bond</v>
      </c>
      <c r="D555" s="5">
        <v>1101</v>
      </c>
      <c r="E555" s="5"/>
      <c r="F555" s="6">
        <v>132000</v>
      </c>
      <c r="G555" s="8">
        <v>146000</v>
      </c>
      <c r="H555" s="8">
        <v>146000</v>
      </c>
      <c r="I555" s="8">
        <v>146000</v>
      </c>
      <c r="J555" s="3" t="str">
        <v>Điều chỉnh giá</v>
      </c>
      <c r="K555" s="4">
        <f>G555-F555</f>
      </c>
      <c r="L555" s="4">
        <v>179</v>
      </c>
      <c r="M555" s="4">
        <v>1101</v>
      </c>
      <c r="N555" s="4" t="str">
        <v>Không đổi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5" t="str">
        <v>50BT4 NPC LD</v>
      </c>
      <c r="B556" s="5">
        <f>VLOOKUP(A556,'Sheet10'!$A:$C,3,0)</f>
      </c>
      <c r="C556" s="5" t="str">
        <v>UỐN THIẾT KẾ PHỤC HỒI CHUYÊN SÂU LIPID BOND 2025</v>
      </c>
      <c r="D556" s="5">
        <f>VLOOKUP(C556,'Sheet7'!$B:$C,2,0)</f>
      </c>
      <c r="E556" s="5"/>
      <c r="F556" s="6">
        <v>689000</v>
      </c>
      <c r="G556" s="7">
        <v>689000</v>
      </c>
      <c r="H556" s="7">
        <v>699000</v>
      </c>
      <c r="I556" s="7">
        <v>699000</v>
      </c>
      <c r="J556" s="9" t="str">
        <v>Giá không đổi</v>
      </c>
      <c r="K556" s="4">
        <f>G556-F556</f>
      </c>
      <c r="L556" s="4">
        <v>179</v>
      </c>
      <c r="M556" s="4">
        <v>1148</v>
      </c>
      <c r="N556" s="4" t="str" xml:space="preserve">
        <v>+10.000 VNĐ </v>
      </c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5" t="str">
        <v>50BT4 NPC LD</v>
      </c>
      <c r="B557" s="5">
        <f>VLOOKUP(A557,'Sheet10'!$A:$C,3,0)</f>
      </c>
      <c r="C557" s="5" t="str">
        <v>NHUỘM THIẾT KẾ PHỤC HỒI CHUYÊN SÂU LIPID BOND 2025</v>
      </c>
      <c r="D557" s="5">
        <v>1149</v>
      </c>
      <c r="E557" s="5"/>
      <c r="F557" s="6">
        <v>689000</v>
      </c>
      <c r="G557" s="8">
        <v>729000</v>
      </c>
      <c r="H557" s="8">
        <v>729000</v>
      </c>
      <c r="I557" s="8">
        <v>729000</v>
      </c>
      <c r="J557" s="3" t="str">
        <v>Điều chỉnh giá</v>
      </c>
      <c r="K557" s="4">
        <f>G557-F557</f>
      </c>
      <c r="L557" s="4">
        <v>179</v>
      </c>
      <c r="M557" s="4">
        <v>1149</v>
      </c>
      <c r="N557" s="4" t="str">
        <v>Không đổi</v>
      </c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5" t="str">
        <v>55A NVL</v>
      </c>
      <c r="B558" s="5">
        <f>VLOOKUP(A558,'Sheet10'!$A:$C,3,0)</f>
      </c>
      <c r="C558" s="5" t="str">
        <v>(2022T) ATS Control Buffer - Khử mùi tạo thơm cho tóc uốn nhuộm 40k</v>
      </c>
      <c r="D558" s="5">
        <v>610</v>
      </c>
      <c r="E558" s="5"/>
      <c r="F558" s="6">
        <v>40000</v>
      </c>
      <c r="G558" s="7">
        <v>40000</v>
      </c>
      <c r="H558" s="7">
        <v>40000</v>
      </c>
      <c r="I558" s="7">
        <v>40000</v>
      </c>
      <c r="J558" s="9" t="str">
        <v>Giá không đổi</v>
      </c>
      <c r="K558" s="4">
        <f>G558-F558</f>
      </c>
      <c r="L558" s="4">
        <v>245</v>
      </c>
      <c r="M558" s="4">
        <v>610</v>
      </c>
      <c r="N558" s="4" t="str">
        <v>Không đổi</v>
      </c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5" t="str">
        <v>55A NVL</v>
      </c>
      <c r="B559" s="5">
        <f>VLOOKUP(A559,'Sheet10'!$A:$C,3,0)</f>
      </c>
      <c r="C559" s="5" t="str">
        <v>(NEW) Nhuộm màu thời trang Milano</v>
      </c>
      <c r="D559" s="5">
        <v>960</v>
      </c>
      <c r="E559" s="5">
        <f>A559&amp;D559</f>
      </c>
      <c r="F559" s="6">
        <v>332000</v>
      </c>
      <c r="G559" s="8">
        <v>369000</v>
      </c>
      <c r="H559" s="8">
        <v>369000</v>
      </c>
      <c r="I559" s="8">
        <v>369000</v>
      </c>
      <c r="J559" s="3" t="str">
        <v>Điều chỉnh giá</v>
      </c>
      <c r="K559" s="4">
        <f>G559-F559</f>
      </c>
      <c r="L559" s="4">
        <v>245</v>
      </c>
      <c r="M559" s="4">
        <v>960</v>
      </c>
      <c r="N559" s="4" t="str">
        <v>Không đổi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5" t="str">
        <v>55A NVL</v>
      </c>
      <c r="B560" s="5">
        <f>VLOOKUP(A560,'Sheet10'!$A:$C,3,0)</f>
      </c>
      <c r="C560" s="5" t="str">
        <v>(NEW) Nhuộm phủ bạc tiêu chuẩn 199K</v>
      </c>
      <c r="D560" s="5">
        <v>967</v>
      </c>
      <c r="E560" s="5"/>
      <c r="F560" s="6">
        <v>199000</v>
      </c>
      <c r="G560" s="8">
        <v>207000</v>
      </c>
      <c r="H560" s="8">
        <v>207000</v>
      </c>
      <c r="I560" s="8">
        <v>207000</v>
      </c>
      <c r="J560" s="3" t="str">
        <v>Điều chỉnh giá</v>
      </c>
      <c r="K560" s="4">
        <f>G560-F560</f>
      </c>
      <c r="L560" s="4">
        <v>245</v>
      </c>
      <c r="M560" s="4">
        <v>967</v>
      </c>
      <c r="N560" s="4" t="str">
        <v>Không đổi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5" t="str">
        <v>55A NVL</v>
      </c>
      <c r="B561" s="5">
        <f>VLOOKUP(A561,'Sheet10'!$A:$C,3,0)</f>
      </c>
      <c r="C561" s="5" t="str">
        <v>(NEW) Uốn/Duỗi/Định hình full đầu tạo form vào nếp tự nhiên</v>
      </c>
      <c r="D561" s="5">
        <f>VLOOKUP(C561,'Sheet7'!$B:$C,2,0)</f>
      </c>
      <c r="E561" s="5">
        <f>A561&amp;D561</f>
      </c>
      <c r="F561" s="6">
        <v>386000</v>
      </c>
      <c r="G561" s="7">
        <v>386000</v>
      </c>
      <c r="H561" s="7">
        <v>396000</v>
      </c>
      <c r="I561" s="7">
        <v>396000</v>
      </c>
      <c r="J561" s="9" t="str">
        <v>Giá không đổi</v>
      </c>
      <c r="K561" s="4">
        <f>G561-F561</f>
      </c>
      <c r="L561" s="4">
        <v>245</v>
      </c>
      <c r="M561" s="4">
        <v>1009</v>
      </c>
      <c r="N561" s="4" t="str" xml:space="preserve">
        <v>+10.000 VNĐ 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5" t="str">
        <v>55A NVL</v>
      </c>
      <c r="B562" s="5">
        <f>VLOOKUP(A562,'Sheet10'!$A:$C,3,0)</f>
      </c>
      <c r="C562" s="5" t="str">
        <v>[DV] Nhuộm đen phủ bạc R&amp;B thảo dược</v>
      </c>
      <c r="D562" s="5">
        <v>912</v>
      </c>
      <c r="E562" s="5"/>
      <c r="F562" s="6">
        <v>289000</v>
      </c>
      <c r="G562" s="8">
        <v>299000</v>
      </c>
      <c r="H562" s="8">
        <v>299000</v>
      </c>
      <c r="I562" s="8">
        <v>299000</v>
      </c>
      <c r="J562" s="3" t="str">
        <v>Điều chỉnh giá</v>
      </c>
      <c r="K562" s="4">
        <f>G562-F562</f>
      </c>
      <c r="L562" s="4">
        <v>245</v>
      </c>
      <c r="M562" s="4">
        <v>912</v>
      </c>
      <c r="N562" s="4" t="str">
        <v>Không đổi</v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5" t="str">
        <v>55A NVL</v>
      </c>
      <c r="B563" s="5">
        <f>VLOOKUP(A563,'Sheet10'!$A:$C,3,0)</f>
      </c>
      <c r="C563" s="5" t="str">
        <v>[DV] Tẩy tóc bật tông Ý (1 lần)</v>
      </c>
      <c r="D563" s="5">
        <v>915</v>
      </c>
      <c r="E563" s="5"/>
      <c r="F563" s="6">
        <v>252000</v>
      </c>
      <c r="G563" s="8">
        <v>269000</v>
      </c>
      <c r="H563" s="8">
        <v>269000</v>
      </c>
      <c r="I563" s="8">
        <v>269000</v>
      </c>
      <c r="J563" s="3" t="str">
        <v>Điều chỉnh giá</v>
      </c>
      <c r="K563" s="4">
        <f>G563-F563</f>
      </c>
      <c r="L563" s="4">
        <v>245</v>
      </c>
      <c r="M563" s="4">
        <v>915</v>
      </c>
      <c r="N563" s="4" t="str">
        <v>Không đổi</v>
      </c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5" t="str">
        <v>55A NVL</v>
      </c>
      <c r="B564" s="5">
        <f>VLOOKUP(A564,'Sheet10'!$A:$C,3,0)</f>
      </c>
      <c r="C564" s="5" t="str">
        <v>[DV] Tẩy tóc bật tông Ý (2 lần) 500k</v>
      </c>
      <c r="D564" s="5">
        <v>916</v>
      </c>
      <c r="E564" s="5"/>
      <c r="F564" s="6">
        <v>500000</v>
      </c>
      <c r="G564" s="8">
        <v>534000</v>
      </c>
      <c r="H564" s="8">
        <v>534000</v>
      </c>
      <c r="I564" s="8">
        <v>534000</v>
      </c>
      <c r="J564" s="3" t="str">
        <v>Điều chỉnh giá</v>
      </c>
      <c r="K564" s="4">
        <f>G564-F564</f>
      </c>
      <c r="L564" s="4">
        <v>245</v>
      </c>
      <c r="M564" s="4">
        <v>916</v>
      </c>
      <c r="N564" s="4" t="str">
        <v>Không đổi</v>
      </c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5" t="str">
        <v>55A NVL</v>
      </c>
      <c r="B565" s="5">
        <f>VLOOKUP(A565,'Sheet10'!$A:$C,3,0)</f>
      </c>
      <c r="C565" s="5" t="str">
        <v>[DV] Uốn Texture con sâu/Uốn Ruffled</v>
      </c>
      <c r="D565" s="5">
        <f>VLOOKUP(C565,'Sheet7'!$B:$C,2,0)</f>
      </c>
      <c r="E565" s="5"/>
      <c r="F565" s="6">
        <v>499000</v>
      </c>
      <c r="G565" s="8">
        <v>554000</v>
      </c>
      <c r="H565" s="7">
        <v>564000</v>
      </c>
      <c r="I565" s="7">
        <v>564000</v>
      </c>
      <c r="J565" s="3" t="str">
        <v>Điều chỉnh giá</v>
      </c>
      <c r="K565" s="4">
        <f>G565-F565</f>
      </c>
      <c r="L565" s="4">
        <v>245</v>
      </c>
      <c r="M565" s="4">
        <v>674</v>
      </c>
      <c r="N565" s="4" t="str" xml:space="preserve">
        <v>+10.000 VNĐ </v>
      </c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5" t="str">
        <v>55A NVL</v>
      </c>
      <c r="B566" s="5">
        <f>VLOOKUP(A566,'Sheet10'!$A:$C,3,0)</f>
      </c>
      <c r="C566" s="5" t="str">
        <v>[DV] Ép side hai bên</v>
      </c>
      <c r="D566" s="5">
        <f>VLOOKUP(C566,'Sheet7'!$B:$C,2,0)</f>
      </c>
      <c r="E566" s="5"/>
      <c r="F566" s="6">
        <v>189000</v>
      </c>
      <c r="G566" s="8">
        <v>219000</v>
      </c>
      <c r="H566" s="7">
        <v>229000</v>
      </c>
      <c r="I566" s="7">
        <v>229000</v>
      </c>
      <c r="J566" s="3" t="str">
        <v>Điều chỉnh giá</v>
      </c>
      <c r="K566" s="4">
        <f>G566-F566</f>
      </c>
      <c r="L566" s="4">
        <v>245</v>
      </c>
      <c r="M566" s="4">
        <v>902</v>
      </c>
      <c r="N566" s="4" t="str" xml:space="preserve">
        <v>+10.000 VNĐ 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5" t="str">
        <v>55A NVL</v>
      </c>
      <c r="B567" s="5">
        <f>VLOOKUP(A567,'Sheet10'!$A:$C,3,0)</f>
      </c>
      <c r="C567" s="5" t="str">
        <v>NHUỘM THIẾT KẾ PHỤC HỒI CHUYÊN SÂU LIPID BOND 2025</v>
      </c>
      <c r="D567" s="5">
        <v>1149</v>
      </c>
      <c r="E567" s="5"/>
      <c r="F567" s="6">
        <v>689000</v>
      </c>
      <c r="G567" s="8">
        <v>759000</v>
      </c>
      <c r="H567" s="8">
        <v>759000</v>
      </c>
      <c r="I567" s="8">
        <v>759000</v>
      </c>
      <c r="J567" s="3" t="str">
        <v>Điều chỉnh giá</v>
      </c>
      <c r="K567" s="4">
        <f>G567-F567</f>
      </c>
      <c r="L567" s="4">
        <v>245</v>
      </c>
      <c r="M567" s="4">
        <v>1149</v>
      </c>
      <c r="N567" s="4" t="str">
        <v>Không đổi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5" t="str">
        <v>55A NVL</v>
      </c>
      <c r="B568" s="5">
        <f>VLOOKUP(A568,'Sheet10'!$A:$C,3,0)</f>
      </c>
      <c r="C568" s="5" t="str">
        <v>Phục hồi trẻ hóa Lipid Bond</v>
      </c>
      <c r="D568" s="5">
        <v>1101</v>
      </c>
      <c r="E568" s="5"/>
      <c r="F568" s="6">
        <v>132000</v>
      </c>
      <c r="G568" s="8">
        <v>146000</v>
      </c>
      <c r="H568" s="8">
        <v>146000</v>
      </c>
      <c r="I568" s="8">
        <v>146000</v>
      </c>
      <c r="J568" s="3" t="str">
        <v>Điều chỉnh giá</v>
      </c>
      <c r="K568" s="4">
        <f>G568-F568</f>
      </c>
      <c r="L568" s="4">
        <v>245</v>
      </c>
      <c r="M568" s="4">
        <v>1101</v>
      </c>
      <c r="N568" s="4" t="str">
        <v>Không đổi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5" t="str">
        <v>55A NVL</v>
      </c>
      <c r="B569" s="5">
        <f>VLOOKUP(A569,'Sheet10'!$A:$C,3,0)</f>
      </c>
      <c r="C569" s="5" t="str">
        <v>UỐN THIẾT KẾ PHỤC HỒI CHUYÊN SÂU LIPID BOND 2025</v>
      </c>
      <c r="D569" s="5">
        <f>VLOOKUP(C569,'Sheet7'!$B:$C,2,0)</f>
      </c>
      <c r="E569" s="5"/>
      <c r="F569" s="6">
        <v>689000</v>
      </c>
      <c r="G569" s="7">
        <v>689000</v>
      </c>
      <c r="H569" s="7">
        <v>699000</v>
      </c>
      <c r="I569" s="7">
        <v>699000</v>
      </c>
      <c r="J569" s="9" t="str">
        <v>Giá không đổi</v>
      </c>
      <c r="K569" s="4">
        <f>G569-F569</f>
      </c>
      <c r="L569" s="4">
        <v>245</v>
      </c>
      <c r="M569" s="4">
        <v>1148</v>
      </c>
      <c r="N569" s="4" t="str" xml:space="preserve">
        <v>+10.000 VNĐ 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5" t="str">
        <v>55A NVL</v>
      </c>
      <c r="B570" s="5">
        <f>VLOOKUP(A570,'Sheet10'!$A:$C,3,0)</f>
      </c>
      <c r="C570" s="5" t="str">
        <v>Uốn định hình nếp tóc cao cấp (K-Perm Collection)</v>
      </c>
      <c r="D570" s="5">
        <f>VLOOKUP(C570,'Sheet7'!$B:$C,2,0)</f>
      </c>
      <c r="E570" s="5"/>
      <c r="F570" s="6">
        <v>478000</v>
      </c>
      <c r="G570" s="7">
        <v>478000</v>
      </c>
      <c r="H570" s="7">
        <v>488000</v>
      </c>
      <c r="I570" s="7">
        <v>488000</v>
      </c>
      <c r="J570" s="9" t="str">
        <v>Giá không đổi</v>
      </c>
      <c r="K570" s="4">
        <f>G570-F570</f>
      </c>
      <c r="L570" s="4">
        <v>245</v>
      </c>
      <c r="M570" s="4">
        <v>952</v>
      </c>
      <c r="N570" s="4" t="str" xml:space="preserve">
        <v>+10.000 VNĐ </v>
      </c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5" t="str">
        <v>575 AC</v>
      </c>
      <c r="B571" s="5">
        <f>VLOOKUP(A571,'Sheet10'!$A:$C,3,0)</f>
      </c>
      <c r="C571" s="5" t="str">
        <v>(2022T) ATS Control Buffer - Khử mùi tạo thơm cho tóc uốn nhuộm 40k</v>
      </c>
      <c r="D571" s="5">
        <v>610</v>
      </c>
      <c r="E571" s="5"/>
      <c r="F571" s="6">
        <v>40000</v>
      </c>
      <c r="G571" s="7">
        <v>40000</v>
      </c>
      <c r="H571" s="7">
        <v>40000</v>
      </c>
      <c r="I571" s="7">
        <v>40000</v>
      </c>
      <c r="J571" s="9" t="str">
        <v>Giá không đổi</v>
      </c>
      <c r="K571" s="4">
        <f>G571-F571</f>
      </c>
      <c r="L571" s="4">
        <v>21</v>
      </c>
      <c r="M571" s="4">
        <v>610</v>
      </c>
      <c r="N571" s="4" t="str">
        <v>Không đổi</v>
      </c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5" t="str">
        <v>575 AC</v>
      </c>
      <c r="B572" s="5">
        <f>VLOOKUP(A572,'Sheet10'!$A:$C,3,0)</f>
      </c>
      <c r="C572" s="5" t="str">
        <v>(NEW) Nhuộm màu thời trang Milano</v>
      </c>
      <c r="D572" s="5">
        <v>960</v>
      </c>
      <c r="E572" s="5">
        <f>A572&amp;D572</f>
      </c>
      <c r="F572" s="6">
        <v>332000</v>
      </c>
      <c r="G572" s="8">
        <v>366000</v>
      </c>
      <c r="H572" s="8">
        <v>366000</v>
      </c>
      <c r="I572" s="8">
        <v>366000</v>
      </c>
      <c r="J572" s="3" t="str">
        <v>Điều chỉnh giá</v>
      </c>
      <c r="K572" s="4">
        <f>G572-F572</f>
      </c>
      <c r="L572" s="4">
        <v>21</v>
      </c>
      <c r="M572" s="4">
        <v>960</v>
      </c>
      <c r="N572" s="4" t="str">
        <v>Không đổi</v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5" t="str">
        <v>575 AC</v>
      </c>
      <c r="B573" s="5">
        <f>VLOOKUP(A573,'Sheet10'!$A:$C,3,0)</f>
      </c>
      <c r="C573" s="5" t="str">
        <v>(NEW) Nhuộm phủ bạc tiêu chuẩn 199K</v>
      </c>
      <c r="D573" s="5">
        <v>967</v>
      </c>
      <c r="E573" s="5"/>
      <c r="F573" s="6">
        <v>199000</v>
      </c>
      <c r="G573" s="7">
        <v>199000</v>
      </c>
      <c r="H573" s="7">
        <v>199000</v>
      </c>
      <c r="I573" s="7">
        <v>199000</v>
      </c>
      <c r="J573" s="9" t="str">
        <v>Giá không đổi</v>
      </c>
      <c r="K573" s="4">
        <f>G573-F573</f>
      </c>
      <c r="L573" s="4">
        <v>21</v>
      </c>
      <c r="M573" s="4">
        <v>967</v>
      </c>
      <c r="N573" s="4" t="str">
        <v>Không đổi</v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5" t="str">
        <v>575 AC</v>
      </c>
      <c r="B574" s="5">
        <f>VLOOKUP(A574,'Sheet10'!$A:$C,3,0)</f>
      </c>
      <c r="C574" s="5" t="str">
        <v>(NEW) Uốn/Duỗi/Định hình full đầu tạo form vào nếp tự nhiên</v>
      </c>
      <c r="D574" s="5">
        <f>VLOOKUP(C574,'Sheet7'!$B:$C,2,0)</f>
      </c>
      <c r="E574" s="5">
        <f>A574&amp;D574</f>
      </c>
      <c r="F574" s="6">
        <v>386000</v>
      </c>
      <c r="G574" s="7">
        <v>386000</v>
      </c>
      <c r="H574" s="7">
        <v>396000</v>
      </c>
      <c r="I574" s="7">
        <v>396000</v>
      </c>
      <c r="J574" s="9" t="str">
        <v>Giá không đổi</v>
      </c>
      <c r="K574" s="4">
        <f>G574-F574</f>
      </c>
      <c r="L574" s="4">
        <v>21</v>
      </c>
      <c r="M574" s="4">
        <v>1009</v>
      </c>
      <c r="N574" s="4" t="str" xml:space="preserve">
        <v>+10.000 VNĐ </v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5" t="str">
        <v>575 AC</v>
      </c>
      <c r="B575" s="5">
        <f>VLOOKUP(A575,'Sheet10'!$A:$C,3,0)</f>
      </c>
      <c r="C575" s="5" t="str">
        <v>[DV] Nhuộm đen phủ bạc R&amp;B thảo dược</v>
      </c>
      <c r="D575" s="5">
        <v>912</v>
      </c>
      <c r="E575" s="5"/>
      <c r="F575" s="6">
        <v>289000</v>
      </c>
      <c r="G575" s="7">
        <v>289000</v>
      </c>
      <c r="H575" s="7">
        <v>289000</v>
      </c>
      <c r="I575" s="7">
        <v>289000</v>
      </c>
      <c r="J575" s="9" t="str">
        <v>Giá không đổi</v>
      </c>
      <c r="K575" s="4">
        <f>G575-F575</f>
      </c>
      <c r="L575" s="4">
        <v>21</v>
      </c>
      <c r="M575" s="4">
        <v>912</v>
      </c>
      <c r="N575" s="4" t="str">
        <v>Không đổi</v>
      </c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5" t="str">
        <v>575 AC</v>
      </c>
      <c r="B576" s="5">
        <f>VLOOKUP(A576,'Sheet10'!$A:$C,3,0)</f>
      </c>
      <c r="C576" s="5" t="str">
        <v>[DV] Tẩy tóc bật tông Ý (1 lần)</v>
      </c>
      <c r="D576" s="5">
        <v>915</v>
      </c>
      <c r="E576" s="5"/>
      <c r="F576" s="6">
        <v>252000</v>
      </c>
      <c r="G576" s="7">
        <v>252000</v>
      </c>
      <c r="H576" s="7">
        <v>252000</v>
      </c>
      <c r="I576" s="7">
        <v>252000</v>
      </c>
      <c r="J576" s="9" t="str">
        <v>Giá không đổi</v>
      </c>
      <c r="K576" s="4">
        <f>G576-F576</f>
      </c>
      <c r="L576" s="4">
        <v>21</v>
      </c>
      <c r="M576" s="4">
        <v>915</v>
      </c>
      <c r="N576" s="4" t="str">
        <v>Không đổi</v>
      </c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5" t="str">
        <v>575 AC</v>
      </c>
      <c r="B577" s="5">
        <f>VLOOKUP(A577,'Sheet10'!$A:$C,3,0)</f>
      </c>
      <c r="C577" s="5" t="str">
        <v>[DV] Tẩy tóc bật tông Ý (2 lần) 500k</v>
      </c>
      <c r="D577" s="5">
        <v>916</v>
      </c>
      <c r="E577" s="5"/>
      <c r="F577" s="6">
        <v>500000</v>
      </c>
      <c r="G577" s="7">
        <v>500000</v>
      </c>
      <c r="H577" s="7">
        <v>500000</v>
      </c>
      <c r="I577" s="7">
        <v>500000</v>
      </c>
      <c r="J577" s="9" t="str">
        <v>Giá không đổi</v>
      </c>
      <c r="K577" s="4">
        <f>G577-F577</f>
      </c>
      <c r="L577" s="4">
        <v>21</v>
      </c>
      <c r="M577" s="4">
        <v>916</v>
      </c>
      <c r="N577" s="4" t="str">
        <v>Không đổi</v>
      </c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5" t="str">
        <v>575 AC</v>
      </c>
      <c r="B578" s="5">
        <f>VLOOKUP(A578,'Sheet10'!$A:$C,3,0)</f>
      </c>
      <c r="C578" s="5" t="str">
        <v>[DV] Uốn Texture con sâu/Uốn Ruffled</v>
      </c>
      <c r="D578" s="5">
        <f>VLOOKUP(C578,'Sheet7'!$B:$C,2,0)</f>
      </c>
      <c r="E578" s="5"/>
      <c r="F578" s="6">
        <v>499000</v>
      </c>
      <c r="G578" s="8">
        <v>550000</v>
      </c>
      <c r="H578" s="7">
        <v>560000</v>
      </c>
      <c r="I578" s="7">
        <v>560000</v>
      </c>
      <c r="J578" s="3" t="str">
        <v>Điều chỉnh giá</v>
      </c>
      <c r="K578" s="4">
        <f>G578-F578</f>
      </c>
      <c r="L578" s="4">
        <v>21</v>
      </c>
      <c r="M578" s="4">
        <v>674</v>
      </c>
      <c r="N578" s="4" t="str" xml:space="preserve">
        <v>+10.000 VNĐ </v>
      </c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5" t="str">
        <v>575 AC</v>
      </c>
      <c r="B579" s="5">
        <f>VLOOKUP(A579,'Sheet10'!$A:$C,3,0)</f>
      </c>
      <c r="C579" s="5" t="str">
        <v>[DV] Ép side hai bên</v>
      </c>
      <c r="D579" s="5">
        <f>VLOOKUP(C579,'Sheet7'!$B:$C,2,0)</f>
      </c>
      <c r="E579" s="5"/>
      <c r="F579" s="6">
        <v>189000</v>
      </c>
      <c r="G579" s="7">
        <v>189000</v>
      </c>
      <c r="H579" s="7">
        <v>199000</v>
      </c>
      <c r="I579" s="7">
        <v>199000</v>
      </c>
      <c r="J579" s="9" t="str">
        <v>Giá không đổi</v>
      </c>
      <c r="K579" s="4">
        <f>G579-F579</f>
      </c>
      <c r="L579" s="4">
        <v>21</v>
      </c>
      <c r="M579" s="4">
        <v>902</v>
      </c>
      <c r="N579" s="4" t="str" xml:space="preserve">
        <v>+10.000 VNĐ </v>
      </c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5" t="str">
        <v>575 AC</v>
      </c>
      <c r="B580" s="5">
        <f>VLOOKUP(A580,'Sheet10'!$A:$C,3,0)</f>
      </c>
      <c r="C580" s="5" t="str">
        <v>NHUỘM THIẾT KẾ PHỤC HỒI CHUYÊN SÂU LIPID BOND 2025</v>
      </c>
      <c r="D580" s="5">
        <v>1149</v>
      </c>
      <c r="E580" s="5"/>
      <c r="F580" s="6">
        <v>689000</v>
      </c>
      <c r="G580" s="8">
        <v>759000</v>
      </c>
      <c r="H580" s="8">
        <v>759000</v>
      </c>
      <c r="I580" s="8">
        <v>759000</v>
      </c>
      <c r="J580" s="3" t="str">
        <v>Điều chỉnh giá</v>
      </c>
      <c r="K580" s="4">
        <f>G580-F580</f>
      </c>
      <c r="L580" s="4">
        <v>21</v>
      </c>
      <c r="M580" s="4">
        <v>1149</v>
      </c>
      <c r="N580" s="4" t="str">
        <v>Không đổi</v>
      </c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5" t="str">
        <v>575 AC</v>
      </c>
      <c r="B581" s="5">
        <f>VLOOKUP(A581,'Sheet10'!$A:$C,3,0)</f>
      </c>
      <c r="C581" s="5" t="str">
        <v>Phục hồi trẻ hóa Lipid Bond</v>
      </c>
      <c r="D581" s="5">
        <v>1101</v>
      </c>
      <c r="E581" s="5"/>
      <c r="F581" s="6">
        <v>132000</v>
      </c>
      <c r="G581" s="8">
        <v>146000</v>
      </c>
      <c r="H581" s="8">
        <v>146000</v>
      </c>
      <c r="I581" s="8">
        <v>146000</v>
      </c>
      <c r="J581" s="3" t="str">
        <v>Điều chỉnh giá</v>
      </c>
      <c r="K581" s="4">
        <f>G581-F581</f>
      </c>
      <c r="L581" s="4">
        <v>21</v>
      </c>
      <c r="M581" s="4">
        <v>1101</v>
      </c>
      <c r="N581" s="4" t="str">
        <v>Không đổi</v>
      </c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5" t="str">
        <v>575 AC</v>
      </c>
      <c r="B582" s="5">
        <f>VLOOKUP(A582,'Sheet10'!$A:$C,3,0)</f>
      </c>
      <c r="C582" s="5" t="str">
        <v>UỐN THIẾT KẾ PHỤC HỒI CHUYÊN SÂU LIPID BOND 2025</v>
      </c>
      <c r="D582" s="5">
        <f>VLOOKUP(C582,'Sheet7'!$B:$C,2,0)</f>
      </c>
      <c r="E582" s="5"/>
      <c r="F582" s="6">
        <v>689000</v>
      </c>
      <c r="G582" s="7">
        <v>689000</v>
      </c>
      <c r="H582" s="7">
        <v>699000</v>
      </c>
      <c r="I582" s="7">
        <v>699000</v>
      </c>
      <c r="J582" s="9" t="str">
        <v>Giá không đổi</v>
      </c>
      <c r="K582" s="4">
        <f>G582-F582</f>
      </c>
      <c r="L582" s="4">
        <v>21</v>
      </c>
      <c r="M582" s="4">
        <v>1148</v>
      </c>
      <c r="N582" s="4" t="str" xml:space="preserve">
        <v>+10.000 VNĐ 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5" t="str">
        <v>575 AC</v>
      </c>
      <c r="B583" s="5">
        <f>VLOOKUP(A583,'Sheet10'!$A:$C,3,0)</f>
      </c>
      <c r="C583" s="5" t="str">
        <v>Uốn định hình nếp tóc cao cấp (K-Perm Collection)</v>
      </c>
      <c r="D583" s="5">
        <f>VLOOKUP(C583,'Sheet7'!$B:$C,2,0)</f>
      </c>
      <c r="E583" s="5"/>
      <c r="F583" s="6">
        <v>478000</v>
      </c>
      <c r="G583" s="7">
        <v>478000</v>
      </c>
      <c r="H583" s="7">
        <v>488000</v>
      </c>
      <c r="I583" s="7">
        <v>488000</v>
      </c>
      <c r="J583" s="9" t="str">
        <v>Giá không đổi</v>
      </c>
      <c r="K583" s="4">
        <f>G583-F583</f>
      </c>
      <c r="L583" s="4">
        <v>21</v>
      </c>
      <c r="M583" s="4">
        <v>952</v>
      </c>
      <c r="N583" s="4" t="str" xml:space="preserve">
        <v>+10.000 VNĐ </v>
      </c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5" t="str">
        <v>58 NVC NA</v>
      </c>
      <c r="B584" s="5">
        <f>VLOOKUP(A584,'Sheet10'!$A:$C,3,0)</f>
      </c>
      <c r="C584" s="5" t="str">
        <v>(2022T) ATS Control Buffer - Khử mùi tạo thơm cho tóc uốn nhuộm 40k</v>
      </c>
      <c r="D584" s="5">
        <v>610</v>
      </c>
      <c r="E584" s="5"/>
      <c r="F584" s="6">
        <v>40000</v>
      </c>
      <c r="G584" s="7">
        <v>40000</v>
      </c>
      <c r="H584" s="7">
        <v>40000</v>
      </c>
      <c r="I584" s="7">
        <v>40000</v>
      </c>
      <c r="J584" s="9" t="str">
        <v>Giá không đổi</v>
      </c>
      <c r="K584" s="4">
        <f>G584-F584</f>
      </c>
      <c r="L584" s="4">
        <v>212</v>
      </c>
      <c r="M584" s="4">
        <v>610</v>
      </c>
      <c r="N584" s="4" t="str">
        <v>Không đổi</v>
      </c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5" t="str">
        <v>58 NVC NA</v>
      </c>
      <c r="B585" s="5">
        <f>VLOOKUP(A585,'Sheet10'!$A:$C,3,0)</f>
      </c>
      <c r="C585" s="5" t="str">
        <v>(NEW) Nhuộm màu thời trang Milano</v>
      </c>
      <c r="D585" s="5">
        <v>960</v>
      </c>
      <c r="E585" s="5">
        <f>A585&amp;D585</f>
      </c>
      <c r="F585" s="6">
        <v>332000</v>
      </c>
      <c r="G585" s="8">
        <v>346000</v>
      </c>
      <c r="H585" s="8">
        <v>346000</v>
      </c>
      <c r="I585" s="8">
        <v>346000</v>
      </c>
      <c r="J585" s="3" t="str">
        <v>Điều chỉnh giá</v>
      </c>
      <c r="K585" s="4">
        <f>G585-F585</f>
      </c>
      <c r="L585" s="4">
        <v>212</v>
      </c>
      <c r="M585" s="4">
        <v>960</v>
      </c>
      <c r="N585" s="4" t="str">
        <v>Không đổi</v>
      </c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5" t="str">
        <v>58 NVC NA</v>
      </c>
      <c r="B586" s="5">
        <f>VLOOKUP(A586,'Sheet10'!$A:$C,3,0)</f>
      </c>
      <c r="C586" s="5" t="str">
        <v>(NEW) Nhuộm phủ bạc tiêu chuẩn 199K</v>
      </c>
      <c r="D586" s="5">
        <v>967</v>
      </c>
      <c r="E586" s="5"/>
      <c r="F586" s="6">
        <v>199000</v>
      </c>
      <c r="G586" s="7">
        <v>199000</v>
      </c>
      <c r="H586" s="7">
        <v>199000</v>
      </c>
      <c r="I586" s="7">
        <v>199000</v>
      </c>
      <c r="J586" s="9" t="str">
        <v>Giá không đổi</v>
      </c>
      <c r="K586" s="4">
        <f>G586-F586</f>
      </c>
      <c r="L586" s="4">
        <v>212</v>
      </c>
      <c r="M586" s="4">
        <v>967</v>
      </c>
      <c r="N586" s="4" t="str">
        <v>Không đổi</v>
      </c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5" t="str">
        <v>58 NVC NA</v>
      </c>
      <c r="B587" s="5">
        <f>VLOOKUP(A587,'Sheet10'!$A:$C,3,0)</f>
      </c>
      <c r="C587" s="5" t="str">
        <v>(NEW) Uốn/Duỗi/Định hình full đầu tạo form vào nếp tự nhiên</v>
      </c>
      <c r="D587" s="5">
        <f>VLOOKUP(C587,'Sheet7'!$B:$C,2,0)</f>
      </c>
      <c r="E587" s="5">
        <f>A587&amp;D587</f>
      </c>
      <c r="F587" s="6">
        <v>386000</v>
      </c>
      <c r="G587" s="7">
        <v>386000</v>
      </c>
      <c r="H587" s="7">
        <v>396000</v>
      </c>
      <c r="I587" s="7">
        <v>396000</v>
      </c>
      <c r="J587" s="9" t="str">
        <v>Giá không đổi</v>
      </c>
      <c r="K587" s="4">
        <f>G587-F587</f>
      </c>
      <c r="L587" s="4">
        <v>212</v>
      </c>
      <c r="M587" s="4">
        <v>1009</v>
      </c>
      <c r="N587" s="4" t="str" xml:space="preserve">
        <v>+10.000 VNĐ </v>
      </c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5" t="str">
        <v>58 NVC NA</v>
      </c>
      <c r="B588" s="5">
        <f>VLOOKUP(A588,'Sheet10'!$A:$C,3,0)</f>
      </c>
      <c r="C588" s="5" t="str">
        <v>[DV] Nhuộm đen phủ bạc R&amp;B thảo dược</v>
      </c>
      <c r="D588" s="5">
        <v>912</v>
      </c>
      <c r="E588" s="5"/>
      <c r="F588" s="6">
        <v>289000</v>
      </c>
      <c r="G588" s="7">
        <v>289000</v>
      </c>
      <c r="H588" s="7">
        <v>289000</v>
      </c>
      <c r="I588" s="7">
        <v>289000</v>
      </c>
      <c r="J588" s="9" t="str">
        <v>Giá không đổi</v>
      </c>
      <c r="K588" s="4">
        <f>G588-F588</f>
      </c>
      <c r="L588" s="4">
        <v>212</v>
      </c>
      <c r="M588" s="4">
        <v>912</v>
      </c>
      <c r="N588" s="4" t="str">
        <v>Không đổi</v>
      </c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5" t="str">
        <v>58 NVC NA</v>
      </c>
      <c r="B589" s="5">
        <f>VLOOKUP(A589,'Sheet10'!$A:$C,3,0)</f>
      </c>
      <c r="C589" s="5" t="str">
        <v>[DV] Tẩy tóc bật tông Ý (1 lần)</v>
      </c>
      <c r="D589" s="5">
        <v>915</v>
      </c>
      <c r="E589" s="5"/>
      <c r="F589" s="6">
        <v>252000</v>
      </c>
      <c r="G589" s="7">
        <v>252000</v>
      </c>
      <c r="H589" s="7">
        <v>252000</v>
      </c>
      <c r="I589" s="7">
        <v>252000</v>
      </c>
      <c r="J589" s="9" t="str">
        <v>Giá không đổi</v>
      </c>
      <c r="K589" s="4">
        <f>G589-F589</f>
      </c>
      <c r="L589" s="4">
        <v>212</v>
      </c>
      <c r="M589" s="4">
        <v>915</v>
      </c>
      <c r="N589" s="4" t="str">
        <v>Không đổi</v>
      </c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5" t="str">
        <v>58 NVC NA</v>
      </c>
      <c r="B590" s="5">
        <f>VLOOKUP(A590,'Sheet10'!$A:$C,3,0)</f>
      </c>
      <c r="C590" s="5" t="str">
        <v>[DV] Tẩy tóc bật tông Ý (2 lần) 500k</v>
      </c>
      <c r="D590" s="5">
        <v>916</v>
      </c>
      <c r="E590" s="5"/>
      <c r="F590" s="6">
        <v>500000</v>
      </c>
      <c r="G590" s="7">
        <v>500000</v>
      </c>
      <c r="H590" s="7">
        <v>500000</v>
      </c>
      <c r="I590" s="7">
        <v>500000</v>
      </c>
      <c r="J590" s="9" t="str">
        <v>Giá không đổi</v>
      </c>
      <c r="K590" s="4">
        <f>G590-F590</f>
      </c>
      <c r="L590" s="4">
        <v>212</v>
      </c>
      <c r="M590" s="4">
        <v>916</v>
      </c>
      <c r="N590" s="4" t="str">
        <v>Không đổi</v>
      </c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5" t="str">
        <v>58 NVC NA</v>
      </c>
      <c r="B591" s="5">
        <f>VLOOKUP(A591,'Sheet10'!$A:$C,3,0)</f>
      </c>
      <c r="C591" s="5" t="str">
        <v>[DV] Uốn Texture con sâu/Uốn Ruffled</v>
      </c>
      <c r="D591" s="5">
        <f>VLOOKUP(C591,'Sheet7'!$B:$C,2,0)</f>
      </c>
      <c r="E591" s="5"/>
      <c r="F591" s="6">
        <v>499000</v>
      </c>
      <c r="G591" s="8">
        <v>520000</v>
      </c>
      <c r="H591" s="7">
        <v>530000</v>
      </c>
      <c r="I591" s="7">
        <v>530000</v>
      </c>
      <c r="J591" s="3" t="str">
        <v>Điều chỉnh giá</v>
      </c>
      <c r="K591" s="4">
        <f>G591-F591</f>
      </c>
      <c r="L591" s="4">
        <v>212</v>
      </c>
      <c r="M591" s="4">
        <v>674</v>
      </c>
      <c r="N591" s="4" t="str" xml:space="preserve">
        <v>+10.000 VNĐ 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5" t="str">
        <v>58 NVC NA</v>
      </c>
      <c r="B592" s="5">
        <f>VLOOKUP(A592,'Sheet10'!$A:$C,3,0)</f>
      </c>
      <c r="C592" s="5" t="str">
        <v>[DV] Ép side hai bên</v>
      </c>
      <c r="D592" s="5">
        <f>VLOOKUP(C592,'Sheet7'!$B:$C,2,0)</f>
      </c>
      <c r="E592" s="5"/>
      <c r="F592" s="6">
        <v>189000</v>
      </c>
      <c r="G592" s="7">
        <v>189000</v>
      </c>
      <c r="H592" s="7">
        <v>199000</v>
      </c>
      <c r="I592" s="7">
        <v>199000</v>
      </c>
      <c r="J592" s="9" t="str">
        <v>Giá không đổi</v>
      </c>
      <c r="K592" s="4">
        <f>G592-F592</f>
      </c>
      <c r="L592" s="4">
        <v>212</v>
      </c>
      <c r="M592" s="4">
        <v>902</v>
      </c>
      <c r="N592" s="4" t="str" xml:space="preserve">
        <v>+10.000 VNĐ </v>
      </c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5" t="str">
        <v>58 NVC NA</v>
      </c>
      <c r="B593" s="5">
        <f>VLOOKUP(A593,'Sheet10'!$A:$C,3,0)</f>
      </c>
      <c r="C593" s="5" t="str">
        <v>NHUỘM THIẾT KẾ PHỤC HỒI CHUYÊN SÂU LIPID BOND 2025</v>
      </c>
      <c r="D593" s="5">
        <v>1149</v>
      </c>
      <c r="E593" s="5"/>
      <c r="F593" s="6">
        <v>689000</v>
      </c>
      <c r="G593" s="8">
        <v>719000</v>
      </c>
      <c r="H593" s="8">
        <v>719000</v>
      </c>
      <c r="I593" s="8">
        <v>719000</v>
      </c>
      <c r="J593" s="3" t="str">
        <v>Điều chỉnh giá</v>
      </c>
      <c r="K593" s="4">
        <f>G593-F593</f>
      </c>
      <c r="L593" s="4">
        <v>212</v>
      </c>
      <c r="M593" s="4">
        <v>1149</v>
      </c>
      <c r="N593" s="4" t="str">
        <v>Không đổi</v>
      </c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5" t="str">
        <v>58 NVC NA</v>
      </c>
      <c r="B594" s="5">
        <f>VLOOKUP(A594,'Sheet10'!$A:$C,3,0)</f>
      </c>
      <c r="C594" s="5" t="str">
        <v>Phục hồi trẻ hóa Lipid Bond</v>
      </c>
      <c r="D594" s="5">
        <v>1101</v>
      </c>
      <c r="E594" s="5"/>
      <c r="F594" s="6">
        <v>132000</v>
      </c>
      <c r="G594" s="8">
        <v>146000</v>
      </c>
      <c r="H594" s="8">
        <v>146000</v>
      </c>
      <c r="I594" s="8">
        <v>146000</v>
      </c>
      <c r="J594" s="3" t="str">
        <v>Điều chỉnh giá</v>
      </c>
      <c r="K594" s="4">
        <f>G594-F594</f>
      </c>
      <c r="L594" s="4">
        <v>212</v>
      </c>
      <c r="M594" s="4">
        <v>1101</v>
      </c>
      <c r="N594" s="4" t="str">
        <v>Không đổi</v>
      </c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5" t="str">
        <v>58 NVC NA</v>
      </c>
      <c r="B595" s="5">
        <f>VLOOKUP(A595,'Sheet10'!$A:$C,3,0)</f>
      </c>
      <c r="C595" s="5" t="str">
        <v>UỐN THIẾT KẾ PHỤC HỒI CHUYÊN SÂU LIPID BOND 2025</v>
      </c>
      <c r="D595" s="5">
        <f>VLOOKUP(C595,'Sheet7'!$B:$C,2,0)</f>
      </c>
      <c r="E595" s="5"/>
      <c r="F595" s="6">
        <v>689000</v>
      </c>
      <c r="G595" s="7">
        <v>689000</v>
      </c>
      <c r="H595" s="7">
        <v>699000</v>
      </c>
      <c r="I595" s="7">
        <v>699000</v>
      </c>
      <c r="J595" s="9" t="str">
        <v>Giá không đổi</v>
      </c>
      <c r="K595" s="4">
        <f>G595-F595</f>
      </c>
      <c r="L595" s="4">
        <v>212</v>
      </c>
      <c r="M595" s="4">
        <v>1148</v>
      </c>
      <c r="N595" s="4" t="str" xml:space="preserve">
        <v>+10.000 VNĐ 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5" t="str">
        <v>58 NVC NA</v>
      </c>
      <c r="B596" s="5">
        <f>VLOOKUP(A596,'Sheet10'!$A:$C,3,0)</f>
      </c>
      <c r="C596" s="5" t="str">
        <v>Uốn định hình nếp tóc cao cấp (K-Perm Collection)</v>
      </c>
      <c r="D596" s="5">
        <f>VLOOKUP(C596,'Sheet7'!$B:$C,2,0)</f>
      </c>
      <c r="E596" s="5"/>
      <c r="F596" s="6">
        <v>478000</v>
      </c>
      <c r="G596" s="7">
        <v>478000</v>
      </c>
      <c r="H596" s="7">
        <v>488000</v>
      </c>
      <c r="I596" s="7">
        <v>488000</v>
      </c>
      <c r="J596" s="9" t="str">
        <v>Giá không đổi</v>
      </c>
      <c r="K596" s="4">
        <f>G596-F596</f>
      </c>
      <c r="L596" s="4">
        <v>212</v>
      </c>
      <c r="M596" s="4">
        <v>952</v>
      </c>
      <c r="N596" s="4" t="str" xml:space="preserve">
        <v>+10.000 VNĐ </v>
      </c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5" t="str">
        <v>595 BT TH</v>
      </c>
      <c r="B597" s="5">
        <f>VLOOKUP(A597,'Sheet10'!$A:$C,3,0)</f>
      </c>
      <c r="C597" s="5" t="str">
        <v>(2022T) ATS Control Buffer - Khử mùi tạo thơm cho tóc uốn nhuộm 40k</v>
      </c>
      <c r="D597" s="5">
        <v>610</v>
      </c>
      <c r="E597" s="5"/>
      <c r="F597" s="6">
        <v>40000</v>
      </c>
      <c r="G597" s="7">
        <v>40000</v>
      </c>
      <c r="H597" s="7">
        <v>40000</v>
      </c>
      <c r="I597" s="7">
        <v>40000</v>
      </c>
      <c r="J597" s="9" t="str">
        <v>Giá không đổi</v>
      </c>
      <c r="K597" s="4">
        <f>G597-F597</f>
      </c>
      <c r="L597" s="4">
        <v>233</v>
      </c>
      <c r="M597" s="4">
        <v>610</v>
      </c>
      <c r="N597" s="4" t="str">
        <v>Không đổi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5" t="str">
        <v>595 BT TH</v>
      </c>
      <c r="B598" s="5">
        <f>VLOOKUP(A598,'Sheet10'!$A:$C,3,0)</f>
      </c>
      <c r="C598" s="5" t="str">
        <v>(NEW) Nhuộm màu thời trang Milano</v>
      </c>
      <c r="D598" s="5">
        <v>960</v>
      </c>
      <c r="E598" s="5">
        <f>A598&amp;D598</f>
      </c>
      <c r="F598" s="6">
        <v>332000</v>
      </c>
      <c r="G598" s="7">
        <v>332000</v>
      </c>
      <c r="H598" s="7">
        <v>332000</v>
      </c>
      <c r="I598" s="7">
        <v>332000</v>
      </c>
      <c r="J598" s="9" t="str">
        <v>Giá không đổi</v>
      </c>
      <c r="K598" s="4">
        <f>G598-F598</f>
      </c>
      <c r="L598" s="4">
        <v>233</v>
      </c>
      <c r="M598" s="4">
        <v>960</v>
      </c>
      <c r="N598" s="4" t="str">
        <v>Không đổi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5" t="str">
        <v>595 BT TH</v>
      </c>
      <c r="B599" s="5">
        <f>VLOOKUP(A599,'Sheet10'!$A:$C,3,0)</f>
      </c>
      <c r="C599" s="5" t="str">
        <v>(NEW) Nhuộm phủ bạc tiêu chuẩn 199K</v>
      </c>
      <c r="D599" s="5">
        <v>967</v>
      </c>
      <c r="E599" s="5"/>
      <c r="F599" s="6">
        <v>199000</v>
      </c>
      <c r="G599" s="7">
        <v>199000</v>
      </c>
      <c r="H599" s="7">
        <v>199000</v>
      </c>
      <c r="I599" s="7">
        <v>199000</v>
      </c>
      <c r="J599" s="9" t="str">
        <v>Giá không đổi</v>
      </c>
      <c r="K599" s="4">
        <f>G599-F599</f>
      </c>
      <c r="L599" s="4">
        <v>233</v>
      </c>
      <c r="M599" s="4">
        <v>967</v>
      </c>
      <c r="N599" s="4" t="str">
        <v>Không đổi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5" t="str">
        <v>595 BT TH</v>
      </c>
      <c r="B600" s="5">
        <f>VLOOKUP(A600,'Sheet10'!$A:$C,3,0)</f>
      </c>
      <c r="C600" s="5" t="str">
        <v>(NEW) Uốn/Duỗi/Định hình full đầu tạo form vào nếp tự nhiên</v>
      </c>
      <c r="D600" s="5">
        <f>VLOOKUP(C600,'Sheet7'!$B:$C,2,0)</f>
      </c>
      <c r="E600" s="5">
        <f>A600&amp;D600</f>
      </c>
      <c r="F600" s="6">
        <v>386000</v>
      </c>
      <c r="G600" s="7">
        <v>386000</v>
      </c>
      <c r="H600" s="7">
        <v>396000</v>
      </c>
      <c r="I600" s="7">
        <v>396000</v>
      </c>
      <c r="J600" s="9" t="str">
        <v>Giá không đổi</v>
      </c>
      <c r="K600" s="4">
        <f>G600-F600</f>
      </c>
      <c r="L600" s="4">
        <v>233</v>
      </c>
      <c r="M600" s="4">
        <v>1009</v>
      </c>
      <c r="N600" s="4" t="str" xml:space="preserve">
        <v>+10.000 VNĐ </v>
      </c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5" t="str">
        <v>595 BT TH</v>
      </c>
      <c r="B601" s="5">
        <f>VLOOKUP(A601,'Sheet10'!$A:$C,3,0)</f>
      </c>
      <c r="C601" s="5" t="str">
        <v>[DV] Nhuộm đen phủ bạc R&amp;B thảo dược</v>
      </c>
      <c r="D601" s="5">
        <v>912</v>
      </c>
      <c r="E601" s="5"/>
      <c r="F601" s="6">
        <v>289000</v>
      </c>
      <c r="G601" s="7">
        <v>289000</v>
      </c>
      <c r="H601" s="7">
        <v>289000</v>
      </c>
      <c r="I601" s="7">
        <v>289000</v>
      </c>
      <c r="J601" s="9" t="str">
        <v>Giá không đổi</v>
      </c>
      <c r="K601" s="4">
        <f>G601-F601</f>
      </c>
      <c r="L601" s="4">
        <v>233</v>
      </c>
      <c r="M601" s="4">
        <v>912</v>
      </c>
      <c r="N601" s="4" t="str">
        <v>Không đổi</v>
      </c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5" t="str">
        <v>595 BT TH</v>
      </c>
      <c r="B602" s="5">
        <f>VLOOKUP(A602,'Sheet10'!$A:$C,3,0)</f>
      </c>
      <c r="C602" s="5" t="str">
        <v>[DV] Tẩy tóc bật tông Ý (1 lần)</v>
      </c>
      <c r="D602" s="5">
        <v>915</v>
      </c>
      <c r="E602" s="5"/>
      <c r="F602" s="6">
        <v>252000</v>
      </c>
      <c r="G602" s="8">
        <v>259000</v>
      </c>
      <c r="H602" s="8">
        <v>259000</v>
      </c>
      <c r="I602" s="8">
        <v>259000</v>
      </c>
      <c r="J602" s="3" t="str">
        <v>Điều chỉnh giá</v>
      </c>
      <c r="K602" s="4">
        <f>G602-F602</f>
      </c>
      <c r="L602" s="4">
        <v>233</v>
      </c>
      <c r="M602" s="4">
        <v>915</v>
      </c>
      <c r="N602" s="4" t="str">
        <v>Không đổi</v>
      </c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5" t="str">
        <v>595 BT TH</v>
      </c>
      <c r="B603" s="5">
        <f>VLOOKUP(A603,'Sheet10'!$A:$C,3,0)</f>
      </c>
      <c r="C603" s="5" t="str">
        <v>[DV] Tẩy tóc bật tông Ý (2 lần) 500k</v>
      </c>
      <c r="D603" s="5">
        <v>916</v>
      </c>
      <c r="E603" s="5"/>
      <c r="F603" s="6">
        <v>500000</v>
      </c>
      <c r="G603" s="8">
        <v>514000</v>
      </c>
      <c r="H603" s="8">
        <v>514000</v>
      </c>
      <c r="I603" s="8">
        <v>514000</v>
      </c>
      <c r="J603" s="3" t="str">
        <v>Điều chỉnh giá</v>
      </c>
      <c r="K603" s="4">
        <f>G603-F603</f>
      </c>
      <c r="L603" s="4">
        <v>233</v>
      </c>
      <c r="M603" s="4">
        <v>916</v>
      </c>
      <c r="N603" s="4" t="str">
        <v>Không đổi</v>
      </c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5" t="str">
        <v>595 BT TH</v>
      </c>
      <c r="B604" s="5">
        <f>VLOOKUP(A604,'Sheet10'!$A:$C,3,0)</f>
      </c>
      <c r="C604" s="5" t="str">
        <v>[DV] Uốn Texture con sâu/Uốn Ruffled</v>
      </c>
      <c r="D604" s="5">
        <f>VLOOKUP(C604,'Sheet7'!$B:$C,2,0)</f>
      </c>
      <c r="E604" s="5"/>
      <c r="F604" s="6">
        <v>499000</v>
      </c>
      <c r="G604" s="7">
        <v>499000</v>
      </c>
      <c r="H604" s="7">
        <v>509000</v>
      </c>
      <c r="I604" s="7">
        <v>509000</v>
      </c>
      <c r="J604" s="9" t="str">
        <v>Giá không đổi</v>
      </c>
      <c r="K604" s="4">
        <f>G604-F604</f>
      </c>
      <c r="L604" s="4">
        <v>233</v>
      </c>
      <c r="M604" s="4">
        <v>674</v>
      </c>
      <c r="N604" s="4" t="str" xml:space="preserve">
        <v>+10.000 VNĐ </v>
      </c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5" t="str">
        <v>595 BT TH</v>
      </c>
      <c r="B605" s="5">
        <f>VLOOKUP(A605,'Sheet10'!$A:$C,3,0)</f>
      </c>
      <c r="C605" s="5" t="str">
        <v>[DV] Ép side hai bên</v>
      </c>
      <c r="D605" s="5">
        <f>VLOOKUP(C605,'Sheet7'!$B:$C,2,0)</f>
      </c>
      <c r="E605" s="5"/>
      <c r="F605" s="6">
        <v>189000</v>
      </c>
      <c r="G605" s="7">
        <v>189000</v>
      </c>
      <c r="H605" s="7">
        <v>199000</v>
      </c>
      <c r="I605" s="7">
        <v>199000</v>
      </c>
      <c r="J605" s="9" t="str">
        <v>Giá không đổi</v>
      </c>
      <c r="K605" s="4">
        <f>G605-F605</f>
      </c>
      <c r="L605" s="4">
        <v>233</v>
      </c>
      <c r="M605" s="4">
        <v>902</v>
      </c>
      <c r="N605" s="4" t="str" xml:space="preserve">
        <v>+10.000 VNĐ </v>
      </c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5" t="str">
        <v>595 BT TH</v>
      </c>
      <c r="B606" s="5">
        <f>VLOOKUP(A606,'Sheet10'!$A:$C,3,0)</f>
      </c>
      <c r="C606" s="5" t="str">
        <v>NHUỘM THIẾT KẾ PHỤC HỒI CHUYÊN SÂU LIPID BOND 2025</v>
      </c>
      <c r="D606" s="5">
        <v>1149</v>
      </c>
      <c r="E606" s="5"/>
      <c r="F606" s="6">
        <v>689000</v>
      </c>
      <c r="G606" s="7">
        <v>689000</v>
      </c>
      <c r="H606" s="7">
        <v>689000</v>
      </c>
      <c r="I606" s="7">
        <v>689000</v>
      </c>
      <c r="J606" s="9" t="str">
        <v>Giá không đổi</v>
      </c>
      <c r="K606" s="4">
        <f>G606-F606</f>
      </c>
      <c r="L606" s="4">
        <v>233</v>
      </c>
      <c r="M606" s="4">
        <v>1149</v>
      </c>
      <c r="N606" s="4" t="str">
        <v>Không đổi</v>
      </c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5" t="str">
        <v>595 BT TH</v>
      </c>
      <c r="B607" s="5">
        <f>VLOOKUP(A607,'Sheet10'!$A:$C,3,0)</f>
      </c>
      <c r="C607" s="5" t="str">
        <v>Phục hồi trẻ hóa Lipid Bond</v>
      </c>
      <c r="D607" s="5">
        <v>1101</v>
      </c>
      <c r="E607" s="5"/>
      <c r="F607" s="6">
        <v>132000</v>
      </c>
      <c r="G607" s="8">
        <v>146000</v>
      </c>
      <c r="H607" s="8">
        <v>146000</v>
      </c>
      <c r="I607" s="8">
        <v>146000</v>
      </c>
      <c r="J607" s="3" t="str">
        <v>Điều chỉnh giá</v>
      </c>
      <c r="K607" s="4">
        <f>G607-F607</f>
      </c>
      <c r="L607" s="4">
        <v>233</v>
      </c>
      <c r="M607" s="4">
        <v>1101</v>
      </c>
      <c r="N607" s="4" t="str">
        <v>Không đổi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5" t="str">
        <v>595 BT TH</v>
      </c>
      <c r="B608" s="5">
        <f>VLOOKUP(A608,'Sheet10'!$A:$C,3,0)</f>
      </c>
      <c r="C608" s="5" t="str">
        <v>UỐN THIẾT KẾ PHỤC HỒI CHUYÊN SÂU LIPID BOND 2025</v>
      </c>
      <c r="D608" s="5">
        <f>VLOOKUP(C608,'Sheet7'!$B:$C,2,0)</f>
      </c>
      <c r="E608" s="5"/>
      <c r="F608" s="6">
        <v>689000</v>
      </c>
      <c r="G608" s="7">
        <v>689000</v>
      </c>
      <c r="H608" s="7">
        <v>699000</v>
      </c>
      <c r="I608" s="7">
        <v>699000</v>
      </c>
      <c r="J608" s="9" t="str">
        <v>Giá không đổi</v>
      </c>
      <c r="K608" s="4">
        <f>G608-F608</f>
      </c>
      <c r="L608" s="4">
        <v>233</v>
      </c>
      <c r="M608" s="4">
        <v>1148</v>
      </c>
      <c r="N608" s="4" t="str" xml:space="preserve">
        <v>+10.000 VNĐ 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5" t="str">
        <v>595 BT TH</v>
      </c>
      <c r="B609" s="5">
        <f>VLOOKUP(A609,'Sheet10'!$A:$C,3,0)</f>
      </c>
      <c r="C609" s="5" t="str">
        <v>Uốn định hình nếp tóc cao cấp (K-Perm Collection)</v>
      </c>
      <c r="D609" s="5">
        <f>VLOOKUP(C609,'Sheet7'!$B:$C,2,0)</f>
      </c>
      <c r="E609" s="5"/>
      <c r="F609" s="6">
        <v>478000</v>
      </c>
      <c r="G609" s="7">
        <v>478000</v>
      </c>
      <c r="H609" s="7">
        <v>488000</v>
      </c>
      <c r="I609" s="7">
        <v>488000</v>
      </c>
      <c r="J609" s="9" t="str">
        <v>Giá không đổi</v>
      </c>
      <c r="K609" s="4">
        <f>G609-F609</f>
      </c>
      <c r="L609" s="4">
        <v>233</v>
      </c>
      <c r="M609" s="4">
        <v>952</v>
      </c>
      <c r="N609" s="4" t="str" xml:space="preserve">
        <v>+10.000 VNĐ 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5" t="str">
        <v>62 LH</v>
      </c>
      <c r="B610" s="5">
        <f>VLOOKUP(A610,'Sheet10'!$A:$C,3,0)</f>
      </c>
      <c r="C610" s="5" t="str">
        <v>(2022T) ATS Control Buffer - Khử mùi tạo thơm cho tóc uốn nhuộm 40k</v>
      </c>
      <c r="D610" s="5">
        <v>610</v>
      </c>
      <c r="E610" s="5"/>
      <c r="F610" s="6">
        <v>40000</v>
      </c>
      <c r="G610" s="7">
        <v>40000</v>
      </c>
      <c r="H610" s="7">
        <v>40000</v>
      </c>
      <c r="I610" s="7">
        <v>40000</v>
      </c>
      <c r="J610" s="9" t="str">
        <v>Giá không đổi</v>
      </c>
      <c r="K610" s="4">
        <f>G610-F610</f>
      </c>
      <c r="L610" s="4">
        <v>228</v>
      </c>
      <c r="M610" s="4">
        <v>610</v>
      </c>
      <c r="N610" s="4" t="str">
        <v>Không đổi</v>
      </c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5" t="str">
        <v>62 LH</v>
      </c>
      <c r="B611" s="5">
        <f>VLOOKUP(A611,'Sheet10'!$A:$C,3,0)</f>
      </c>
      <c r="C611" s="5" t="str">
        <v>(NEW) Nhuộm màu thời trang Milano</v>
      </c>
      <c r="D611" s="5">
        <v>960</v>
      </c>
      <c r="E611" s="5">
        <f>A611&amp;D611</f>
      </c>
      <c r="F611" s="6">
        <v>332000</v>
      </c>
      <c r="G611" s="7">
        <v>332000</v>
      </c>
      <c r="H611" s="7">
        <v>332000</v>
      </c>
      <c r="I611" s="7">
        <v>332000</v>
      </c>
      <c r="J611" s="9" t="str">
        <v>Giá không đổi</v>
      </c>
      <c r="K611" s="4">
        <f>G611-F611</f>
      </c>
      <c r="L611" s="4">
        <v>228</v>
      </c>
      <c r="M611" s="4">
        <v>960</v>
      </c>
      <c r="N611" s="4" t="str">
        <v>Không đổi</v>
      </c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5" t="str">
        <v>62 LH</v>
      </c>
      <c r="B612" s="5">
        <f>VLOOKUP(A612,'Sheet10'!$A:$C,3,0)</f>
      </c>
      <c r="C612" s="5" t="str">
        <v>(NEW) Nhuộm phủ bạc tiêu chuẩn 199K</v>
      </c>
      <c r="D612" s="5">
        <v>967</v>
      </c>
      <c r="E612" s="5"/>
      <c r="F612" s="6">
        <v>199000</v>
      </c>
      <c r="G612" s="8">
        <v>227000</v>
      </c>
      <c r="H612" s="8">
        <v>227000</v>
      </c>
      <c r="I612" s="8">
        <v>227000</v>
      </c>
      <c r="J612" s="3" t="str">
        <v>Điều chỉnh giá</v>
      </c>
      <c r="K612" s="4">
        <f>G612-F612</f>
      </c>
      <c r="L612" s="4">
        <v>228</v>
      </c>
      <c r="M612" s="4">
        <v>967</v>
      </c>
      <c r="N612" s="4" t="str">
        <v>Không đổi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5" t="str">
        <v>62 LH</v>
      </c>
      <c r="B613" s="5">
        <f>VLOOKUP(A613,'Sheet10'!$A:$C,3,0)</f>
      </c>
      <c r="C613" s="5" t="str">
        <v>(NEW) Uốn/Duỗi/Định hình full đầu tạo form vào nếp tự nhiên</v>
      </c>
      <c r="D613" s="5">
        <f>VLOOKUP(C613,'Sheet7'!$B:$C,2,0)</f>
      </c>
      <c r="E613" s="5">
        <f>A613&amp;D613</f>
      </c>
      <c r="F613" s="6">
        <v>386000</v>
      </c>
      <c r="G613" s="7">
        <v>386000</v>
      </c>
      <c r="H613" s="7">
        <v>396000</v>
      </c>
      <c r="I613" s="7">
        <v>396000</v>
      </c>
      <c r="J613" s="9" t="str">
        <v>Giá không đổi</v>
      </c>
      <c r="K613" s="4">
        <f>G613-F613</f>
      </c>
      <c r="L613" s="4">
        <v>228</v>
      </c>
      <c r="M613" s="4">
        <v>1009</v>
      </c>
      <c r="N613" s="4" t="str" xml:space="preserve">
        <v>+10.000 VNĐ 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5" t="str">
        <v>62 LH</v>
      </c>
      <c r="B614" s="5">
        <f>VLOOKUP(A614,'Sheet10'!$A:$C,3,0)</f>
      </c>
      <c r="C614" s="5" t="str">
        <v>[DV] Nhuộm đen phủ bạc R&amp;B thảo dược</v>
      </c>
      <c r="D614" s="5">
        <v>912</v>
      </c>
      <c r="E614" s="5"/>
      <c r="F614" s="6">
        <v>289000</v>
      </c>
      <c r="G614" s="8">
        <v>329000</v>
      </c>
      <c r="H614" s="8">
        <v>329000</v>
      </c>
      <c r="I614" s="8">
        <v>329000</v>
      </c>
      <c r="J614" s="3" t="str">
        <v>Điều chỉnh giá</v>
      </c>
      <c r="K614" s="4">
        <f>G614-F614</f>
      </c>
      <c r="L614" s="4">
        <v>228</v>
      </c>
      <c r="M614" s="4">
        <v>912</v>
      </c>
      <c r="N614" s="4" t="str">
        <v>Không đổi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5" t="str">
        <v>62 LH</v>
      </c>
      <c r="B615" s="5">
        <f>VLOOKUP(A615,'Sheet10'!$A:$C,3,0)</f>
      </c>
      <c r="C615" s="5" t="str">
        <v>[DV] Tẩy tóc bật tông Ý (1 lần)</v>
      </c>
      <c r="D615" s="5">
        <v>915</v>
      </c>
      <c r="E615" s="5"/>
      <c r="F615" s="6">
        <v>252000</v>
      </c>
      <c r="G615" s="7">
        <v>252000</v>
      </c>
      <c r="H615" s="7">
        <v>252000</v>
      </c>
      <c r="I615" s="7">
        <v>252000</v>
      </c>
      <c r="J615" s="9" t="str">
        <v>Giá không đổi</v>
      </c>
      <c r="K615" s="4">
        <f>G615-F615</f>
      </c>
      <c r="L615" s="4">
        <v>228</v>
      </c>
      <c r="M615" s="4">
        <v>915</v>
      </c>
      <c r="N615" s="4" t="str">
        <v>Không đổi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5" t="str">
        <v>62 LH</v>
      </c>
      <c r="B616" s="5">
        <f>VLOOKUP(A616,'Sheet10'!$A:$C,3,0)</f>
      </c>
      <c r="C616" s="5" t="str">
        <v>[DV] Tẩy tóc bật tông Ý (2 lần) 500k</v>
      </c>
      <c r="D616" s="5">
        <v>916</v>
      </c>
      <c r="E616" s="5"/>
      <c r="F616" s="6">
        <v>500000</v>
      </c>
      <c r="G616" s="7">
        <v>500000</v>
      </c>
      <c r="H616" s="7">
        <v>500000</v>
      </c>
      <c r="I616" s="7">
        <v>500000</v>
      </c>
      <c r="J616" s="9" t="str">
        <v>Giá không đổi</v>
      </c>
      <c r="K616" s="4">
        <f>G616-F616</f>
      </c>
      <c r="L616" s="4">
        <v>228</v>
      </c>
      <c r="M616" s="4">
        <v>916</v>
      </c>
      <c r="N616" s="4" t="str">
        <v>Không đổi</v>
      </c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5" t="str">
        <v>62 LH</v>
      </c>
      <c r="B617" s="5">
        <f>VLOOKUP(A617,'Sheet10'!$A:$C,3,0)</f>
      </c>
      <c r="C617" s="5" t="str">
        <v>[DV] Uốn Texture con sâu/Uốn Ruffled</v>
      </c>
      <c r="D617" s="5">
        <f>VLOOKUP(C617,'Sheet7'!$B:$C,2,0)</f>
      </c>
      <c r="E617" s="5"/>
      <c r="F617" s="6">
        <v>499000</v>
      </c>
      <c r="G617" s="7">
        <v>499000</v>
      </c>
      <c r="H617" s="7">
        <v>509000</v>
      </c>
      <c r="I617" s="7">
        <v>509000</v>
      </c>
      <c r="J617" s="9" t="str">
        <v>Giá không đổi</v>
      </c>
      <c r="K617" s="4">
        <f>G617-F617</f>
      </c>
      <c r="L617" s="4">
        <v>228</v>
      </c>
      <c r="M617" s="4">
        <v>674</v>
      </c>
      <c r="N617" s="4" t="str" xml:space="preserve">
        <v>+10.000 VNĐ </v>
      </c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5" t="str">
        <v>62 LH</v>
      </c>
      <c r="B618" s="5">
        <f>VLOOKUP(A618,'Sheet10'!$A:$C,3,0)</f>
      </c>
      <c r="C618" s="5" t="str">
        <v>[DV] Ép side hai bên</v>
      </c>
      <c r="D618" s="5">
        <f>VLOOKUP(C618,'Sheet7'!$B:$C,2,0)</f>
      </c>
      <c r="E618" s="5"/>
      <c r="F618" s="6">
        <v>189000</v>
      </c>
      <c r="G618" s="8">
        <v>216000</v>
      </c>
      <c r="H618" s="7">
        <v>226000</v>
      </c>
      <c r="I618" s="7">
        <v>226000</v>
      </c>
      <c r="J618" s="3" t="str">
        <v>Điều chỉnh giá</v>
      </c>
      <c r="K618" s="4">
        <f>G618-F618</f>
      </c>
      <c r="L618" s="4">
        <v>228</v>
      </c>
      <c r="M618" s="4">
        <v>902</v>
      </c>
      <c r="N618" s="4" t="str" xml:space="preserve">
        <v>+10.000 VNĐ 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5" t="str">
        <v>62 LH</v>
      </c>
      <c r="B619" s="5">
        <f>VLOOKUP(A619,'Sheet10'!$A:$C,3,0)</f>
      </c>
      <c r="C619" s="5" t="str">
        <v>NHUỘM THIẾT KẾ PHỤC HỒI CHUYÊN SÂU LIPID BOND 2025</v>
      </c>
      <c r="D619" s="5">
        <v>1149</v>
      </c>
      <c r="E619" s="5"/>
      <c r="F619" s="6">
        <v>689000</v>
      </c>
      <c r="G619" s="7">
        <v>689000</v>
      </c>
      <c r="H619" s="7">
        <v>689000</v>
      </c>
      <c r="I619" s="7">
        <v>689000</v>
      </c>
      <c r="J619" s="9" t="str">
        <v>Giá không đổi</v>
      </c>
      <c r="K619" s="4">
        <f>G619-F619</f>
      </c>
      <c r="L619" s="4">
        <v>228</v>
      </c>
      <c r="M619" s="4">
        <v>1149</v>
      </c>
      <c r="N619" s="4" t="str">
        <v>Không đổi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5" t="str">
        <v>62 LH</v>
      </c>
      <c r="B620" s="5">
        <f>VLOOKUP(A620,'Sheet10'!$A:$C,3,0)</f>
      </c>
      <c r="C620" s="5" t="str">
        <v>Phục hồi trẻ hóa Lipid Bond</v>
      </c>
      <c r="D620" s="5">
        <v>1101</v>
      </c>
      <c r="E620" s="5"/>
      <c r="F620" s="6">
        <v>132000</v>
      </c>
      <c r="G620" s="8">
        <v>146000</v>
      </c>
      <c r="H620" s="8">
        <v>146000</v>
      </c>
      <c r="I620" s="8">
        <v>146000</v>
      </c>
      <c r="J620" s="3" t="str">
        <v>Điều chỉnh giá</v>
      </c>
      <c r="K620" s="4">
        <f>G620-F620</f>
      </c>
      <c r="L620" s="4">
        <v>228</v>
      </c>
      <c r="M620" s="4">
        <v>1101</v>
      </c>
      <c r="N620" s="4" t="str">
        <v>Không đổi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5" t="str">
        <v>62 LH</v>
      </c>
      <c r="B621" s="5">
        <f>VLOOKUP(A621,'Sheet10'!$A:$C,3,0)</f>
      </c>
      <c r="C621" s="5" t="str">
        <v>UỐN THIẾT KẾ PHỤC HỒI CHUYÊN SÂU LIPID BOND 2025</v>
      </c>
      <c r="D621" s="5">
        <f>VLOOKUP(C621,'Sheet7'!$B:$C,2,0)</f>
      </c>
      <c r="E621" s="5"/>
      <c r="F621" s="6">
        <v>689000</v>
      </c>
      <c r="G621" s="7">
        <v>689000</v>
      </c>
      <c r="H621" s="7">
        <v>699000</v>
      </c>
      <c r="I621" s="7">
        <v>699000</v>
      </c>
      <c r="J621" s="9" t="str">
        <v>Giá không đổi</v>
      </c>
      <c r="K621" s="4">
        <f>G621-F621</f>
      </c>
      <c r="L621" s="4">
        <v>228</v>
      </c>
      <c r="M621" s="4">
        <v>1148</v>
      </c>
      <c r="N621" s="4" t="str" xml:space="preserve">
        <v>+10.000 VNĐ 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5" t="str">
        <v>62 LH</v>
      </c>
      <c r="B622" s="5">
        <f>VLOOKUP(A622,'Sheet10'!$A:$C,3,0)</f>
      </c>
      <c r="C622" s="5" t="str">
        <v>Uốn định hình nếp tóc cao cấp (K-Perm Collection)</v>
      </c>
      <c r="D622" s="5">
        <f>VLOOKUP(C622,'Sheet7'!$B:$C,2,0)</f>
      </c>
      <c r="E622" s="5"/>
      <c r="F622" s="6">
        <v>478000</v>
      </c>
      <c r="G622" s="7">
        <v>478000</v>
      </c>
      <c r="H622" s="7">
        <v>488000</v>
      </c>
      <c r="I622" s="7">
        <v>488000</v>
      </c>
      <c r="J622" s="9" t="str">
        <v>Giá không đổi</v>
      </c>
      <c r="K622" s="4">
        <f>G622-F622</f>
      </c>
      <c r="L622" s="4">
        <v>228</v>
      </c>
      <c r="M622" s="4">
        <v>952</v>
      </c>
      <c r="N622" s="4" t="str" xml:space="preserve">
        <v>+10.000 VNĐ 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5" t="str">
        <v>65 CD</v>
      </c>
      <c r="B623" s="5">
        <f>VLOOKUP(A623,'Sheet10'!$A:$C,3,0)</f>
      </c>
      <c r="C623" s="5" t="str">
        <v>(2022T) ATS Control Buffer - Khử mùi tạo thơm cho tóc uốn nhuộm 40k</v>
      </c>
      <c r="D623" s="5">
        <v>610</v>
      </c>
      <c r="E623" s="5"/>
      <c r="F623" s="6">
        <v>40000</v>
      </c>
      <c r="G623" s="7">
        <v>40000</v>
      </c>
      <c r="H623" s="7">
        <v>40000</v>
      </c>
      <c r="I623" s="7">
        <v>40000</v>
      </c>
      <c r="J623" s="9" t="str">
        <v>Giá không đổi</v>
      </c>
      <c r="K623" s="4">
        <f>G623-F623</f>
      </c>
      <c r="L623" s="4">
        <v>197</v>
      </c>
      <c r="M623" s="4">
        <v>610</v>
      </c>
      <c r="N623" s="4" t="str">
        <v>Không đổi</v>
      </c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5" t="str">
        <v>65 CD</v>
      </c>
      <c r="B624" s="5">
        <f>VLOOKUP(A624,'Sheet10'!$A:$C,3,0)</f>
      </c>
      <c r="C624" s="5" t="str">
        <v>(NEW) Nhuộm màu thời trang Milano</v>
      </c>
      <c r="D624" s="5">
        <v>960</v>
      </c>
      <c r="E624" s="5">
        <f>A624&amp;D624</f>
      </c>
      <c r="F624" s="6">
        <v>332000</v>
      </c>
      <c r="G624" s="8">
        <v>366000</v>
      </c>
      <c r="H624" s="8">
        <v>366000</v>
      </c>
      <c r="I624" s="8">
        <v>366000</v>
      </c>
      <c r="J624" s="3" t="str">
        <v>Điều chỉnh giá</v>
      </c>
      <c r="K624" s="4">
        <f>G624-F624</f>
      </c>
      <c r="L624" s="4">
        <v>197</v>
      </c>
      <c r="M624" s="4">
        <v>960</v>
      </c>
      <c r="N624" s="4" t="str">
        <v>Không đổi</v>
      </c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5" t="str">
        <v>65 CD</v>
      </c>
      <c r="B625" s="5">
        <f>VLOOKUP(A625,'Sheet10'!$A:$C,3,0)</f>
      </c>
      <c r="C625" s="5" t="str">
        <v>(NEW) Nhuộm phủ bạc tiêu chuẩn 199K</v>
      </c>
      <c r="D625" s="5">
        <v>967</v>
      </c>
      <c r="E625" s="5"/>
      <c r="F625" s="6">
        <v>199000</v>
      </c>
      <c r="G625" s="8">
        <v>202000</v>
      </c>
      <c r="H625" s="8">
        <v>202000</v>
      </c>
      <c r="I625" s="8">
        <v>202000</v>
      </c>
      <c r="J625" s="3" t="str">
        <v>Điều chỉnh giá</v>
      </c>
      <c r="K625" s="4">
        <f>G625-F625</f>
      </c>
      <c r="L625" s="4">
        <v>197</v>
      </c>
      <c r="M625" s="4">
        <v>967</v>
      </c>
      <c r="N625" s="4" t="str">
        <v>Không đổi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5" t="str">
        <v>65 CD</v>
      </c>
      <c r="B626" s="5">
        <f>VLOOKUP(A626,'Sheet10'!$A:$C,3,0)</f>
      </c>
      <c r="C626" s="5" t="str">
        <v>(NEW) Uốn/Duỗi/Định hình full đầu tạo form vào nếp tự nhiên</v>
      </c>
      <c r="D626" s="5">
        <f>VLOOKUP(C626,'Sheet7'!$B:$C,2,0)</f>
      </c>
      <c r="E626" s="5">
        <f>A626&amp;D626</f>
      </c>
      <c r="F626" s="6">
        <v>386000</v>
      </c>
      <c r="G626" s="8">
        <v>406000</v>
      </c>
      <c r="H626" s="7">
        <v>416000</v>
      </c>
      <c r="I626" s="7">
        <v>416000</v>
      </c>
      <c r="J626" s="3" t="str">
        <v>Điều chỉnh giá</v>
      </c>
      <c r="K626" s="4">
        <f>G626-F626</f>
      </c>
      <c r="L626" s="4">
        <v>197</v>
      </c>
      <c r="M626" s="4">
        <v>1009</v>
      </c>
      <c r="N626" s="4" t="str" xml:space="preserve">
        <v>+10.000 VNĐ 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5" t="str">
        <v>65 CD</v>
      </c>
      <c r="B627" s="5">
        <f>VLOOKUP(A627,'Sheet10'!$A:$C,3,0)</f>
      </c>
      <c r="C627" s="5" t="str">
        <v>[DV] Nhuộm đen phủ bạc R&amp;B thảo dược</v>
      </c>
      <c r="D627" s="5">
        <v>912</v>
      </c>
      <c r="E627" s="5"/>
      <c r="F627" s="6">
        <v>289000</v>
      </c>
      <c r="G627" s="8">
        <v>293000</v>
      </c>
      <c r="H627" s="8">
        <v>293000</v>
      </c>
      <c r="I627" s="8">
        <v>293000</v>
      </c>
      <c r="J627" s="3" t="str">
        <v>Điều chỉnh giá</v>
      </c>
      <c r="K627" s="4">
        <f>G627-F627</f>
      </c>
      <c r="L627" s="4">
        <v>197</v>
      </c>
      <c r="M627" s="4">
        <v>912</v>
      </c>
      <c r="N627" s="4" t="str">
        <v>Không đổi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5" t="str">
        <v>65 CD</v>
      </c>
      <c r="B628" s="5">
        <f>VLOOKUP(A628,'Sheet10'!$A:$C,3,0)</f>
      </c>
      <c r="C628" s="5" t="str">
        <v>[DV] Tẩy tóc bật tông Ý (1 lần)</v>
      </c>
      <c r="D628" s="5">
        <v>915</v>
      </c>
      <c r="E628" s="5"/>
      <c r="F628" s="6">
        <v>252000</v>
      </c>
      <c r="G628" s="7">
        <v>252000</v>
      </c>
      <c r="H628" s="7">
        <v>252000</v>
      </c>
      <c r="I628" s="7">
        <v>252000</v>
      </c>
      <c r="J628" s="9" t="str">
        <v>Giá không đổi</v>
      </c>
      <c r="K628" s="4">
        <f>G628-F628</f>
      </c>
      <c r="L628" s="4">
        <v>197</v>
      </c>
      <c r="M628" s="4">
        <v>915</v>
      </c>
      <c r="N628" s="4" t="str">
        <v>Không đổi</v>
      </c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5" t="str">
        <v>65 CD</v>
      </c>
      <c r="B629" s="5">
        <f>VLOOKUP(A629,'Sheet10'!$A:$C,3,0)</f>
      </c>
      <c r="C629" s="5" t="str">
        <v>[DV] Tẩy tóc bật tông Ý (2 lần) 500k</v>
      </c>
      <c r="D629" s="5">
        <v>916</v>
      </c>
      <c r="E629" s="5"/>
      <c r="F629" s="6">
        <v>500000</v>
      </c>
      <c r="G629" s="7">
        <v>500000</v>
      </c>
      <c r="H629" s="7">
        <v>500000</v>
      </c>
      <c r="I629" s="7">
        <v>500000</v>
      </c>
      <c r="J629" s="9" t="str">
        <v>Giá không đổi</v>
      </c>
      <c r="K629" s="4">
        <f>G629-F629</f>
      </c>
      <c r="L629" s="4">
        <v>197</v>
      </c>
      <c r="M629" s="4">
        <v>916</v>
      </c>
      <c r="N629" s="4" t="str">
        <v>Không đổi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5" t="str">
        <v>65 CD</v>
      </c>
      <c r="B630" s="5">
        <f>VLOOKUP(A630,'Sheet10'!$A:$C,3,0)</f>
      </c>
      <c r="C630" s="5" t="str">
        <v>[DV] Uốn Texture con sâu/Uốn Ruffled</v>
      </c>
      <c r="D630" s="5">
        <f>VLOOKUP(C630,'Sheet7'!$B:$C,2,0)</f>
      </c>
      <c r="E630" s="5"/>
      <c r="F630" s="6">
        <v>499000</v>
      </c>
      <c r="G630" s="8">
        <v>550000</v>
      </c>
      <c r="H630" s="7">
        <v>560000</v>
      </c>
      <c r="I630" s="7">
        <v>560000</v>
      </c>
      <c r="J630" s="3" t="str">
        <v>Điều chỉnh giá</v>
      </c>
      <c r="K630" s="4">
        <f>G630-F630</f>
      </c>
      <c r="L630" s="4">
        <v>197</v>
      </c>
      <c r="M630" s="4">
        <v>674</v>
      </c>
      <c r="N630" s="4" t="str" xml:space="preserve">
        <v>+10.000 VNĐ </v>
      </c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5" t="str">
        <v>65 CD</v>
      </c>
      <c r="B631" s="5">
        <f>VLOOKUP(A631,'Sheet10'!$A:$C,3,0)</f>
      </c>
      <c r="C631" s="5" t="str">
        <v>[DV] Ép side hai bên</v>
      </c>
      <c r="D631" s="5">
        <f>VLOOKUP(C631,'Sheet7'!$B:$C,2,0)</f>
      </c>
      <c r="E631" s="5"/>
      <c r="F631" s="6">
        <v>189000</v>
      </c>
      <c r="G631" s="8">
        <v>209000</v>
      </c>
      <c r="H631" s="7">
        <v>219000</v>
      </c>
      <c r="I631" s="7">
        <v>219000</v>
      </c>
      <c r="J631" s="3" t="str">
        <v>Điều chỉnh giá</v>
      </c>
      <c r="K631" s="4">
        <f>G631-F631</f>
      </c>
      <c r="L631" s="4">
        <v>197</v>
      </c>
      <c r="M631" s="4">
        <v>902</v>
      </c>
      <c r="N631" s="4" t="str" xml:space="preserve">
        <v>+10.000 VNĐ </v>
      </c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5" t="str">
        <v>65 CD</v>
      </c>
      <c r="B632" s="5">
        <f>VLOOKUP(A632,'Sheet10'!$A:$C,3,0)</f>
      </c>
      <c r="C632" s="5" t="str">
        <v>NHUỘM THIẾT KẾ PHỤC HỒI CHUYÊN SÂU LIPID BOND 2025</v>
      </c>
      <c r="D632" s="5">
        <v>1149</v>
      </c>
      <c r="E632" s="5"/>
      <c r="F632" s="6">
        <v>689000</v>
      </c>
      <c r="G632" s="8">
        <v>759000</v>
      </c>
      <c r="H632" s="8">
        <v>759000</v>
      </c>
      <c r="I632" s="8">
        <v>759000</v>
      </c>
      <c r="J632" s="3" t="str">
        <v>Điều chỉnh giá</v>
      </c>
      <c r="K632" s="4">
        <f>G632-F632</f>
      </c>
      <c r="L632" s="4">
        <v>197</v>
      </c>
      <c r="M632" s="4">
        <v>1149</v>
      </c>
      <c r="N632" s="4" t="str">
        <v>Không đổi</v>
      </c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5" t="str">
        <v>65 CD</v>
      </c>
      <c r="B633" s="5">
        <f>VLOOKUP(A633,'Sheet10'!$A:$C,3,0)</f>
      </c>
      <c r="C633" s="5" t="str">
        <v>Phục hồi trẻ hóa Lipid Bond</v>
      </c>
      <c r="D633" s="5">
        <v>1101</v>
      </c>
      <c r="E633" s="5"/>
      <c r="F633" s="6">
        <v>132000</v>
      </c>
      <c r="G633" s="8">
        <v>146000</v>
      </c>
      <c r="H633" s="8">
        <v>146000</v>
      </c>
      <c r="I633" s="8">
        <v>146000</v>
      </c>
      <c r="J633" s="3" t="str">
        <v>Điều chỉnh giá</v>
      </c>
      <c r="K633" s="4">
        <f>G633-F633</f>
      </c>
      <c r="L633" s="4">
        <v>197</v>
      </c>
      <c r="M633" s="4">
        <v>1101</v>
      </c>
      <c r="N633" s="4" t="str">
        <v>Không đổi</v>
      </c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5" t="str">
        <v>65 CD</v>
      </c>
      <c r="B634" s="5">
        <f>VLOOKUP(A634,'Sheet10'!$A:$C,3,0)</f>
      </c>
      <c r="C634" s="5" t="str">
        <v>UỐN THIẾT KẾ PHỤC HỒI CHUYÊN SÂU LIPID BOND 2025</v>
      </c>
      <c r="D634" s="5">
        <f>VLOOKUP(C634,'Sheet7'!$B:$C,2,0)</f>
      </c>
      <c r="E634" s="5"/>
      <c r="F634" s="6">
        <v>689000</v>
      </c>
      <c r="G634" s="8">
        <v>729000</v>
      </c>
      <c r="H634" s="7">
        <v>739000</v>
      </c>
      <c r="I634" s="7">
        <v>739000</v>
      </c>
      <c r="J634" s="3" t="str">
        <v>Điều chỉnh giá</v>
      </c>
      <c r="K634" s="4">
        <f>G634-F634</f>
      </c>
      <c r="L634" s="4">
        <v>197</v>
      </c>
      <c r="M634" s="4">
        <v>1148</v>
      </c>
      <c r="N634" s="4" t="str" xml:space="preserve">
        <v>+10.000 VNĐ 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5" t="str">
        <v>65 CD</v>
      </c>
      <c r="B635" s="5">
        <f>VLOOKUP(A635,'Sheet10'!$A:$C,3,0)</f>
      </c>
      <c r="C635" s="5" t="str">
        <v>Uốn định hình nếp tóc cao cấp (K-Perm Collection)</v>
      </c>
      <c r="D635" s="5">
        <f>VLOOKUP(C635,'Sheet7'!$B:$C,2,0)</f>
      </c>
      <c r="E635" s="5"/>
      <c r="F635" s="6">
        <v>478000</v>
      </c>
      <c r="G635" s="8">
        <v>502000</v>
      </c>
      <c r="H635" s="7">
        <v>512000</v>
      </c>
      <c r="I635" s="7">
        <v>512000</v>
      </c>
      <c r="J635" s="3" t="str">
        <v>Điều chỉnh giá</v>
      </c>
      <c r="K635" s="4">
        <f>G635-F635</f>
      </c>
      <c r="L635" s="4">
        <v>197</v>
      </c>
      <c r="M635" s="4">
        <v>952</v>
      </c>
      <c r="N635" s="4" t="str" xml:space="preserve">
        <v>+10.000 VNĐ 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5" t="str">
        <v>68 LN NA</v>
      </c>
      <c r="B636" s="5">
        <f>VLOOKUP(A636,'Sheet10'!$A:$C,3,0)</f>
      </c>
      <c r="C636" s="5" t="str">
        <v>(2022T) ATS Control Buffer - Khử mùi tạo thơm cho tóc uốn nhuộm 40k</v>
      </c>
      <c r="D636" s="5">
        <v>610</v>
      </c>
      <c r="E636" s="5"/>
      <c r="F636" s="6">
        <v>40000</v>
      </c>
      <c r="G636" s="7">
        <v>40000</v>
      </c>
      <c r="H636" s="7">
        <v>40000</v>
      </c>
      <c r="I636" s="7">
        <v>40000</v>
      </c>
      <c r="J636" s="9" t="str">
        <v>Giá không đổi</v>
      </c>
      <c r="K636" s="4">
        <f>G636-F636</f>
      </c>
      <c r="L636" s="4">
        <v>240</v>
      </c>
      <c r="M636" s="4">
        <v>610</v>
      </c>
      <c r="N636" s="4" t="str">
        <v>Không đổi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5" t="str">
        <v>68 LN NA</v>
      </c>
      <c r="B637" s="5">
        <f>VLOOKUP(A637,'Sheet10'!$A:$C,3,0)</f>
      </c>
      <c r="C637" s="5" t="str">
        <v>(NEW) Nhuộm màu thời trang Milano</v>
      </c>
      <c r="D637" s="5">
        <v>960</v>
      </c>
      <c r="E637" s="5">
        <f>A637&amp;D637</f>
      </c>
      <c r="F637" s="6">
        <v>332000</v>
      </c>
      <c r="G637" s="7">
        <v>332000</v>
      </c>
      <c r="H637" s="7">
        <v>332000</v>
      </c>
      <c r="I637" s="7">
        <v>332000</v>
      </c>
      <c r="J637" s="9" t="str">
        <v>Giá không đổi</v>
      </c>
      <c r="K637" s="4">
        <f>G637-F637</f>
      </c>
      <c r="L637" s="4">
        <v>240</v>
      </c>
      <c r="M637" s="4">
        <v>960</v>
      </c>
      <c r="N637" s="4" t="str">
        <v>Không đổi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5" t="str">
        <v>68 LN NA</v>
      </c>
      <c r="B638" s="5">
        <f>VLOOKUP(A638,'Sheet10'!$A:$C,3,0)</f>
      </c>
      <c r="C638" s="5" t="str">
        <v>(NEW) Nhuộm phủ bạc tiêu chuẩn 199K</v>
      </c>
      <c r="D638" s="5">
        <v>967</v>
      </c>
      <c r="E638" s="5"/>
      <c r="F638" s="6">
        <v>199000</v>
      </c>
      <c r="G638" s="7">
        <v>199000</v>
      </c>
      <c r="H638" s="7">
        <v>199000</v>
      </c>
      <c r="I638" s="7">
        <v>199000</v>
      </c>
      <c r="J638" s="9" t="str">
        <v>Giá không đổi</v>
      </c>
      <c r="K638" s="4">
        <f>G638-F638</f>
      </c>
      <c r="L638" s="4">
        <v>240</v>
      </c>
      <c r="M638" s="4">
        <v>967</v>
      </c>
      <c r="N638" s="4" t="str">
        <v>Không đổi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5" t="str">
        <v>68 LN NA</v>
      </c>
      <c r="B639" s="5">
        <f>VLOOKUP(A639,'Sheet10'!$A:$C,3,0)</f>
      </c>
      <c r="C639" s="5" t="str">
        <v>(NEW) Uốn/Duỗi/Định hình full đầu tạo form vào nếp tự nhiên</v>
      </c>
      <c r="D639" s="5">
        <f>VLOOKUP(C639,'Sheet7'!$B:$C,2,0)</f>
      </c>
      <c r="E639" s="5">
        <f>A639&amp;D639</f>
      </c>
      <c r="F639" s="6">
        <v>386000</v>
      </c>
      <c r="G639" s="7">
        <v>386000</v>
      </c>
      <c r="H639" s="7">
        <v>396000</v>
      </c>
      <c r="I639" s="7">
        <v>396000</v>
      </c>
      <c r="J639" s="9" t="str">
        <v>Giá không đổi</v>
      </c>
      <c r="K639" s="4">
        <f>G639-F639</f>
      </c>
      <c r="L639" s="4">
        <v>240</v>
      </c>
      <c r="M639" s="4">
        <v>1009</v>
      </c>
      <c r="N639" s="4" t="str" xml:space="preserve">
        <v>+10.000 VNĐ 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5" t="str">
        <v>68 LN NA</v>
      </c>
      <c r="B640" s="5">
        <f>VLOOKUP(A640,'Sheet10'!$A:$C,3,0)</f>
      </c>
      <c r="C640" s="5" t="str">
        <v>[DV] Nhuộm đen phủ bạc R&amp;B thảo dược</v>
      </c>
      <c r="D640" s="5">
        <v>912</v>
      </c>
      <c r="E640" s="5"/>
      <c r="F640" s="6">
        <v>289000</v>
      </c>
      <c r="G640" s="7">
        <v>289000</v>
      </c>
      <c r="H640" s="7">
        <v>289000</v>
      </c>
      <c r="I640" s="7">
        <v>289000</v>
      </c>
      <c r="J640" s="9" t="str">
        <v>Giá không đổi</v>
      </c>
      <c r="K640" s="4">
        <f>G640-F640</f>
      </c>
      <c r="L640" s="4">
        <v>240</v>
      </c>
      <c r="M640" s="4">
        <v>912</v>
      </c>
      <c r="N640" s="4" t="str">
        <v>Không đổi</v>
      </c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5" t="str">
        <v>68 LN NA</v>
      </c>
      <c r="B641" s="5">
        <f>VLOOKUP(A641,'Sheet10'!$A:$C,3,0)</f>
      </c>
      <c r="C641" s="5" t="str">
        <v>[DV] Tẩy tóc bật tông Ý (1 lần)</v>
      </c>
      <c r="D641" s="5">
        <v>915</v>
      </c>
      <c r="E641" s="5"/>
      <c r="F641" s="6">
        <v>252000</v>
      </c>
      <c r="G641" s="7">
        <v>252000</v>
      </c>
      <c r="H641" s="7">
        <v>252000</v>
      </c>
      <c r="I641" s="7">
        <v>252000</v>
      </c>
      <c r="J641" s="9" t="str">
        <v>Giá không đổi</v>
      </c>
      <c r="K641" s="4">
        <f>G641-F641</f>
      </c>
      <c r="L641" s="4">
        <v>240</v>
      </c>
      <c r="M641" s="4">
        <v>915</v>
      </c>
      <c r="N641" s="4" t="str">
        <v>Không đổi</v>
      </c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5" t="str">
        <v>68 LN NA</v>
      </c>
      <c r="B642" s="5">
        <f>VLOOKUP(A642,'Sheet10'!$A:$C,3,0)</f>
      </c>
      <c r="C642" s="5" t="str">
        <v>[DV] Tẩy tóc bật tông Ý (2 lần) 500k</v>
      </c>
      <c r="D642" s="5">
        <v>916</v>
      </c>
      <c r="E642" s="5"/>
      <c r="F642" s="6">
        <v>500000</v>
      </c>
      <c r="G642" s="7">
        <v>500000</v>
      </c>
      <c r="H642" s="7">
        <v>500000</v>
      </c>
      <c r="I642" s="7">
        <v>500000</v>
      </c>
      <c r="J642" s="9" t="str">
        <v>Giá không đổi</v>
      </c>
      <c r="K642" s="4">
        <f>G642-F642</f>
      </c>
      <c r="L642" s="4">
        <v>240</v>
      </c>
      <c r="M642" s="4">
        <v>916</v>
      </c>
      <c r="N642" s="4" t="str">
        <v>Không đổi</v>
      </c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5" t="str">
        <v>68 LN NA</v>
      </c>
      <c r="B643" s="5">
        <f>VLOOKUP(A643,'Sheet10'!$A:$C,3,0)</f>
      </c>
      <c r="C643" s="5" t="str">
        <v>[DV] Uốn Texture con sâu/Uốn Ruffled</v>
      </c>
      <c r="D643" s="5">
        <f>VLOOKUP(C643,'Sheet7'!$B:$C,2,0)</f>
      </c>
      <c r="E643" s="5"/>
      <c r="F643" s="6">
        <v>499000</v>
      </c>
      <c r="G643" s="7">
        <v>499000</v>
      </c>
      <c r="H643" s="7">
        <v>509000</v>
      </c>
      <c r="I643" s="7">
        <v>509000</v>
      </c>
      <c r="J643" s="9" t="str">
        <v>Giá không đổi</v>
      </c>
      <c r="K643" s="4">
        <f>G643-F643</f>
      </c>
      <c r="L643" s="4">
        <v>240</v>
      </c>
      <c r="M643" s="4">
        <v>674</v>
      </c>
      <c r="N643" s="4" t="str" xml:space="preserve">
        <v>+10.000 VNĐ 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5" t="str">
        <v>68 LN NA</v>
      </c>
      <c r="B644" s="5">
        <f>VLOOKUP(A644,'Sheet10'!$A:$C,3,0)</f>
      </c>
      <c r="C644" s="5" t="str">
        <v>[DV] Ép side hai bên</v>
      </c>
      <c r="D644" s="5">
        <f>VLOOKUP(C644,'Sheet7'!$B:$C,2,0)</f>
      </c>
      <c r="E644" s="5"/>
      <c r="F644" s="6">
        <v>189000</v>
      </c>
      <c r="G644" s="8">
        <v>198000</v>
      </c>
      <c r="H644" s="7">
        <v>208000</v>
      </c>
      <c r="I644" s="7">
        <v>208000</v>
      </c>
      <c r="J644" s="3" t="str">
        <v>Điều chỉnh giá</v>
      </c>
      <c r="K644" s="4">
        <f>G644-F644</f>
      </c>
      <c r="L644" s="4">
        <v>240</v>
      </c>
      <c r="M644" s="4">
        <v>902</v>
      </c>
      <c r="N644" s="4" t="str" xml:space="preserve">
        <v>+10.000 VNĐ </v>
      </c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5" t="str">
        <v>68 LN NA</v>
      </c>
      <c r="B645" s="5">
        <f>VLOOKUP(A645,'Sheet10'!$A:$C,3,0)</f>
      </c>
      <c r="C645" s="5" t="str">
        <v>NHUỘM THIẾT KẾ PHỤC HỒI CHUYÊN SÂU LIPID BOND 2025</v>
      </c>
      <c r="D645" s="5">
        <v>1149</v>
      </c>
      <c r="E645" s="5"/>
      <c r="F645" s="6">
        <v>689000</v>
      </c>
      <c r="G645" s="7">
        <v>689000</v>
      </c>
      <c r="H645" s="7">
        <v>689000</v>
      </c>
      <c r="I645" s="7">
        <v>689000</v>
      </c>
      <c r="J645" s="9" t="str">
        <v>Giá không đổi</v>
      </c>
      <c r="K645" s="4">
        <f>G645-F645</f>
      </c>
      <c r="L645" s="4">
        <v>240</v>
      </c>
      <c r="M645" s="4">
        <v>1149</v>
      </c>
      <c r="N645" s="4" t="str">
        <v>Không đổi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5" t="str">
        <v>68 LN NA</v>
      </c>
      <c r="B646" s="5">
        <f>VLOOKUP(A646,'Sheet10'!$A:$C,3,0)</f>
      </c>
      <c r="C646" s="5" t="str">
        <v>Phục hồi trẻ hóa Lipid Bond</v>
      </c>
      <c r="D646" s="5">
        <v>1101</v>
      </c>
      <c r="E646" s="5"/>
      <c r="F646" s="6">
        <v>132000</v>
      </c>
      <c r="G646" s="8">
        <v>146000</v>
      </c>
      <c r="H646" s="8">
        <v>146000</v>
      </c>
      <c r="I646" s="8">
        <v>146000</v>
      </c>
      <c r="J646" s="3" t="str">
        <v>Điều chỉnh giá</v>
      </c>
      <c r="K646" s="4">
        <f>G646-F646</f>
      </c>
      <c r="L646" s="4">
        <v>240</v>
      </c>
      <c r="M646" s="4">
        <v>1101</v>
      </c>
      <c r="N646" s="4" t="str">
        <v>Không đổi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5" t="str">
        <v>68 LN NA</v>
      </c>
      <c r="B647" s="5">
        <f>VLOOKUP(A647,'Sheet10'!$A:$C,3,0)</f>
      </c>
      <c r="C647" s="5" t="str">
        <v>UỐN THIẾT KẾ PHỤC HỒI CHUYÊN SÂU LIPID BOND 2025</v>
      </c>
      <c r="D647" s="5">
        <f>VLOOKUP(C647,'Sheet7'!$B:$C,2,0)</f>
      </c>
      <c r="E647" s="5"/>
      <c r="F647" s="6">
        <v>689000</v>
      </c>
      <c r="G647" s="7">
        <v>689000</v>
      </c>
      <c r="H647" s="7">
        <v>699000</v>
      </c>
      <c r="I647" s="7">
        <v>699000</v>
      </c>
      <c r="J647" s="9" t="str">
        <v>Giá không đổi</v>
      </c>
      <c r="K647" s="4">
        <f>G647-F647</f>
      </c>
      <c r="L647" s="4">
        <v>240</v>
      </c>
      <c r="M647" s="4">
        <v>1148</v>
      </c>
      <c r="N647" s="4" t="str" xml:space="preserve">
        <v>+10.000 VNĐ </v>
      </c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5" t="str">
        <v>68 LN NA</v>
      </c>
      <c r="B648" s="5">
        <f>VLOOKUP(A648,'Sheet10'!$A:$C,3,0)</f>
      </c>
      <c r="C648" s="5" t="str">
        <v>Uốn định hình nếp tóc cao cấp (K-Perm Collection)</v>
      </c>
      <c r="D648" s="5">
        <f>VLOOKUP(C648,'Sheet7'!$B:$C,2,0)</f>
      </c>
      <c r="E648" s="5"/>
      <c r="F648" s="6">
        <v>478000</v>
      </c>
      <c r="G648" s="7">
        <v>478000</v>
      </c>
      <c r="H648" s="7">
        <v>488000</v>
      </c>
      <c r="I648" s="7">
        <v>488000</v>
      </c>
      <c r="J648" s="9" t="str">
        <v>Giá không đổi</v>
      </c>
      <c r="K648" s="4">
        <f>G648-F648</f>
      </c>
      <c r="L648" s="4">
        <v>240</v>
      </c>
      <c r="M648" s="4">
        <v>952</v>
      </c>
      <c r="N648" s="4" t="str" xml:space="preserve">
        <v>+10.000 VNĐ </v>
      </c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5" t="str">
        <v>7 DTP LA</v>
      </c>
      <c r="B649" s="5">
        <f>VLOOKUP(A649,'Sheet10'!$A:$C,3,0)</f>
      </c>
      <c r="C649" s="5" t="str">
        <v>(2022T) ATS Control Buffer - Khử mùi tạo thơm cho tóc uốn nhuộm 40k</v>
      </c>
      <c r="D649" s="5">
        <v>610</v>
      </c>
      <c r="E649" s="5"/>
      <c r="F649" s="6">
        <v>40000</v>
      </c>
      <c r="G649" s="7">
        <v>40000</v>
      </c>
      <c r="H649" s="7">
        <v>40000</v>
      </c>
      <c r="I649" s="7">
        <v>40000</v>
      </c>
      <c r="J649" s="9" t="str">
        <v>Giá không đổi</v>
      </c>
      <c r="K649" s="4">
        <f>G649-F649</f>
      </c>
      <c r="L649" s="4">
        <v>199</v>
      </c>
      <c r="M649" s="4">
        <v>610</v>
      </c>
      <c r="N649" s="4" t="str">
        <v>Không đổi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5" t="str">
        <v>7 DTP LA</v>
      </c>
      <c r="B650" s="5">
        <f>VLOOKUP(A650,'Sheet10'!$A:$C,3,0)</f>
      </c>
      <c r="C650" s="5" t="str">
        <v>(NEW) Nhuộm màu thời trang Milano</v>
      </c>
      <c r="D650" s="5">
        <v>960</v>
      </c>
      <c r="E650" s="5">
        <f>A650&amp;D650</f>
      </c>
      <c r="F650" s="6">
        <v>332000</v>
      </c>
      <c r="G650" s="8">
        <v>366000</v>
      </c>
      <c r="H650" s="8">
        <v>366000</v>
      </c>
      <c r="I650" s="8">
        <v>366000</v>
      </c>
      <c r="J650" s="3" t="str">
        <v>Điều chỉnh giá</v>
      </c>
      <c r="K650" s="4">
        <f>G650-F650</f>
      </c>
      <c r="L650" s="4">
        <v>199</v>
      </c>
      <c r="M650" s="4">
        <v>960</v>
      </c>
      <c r="N650" s="4" t="str">
        <v>Không đổi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5" t="str">
        <v>7 DTP LA</v>
      </c>
      <c r="B651" s="5">
        <f>VLOOKUP(A651,'Sheet10'!$A:$C,3,0)</f>
      </c>
      <c r="C651" s="5" t="str">
        <v>(NEW) Nhuộm phủ bạc tiêu chuẩn 199K</v>
      </c>
      <c r="D651" s="5">
        <v>967</v>
      </c>
      <c r="E651" s="5"/>
      <c r="F651" s="6">
        <v>199000</v>
      </c>
      <c r="G651" s="7">
        <v>199000</v>
      </c>
      <c r="H651" s="7">
        <v>199000</v>
      </c>
      <c r="I651" s="7">
        <v>199000</v>
      </c>
      <c r="J651" s="9" t="str">
        <v>Giá không đổi</v>
      </c>
      <c r="K651" s="4">
        <f>G651-F651</f>
      </c>
      <c r="L651" s="4">
        <v>199</v>
      </c>
      <c r="M651" s="4">
        <v>967</v>
      </c>
      <c r="N651" s="4" t="str">
        <v>Không đổi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5" t="str">
        <v>7 DTP LA</v>
      </c>
      <c r="B652" s="5">
        <f>VLOOKUP(A652,'Sheet10'!$A:$C,3,0)</f>
      </c>
      <c r="C652" s="5" t="str">
        <v>(NEW) Uốn/Duỗi/Định hình full đầu tạo form vào nếp tự nhiên</v>
      </c>
      <c r="D652" s="5">
        <f>VLOOKUP(C652,'Sheet7'!$B:$C,2,0)</f>
      </c>
      <c r="E652" s="5">
        <f>A652&amp;D652</f>
      </c>
      <c r="F652" s="6">
        <v>386000</v>
      </c>
      <c r="G652" s="7">
        <v>386000</v>
      </c>
      <c r="H652" s="7">
        <v>396000</v>
      </c>
      <c r="I652" s="7">
        <v>396000</v>
      </c>
      <c r="J652" s="9" t="str">
        <v>Giá không đổi</v>
      </c>
      <c r="K652" s="4">
        <f>G652-F652</f>
      </c>
      <c r="L652" s="4">
        <v>199</v>
      </c>
      <c r="M652" s="4">
        <v>1009</v>
      </c>
      <c r="N652" s="4" t="str" xml:space="preserve">
        <v>+10.000 VNĐ </v>
      </c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5" t="str">
        <v>7 DTP LA</v>
      </c>
      <c r="B653" s="5">
        <f>VLOOKUP(A653,'Sheet10'!$A:$C,3,0)</f>
      </c>
      <c r="C653" s="5" t="str">
        <v>[DV] Nhuộm đen phủ bạc R&amp;B thảo dược</v>
      </c>
      <c r="D653" s="5">
        <v>912</v>
      </c>
      <c r="E653" s="5"/>
      <c r="F653" s="6">
        <v>289000</v>
      </c>
      <c r="G653" s="7">
        <v>289000</v>
      </c>
      <c r="H653" s="7">
        <v>289000</v>
      </c>
      <c r="I653" s="7">
        <v>289000</v>
      </c>
      <c r="J653" s="9" t="str">
        <v>Giá không đổi</v>
      </c>
      <c r="K653" s="4">
        <f>G653-F653</f>
      </c>
      <c r="L653" s="4">
        <v>199</v>
      </c>
      <c r="M653" s="4">
        <v>912</v>
      </c>
      <c r="N653" s="4" t="str">
        <v>Không đổi</v>
      </c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5" t="str">
        <v>7 DTP LA</v>
      </c>
      <c r="B654" s="5">
        <f>VLOOKUP(A654,'Sheet10'!$A:$C,3,0)</f>
      </c>
      <c r="C654" s="5" t="str">
        <v>[DV] Tẩy tóc bật tông Ý (1 lần)</v>
      </c>
      <c r="D654" s="5">
        <v>915</v>
      </c>
      <c r="E654" s="5"/>
      <c r="F654" s="6">
        <v>252000</v>
      </c>
      <c r="G654" s="7">
        <v>252000</v>
      </c>
      <c r="H654" s="7">
        <v>252000</v>
      </c>
      <c r="I654" s="7">
        <v>252000</v>
      </c>
      <c r="J654" s="9" t="str">
        <v>Giá không đổi</v>
      </c>
      <c r="K654" s="4">
        <f>G654-F654</f>
      </c>
      <c r="L654" s="4">
        <v>199</v>
      </c>
      <c r="M654" s="4">
        <v>915</v>
      </c>
      <c r="N654" s="4" t="str">
        <v>Không đổi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5" t="str">
        <v>7 DTP LA</v>
      </c>
      <c r="B655" s="5">
        <f>VLOOKUP(A655,'Sheet10'!$A:$C,3,0)</f>
      </c>
      <c r="C655" s="5" t="str">
        <v>[DV] Tẩy tóc bật tông Ý (2 lần) 500k</v>
      </c>
      <c r="D655" s="5">
        <v>916</v>
      </c>
      <c r="E655" s="5"/>
      <c r="F655" s="6">
        <v>500000</v>
      </c>
      <c r="G655" s="7">
        <v>500000</v>
      </c>
      <c r="H655" s="7">
        <v>500000</v>
      </c>
      <c r="I655" s="7">
        <v>500000</v>
      </c>
      <c r="J655" s="9" t="str">
        <v>Giá không đổi</v>
      </c>
      <c r="K655" s="4">
        <f>G655-F655</f>
      </c>
      <c r="L655" s="4">
        <v>199</v>
      </c>
      <c r="M655" s="4">
        <v>916</v>
      </c>
      <c r="N655" s="4" t="str">
        <v>Không đổi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5" t="str">
        <v>7 DTP LA</v>
      </c>
      <c r="B656" s="5">
        <f>VLOOKUP(A656,'Sheet10'!$A:$C,3,0)</f>
      </c>
      <c r="C656" s="5" t="str">
        <v>[DV] Uốn Texture con sâu/Uốn Ruffled</v>
      </c>
      <c r="D656" s="5">
        <f>VLOOKUP(C656,'Sheet7'!$B:$C,2,0)</f>
      </c>
      <c r="E656" s="5"/>
      <c r="F656" s="6">
        <v>499000</v>
      </c>
      <c r="G656" s="8">
        <v>550000</v>
      </c>
      <c r="H656" s="7">
        <v>560000</v>
      </c>
      <c r="I656" s="7">
        <v>560000</v>
      </c>
      <c r="J656" s="3" t="str">
        <v>Điều chỉnh giá</v>
      </c>
      <c r="K656" s="4">
        <f>G656-F656</f>
      </c>
      <c r="L656" s="4">
        <v>199</v>
      </c>
      <c r="M656" s="4">
        <v>674</v>
      </c>
      <c r="N656" s="4" t="str" xml:space="preserve">
        <v>+10.000 VNĐ 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5" t="str">
        <v>7 DTP LA</v>
      </c>
      <c r="B657" s="5">
        <f>VLOOKUP(A657,'Sheet10'!$A:$C,3,0)</f>
      </c>
      <c r="C657" s="5" t="str">
        <v>[DV] Ép side hai bên</v>
      </c>
      <c r="D657" s="5">
        <f>VLOOKUP(C657,'Sheet7'!$B:$C,2,0)</f>
      </c>
      <c r="E657" s="5"/>
      <c r="F657" s="6">
        <v>189000</v>
      </c>
      <c r="G657" s="8">
        <v>209000</v>
      </c>
      <c r="H657" s="7">
        <v>219000</v>
      </c>
      <c r="I657" s="7">
        <v>219000</v>
      </c>
      <c r="J657" s="3" t="str">
        <v>Điều chỉnh giá</v>
      </c>
      <c r="K657" s="4">
        <f>G657-F657</f>
      </c>
      <c r="L657" s="4">
        <v>199</v>
      </c>
      <c r="M657" s="4">
        <v>902</v>
      </c>
      <c r="N657" s="4" t="str" xml:space="preserve">
        <v>+10.000 VNĐ 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5" t="str">
        <v>7 DTP LA</v>
      </c>
      <c r="B658" s="5">
        <f>VLOOKUP(A658,'Sheet10'!$A:$C,3,0)</f>
      </c>
      <c r="C658" s="5" t="str">
        <v>NHUỘM THIẾT KẾ PHỤC HỒI CHUYÊN SÂU LIPID BOND 2025</v>
      </c>
      <c r="D658" s="5">
        <v>1149</v>
      </c>
      <c r="E658" s="5"/>
      <c r="F658" s="6">
        <v>689000</v>
      </c>
      <c r="G658" s="8">
        <v>759000</v>
      </c>
      <c r="H658" s="8">
        <v>759000</v>
      </c>
      <c r="I658" s="8">
        <v>759000</v>
      </c>
      <c r="J658" s="3" t="str">
        <v>Điều chỉnh giá</v>
      </c>
      <c r="K658" s="4">
        <f>G658-F658</f>
      </c>
      <c r="L658" s="4">
        <v>199</v>
      </c>
      <c r="M658" s="4">
        <v>1149</v>
      </c>
      <c r="N658" s="4" t="str">
        <v>Không đổi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5" t="str">
        <v>7 DTP LA</v>
      </c>
      <c r="B659" s="5">
        <f>VLOOKUP(A659,'Sheet10'!$A:$C,3,0)</f>
      </c>
      <c r="C659" s="5" t="str">
        <v>Phục hồi trẻ hóa Lipid Bond</v>
      </c>
      <c r="D659" s="5">
        <v>1101</v>
      </c>
      <c r="E659" s="5"/>
      <c r="F659" s="6">
        <v>132000</v>
      </c>
      <c r="G659" s="8">
        <v>146000</v>
      </c>
      <c r="H659" s="8">
        <v>146000</v>
      </c>
      <c r="I659" s="8">
        <v>146000</v>
      </c>
      <c r="J659" s="3" t="str">
        <v>Điều chỉnh giá</v>
      </c>
      <c r="K659" s="4">
        <f>G659-F659</f>
      </c>
      <c r="L659" s="4">
        <v>199</v>
      </c>
      <c r="M659" s="4">
        <v>1101</v>
      </c>
      <c r="N659" s="4" t="str">
        <v>Không đổi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5" t="str">
        <v>7 DTP LA</v>
      </c>
      <c r="B660" s="5">
        <f>VLOOKUP(A660,'Sheet10'!$A:$C,3,0)</f>
      </c>
      <c r="C660" s="5" t="str">
        <v>UỐN THIẾT KẾ PHỤC HỒI CHUYÊN SÂU LIPID BOND 2025</v>
      </c>
      <c r="D660" s="5">
        <f>VLOOKUP(C660,'Sheet7'!$B:$C,2,0)</f>
      </c>
      <c r="E660" s="5"/>
      <c r="F660" s="6">
        <v>689000</v>
      </c>
      <c r="G660" s="7">
        <v>689000</v>
      </c>
      <c r="H660" s="7">
        <v>699000</v>
      </c>
      <c r="I660" s="7">
        <v>699000</v>
      </c>
      <c r="J660" s="9" t="str">
        <v>Giá không đổi</v>
      </c>
      <c r="K660" s="4">
        <f>G660-F660</f>
      </c>
      <c r="L660" s="4">
        <v>199</v>
      </c>
      <c r="M660" s="4">
        <v>1148</v>
      </c>
      <c r="N660" s="4" t="str" xml:space="preserve">
        <v>+10.000 VNĐ </v>
      </c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5" t="str">
        <v>7 DTP LA</v>
      </c>
      <c r="B661" s="5">
        <f>VLOOKUP(A661,'Sheet10'!$A:$C,3,0)</f>
      </c>
      <c r="C661" s="5" t="str">
        <v>Uốn định hình nếp tóc cao cấp (K-Perm Collection)</v>
      </c>
      <c r="D661" s="5">
        <f>VLOOKUP(C661,'Sheet7'!$B:$C,2,0)</f>
      </c>
      <c r="E661" s="5"/>
      <c r="F661" s="6">
        <v>478000</v>
      </c>
      <c r="G661" s="7">
        <v>478000</v>
      </c>
      <c r="H661" s="7">
        <v>488000</v>
      </c>
      <c r="I661" s="7">
        <v>488000</v>
      </c>
      <c r="J661" s="9" t="str">
        <v>Giá không đổi</v>
      </c>
      <c r="K661" s="4">
        <f>G661-F661</f>
      </c>
      <c r="L661" s="4">
        <v>199</v>
      </c>
      <c r="M661" s="4">
        <v>952</v>
      </c>
      <c r="N661" s="4" t="str" xml:space="preserve">
        <v>+10.000 VNĐ </v>
      </c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5" t="str">
        <v>708 LTT</v>
      </c>
      <c r="B662" s="5">
        <f>VLOOKUP(A662,'Sheet10'!$A:$C,3,0)</f>
      </c>
      <c r="C662" s="5" t="str">
        <v>(2022T) ATS Control Buffer - Khử mùi tạo thơm cho tóc uốn nhuộm 40k</v>
      </c>
      <c r="D662" s="5">
        <v>610</v>
      </c>
      <c r="E662" s="5"/>
      <c r="F662" s="6">
        <v>40000</v>
      </c>
      <c r="G662" s="7">
        <v>40000</v>
      </c>
      <c r="H662" s="7">
        <v>40000</v>
      </c>
      <c r="I662" s="7">
        <v>40000</v>
      </c>
      <c r="J662" s="9" t="str">
        <v>Giá không đổi</v>
      </c>
      <c r="K662" s="4">
        <f>G662-F662</f>
      </c>
      <c r="L662" s="4">
        <v>47</v>
      </c>
      <c r="M662" s="4">
        <v>610</v>
      </c>
      <c r="N662" s="4" t="str">
        <v>Không đổi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5" t="str">
        <v>708 LTT</v>
      </c>
      <c r="B663" s="5">
        <f>VLOOKUP(A663,'Sheet10'!$A:$C,3,0)</f>
      </c>
      <c r="C663" s="5" t="str">
        <v>(NEW) Nhuộm màu thời trang Milano</v>
      </c>
      <c r="D663" s="5">
        <v>960</v>
      </c>
      <c r="E663" s="5">
        <f>A663&amp;D663</f>
      </c>
      <c r="F663" s="6">
        <v>332000</v>
      </c>
      <c r="G663" s="8">
        <v>346000</v>
      </c>
      <c r="H663" s="8">
        <v>346000</v>
      </c>
      <c r="I663" s="8">
        <v>346000</v>
      </c>
      <c r="J663" s="3" t="str">
        <v>Điều chỉnh giá</v>
      </c>
      <c r="K663" s="4">
        <f>G663-F663</f>
      </c>
      <c r="L663" s="4">
        <v>47</v>
      </c>
      <c r="M663" s="4">
        <v>960</v>
      </c>
      <c r="N663" s="4" t="str">
        <v>Không đổi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5" t="str">
        <v>708 LTT</v>
      </c>
      <c r="B664" s="5">
        <f>VLOOKUP(A664,'Sheet10'!$A:$C,3,0)</f>
      </c>
      <c r="C664" s="5" t="str">
        <v>(NEW) Nhuộm phủ bạc tiêu chuẩn 199K</v>
      </c>
      <c r="D664" s="5">
        <v>967</v>
      </c>
      <c r="E664" s="5"/>
      <c r="F664" s="6">
        <v>199000</v>
      </c>
      <c r="G664" s="7">
        <v>199000</v>
      </c>
      <c r="H664" s="7">
        <v>199000</v>
      </c>
      <c r="I664" s="7">
        <v>199000</v>
      </c>
      <c r="J664" s="9" t="str">
        <v>Giá không đổi</v>
      </c>
      <c r="K664" s="4">
        <f>G664-F664</f>
      </c>
      <c r="L664" s="4">
        <v>47</v>
      </c>
      <c r="M664" s="4">
        <v>967</v>
      </c>
      <c r="N664" s="4" t="str">
        <v>Không đổi</v>
      </c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5" t="str">
        <v>708 LTT</v>
      </c>
      <c r="B665" s="5">
        <f>VLOOKUP(A665,'Sheet10'!$A:$C,3,0)</f>
      </c>
      <c r="C665" s="5" t="str">
        <v>(NEW) Uốn/Duỗi/Định hình full đầu tạo form vào nếp tự nhiên</v>
      </c>
      <c r="D665" s="5">
        <f>VLOOKUP(C665,'Sheet7'!$B:$C,2,0)</f>
      </c>
      <c r="E665" s="5">
        <f>A665&amp;D665</f>
      </c>
      <c r="F665" s="6">
        <v>386000</v>
      </c>
      <c r="G665" s="7">
        <v>386000</v>
      </c>
      <c r="H665" s="7">
        <v>396000</v>
      </c>
      <c r="I665" s="7">
        <v>396000</v>
      </c>
      <c r="J665" s="9" t="str">
        <v>Giá không đổi</v>
      </c>
      <c r="K665" s="4">
        <f>G665-F665</f>
      </c>
      <c r="L665" s="4">
        <v>47</v>
      </c>
      <c r="M665" s="4">
        <v>1009</v>
      </c>
      <c r="N665" s="4" t="str" xml:space="preserve">
        <v>+10.000 VNĐ 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5" t="str">
        <v>708 LTT</v>
      </c>
      <c r="B666" s="5">
        <f>VLOOKUP(A666,'Sheet10'!$A:$C,3,0)</f>
      </c>
      <c r="C666" s="5" t="str">
        <v>[DV] Nhuộm đen phủ bạc R&amp;B thảo dược</v>
      </c>
      <c r="D666" s="5">
        <v>912</v>
      </c>
      <c r="E666" s="5"/>
      <c r="F666" s="6">
        <v>289000</v>
      </c>
      <c r="G666" s="7">
        <v>289000</v>
      </c>
      <c r="H666" s="7">
        <v>289000</v>
      </c>
      <c r="I666" s="7">
        <v>289000</v>
      </c>
      <c r="J666" s="9" t="str">
        <v>Giá không đổi</v>
      </c>
      <c r="K666" s="4">
        <f>G666-F666</f>
      </c>
      <c r="L666" s="4">
        <v>47</v>
      </c>
      <c r="M666" s="4">
        <v>912</v>
      </c>
      <c r="N666" s="4" t="str">
        <v>Không đổi</v>
      </c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5" t="str">
        <v>708 LTT</v>
      </c>
      <c r="B667" s="5">
        <f>VLOOKUP(A667,'Sheet10'!$A:$C,3,0)</f>
      </c>
      <c r="C667" s="5" t="str">
        <v>[DV] Tẩy tóc bật tông Ý (1 lần)</v>
      </c>
      <c r="D667" s="5">
        <v>915</v>
      </c>
      <c r="E667" s="5"/>
      <c r="F667" s="6">
        <v>252000</v>
      </c>
      <c r="G667" s="7">
        <v>252000</v>
      </c>
      <c r="H667" s="7">
        <v>252000</v>
      </c>
      <c r="I667" s="7">
        <v>252000</v>
      </c>
      <c r="J667" s="9" t="str">
        <v>Giá không đổi</v>
      </c>
      <c r="K667" s="4">
        <f>G667-F667</f>
      </c>
      <c r="L667" s="4">
        <v>47</v>
      </c>
      <c r="M667" s="4">
        <v>915</v>
      </c>
      <c r="N667" s="4" t="str">
        <v>Không đổi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5" t="str">
        <v>708 LTT</v>
      </c>
      <c r="B668" s="5">
        <f>VLOOKUP(A668,'Sheet10'!$A:$C,3,0)</f>
      </c>
      <c r="C668" s="5" t="str">
        <v>[DV] Tẩy tóc bật tông Ý (2 lần) 500k</v>
      </c>
      <c r="D668" s="5">
        <v>916</v>
      </c>
      <c r="E668" s="5"/>
      <c r="F668" s="6">
        <v>500000</v>
      </c>
      <c r="G668" s="7">
        <v>500000</v>
      </c>
      <c r="H668" s="7">
        <v>500000</v>
      </c>
      <c r="I668" s="7">
        <v>500000</v>
      </c>
      <c r="J668" s="9" t="str">
        <v>Giá không đổi</v>
      </c>
      <c r="K668" s="4">
        <f>G668-F668</f>
      </c>
      <c r="L668" s="4">
        <v>47</v>
      </c>
      <c r="M668" s="4">
        <v>916</v>
      </c>
      <c r="N668" s="4" t="str">
        <v>Không đổi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5" t="str">
        <v>708 LTT</v>
      </c>
      <c r="B669" s="5">
        <f>VLOOKUP(A669,'Sheet10'!$A:$C,3,0)</f>
      </c>
      <c r="C669" s="5" t="str">
        <v>[DV] Uốn Texture con sâu/Uốn Ruffled</v>
      </c>
      <c r="D669" s="5">
        <f>VLOOKUP(C669,'Sheet7'!$B:$C,2,0)</f>
      </c>
      <c r="E669" s="5"/>
      <c r="F669" s="6">
        <v>499000</v>
      </c>
      <c r="G669" s="8">
        <v>520000</v>
      </c>
      <c r="H669" s="7">
        <v>530000</v>
      </c>
      <c r="I669" s="7">
        <v>530000</v>
      </c>
      <c r="J669" s="3" t="str">
        <v>Điều chỉnh giá</v>
      </c>
      <c r="K669" s="4">
        <f>G669-F669</f>
      </c>
      <c r="L669" s="4">
        <v>47</v>
      </c>
      <c r="M669" s="4">
        <v>674</v>
      </c>
      <c r="N669" s="4" t="str" xml:space="preserve">
        <v>+10.000 VNĐ 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5" t="str">
        <v>708 LTT</v>
      </c>
      <c r="B670" s="5">
        <f>VLOOKUP(A670,'Sheet10'!$A:$C,3,0)</f>
      </c>
      <c r="C670" s="5" t="str">
        <v>[DV] Ép side hai bên</v>
      </c>
      <c r="D670" s="5">
        <f>VLOOKUP(C670,'Sheet7'!$B:$C,2,0)</f>
      </c>
      <c r="E670" s="5"/>
      <c r="F670" s="6">
        <v>189000</v>
      </c>
      <c r="G670" s="8">
        <v>198000</v>
      </c>
      <c r="H670" s="7">
        <v>208000</v>
      </c>
      <c r="I670" s="7">
        <v>208000</v>
      </c>
      <c r="J670" s="3" t="str">
        <v>Điều chỉnh giá</v>
      </c>
      <c r="K670" s="4">
        <f>G670-F670</f>
      </c>
      <c r="L670" s="4">
        <v>47</v>
      </c>
      <c r="M670" s="4">
        <v>902</v>
      </c>
      <c r="N670" s="4" t="str" xml:space="preserve">
        <v>+10.000 VNĐ 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5" t="str">
        <v>708 LTT</v>
      </c>
      <c r="B671" s="5">
        <f>VLOOKUP(A671,'Sheet10'!$A:$C,3,0)</f>
      </c>
      <c r="C671" s="5" t="str">
        <v>NHUỘM THIẾT KẾ PHỤC HỒI CHUYÊN SÂU LIPID BOND 2025</v>
      </c>
      <c r="D671" s="5">
        <v>1149</v>
      </c>
      <c r="E671" s="5"/>
      <c r="F671" s="6">
        <v>689000</v>
      </c>
      <c r="G671" s="8">
        <v>719000</v>
      </c>
      <c r="H671" s="8">
        <v>719000</v>
      </c>
      <c r="I671" s="8">
        <v>719000</v>
      </c>
      <c r="J671" s="3" t="str">
        <v>Điều chỉnh giá</v>
      </c>
      <c r="K671" s="4">
        <f>G671-F671</f>
      </c>
      <c r="L671" s="4">
        <v>47</v>
      </c>
      <c r="M671" s="4">
        <v>1149</v>
      </c>
      <c r="N671" s="4" t="str">
        <v>Không đổi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5" t="str">
        <v>708 LTT</v>
      </c>
      <c r="B672" s="5">
        <f>VLOOKUP(A672,'Sheet10'!$A:$C,3,0)</f>
      </c>
      <c r="C672" s="5" t="str">
        <v>Phục hồi trẻ hóa Lipid Bond</v>
      </c>
      <c r="D672" s="5">
        <v>1101</v>
      </c>
      <c r="E672" s="5"/>
      <c r="F672" s="6">
        <v>132000</v>
      </c>
      <c r="G672" s="8">
        <v>146000</v>
      </c>
      <c r="H672" s="8">
        <v>146000</v>
      </c>
      <c r="I672" s="8">
        <v>146000</v>
      </c>
      <c r="J672" s="3" t="str">
        <v>Điều chỉnh giá</v>
      </c>
      <c r="K672" s="4">
        <f>G672-F672</f>
      </c>
      <c r="L672" s="4">
        <v>47</v>
      </c>
      <c r="M672" s="4">
        <v>1101</v>
      </c>
      <c r="N672" s="4" t="str">
        <v>Không đổi</v>
      </c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5" t="str">
        <v>708 LTT</v>
      </c>
      <c r="B673" s="5">
        <f>VLOOKUP(A673,'Sheet10'!$A:$C,3,0)</f>
      </c>
      <c r="C673" s="5" t="str">
        <v>UỐN THIẾT KẾ PHỤC HỒI CHUYÊN SÂU LIPID BOND 2025</v>
      </c>
      <c r="D673" s="5">
        <f>VLOOKUP(C673,'Sheet7'!$B:$C,2,0)</f>
      </c>
      <c r="E673" s="5"/>
      <c r="F673" s="6">
        <v>689000</v>
      </c>
      <c r="G673" s="7">
        <v>689000</v>
      </c>
      <c r="H673" s="7">
        <v>699000</v>
      </c>
      <c r="I673" s="7">
        <v>699000</v>
      </c>
      <c r="J673" s="9" t="str">
        <v>Giá không đổi</v>
      </c>
      <c r="K673" s="4">
        <f>G673-F673</f>
      </c>
      <c r="L673" s="4">
        <v>47</v>
      </c>
      <c r="M673" s="4">
        <v>1148</v>
      </c>
      <c r="N673" s="4" t="str" xml:space="preserve">
        <v>+10.000 VNĐ 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5" t="str">
        <v>708 LTT</v>
      </c>
      <c r="B674" s="5">
        <f>VLOOKUP(A674,'Sheet10'!$A:$C,3,0)</f>
      </c>
      <c r="C674" s="5" t="str">
        <v>Uốn định hình nếp tóc cao cấp (K-Perm Collection)</v>
      </c>
      <c r="D674" s="5">
        <f>VLOOKUP(C674,'Sheet7'!$B:$C,2,0)</f>
      </c>
      <c r="E674" s="5"/>
      <c r="F674" s="6">
        <v>478000</v>
      </c>
      <c r="G674" s="7">
        <v>478000</v>
      </c>
      <c r="H674" s="7">
        <v>488000</v>
      </c>
      <c r="I674" s="7">
        <v>488000</v>
      </c>
      <c r="J674" s="9" t="str">
        <v>Giá không đổi</v>
      </c>
      <c r="K674" s="4">
        <f>G674-F674</f>
      </c>
      <c r="L674" s="4">
        <v>47</v>
      </c>
      <c r="M674" s="4">
        <v>952</v>
      </c>
      <c r="N674" s="4" t="str" xml:space="preserve">
        <v>+10.000 VNĐ 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5" t="str">
        <v>730 TL10</v>
      </c>
      <c r="B675" s="5">
        <f>VLOOKUP(A675,'Sheet10'!$A:$C,3,0)</f>
      </c>
      <c r="C675" s="5" t="str">
        <v>(2022T) ATS Control Buffer - Khử mùi tạo thơm cho tóc uốn nhuộm 40k</v>
      </c>
      <c r="D675" s="5">
        <v>610</v>
      </c>
      <c r="E675" s="5"/>
      <c r="F675" s="6">
        <v>40000</v>
      </c>
      <c r="G675" s="7">
        <v>40000</v>
      </c>
      <c r="H675" s="7">
        <v>40000</v>
      </c>
      <c r="I675" s="7">
        <v>40000</v>
      </c>
      <c r="J675" s="9" t="str">
        <v>Giá không đổi</v>
      </c>
      <c r="K675" s="4">
        <f>G675-F675</f>
      </c>
      <c r="L675" s="4">
        <v>58</v>
      </c>
      <c r="M675" s="4">
        <v>610</v>
      </c>
      <c r="N675" s="4" t="str">
        <v>Không đổi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5" t="str">
        <v>730 TL10</v>
      </c>
      <c r="B676" s="5">
        <f>VLOOKUP(A676,'Sheet10'!$A:$C,3,0)</f>
      </c>
      <c r="C676" s="5" t="str">
        <v>(NEW) Nhuộm màu thời trang Milano</v>
      </c>
      <c r="D676" s="5">
        <v>960</v>
      </c>
      <c r="E676" s="5">
        <f>A676&amp;D676</f>
      </c>
      <c r="F676" s="6">
        <v>332000</v>
      </c>
      <c r="G676" s="8">
        <v>366000</v>
      </c>
      <c r="H676" s="8">
        <v>366000</v>
      </c>
      <c r="I676" s="8">
        <v>366000</v>
      </c>
      <c r="J676" s="3" t="str">
        <v>Điều chỉnh giá</v>
      </c>
      <c r="K676" s="4">
        <f>G676-F676</f>
      </c>
      <c r="L676" s="4">
        <v>58</v>
      </c>
      <c r="M676" s="4">
        <v>960</v>
      </c>
      <c r="N676" s="4" t="str">
        <v>Không đổi</v>
      </c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5" t="str">
        <v>730 TL10</v>
      </c>
      <c r="B677" s="5">
        <f>VLOOKUP(A677,'Sheet10'!$A:$C,3,0)</f>
      </c>
      <c r="C677" s="5" t="str">
        <v>(NEW) Nhuộm phủ bạc tiêu chuẩn 199K</v>
      </c>
      <c r="D677" s="5">
        <v>967</v>
      </c>
      <c r="E677" s="5"/>
      <c r="F677" s="6">
        <v>199000</v>
      </c>
      <c r="G677" s="8">
        <v>227000</v>
      </c>
      <c r="H677" s="8">
        <v>227000</v>
      </c>
      <c r="I677" s="8">
        <v>227000</v>
      </c>
      <c r="J677" s="3" t="str">
        <v>Điều chỉnh giá</v>
      </c>
      <c r="K677" s="4">
        <f>G677-F677</f>
      </c>
      <c r="L677" s="4">
        <v>58</v>
      </c>
      <c r="M677" s="4">
        <v>967</v>
      </c>
      <c r="N677" s="4" t="str">
        <v>Không đổi</v>
      </c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5" t="str">
        <v>730 TL10</v>
      </c>
      <c r="B678" s="5">
        <f>VLOOKUP(A678,'Sheet10'!$A:$C,3,0)</f>
      </c>
      <c r="C678" s="5" t="str">
        <v>(NEW) Uốn/Duỗi/Định hình full đầu tạo form vào nếp tự nhiên</v>
      </c>
      <c r="D678" s="5">
        <f>VLOOKUP(C678,'Sheet7'!$B:$C,2,0)</f>
      </c>
      <c r="E678" s="5">
        <f>A678&amp;D678</f>
      </c>
      <c r="F678" s="6">
        <v>386000</v>
      </c>
      <c r="G678" s="7">
        <v>386000</v>
      </c>
      <c r="H678" s="7">
        <v>396000</v>
      </c>
      <c r="I678" s="7">
        <v>396000</v>
      </c>
      <c r="J678" s="9" t="str">
        <v>Giá không đổi</v>
      </c>
      <c r="K678" s="4">
        <f>G678-F678</f>
      </c>
      <c r="L678" s="4">
        <v>58</v>
      </c>
      <c r="M678" s="4">
        <v>1009</v>
      </c>
      <c r="N678" s="4" t="str" xml:space="preserve">
        <v>+10.000 VNĐ 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5" t="str">
        <v>730 TL10</v>
      </c>
      <c r="B679" s="5">
        <f>VLOOKUP(A679,'Sheet10'!$A:$C,3,0)</f>
      </c>
      <c r="C679" s="5" t="str">
        <v>[DV] Nhuộm đen phủ bạc R&amp;B thảo dược</v>
      </c>
      <c r="D679" s="5">
        <v>912</v>
      </c>
      <c r="E679" s="5"/>
      <c r="F679" s="6">
        <v>289000</v>
      </c>
      <c r="G679" s="8">
        <v>329000</v>
      </c>
      <c r="H679" s="8">
        <v>329000</v>
      </c>
      <c r="I679" s="8">
        <v>329000</v>
      </c>
      <c r="J679" s="3" t="str">
        <v>Điều chỉnh giá</v>
      </c>
      <c r="K679" s="4">
        <f>G679-F679</f>
      </c>
      <c r="L679" s="4">
        <v>58</v>
      </c>
      <c r="M679" s="4">
        <v>912</v>
      </c>
      <c r="N679" s="4" t="str">
        <v>Không đổi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5" t="str">
        <v>730 TL10</v>
      </c>
      <c r="B680" s="5">
        <f>VLOOKUP(A680,'Sheet10'!$A:$C,3,0)</f>
      </c>
      <c r="C680" s="5" t="str">
        <v>[DV] Tẩy tóc bật tông Ý (1 lần)</v>
      </c>
      <c r="D680" s="5">
        <v>915</v>
      </c>
      <c r="E680" s="5"/>
      <c r="F680" s="6">
        <v>252000</v>
      </c>
      <c r="G680" s="8">
        <v>259000</v>
      </c>
      <c r="H680" s="8">
        <v>259000</v>
      </c>
      <c r="I680" s="8">
        <v>259000</v>
      </c>
      <c r="J680" s="3" t="str">
        <v>Điều chỉnh giá</v>
      </c>
      <c r="K680" s="4">
        <f>G680-F680</f>
      </c>
      <c r="L680" s="4">
        <v>58</v>
      </c>
      <c r="M680" s="4">
        <v>915</v>
      </c>
      <c r="N680" s="4" t="str">
        <v>Không đổi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5" t="str">
        <v>730 TL10</v>
      </c>
      <c r="B681" s="5">
        <f>VLOOKUP(A681,'Sheet10'!$A:$C,3,0)</f>
      </c>
      <c r="C681" s="5" t="str">
        <v>[DV] Tẩy tóc bật tông Ý (2 lần) 500k</v>
      </c>
      <c r="D681" s="5">
        <v>916</v>
      </c>
      <c r="E681" s="5"/>
      <c r="F681" s="6">
        <v>500000</v>
      </c>
      <c r="G681" s="8">
        <v>514000</v>
      </c>
      <c r="H681" s="8">
        <v>514000</v>
      </c>
      <c r="I681" s="8">
        <v>514000</v>
      </c>
      <c r="J681" s="3" t="str">
        <v>Điều chỉnh giá</v>
      </c>
      <c r="K681" s="4">
        <f>G681-F681</f>
      </c>
      <c r="L681" s="4">
        <v>58</v>
      </c>
      <c r="M681" s="4">
        <v>916</v>
      </c>
      <c r="N681" s="4" t="str">
        <v>Không đổi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5" t="str">
        <v>730 TL10</v>
      </c>
      <c r="B682" s="5">
        <f>VLOOKUP(A682,'Sheet10'!$A:$C,3,0)</f>
      </c>
      <c r="C682" s="5" t="str">
        <v>[DV] Uốn Texture con sâu/Uốn Ruffled</v>
      </c>
      <c r="D682" s="5">
        <f>VLOOKUP(C682,'Sheet7'!$B:$C,2,0)</f>
      </c>
      <c r="E682" s="5"/>
      <c r="F682" s="6">
        <v>499000</v>
      </c>
      <c r="G682" s="8">
        <v>550000</v>
      </c>
      <c r="H682" s="7">
        <v>560000</v>
      </c>
      <c r="I682" s="7">
        <v>560000</v>
      </c>
      <c r="J682" s="3" t="str">
        <v>Điều chỉnh giá</v>
      </c>
      <c r="K682" s="4">
        <f>G682-F682</f>
      </c>
      <c r="L682" s="4">
        <v>58</v>
      </c>
      <c r="M682" s="4">
        <v>674</v>
      </c>
      <c r="N682" s="4" t="str" xml:space="preserve">
        <v>+10.000 VNĐ </v>
      </c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5" t="str">
        <v>730 TL10</v>
      </c>
      <c r="B683" s="5">
        <f>VLOOKUP(A683,'Sheet10'!$A:$C,3,0)</f>
      </c>
      <c r="C683" s="5" t="str">
        <v>[DV] Ép side hai bên</v>
      </c>
      <c r="D683" s="5">
        <f>VLOOKUP(C683,'Sheet7'!$B:$C,2,0)</f>
      </c>
      <c r="E683" s="5"/>
      <c r="F683" s="6">
        <v>189000</v>
      </c>
      <c r="G683" s="8">
        <v>216000</v>
      </c>
      <c r="H683" s="7">
        <v>226000</v>
      </c>
      <c r="I683" s="7">
        <v>226000</v>
      </c>
      <c r="J683" s="3" t="str">
        <v>Điều chỉnh giá</v>
      </c>
      <c r="K683" s="4">
        <f>G683-F683</f>
      </c>
      <c r="L683" s="4">
        <v>58</v>
      </c>
      <c r="M683" s="4">
        <v>902</v>
      </c>
      <c r="N683" s="4" t="str" xml:space="preserve">
        <v>+10.000 VNĐ </v>
      </c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5" t="str">
        <v>730 TL10</v>
      </c>
      <c r="B684" s="5">
        <f>VLOOKUP(A684,'Sheet10'!$A:$C,3,0)</f>
      </c>
      <c r="C684" s="5" t="str">
        <v>NHUỘM THIẾT KẾ PHỤC HỒI CHUYÊN SÂU LIPID BOND 2025</v>
      </c>
      <c r="D684" s="5">
        <v>1149</v>
      </c>
      <c r="E684" s="5"/>
      <c r="F684" s="6">
        <v>689000</v>
      </c>
      <c r="G684" s="8">
        <v>759000</v>
      </c>
      <c r="H684" s="8">
        <v>759000</v>
      </c>
      <c r="I684" s="8">
        <v>759000</v>
      </c>
      <c r="J684" s="3" t="str">
        <v>Điều chỉnh giá</v>
      </c>
      <c r="K684" s="4">
        <f>G684-F684</f>
      </c>
      <c r="L684" s="4">
        <v>58</v>
      </c>
      <c r="M684" s="4">
        <v>1149</v>
      </c>
      <c r="N684" s="4" t="str">
        <v>Không đổi</v>
      </c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5" t="str">
        <v>730 TL10</v>
      </c>
      <c r="B685" s="5">
        <f>VLOOKUP(A685,'Sheet10'!$A:$C,3,0)</f>
      </c>
      <c r="C685" s="5" t="str">
        <v>Phục hồi trẻ hóa Lipid Bond</v>
      </c>
      <c r="D685" s="5">
        <v>1101</v>
      </c>
      <c r="E685" s="5"/>
      <c r="F685" s="6">
        <v>132000</v>
      </c>
      <c r="G685" s="8">
        <v>146000</v>
      </c>
      <c r="H685" s="8">
        <v>146000</v>
      </c>
      <c r="I685" s="8">
        <v>146000</v>
      </c>
      <c r="J685" s="3" t="str">
        <v>Điều chỉnh giá</v>
      </c>
      <c r="K685" s="4">
        <f>G685-F685</f>
      </c>
      <c r="L685" s="4">
        <v>58</v>
      </c>
      <c r="M685" s="4">
        <v>1101</v>
      </c>
      <c r="N685" s="4" t="str">
        <v>Không đổi</v>
      </c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5" t="str">
        <v>730 TL10</v>
      </c>
      <c r="B686" s="5">
        <f>VLOOKUP(A686,'Sheet10'!$A:$C,3,0)</f>
      </c>
      <c r="C686" s="5" t="str">
        <v>UỐN THIẾT KẾ PHỤC HỒI CHUYÊN SÂU LIPID BOND 2025</v>
      </c>
      <c r="D686" s="5">
        <f>VLOOKUP(C686,'Sheet7'!$B:$C,2,0)</f>
      </c>
      <c r="E686" s="5"/>
      <c r="F686" s="6">
        <v>689000</v>
      </c>
      <c r="G686" s="7">
        <v>689000</v>
      </c>
      <c r="H686" s="7">
        <v>699000</v>
      </c>
      <c r="I686" s="7">
        <v>699000</v>
      </c>
      <c r="J686" s="9" t="str">
        <v>Giá không đổi</v>
      </c>
      <c r="K686" s="4">
        <f>G686-F686</f>
      </c>
      <c r="L686" s="4">
        <v>58</v>
      </c>
      <c r="M686" s="4">
        <v>1148</v>
      </c>
      <c r="N686" s="4" t="str" xml:space="preserve">
        <v>+10.000 VNĐ </v>
      </c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5" t="str">
        <v>730 TL10</v>
      </c>
      <c r="B687" s="5">
        <f>VLOOKUP(A687,'Sheet10'!$A:$C,3,0)</f>
      </c>
      <c r="C687" s="5" t="str">
        <v>Uốn định hình nếp tóc cao cấp (K-Perm Collection)</v>
      </c>
      <c r="D687" s="5">
        <f>VLOOKUP(C687,'Sheet7'!$B:$C,2,0)</f>
      </c>
      <c r="E687" s="5"/>
      <c r="F687" s="6">
        <v>478000</v>
      </c>
      <c r="G687" s="7">
        <v>478000</v>
      </c>
      <c r="H687" s="7">
        <v>488000</v>
      </c>
      <c r="I687" s="7">
        <v>488000</v>
      </c>
      <c r="J687" s="9" t="str">
        <v>Giá không đổi</v>
      </c>
      <c r="K687" s="4">
        <f>G687-F687</f>
      </c>
      <c r="L687" s="4">
        <v>58</v>
      </c>
      <c r="M687" s="4">
        <v>952</v>
      </c>
      <c r="N687" s="4" t="str" xml:space="preserve">
        <v>+10.000 VNĐ 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5" t="str">
        <v>76 PVH</v>
      </c>
      <c r="B688" s="5">
        <f>VLOOKUP(A688,'Sheet10'!$A:$C,3,0)</f>
      </c>
      <c r="C688" s="5" t="str">
        <v>(2022T) ATS Control Buffer - Khử mùi tạo thơm cho tóc uốn nhuộm 40k</v>
      </c>
      <c r="D688" s="5">
        <v>610</v>
      </c>
      <c r="E688" s="5"/>
      <c r="F688" s="6">
        <v>40000</v>
      </c>
      <c r="G688" s="7">
        <v>40000</v>
      </c>
      <c r="H688" s="7">
        <v>40000</v>
      </c>
      <c r="I688" s="7">
        <v>40000</v>
      </c>
      <c r="J688" s="9" t="str">
        <v>Giá không đổi</v>
      </c>
      <c r="K688" s="4">
        <f>G688-F688</f>
      </c>
      <c r="L688" s="4">
        <v>106</v>
      </c>
      <c r="M688" s="4">
        <v>610</v>
      </c>
      <c r="N688" s="4" t="str">
        <v>Không đổi</v>
      </c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5" t="str">
        <v>76 PVH</v>
      </c>
      <c r="B689" s="5">
        <f>VLOOKUP(A689,'Sheet10'!$A:$C,3,0)</f>
      </c>
      <c r="C689" s="5" t="str">
        <v>(NEW) Nhuộm màu thời trang Milano</v>
      </c>
      <c r="D689" s="5">
        <v>960</v>
      </c>
      <c r="E689" s="5">
        <f>A689&amp;D689</f>
      </c>
      <c r="F689" s="6">
        <v>332000</v>
      </c>
      <c r="G689" s="8">
        <v>346000</v>
      </c>
      <c r="H689" s="8">
        <v>346000</v>
      </c>
      <c r="I689" s="8">
        <v>346000</v>
      </c>
      <c r="J689" s="3" t="str">
        <v>Điều chỉnh giá</v>
      </c>
      <c r="K689" s="4">
        <f>G689-F689</f>
      </c>
      <c r="L689" s="4">
        <v>106</v>
      </c>
      <c r="M689" s="4">
        <v>960</v>
      </c>
      <c r="N689" s="4" t="str">
        <v>Không đổi</v>
      </c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5" t="str">
        <v>76 PVH</v>
      </c>
      <c r="B690" s="5">
        <f>VLOOKUP(A690,'Sheet10'!$A:$C,3,0)</f>
      </c>
      <c r="C690" s="5" t="str">
        <v>(NEW) Nhuộm phủ bạc tiêu chuẩn 199K</v>
      </c>
      <c r="D690" s="5">
        <v>967</v>
      </c>
      <c r="E690" s="5"/>
      <c r="F690" s="6">
        <v>199000</v>
      </c>
      <c r="G690" s="8">
        <v>202000</v>
      </c>
      <c r="H690" s="8">
        <v>202000</v>
      </c>
      <c r="I690" s="8">
        <v>202000</v>
      </c>
      <c r="J690" s="3" t="str">
        <v>Điều chỉnh giá</v>
      </c>
      <c r="K690" s="4">
        <f>G690-F690</f>
      </c>
      <c r="L690" s="4">
        <v>106</v>
      </c>
      <c r="M690" s="4">
        <v>967</v>
      </c>
      <c r="N690" s="4" t="str">
        <v>Không đổi</v>
      </c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5" t="str">
        <v>76 PVH</v>
      </c>
      <c r="B691" s="5">
        <f>VLOOKUP(A691,'Sheet10'!$A:$C,3,0)</f>
      </c>
      <c r="C691" s="5" t="str">
        <v>(NEW) Uốn/Duỗi/Định hình full đầu tạo form vào nếp tự nhiên</v>
      </c>
      <c r="D691" s="5">
        <f>VLOOKUP(C691,'Sheet7'!$B:$C,2,0)</f>
      </c>
      <c r="E691" s="5">
        <f>A691&amp;D691</f>
      </c>
      <c r="F691" s="6">
        <v>386000</v>
      </c>
      <c r="G691" s="7">
        <v>386000</v>
      </c>
      <c r="H691" s="7">
        <v>396000</v>
      </c>
      <c r="I691" s="7">
        <v>396000</v>
      </c>
      <c r="J691" s="9" t="str">
        <v>Giá không đổi</v>
      </c>
      <c r="K691" s="4">
        <f>G691-F691</f>
      </c>
      <c r="L691" s="4">
        <v>106</v>
      </c>
      <c r="M691" s="4">
        <v>1009</v>
      </c>
      <c r="N691" s="4" t="str" xml:space="preserve">
        <v>+10.000 VNĐ 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5" t="str">
        <v>76 PVH</v>
      </c>
      <c r="B692" s="5">
        <f>VLOOKUP(A692,'Sheet10'!$A:$C,3,0)</f>
      </c>
      <c r="C692" s="5" t="str">
        <v>[DV] Nhuộm đen phủ bạc R&amp;B thảo dược</v>
      </c>
      <c r="D692" s="5">
        <v>912</v>
      </c>
      <c r="E692" s="5"/>
      <c r="F692" s="6">
        <v>289000</v>
      </c>
      <c r="G692" s="8">
        <v>293000</v>
      </c>
      <c r="H692" s="8">
        <v>293000</v>
      </c>
      <c r="I692" s="8">
        <v>293000</v>
      </c>
      <c r="J692" s="3" t="str">
        <v>Điều chỉnh giá</v>
      </c>
      <c r="K692" s="4">
        <f>G692-F692</f>
      </c>
      <c r="L692" s="4">
        <v>106</v>
      </c>
      <c r="M692" s="4">
        <v>912</v>
      </c>
      <c r="N692" s="4" t="str">
        <v>Không đổi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5" t="str">
        <v>76 PVH</v>
      </c>
      <c r="B693" s="5">
        <f>VLOOKUP(A693,'Sheet10'!$A:$C,3,0)</f>
      </c>
      <c r="C693" s="5" t="str">
        <v>[DV] Tẩy tóc bật tông Ý (1 lần)</v>
      </c>
      <c r="D693" s="5">
        <v>915</v>
      </c>
      <c r="E693" s="5"/>
      <c r="F693" s="6">
        <v>252000</v>
      </c>
      <c r="G693" s="8">
        <v>269000</v>
      </c>
      <c r="H693" s="8">
        <v>269000</v>
      </c>
      <c r="I693" s="8">
        <v>269000</v>
      </c>
      <c r="J693" s="3" t="str">
        <v>Điều chỉnh giá</v>
      </c>
      <c r="K693" s="4">
        <f>G693-F693</f>
      </c>
      <c r="L693" s="4">
        <v>106</v>
      </c>
      <c r="M693" s="4">
        <v>915</v>
      </c>
      <c r="N693" s="4" t="str">
        <v>Không đổi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5" t="str">
        <v>76 PVH</v>
      </c>
      <c r="B694" s="5">
        <f>VLOOKUP(A694,'Sheet10'!$A:$C,3,0)</f>
      </c>
      <c r="C694" s="5" t="str">
        <v>[DV] Tẩy tóc bật tông Ý (2 lần) 500k</v>
      </c>
      <c r="D694" s="5">
        <v>916</v>
      </c>
      <c r="E694" s="5"/>
      <c r="F694" s="6">
        <v>500000</v>
      </c>
      <c r="G694" s="8">
        <v>534000</v>
      </c>
      <c r="H694" s="8">
        <v>534000</v>
      </c>
      <c r="I694" s="8">
        <v>534000</v>
      </c>
      <c r="J694" s="3" t="str">
        <v>Điều chỉnh giá</v>
      </c>
      <c r="K694" s="4">
        <f>G694-F694</f>
      </c>
      <c r="L694" s="4">
        <v>106</v>
      </c>
      <c r="M694" s="4">
        <v>916</v>
      </c>
      <c r="N694" s="4" t="str">
        <v>Không đổi</v>
      </c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5" t="str">
        <v>76 PVH</v>
      </c>
      <c r="B695" s="5">
        <f>VLOOKUP(A695,'Sheet10'!$A:$C,3,0)</f>
      </c>
      <c r="C695" s="5" t="str">
        <v>[DV] Uốn Texture con sâu/Uốn Ruffled</v>
      </c>
      <c r="D695" s="5">
        <f>VLOOKUP(C695,'Sheet7'!$B:$C,2,0)</f>
      </c>
      <c r="E695" s="5"/>
      <c r="F695" s="6">
        <v>499000</v>
      </c>
      <c r="G695" s="8">
        <v>520000</v>
      </c>
      <c r="H695" s="7">
        <v>530000</v>
      </c>
      <c r="I695" s="7">
        <v>530000</v>
      </c>
      <c r="J695" s="3" t="str">
        <v>Điều chỉnh giá</v>
      </c>
      <c r="K695" s="4">
        <f>G695-F695</f>
      </c>
      <c r="L695" s="4">
        <v>106</v>
      </c>
      <c r="M695" s="4">
        <v>674</v>
      </c>
      <c r="N695" s="4" t="str" xml:space="preserve">
        <v>+10.000 VNĐ </v>
      </c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5" t="str">
        <v>76 PVH</v>
      </c>
      <c r="B696" s="5">
        <f>VLOOKUP(A696,'Sheet10'!$A:$C,3,0)</f>
      </c>
      <c r="C696" s="5" t="str">
        <v>[DV] Ép side hai bên</v>
      </c>
      <c r="D696" s="5">
        <f>VLOOKUP(C696,'Sheet7'!$B:$C,2,0)</f>
      </c>
      <c r="E696" s="5"/>
      <c r="F696" s="6">
        <v>189000</v>
      </c>
      <c r="G696" s="8">
        <v>209000</v>
      </c>
      <c r="H696" s="7">
        <v>219000</v>
      </c>
      <c r="I696" s="7">
        <v>219000</v>
      </c>
      <c r="J696" s="3" t="str">
        <v>Điều chỉnh giá</v>
      </c>
      <c r="K696" s="4">
        <f>G696-F696</f>
      </c>
      <c r="L696" s="4">
        <v>106</v>
      </c>
      <c r="M696" s="4">
        <v>902</v>
      </c>
      <c r="N696" s="4" t="str" xml:space="preserve">
        <v>+10.000 VNĐ </v>
      </c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5" t="str">
        <v>76 PVH</v>
      </c>
      <c r="B697" s="5">
        <f>VLOOKUP(A697,'Sheet10'!$A:$C,3,0)</f>
      </c>
      <c r="C697" s="5" t="str">
        <v>NHUỘM THIẾT KẾ PHỤC HỒI CHUYÊN SÂU LIPID BOND 2025</v>
      </c>
      <c r="D697" s="5">
        <v>1149</v>
      </c>
      <c r="E697" s="5"/>
      <c r="F697" s="6">
        <v>689000</v>
      </c>
      <c r="G697" s="8">
        <v>719000</v>
      </c>
      <c r="H697" s="8">
        <v>719000</v>
      </c>
      <c r="I697" s="8">
        <v>719000</v>
      </c>
      <c r="J697" s="3" t="str">
        <v>Điều chỉnh giá</v>
      </c>
      <c r="K697" s="4">
        <f>G697-F697</f>
      </c>
      <c r="L697" s="4">
        <v>106</v>
      </c>
      <c r="M697" s="4">
        <v>1149</v>
      </c>
      <c r="N697" s="4" t="str">
        <v>Không đổi</v>
      </c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5" t="str">
        <v>76 PVH</v>
      </c>
      <c r="B698" s="5">
        <f>VLOOKUP(A698,'Sheet10'!$A:$C,3,0)</f>
      </c>
      <c r="C698" s="5" t="str">
        <v>Phục hồi trẻ hóa Lipid Bond</v>
      </c>
      <c r="D698" s="5">
        <v>1101</v>
      </c>
      <c r="E698" s="5"/>
      <c r="F698" s="6">
        <v>132000</v>
      </c>
      <c r="G698" s="8">
        <v>146000</v>
      </c>
      <c r="H698" s="8">
        <v>146000</v>
      </c>
      <c r="I698" s="8">
        <v>146000</v>
      </c>
      <c r="J698" s="3" t="str">
        <v>Điều chỉnh giá</v>
      </c>
      <c r="K698" s="4">
        <f>G698-F698</f>
      </c>
      <c r="L698" s="4">
        <v>106</v>
      </c>
      <c r="M698" s="4">
        <v>1101</v>
      </c>
      <c r="N698" s="4" t="str">
        <v>Không đổi</v>
      </c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5" t="str">
        <v>76 PVH</v>
      </c>
      <c r="B699" s="5">
        <f>VLOOKUP(A699,'Sheet10'!$A:$C,3,0)</f>
      </c>
      <c r="C699" s="5" t="str">
        <v>UỐN THIẾT KẾ PHỤC HỒI CHUYÊN SÂU LIPID BOND 2025</v>
      </c>
      <c r="D699" s="5">
        <f>VLOOKUP(C699,'Sheet7'!$B:$C,2,0)</f>
      </c>
      <c r="E699" s="5"/>
      <c r="F699" s="6">
        <v>689000</v>
      </c>
      <c r="G699" s="7">
        <v>689000</v>
      </c>
      <c r="H699" s="7">
        <v>699000</v>
      </c>
      <c r="I699" s="7">
        <v>699000</v>
      </c>
      <c r="J699" s="9" t="str">
        <v>Giá không đổi</v>
      </c>
      <c r="K699" s="4">
        <f>G699-F699</f>
      </c>
      <c r="L699" s="4">
        <v>106</v>
      </c>
      <c r="M699" s="4">
        <v>1148</v>
      </c>
      <c r="N699" s="4" t="str" xml:space="preserve">
        <v>+10.000 VNĐ </v>
      </c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5" t="str">
        <v>76 PVH</v>
      </c>
      <c r="B700" s="5">
        <f>VLOOKUP(A700,'Sheet10'!$A:$C,3,0)</f>
      </c>
      <c r="C700" s="5" t="str">
        <v>Uốn định hình nếp tóc cao cấp (K-Perm Collection)</v>
      </c>
      <c r="D700" s="5">
        <f>VLOOKUP(C700,'Sheet7'!$B:$C,2,0)</f>
      </c>
      <c r="E700" s="5"/>
      <c r="F700" s="6">
        <v>478000</v>
      </c>
      <c r="G700" s="7">
        <v>478000</v>
      </c>
      <c r="H700" s="7">
        <v>488000</v>
      </c>
      <c r="I700" s="7">
        <v>488000</v>
      </c>
      <c r="J700" s="9" t="str">
        <v>Giá không đổi</v>
      </c>
      <c r="K700" s="4">
        <f>G700-F700</f>
      </c>
      <c r="L700" s="4">
        <v>106</v>
      </c>
      <c r="M700" s="4">
        <v>952</v>
      </c>
      <c r="N700" s="4" t="str" xml:space="preserve">
        <v>+10.000 VNĐ 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5" t="str">
        <v>8 CVL</v>
      </c>
      <c r="B701" s="5">
        <f>VLOOKUP(A701,'Sheet10'!$A:$C,3,0)</f>
      </c>
      <c r="C701" s="5" t="str">
        <v>(2022T) ATS Control Buffer - Khử mùi tạo thơm cho tóc uốn nhuộm 40k</v>
      </c>
      <c r="D701" s="5">
        <v>610</v>
      </c>
      <c r="E701" s="5"/>
      <c r="F701" s="6">
        <v>40000</v>
      </c>
      <c r="G701" s="7">
        <v>40000</v>
      </c>
      <c r="H701" s="7">
        <v>40000</v>
      </c>
      <c r="I701" s="7">
        <v>40000</v>
      </c>
      <c r="J701" s="9" t="str">
        <v>Giá không đổi</v>
      </c>
      <c r="K701" s="4">
        <f>G701-F701</f>
      </c>
      <c r="L701" s="4">
        <v>11</v>
      </c>
      <c r="M701" s="4">
        <v>610</v>
      </c>
      <c r="N701" s="4" t="str">
        <v>Không đổi</v>
      </c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5" t="str">
        <v>8 CVL</v>
      </c>
      <c r="B702" s="5">
        <f>VLOOKUP(A702,'Sheet10'!$A:$C,3,0)</f>
      </c>
      <c r="C702" s="5" t="str">
        <v>(NEW) Nhuộm màu thời trang Milano</v>
      </c>
      <c r="D702" s="5">
        <v>960</v>
      </c>
      <c r="E702" s="5">
        <f>A702&amp;D702</f>
      </c>
      <c r="F702" s="6">
        <v>332000</v>
      </c>
      <c r="G702" s="8">
        <v>366000</v>
      </c>
      <c r="H702" s="8">
        <v>366000</v>
      </c>
      <c r="I702" s="8">
        <v>366000</v>
      </c>
      <c r="J702" s="3" t="str">
        <v>Điều chỉnh giá</v>
      </c>
      <c r="K702" s="4">
        <f>G702-F702</f>
      </c>
      <c r="L702" s="4">
        <v>11</v>
      </c>
      <c r="M702" s="4">
        <v>960</v>
      </c>
      <c r="N702" s="4" t="str">
        <v>Không đổi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5" t="str">
        <v>8 CVL</v>
      </c>
      <c r="B703" s="5">
        <f>VLOOKUP(A703,'Sheet10'!$A:$C,3,0)</f>
      </c>
      <c r="C703" s="5" t="str">
        <v>(NEW) Nhuộm phủ bạc tiêu chuẩn 199K</v>
      </c>
      <c r="D703" s="5">
        <v>967</v>
      </c>
      <c r="E703" s="5"/>
      <c r="F703" s="6">
        <v>199000</v>
      </c>
      <c r="G703" s="7">
        <v>199000</v>
      </c>
      <c r="H703" s="7">
        <v>199000</v>
      </c>
      <c r="I703" s="7">
        <v>199000</v>
      </c>
      <c r="J703" s="9" t="str">
        <v>Giá không đổi</v>
      </c>
      <c r="K703" s="4">
        <f>G703-F703</f>
      </c>
      <c r="L703" s="4">
        <v>11</v>
      </c>
      <c r="M703" s="4">
        <v>967</v>
      </c>
      <c r="N703" s="4" t="str">
        <v>Không đổi</v>
      </c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5" t="str">
        <v>8 CVL</v>
      </c>
      <c r="B704" s="5">
        <f>VLOOKUP(A704,'Sheet10'!$A:$C,3,0)</f>
      </c>
      <c r="C704" s="5" t="str">
        <v>(NEW) Uốn/Duỗi/Định hình full đầu tạo form vào nếp tự nhiên</v>
      </c>
      <c r="D704" s="5">
        <f>VLOOKUP(C704,'Sheet7'!$B:$C,2,0)</f>
      </c>
      <c r="E704" s="5">
        <f>A704&amp;D704</f>
      </c>
      <c r="F704" s="6">
        <v>386000</v>
      </c>
      <c r="G704" s="7">
        <v>386000</v>
      </c>
      <c r="H704" s="7">
        <v>396000</v>
      </c>
      <c r="I704" s="7">
        <v>396000</v>
      </c>
      <c r="J704" s="9" t="str">
        <v>Giá không đổi</v>
      </c>
      <c r="K704" s="4">
        <f>G704-F704</f>
      </c>
      <c r="L704" s="4">
        <v>11</v>
      </c>
      <c r="M704" s="4">
        <v>1009</v>
      </c>
      <c r="N704" s="4" t="str" xml:space="preserve">
        <v>+10.000 VNĐ </v>
      </c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5" t="str">
        <v>8 CVL</v>
      </c>
      <c r="B705" s="5">
        <f>VLOOKUP(A705,'Sheet10'!$A:$C,3,0)</f>
      </c>
      <c r="C705" s="5" t="str">
        <v>[DV] Nhuộm đen phủ bạc R&amp;B thảo dược</v>
      </c>
      <c r="D705" s="5">
        <v>912</v>
      </c>
      <c r="E705" s="5"/>
      <c r="F705" s="6">
        <v>289000</v>
      </c>
      <c r="G705" s="7">
        <v>289000</v>
      </c>
      <c r="H705" s="7">
        <v>289000</v>
      </c>
      <c r="I705" s="7">
        <v>289000</v>
      </c>
      <c r="J705" s="9" t="str">
        <v>Giá không đổi</v>
      </c>
      <c r="K705" s="4">
        <f>G705-F705</f>
      </c>
      <c r="L705" s="4">
        <v>11</v>
      </c>
      <c r="M705" s="4">
        <v>912</v>
      </c>
      <c r="N705" s="4" t="str">
        <v>Không đổi</v>
      </c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5" t="str">
        <v>8 CVL</v>
      </c>
      <c r="B706" s="5">
        <f>VLOOKUP(A706,'Sheet10'!$A:$C,3,0)</f>
      </c>
      <c r="C706" s="5" t="str">
        <v>[DV] Tẩy tóc bật tông Ý (1 lần)</v>
      </c>
      <c r="D706" s="5">
        <v>915</v>
      </c>
      <c r="E706" s="5"/>
      <c r="F706" s="6">
        <v>252000</v>
      </c>
      <c r="G706" s="7">
        <v>252000</v>
      </c>
      <c r="H706" s="7">
        <v>252000</v>
      </c>
      <c r="I706" s="7">
        <v>252000</v>
      </c>
      <c r="J706" s="9" t="str">
        <v>Giá không đổi</v>
      </c>
      <c r="K706" s="4">
        <f>G706-F706</f>
      </c>
      <c r="L706" s="4">
        <v>11</v>
      </c>
      <c r="M706" s="4">
        <v>915</v>
      </c>
      <c r="N706" s="4" t="str">
        <v>Không đổi</v>
      </c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5" t="str">
        <v>8 CVL</v>
      </c>
      <c r="B707" s="5">
        <f>VLOOKUP(A707,'Sheet10'!$A:$C,3,0)</f>
      </c>
      <c r="C707" s="5" t="str">
        <v>[DV] Tẩy tóc bật tông Ý (2 lần) 500k</v>
      </c>
      <c r="D707" s="5">
        <v>916</v>
      </c>
      <c r="E707" s="5"/>
      <c r="F707" s="6">
        <v>500000</v>
      </c>
      <c r="G707" s="7">
        <v>500000</v>
      </c>
      <c r="H707" s="7">
        <v>500000</v>
      </c>
      <c r="I707" s="7">
        <v>500000</v>
      </c>
      <c r="J707" s="9" t="str">
        <v>Giá không đổi</v>
      </c>
      <c r="K707" s="4">
        <f>G707-F707</f>
      </c>
      <c r="L707" s="4">
        <v>11</v>
      </c>
      <c r="M707" s="4">
        <v>916</v>
      </c>
      <c r="N707" s="4" t="str">
        <v>Không đổi</v>
      </c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5" t="str">
        <v>8 CVL</v>
      </c>
      <c r="B708" s="5">
        <f>VLOOKUP(A708,'Sheet10'!$A:$C,3,0)</f>
      </c>
      <c r="C708" s="5" t="str">
        <v>[DV] Uốn Texture con sâu/Uốn Ruffled</v>
      </c>
      <c r="D708" s="5">
        <f>VLOOKUP(C708,'Sheet7'!$B:$C,2,0)</f>
      </c>
      <c r="E708" s="5"/>
      <c r="F708" s="6">
        <v>499000</v>
      </c>
      <c r="G708" s="8">
        <v>550000</v>
      </c>
      <c r="H708" s="7">
        <v>560000</v>
      </c>
      <c r="I708" s="7">
        <v>560000</v>
      </c>
      <c r="J708" s="3" t="str">
        <v>Điều chỉnh giá</v>
      </c>
      <c r="K708" s="4">
        <f>G708-F708</f>
      </c>
      <c r="L708" s="4">
        <v>11</v>
      </c>
      <c r="M708" s="4">
        <v>674</v>
      </c>
      <c r="N708" s="4" t="str" xml:space="preserve">
        <v>+10.000 VNĐ 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5" t="str">
        <v>8 CVL</v>
      </c>
      <c r="B709" s="5">
        <f>VLOOKUP(A709,'Sheet10'!$A:$C,3,0)</f>
      </c>
      <c r="C709" s="5" t="str">
        <v>[DV] Ép side hai bên</v>
      </c>
      <c r="D709" s="5">
        <f>VLOOKUP(C709,'Sheet7'!$B:$C,2,0)</f>
      </c>
      <c r="E709" s="5"/>
      <c r="F709" s="6">
        <v>189000</v>
      </c>
      <c r="G709" s="8">
        <v>209000</v>
      </c>
      <c r="H709" s="7">
        <v>219000</v>
      </c>
      <c r="I709" s="7">
        <v>219000</v>
      </c>
      <c r="J709" s="3" t="str">
        <v>Điều chỉnh giá</v>
      </c>
      <c r="K709" s="4">
        <f>G709-F709</f>
      </c>
      <c r="L709" s="4">
        <v>11</v>
      </c>
      <c r="M709" s="4">
        <v>902</v>
      </c>
      <c r="N709" s="4" t="str" xml:space="preserve">
        <v>+10.000 VNĐ </v>
      </c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5" t="str">
        <v>8 CVL</v>
      </c>
      <c r="B710" s="5">
        <f>VLOOKUP(A710,'Sheet10'!$A:$C,3,0)</f>
      </c>
      <c r="C710" s="5" t="str">
        <v>NHUỘM THIẾT KẾ PHỤC HỒI CHUYÊN SÂU LIPID BOND 2025</v>
      </c>
      <c r="D710" s="5">
        <v>1149</v>
      </c>
      <c r="E710" s="5"/>
      <c r="F710" s="6">
        <v>689000</v>
      </c>
      <c r="G710" s="8">
        <v>759000</v>
      </c>
      <c r="H710" s="8">
        <v>759000</v>
      </c>
      <c r="I710" s="8">
        <v>759000</v>
      </c>
      <c r="J710" s="3" t="str">
        <v>Điều chỉnh giá</v>
      </c>
      <c r="K710" s="4">
        <f>G710-F710</f>
      </c>
      <c r="L710" s="4">
        <v>11</v>
      </c>
      <c r="M710" s="4">
        <v>1149</v>
      </c>
      <c r="N710" s="4" t="str">
        <v>Không đổi</v>
      </c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5" t="str">
        <v>8 CVL</v>
      </c>
      <c r="B711" s="5">
        <f>VLOOKUP(A711,'Sheet10'!$A:$C,3,0)</f>
      </c>
      <c r="C711" s="5" t="str">
        <v>Phục hồi trẻ hóa Lipid Bond</v>
      </c>
      <c r="D711" s="5">
        <v>1101</v>
      </c>
      <c r="E711" s="5"/>
      <c r="F711" s="6">
        <v>132000</v>
      </c>
      <c r="G711" s="8">
        <v>146000</v>
      </c>
      <c r="H711" s="8">
        <v>146000</v>
      </c>
      <c r="I711" s="8">
        <v>146000</v>
      </c>
      <c r="J711" s="3" t="str">
        <v>Điều chỉnh giá</v>
      </c>
      <c r="K711" s="4">
        <f>G711-F711</f>
      </c>
      <c r="L711" s="4">
        <v>11</v>
      </c>
      <c r="M711" s="4">
        <v>1101</v>
      </c>
      <c r="N711" s="4" t="str">
        <v>Không đổi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5" t="str">
        <v>8 CVL</v>
      </c>
      <c r="B712" s="5">
        <f>VLOOKUP(A712,'Sheet10'!$A:$C,3,0)</f>
      </c>
      <c r="C712" s="5" t="str">
        <v>UỐN THIẾT KẾ PHỤC HỒI CHUYÊN SÂU LIPID BOND 2025</v>
      </c>
      <c r="D712" s="5">
        <f>VLOOKUP(C712,'Sheet7'!$B:$C,2,0)</f>
      </c>
      <c r="E712" s="5"/>
      <c r="F712" s="6">
        <v>689000</v>
      </c>
      <c r="G712" s="7">
        <v>689000</v>
      </c>
      <c r="H712" s="7">
        <v>699000</v>
      </c>
      <c r="I712" s="7">
        <v>699000</v>
      </c>
      <c r="J712" s="9" t="str">
        <v>Giá không đổi</v>
      </c>
      <c r="K712" s="4">
        <f>G712-F712</f>
      </c>
      <c r="L712" s="4">
        <v>11</v>
      </c>
      <c r="M712" s="4">
        <v>1148</v>
      </c>
      <c r="N712" s="4" t="str" xml:space="preserve">
        <v>+10.000 VNĐ </v>
      </c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5" t="str">
        <v>8 CVL</v>
      </c>
      <c r="B713" s="5">
        <f>VLOOKUP(A713,'Sheet10'!$A:$C,3,0)</f>
      </c>
      <c r="C713" s="5" t="str">
        <v>Uốn định hình nếp tóc cao cấp (K-Perm Collection)</v>
      </c>
      <c r="D713" s="5">
        <f>VLOOKUP(C713,'Sheet7'!$B:$C,2,0)</f>
      </c>
      <c r="E713" s="5"/>
      <c r="F713" s="6">
        <v>478000</v>
      </c>
      <c r="G713" s="7">
        <v>478000</v>
      </c>
      <c r="H713" s="7">
        <v>488000</v>
      </c>
      <c r="I713" s="7">
        <v>488000</v>
      </c>
      <c r="J713" s="9" t="str">
        <v>Giá không đổi</v>
      </c>
      <c r="K713" s="4">
        <f>G713-F713</f>
      </c>
      <c r="L713" s="4">
        <v>11</v>
      </c>
      <c r="M713" s="4">
        <v>952</v>
      </c>
      <c r="N713" s="4" t="str" xml:space="preserve">
        <v>+10.000 VNĐ </v>
      </c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5" t="str">
        <v>80 PL BD</v>
      </c>
      <c r="B714" s="5">
        <f>VLOOKUP(A714,'Sheet10'!$A:$C,3,0)</f>
      </c>
      <c r="C714" s="5" t="str">
        <v>(2022T) ATS Control Buffer - Khử mùi tạo thơm cho tóc uốn nhuộm 40k</v>
      </c>
      <c r="D714" s="5">
        <v>610</v>
      </c>
      <c r="E714" s="5"/>
      <c r="F714" s="6">
        <v>40000</v>
      </c>
      <c r="G714" s="7">
        <v>40000</v>
      </c>
      <c r="H714" s="7">
        <v>40000</v>
      </c>
      <c r="I714" s="7">
        <v>40000</v>
      </c>
      <c r="J714" s="9" t="str">
        <v>Giá không đổi</v>
      </c>
      <c r="K714" s="4">
        <f>G714-F714</f>
      </c>
      <c r="L714" s="4">
        <v>60</v>
      </c>
      <c r="M714" s="4">
        <v>610</v>
      </c>
      <c r="N714" s="4" t="str">
        <v>Không đổi</v>
      </c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5" t="str">
        <v>80 PL BD</v>
      </c>
      <c r="B715" s="5">
        <f>VLOOKUP(A715,'Sheet10'!$A:$C,3,0)</f>
      </c>
      <c r="C715" s="5" t="str">
        <v>(NEW) Nhuộm màu thời trang Milano</v>
      </c>
      <c r="D715" s="5">
        <v>960</v>
      </c>
      <c r="E715" s="5">
        <f>A715&amp;D715</f>
      </c>
      <c r="F715" s="6">
        <v>332000</v>
      </c>
      <c r="G715" s="7">
        <v>332000</v>
      </c>
      <c r="H715" s="7">
        <v>332000</v>
      </c>
      <c r="I715" s="7">
        <v>332000</v>
      </c>
      <c r="J715" s="9" t="str">
        <v>Giá không đổi</v>
      </c>
      <c r="K715" s="4">
        <f>G715-F715</f>
      </c>
      <c r="L715" s="4">
        <v>60</v>
      </c>
      <c r="M715" s="4">
        <v>960</v>
      </c>
      <c r="N715" s="4" t="str">
        <v>Không đổi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5" t="str">
        <v>80 PL BD</v>
      </c>
      <c r="B716" s="5">
        <f>VLOOKUP(A716,'Sheet10'!$A:$C,3,0)</f>
      </c>
      <c r="C716" s="5" t="str">
        <v>(NEW) Nhuộm phủ bạc tiêu chuẩn 199K</v>
      </c>
      <c r="D716" s="5">
        <v>967</v>
      </c>
      <c r="E716" s="5"/>
      <c r="F716" s="6">
        <v>199000</v>
      </c>
      <c r="G716" s="7">
        <v>199000</v>
      </c>
      <c r="H716" s="7">
        <v>199000</v>
      </c>
      <c r="I716" s="7">
        <v>199000</v>
      </c>
      <c r="J716" s="9" t="str">
        <v>Giá không đổi</v>
      </c>
      <c r="K716" s="4">
        <f>G716-F716</f>
      </c>
      <c r="L716" s="4">
        <v>60</v>
      </c>
      <c r="M716" s="4">
        <v>967</v>
      </c>
      <c r="N716" s="4" t="str">
        <v>Không đổi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5" t="str">
        <v>80 PL BD</v>
      </c>
      <c r="B717" s="5">
        <f>VLOOKUP(A717,'Sheet10'!$A:$C,3,0)</f>
      </c>
      <c r="C717" s="5" t="str">
        <v>(NEW) Uốn/Duỗi/Định hình full đầu tạo form vào nếp tự nhiên</v>
      </c>
      <c r="D717" s="5">
        <f>VLOOKUP(C717,'Sheet7'!$B:$C,2,0)</f>
      </c>
      <c r="E717" s="5">
        <f>A717&amp;D717</f>
      </c>
      <c r="F717" s="6">
        <v>386000</v>
      </c>
      <c r="G717" s="7">
        <v>386000</v>
      </c>
      <c r="H717" s="7">
        <v>396000</v>
      </c>
      <c r="I717" s="7">
        <v>396000</v>
      </c>
      <c r="J717" s="9" t="str">
        <v>Giá không đổi</v>
      </c>
      <c r="K717" s="4">
        <f>G717-F717</f>
      </c>
      <c r="L717" s="4">
        <v>60</v>
      </c>
      <c r="M717" s="4">
        <v>1009</v>
      </c>
      <c r="N717" s="4" t="str" xml:space="preserve">
        <v>+10.000 VNĐ 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5" t="str">
        <v>80 PL BD</v>
      </c>
      <c r="B718" s="5">
        <f>VLOOKUP(A718,'Sheet10'!$A:$C,3,0)</f>
      </c>
      <c r="C718" s="5" t="str">
        <v>[DV] Nhuộm đen phủ bạc R&amp;B thảo dược</v>
      </c>
      <c r="D718" s="5">
        <v>912</v>
      </c>
      <c r="E718" s="5"/>
      <c r="F718" s="6">
        <v>289000</v>
      </c>
      <c r="G718" s="7">
        <v>289000</v>
      </c>
      <c r="H718" s="7">
        <v>289000</v>
      </c>
      <c r="I718" s="7">
        <v>289000</v>
      </c>
      <c r="J718" s="9" t="str">
        <v>Giá không đổi</v>
      </c>
      <c r="K718" s="4">
        <f>G718-F718</f>
      </c>
      <c r="L718" s="4">
        <v>60</v>
      </c>
      <c r="M718" s="4">
        <v>912</v>
      </c>
      <c r="N718" s="4" t="str">
        <v>Không đổi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5" t="str">
        <v>80 PL BD</v>
      </c>
      <c r="B719" s="5">
        <f>VLOOKUP(A719,'Sheet10'!$A:$C,3,0)</f>
      </c>
      <c r="C719" s="5" t="str">
        <v>[DV] Tẩy tóc bật tông Ý (1 lần)</v>
      </c>
      <c r="D719" s="5">
        <v>915</v>
      </c>
      <c r="E719" s="5"/>
      <c r="F719" s="6">
        <v>252000</v>
      </c>
      <c r="G719" s="7">
        <v>252000</v>
      </c>
      <c r="H719" s="7">
        <v>252000</v>
      </c>
      <c r="I719" s="7">
        <v>252000</v>
      </c>
      <c r="J719" s="9" t="str">
        <v>Giá không đổi</v>
      </c>
      <c r="K719" s="4">
        <f>G719-F719</f>
      </c>
      <c r="L719" s="4">
        <v>60</v>
      </c>
      <c r="M719" s="4">
        <v>915</v>
      </c>
      <c r="N719" s="4" t="str">
        <v>Không đổi</v>
      </c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5" t="str">
        <v>80 PL BD</v>
      </c>
      <c r="B720" s="5">
        <f>VLOOKUP(A720,'Sheet10'!$A:$C,3,0)</f>
      </c>
      <c r="C720" s="5" t="str">
        <v>[DV] Tẩy tóc bật tông Ý (2 lần) 500k</v>
      </c>
      <c r="D720" s="5">
        <v>916</v>
      </c>
      <c r="E720" s="5"/>
      <c r="F720" s="6">
        <v>500000</v>
      </c>
      <c r="G720" s="7">
        <v>500000</v>
      </c>
      <c r="H720" s="7">
        <v>500000</v>
      </c>
      <c r="I720" s="7">
        <v>500000</v>
      </c>
      <c r="J720" s="9" t="str">
        <v>Giá không đổi</v>
      </c>
      <c r="K720" s="4">
        <f>G720-F720</f>
      </c>
      <c r="L720" s="4">
        <v>60</v>
      </c>
      <c r="M720" s="4">
        <v>916</v>
      </c>
      <c r="N720" s="4" t="str">
        <v>Không đổi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5" t="str">
        <v>80 PL BD</v>
      </c>
      <c r="B721" s="5">
        <f>VLOOKUP(A721,'Sheet10'!$A:$C,3,0)</f>
      </c>
      <c r="C721" s="5" t="str">
        <v>[DV] Uốn Texture con sâu/Uốn Ruffled</v>
      </c>
      <c r="D721" s="5">
        <f>VLOOKUP(C721,'Sheet7'!$B:$C,2,0)</f>
      </c>
      <c r="E721" s="5"/>
      <c r="F721" s="6">
        <v>499000</v>
      </c>
      <c r="G721" s="7">
        <v>499000</v>
      </c>
      <c r="H721" s="7">
        <v>509000</v>
      </c>
      <c r="I721" s="7">
        <v>509000</v>
      </c>
      <c r="J721" s="9" t="str">
        <v>Giá không đổi</v>
      </c>
      <c r="K721" s="4">
        <f>G721-F721</f>
      </c>
      <c r="L721" s="4">
        <v>60</v>
      </c>
      <c r="M721" s="4">
        <v>674</v>
      </c>
      <c r="N721" s="4" t="str" xml:space="preserve">
        <v>+10.000 VNĐ </v>
      </c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5" t="str">
        <v>80 PL BD</v>
      </c>
      <c r="B722" s="5">
        <f>VLOOKUP(A722,'Sheet10'!$A:$C,3,0)</f>
      </c>
      <c r="C722" s="5" t="str">
        <v>[DV] Ép side hai bên</v>
      </c>
      <c r="D722" s="5">
        <f>VLOOKUP(C722,'Sheet7'!$B:$C,2,0)</f>
      </c>
      <c r="E722" s="5"/>
      <c r="F722" s="6">
        <v>189000</v>
      </c>
      <c r="G722" s="7">
        <v>189000</v>
      </c>
      <c r="H722" s="7">
        <v>199000</v>
      </c>
      <c r="I722" s="7">
        <v>199000</v>
      </c>
      <c r="J722" s="9" t="str">
        <v>Giá không đổi</v>
      </c>
      <c r="K722" s="4">
        <f>G722-F722</f>
      </c>
      <c r="L722" s="4">
        <v>60</v>
      </c>
      <c r="M722" s="4">
        <v>902</v>
      </c>
      <c r="N722" s="4" t="str" xml:space="preserve">
        <v>+10.000 VNĐ </v>
      </c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5" t="str">
        <v>80 PL BD</v>
      </c>
      <c r="B723" s="5">
        <f>VLOOKUP(A723,'Sheet10'!$A:$C,3,0)</f>
      </c>
      <c r="C723" s="5" t="str">
        <v>NHUỘM THIẾT KẾ PHỤC HỒI CHUYÊN SÂU LIPID BOND 2025</v>
      </c>
      <c r="D723" s="5">
        <v>1149</v>
      </c>
      <c r="E723" s="5"/>
      <c r="F723" s="6">
        <v>689000</v>
      </c>
      <c r="G723" s="7">
        <v>689000</v>
      </c>
      <c r="H723" s="7">
        <v>689000</v>
      </c>
      <c r="I723" s="7">
        <v>689000</v>
      </c>
      <c r="J723" s="9" t="str">
        <v>Giá không đổi</v>
      </c>
      <c r="K723" s="4">
        <f>G723-F723</f>
      </c>
      <c r="L723" s="4">
        <v>60</v>
      </c>
      <c r="M723" s="4">
        <v>1149</v>
      </c>
      <c r="N723" s="4" t="str">
        <v>Không đổi</v>
      </c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5" t="str">
        <v>80 PL BD</v>
      </c>
      <c r="B724" s="5">
        <f>VLOOKUP(A724,'Sheet10'!$A:$C,3,0)</f>
      </c>
      <c r="C724" s="5" t="str">
        <v>Phục hồi trẻ hóa Lipid Bond</v>
      </c>
      <c r="D724" s="5">
        <v>1101</v>
      </c>
      <c r="E724" s="5"/>
      <c r="F724" s="6">
        <v>132000</v>
      </c>
      <c r="G724" s="8">
        <v>146000</v>
      </c>
      <c r="H724" s="8">
        <v>146000</v>
      </c>
      <c r="I724" s="8">
        <v>146000</v>
      </c>
      <c r="J724" s="3" t="str">
        <v>Điều chỉnh giá</v>
      </c>
      <c r="K724" s="4">
        <f>G724-F724</f>
      </c>
      <c r="L724" s="4">
        <v>60</v>
      </c>
      <c r="M724" s="4">
        <v>1101</v>
      </c>
      <c r="N724" s="4" t="str">
        <v>Không đổi</v>
      </c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5" t="str">
        <v>80 PL BD</v>
      </c>
      <c r="B725" s="5">
        <f>VLOOKUP(A725,'Sheet10'!$A:$C,3,0)</f>
      </c>
      <c r="C725" s="5" t="str">
        <v>UỐN THIẾT KẾ PHỤC HỒI CHUYÊN SÂU LIPID BOND 2025</v>
      </c>
      <c r="D725" s="5">
        <f>VLOOKUP(C725,'Sheet7'!$B:$C,2,0)</f>
      </c>
      <c r="E725" s="5"/>
      <c r="F725" s="6">
        <v>689000</v>
      </c>
      <c r="G725" s="7">
        <v>689000</v>
      </c>
      <c r="H725" s="7">
        <v>699000</v>
      </c>
      <c r="I725" s="7">
        <v>699000</v>
      </c>
      <c r="J725" s="9" t="str">
        <v>Giá không đổi</v>
      </c>
      <c r="K725" s="4">
        <f>G725-F725</f>
      </c>
      <c r="L725" s="4">
        <v>60</v>
      </c>
      <c r="M725" s="4">
        <v>1148</v>
      </c>
      <c r="N725" s="4" t="str" xml:space="preserve">
        <v>+10.000 VNĐ </v>
      </c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5" t="str">
        <v>80 PL BD</v>
      </c>
      <c r="B726" s="5">
        <f>VLOOKUP(A726,'Sheet10'!$A:$C,3,0)</f>
      </c>
      <c r="C726" s="5" t="str">
        <v>Uốn định hình nếp tóc cao cấp (K-Perm Collection)</v>
      </c>
      <c r="D726" s="5">
        <f>VLOOKUP(C726,'Sheet7'!$B:$C,2,0)</f>
      </c>
      <c r="E726" s="5"/>
      <c r="F726" s="6">
        <v>478000</v>
      </c>
      <c r="G726" s="7">
        <v>478000</v>
      </c>
      <c r="H726" s="7">
        <v>488000</v>
      </c>
      <c r="I726" s="7">
        <v>488000</v>
      </c>
      <c r="J726" s="9" t="str">
        <v>Giá không đổi</v>
      </c>
      <c r="K726" s="4">
        <f>G726-F726</f>
      </c>
      <c r="L726" s="4">
        <v>60</v>
      </c>
      <c r="M726" s="4">
        <v>952</v>
      </c>
      <c r="N726" s="4" t="str" xml:space="preserve">
        <v>+10.000 VNĐ 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5" t="str">
        <v>80 TP TH</v>
      </c>
      <c r="B727" s="5">
        <f>VLOOKUP(A727,'Sheet10'!$A:$C,3,0)</f>
      </c>
      <c r="C727" s="5" t="str">
        <v>(2022T) ATS Control Buffer - Khử mùi tạo thơm cho tóc uốn nhuộm 40k</v>
      </c>
      <c r="D727" s="5">
        <v>610</v>
      </c>
      <c r="E727" s="5"/>
      <c r="F727" s="6">
        <v>40000</v>
      </c>
      <c r="G727" s="7">
        <v>40000</v>
      </c>
      <c r="H727" s="7">
        <v>40000</v>
      </c>
      <c r="I727" s="7">
        <v>40000</v>
      </c>
      <c r="J727" s="9" t="str">
        <v>Giá không đổi</v>
      </c>
      <c r="K727" s="4">
        <f>G727-F727</f>
      </c>
      <c r="L727" s="4">
        <v>232</v>
      </c>
      <c r="M727" s="4">
        <v>610</v>
      </c>
      <c r="N727" s="4" t="str">
        <v>Không đổi</v>
      </c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5" t="str">
        <v>80 TP TH</v>
      </c>
      <c r="B728" s="5">
        <f>VLOOKUP(A728,'Sheet10'!$A:$C,3,0)</f>
      </c>
      <c r="C728" s="5" t="str">
        <v>(NEW) Nhuộm màu thời trang Milano</v>
      </c>
      <c r="D728" s="5">
        <v>960</v>
      </c>
      <c r="E728" s="5">
        <f>A728&amp;D728</f>
      </c>
      <c r="F728" s="6">
        <v>332000</v>
      </c>
      <c r="G728" s="7">
        <v>332000</v>
      </c>
      <c r="H728" s="7">
        <v>332000</v>
      </c>
      <c r="I728" s="7">
        <v>332000</v>
      </c>
      <c r="J728" s="9" t="str">
        <v>Giá không đổi</v>
      </c>
      <c r="K728" s="4">
        <f>G728-F728</f>
      </c>
      <c r="L728" s="4">
        <v>232</v>
      </c>
      <c r="M728" s="4">
        <v>960</v>
      </c>
      <c r="N728" s="4" t="str">
        <v>Không đổi</v>
      </c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5" t="str">
        <v>80 TP TH</v>
      </c>
      <c r="B729" s="5">
        <f>VLOOKUP(A729,'Sheet10'!$A:$C,3,0)</f>
      </c>
      <c r="C729" s="5" t="str">
        <v>(NEW) Nhuộm phủ bạc tiêu chuẩn 199K</v>
      </c>
      <c r="D729" s="5">
        <v>967</v>
      </c>
      <c r="E729" s="5"/>
      <c r="F729" s="6">
        <v>199000</v>
      </c>
      <c r="G729" s="7">
        <v>199000</v>
      </c>
      <c r="H729" s="7">
        <v>199000</v>
      </c>
      <c r="I729" s="7">
        <v>199000</v>
      </c>
      <c r="J729" s="9" t="str">
        <v>Giá không đổi</v>
      </c>
      <c r="K729" s="4">
        <f>G729-F729</f>
      </c>
      <c r="L729" s="4">
        <v>232</v>
      </c>
      <c r="M729" s="4">
        <v>967</v>
      </c>
      <c r="N729" s="4" t="str">
        <v>Không đổi</v>
      </c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5" t="str">
        <v>80 TP TH</v>
      </c>
      <c r="B730" s="5">
        <f>VLOOKUP(A730,'Sheet10'!$A:$C,3,0)</f>
      </c>
      <c r="C730" s="5" t="str">
        <v>(NEW) Uốn/Duỗi/Định hình full đầu tạo form vào nếp tự nhiên</v>
      </c>
      <c r="D730" s="5">
        <f>VLOOKUP(C730,'Sheet7'!$B:$C,2,0)</f>
      </c>
      <c r="E730" s="5">
        <f>A730&amp;D730</f>
      </c>
      <c r="F730" s="6">
        <v>386000</v>
      </c>
      <c r="G730" s="7">
        <v>386000</v>
      </c>
      <c r="H730" s="7">
        <v>396000</v>
      </c>
      <c r="I730" s="7">
        <v>396000</v>
      </c>
      <c r="J730" s="9" t="str">
        <v>Giá không đổi</v>
      </c>
      <c r="K730" s="4">
        <f>G730-F730</f>
      </c>
      <c r="L730" s="4">
        <v>232</v>
      </c>
      <c r="M730" s="4">
        <v>1009</v>
      </c>
      <c r="N730" s="4" t="str" xml:space="preserve">
        <v>+10.000 VNĐ </v>
      </c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5" t="str">
        <v>80 TP TH</v>
      </c>
      <c r="B731" s="5">
        <f>VLOOKUP(A731,'Sheet10'!$A:$C,3,0)</f>
      </c>
      <c r="C731" s="5" t="str">
        <v>[DV] Nhuộm đen phủ bạc R&amp;B thảo dược</v>
      </c>
      <c r="D731" s="5">
        <v>912</v>
      </c>
      <c r="E731" s="5"/>
      <c r="F731" s="6">
        <v>289000</v>
      </c>
      <c r="G731" s="7">
        <v>289000</v>
      </c>
      <c r="H731" s="7">
        <v>289000</v>
      </c>
      <c r="I731" s="7">
        <v>289000</v>
      </c>
      <c r="J731" s="9" t="str">
        <v>Giá không đổi</v>
      </c>
      <c r="K731" s="4">
        <f>G731-F731</f>
      </c>
      <c r="L731" s="4">
        <v>232</v>
      </c>
      <c r="M731" s="4">
        <v>912</v>
      </c>
      <c r="N731" s="4" t="str">
        <v>Không đổi</v>
      </c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5" t="str">
        <v>80 TP TH</v>
      </c>
      <c r="B732" s="5">
        <f>VLOOKUP(A732,'Sheet10'!$A:$C,3,0)</f>
      </c>
      <c r="C732" s="5" t="str">
        <v>[DV] Tẩy tóc bật tông Ý (1 lần)</v>
      </c>
      <c r="D732" s="5">
        <v>915</v>
      </c>
      <c r="E732" s="5"/>
      <c r="F732" s="6">
        <v>252000</v>
      </c>
      <c r="G732" s="7">
        <v>252000</v>
      </c>
      <c r="H732" s="7">
        <v>252000</v>
      </c>
      <c r="I732" s="7">
        <v>252000</v>
      </c>
      <c r="J732" s="9" t="str">
        <v>Giá không đổi</v>
      </c>
      <c r="K732" s="4">
        <f>G732-F732</f>
      </c>
      <c r="L732" s="4">
        <v>232</v>
      </c>
      <c r="M732" s="4">
        <v>915</v>
      </c>
      <c r="N732" s="4" t="str">
        <v>Không đổi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5" t="str">
        <v>80 TP TH</v>
      </c>
      <c r="B733" s="5">
        <f>VLOOKUP(A733,'Sheet10'!$A:$C,3,0)</f>
      </c>
      <c r="C733" s="5" t="str">
        <v>[DV] Tẩy tóc bật tông Ý (2 lần) 500k</v>
      </c>
      <c r="D733" s="5">
        <v>916</v>
      </c>
      <c r="E733" s="5"/>
      <c r="F733" s="6">
        <v>500000</v>
      </c>
      <c r="G733" s="7">
        <v>500000</v>
      </c>
      <c r="H733" s="7">
        <v>500000</v>
      </c>
      <c r="I733" s="7">
        <v>500000</v>
      </c>
      <c r="J733" s="9" t="str">
        <v>Giá không đổi</v>
      </c>
      <c r="K733" s="4">
        <f>G733-F733</f>
      </c>
      <c r="L733" s="4">
        <v>232</v>
      </c>
      <c r="M733" s="4">
        <v>916</v>
      </c>
      <c r="N733" s="4" t="str">
        <v>Không đổi</v>
      </c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5" t="str">
        <v>80 TP TH</v>
      </c>
      <c r="B734" s="5">
        <f>VLOOKUP(A734,'Sheet10'!$A:$C,3,0)</f>
      </c>
      <c r="C734" s="5" t="str">
        <v>[DV] Uốn Texture con sâu/Uốn Ruffled</v>
      </c>
      <c r="D734" s="5">
        <f>VLOOKUP(C734,'Sheet7'!$B:$C,2,0)</f>
      </c>
      <c r="E734" s="5"/>
      <c r="F734" s="6">
        <v>499000</v>
      </c>
      <c r="G734" s="7">
        <v>499000</v>
      </c>
      <c r="H734" s="7">
        <v>509000</v>
      </c>
      <c r="I734" s="7">
        <v>509000</v>
      </c>
      <c r="J734" s="9" t="str">
        <v>Giá không đổi</v>
      </c>
      <c r="K734" s="4">
        <f>G734-F734</f>
      </c>
      <c r="L734" s="4">
        <v>232</v>
      </c>
      <c r="M734" s="4">
        <v>674</v>
      </c>
      <c r="N734" s="4" t="str" xml:space="preserve">
        <v>+10.000 VNĐ </v>
      </c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5" t="str">
        <v>80 TP TH</v>
      </c>
      <c r="B735" s="5">
        <f>VLOOKUP(A735,'Sheet10'!$A:$C,3,0)</f>
      </c>
      <c r="C735" s="5" t="str">
        <v>[DV] Ép side hai bên</v>
      </c>
      <c r="D735" s="5">
        <f>VLOOKUP(C735,'Sheet7'!$B:$C,2,0)</f>
      </c>
      <c r="E735" s="5"/>
      <c r="F735" s="6">
        <v>189000</v>
      </c>
      <c r="G735" s="7">
        <v>189000</v>
      </c>
      <c r="H735" s="7">
        <v>199000</v>
      </c>
      <c r="I735" s="7">
        <v>199000</v>
      </c>
      <c r="J735" s="9" t="str">
        <v>Giá không đổi</v>
      </c>
      <c r="K735" s="4">
        <f>G735-F735</f>
      </c>
      <c r="L735" s="4">
        <v>232</v>
      </c>
      <c r="M735" s="4">
        <v>902</v>
      </c>
      <c r="N735" s="4" t="str" xml:space="preserve">
        <v>+10.000 VNĐ </v>
      </c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5" t="str">
        <v>80 TP TH</v>
      </c>
      <c r="B736" s="5">
        <f>VLOOKUP(A736,'Sheet10'!$A:$C,3,0)</f>
      </c>
      <c r="C736" s="5" t="str">
        <v>NHUỘM THIẾT KẾ PHỤC HỒI CHUYÊN SÂU LIPID BOND 2025</v>
      </c>
      <c r="D736" s="5">
        <v>1149</v>
      </c>
      <c r="E736" s="5"/>
      <c r="F736" s="6">
        <v>689000</v>
      </c>
      <c r="G736" s="7">
        <v>689000</v>
      </c>
      <c r="H736" s="7">
        <v>689000</v>
      </c>
      <c r="I736" s="7">
        <v>689000</v>
      </c>
      <c r="J736" s="9" t="str">
        <v>Giá không đổi</v>
      </c>
      <c r="K736" s="4">
        <f>G736-F736</f>
      </c>
      <c r="L736" s="4">
        <v>232</v>
      </c>
      <c r="M736" s="4">
        <v>1149</v>
      </c>
      <c r="N736" s="4" t="str">
        <v>Không đổi</v>
      </c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5" t="str">
        <v>80 TP TH</v>
      </c>
      <c r="B737" s="5">
        <f>VLOOKUP(A737,'Sheet10'!$A:$C,3,0)</f>
      </c>
      <c r="C737" s="5" t="str">
        <v>Phục hồi trẻ hóa Lipid Bond</v>
      </c>
      <c r="D737" s="5">
        <v>1101</v>
      </c>
      <c r="E737" s="5"/>
      <c r="F737" s="6">
        <v>132000</v>
      </c>
      <c r="G737" s="8">
        <v>146000</v>
      </c>
      <c r="H737" s="8">
        <v>146000</v>
      </c>
      <c r="I737" s="8">
        <v>146000</v>
      </c>
      <c r="J737" s="3" t="str">
        <v>Điều chỉnh giá</v>
      </c>
      <c r="K737" s="4">
        <f>G737-F737</f>
      </c>
      <c r="L737" s="4">
        <v>232</v>
      </c>
      <c r="M737" s="4">
        <v>1101</v>
      </c>
      <c r="N737" s="4" t="str">
        <v>Không đổi</v>
      </c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5" t="str">
        <v>80 TP TH</v>
      </c>
      <c r="B738" s="5">
        <f>VLOOKUP(A738,'Sheet10'!$A:$C,3,0)</f>
      </c>
      <c r="C738" s="5" t="str">
        <v>UỐN THIẾT KẾ PHỤC HỒI CHUYÊN SÂU LIPID BOND 2025</v>
      </c>
      <c r="D738" s="5">
        <f>VLOOKUP(C738,'Sheet7'!$B:$C,2,0)</f>
      </c>
      <c r="E738" s="5"/>
      <c r="F738" s="6">
        <v>689000</v>
      </c>
      <c r="G738" s="7">
        <v>689000</v>
      </c>
      <c r="H738" s="7">
        <v>699000</v>
      </c>
      <c r="I738" s="7">
        <v>699000</v>
      </c>
      <c r="J738" s="9" t="str">
        <v>Giá không đổi</v>
      </c>
      <c r="K738" s="4">
        <f>G738-F738</f>
      </c>
      <c r="L738" s="4">
        <v>232</v>
      </c>
      <c r="M738" s="4">
        <v>1148</v>
      </c>
      <c r="N738" s="4" t="str" xml:space="preserve">
        <v>+10.000 VNĐ </v>
      </c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5" t="str">
        <v>80 TP TH</v>
      </c>
      <c r="B739" s="5">
        <f>VLOOKUP(A739,'Sheet10'!$A:$C,3,0)</f>
      </c>
      <c r="C739" s="5" t="str">
        <v>Uốn định hình nếp tóc cao cấp (K-Perm Collection)</v>
      </c>
      <c r="D739" s="5">
        <f>VLOOKUP(C739,'Sheet7'!$B:$C,2,0)</f>
      </c>
      <c r="E739" s="5"/>
      <c r="F739" s="6">
        <v>478000</v>
      </c>
      <c r="G739" s="7">
        <v>478000</v>
      </c>
      <c r="H739" s="7">
        <v>488000</v>
      </c>
      <c r="I739" s="7">
        <v>488000</v>
      </c>
      <c r="J739" s="9" t="str">
        <v>Giá không đổi</v>
      </c>
      <c r="K739" s="4">
        <f>G739-F739</f>
      </c>
      <c r="L739" s="4">
        <v>232</v>
      </c>
      <c r="M739" s="4">
        <v>952</v>
      </c>
      <c r="N739" s="4" t="str" xml:space="preserve">
        <v>+10.000 VNĐ </v>
      </c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5" t="str">
        <v>90 NH</v>
      </c>
      <c r="B740" s="5">
        <f>VLOOKUP(A740,'Sheet10'!$A:$C,3,0)</f>
      </c>
      <c r="C740" s="5" t="str">
        <v>(2022T) ATS Control Buffer - Khử mùi tạo thơm cho tóc uốn nhuộm 40k</v>
      </c>
      <c r="D740" s="5">
        <v>610</v>
      </c>
      <c r="E740" s="5"/>
      <c r="F740" s="6">
        <v>40000</v>
      </c>
      <c r="G740" s="7">
        <v>40000</v>
      </c>
      <c r="H740" s="7">
        <v>40000</v>
      </c>
      <c r="I740" s="7">
        <v>40000</v>
      </c>
      <c r="J740" s="9" t="str">
        <v>Giá không đổi</v>
      </c>
      <c r="K740" s="4">
        <f>G740-F740</f>
      </c>
      <c r="L740" s="4">
        <v>194</v>
      </c>
      <c r="M740" s="4">
        <v>610</v>
      </c>
      <c r="N740" s="4" t="str">
        <v>Không đổi</v>
      </c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5" t="str">
        <v>90 NH</v>
      </c>
      <c r="B741" s="5">
        <f>VLOOKUP(A741,'Sheet10'!$A:$C,3,0)</f>
      </c>
      <c r="C741" s="5" t="str">
        <v>(NEW) Nhuộm màu thời trang Milano</v>
      </c>
      <c r="D741" s="5">
        <v>960</v>
      </c>
      <c r="E741" s="5">
        <f>A741&amp;D741</f>
      </c>
      <c r="F741" s="6">
        <v>332000</v>
      </c>
      <c r="G741" s="8">
        <v>346000</v>
      </c>
      <c r="H741" s="8">
        <v>346000</v>
      </c>
      <c r="I741" s="8">
        <v>346000</v>
      </c>
      <c r="J741" s="3" t="str">
        <v>Điều chỉnh giá</v>
      </c>
      <c r="K741" s="4">
        <f>G741-F741</f>
      </c>
      <c r="L741" s="4">
        <v>194</v>
      </c>
      <c r="M741" s="4">
        <v>960</v>
      </c>
      <c r="N741" s="4" t="str">
        <v>Không đổi</v>
      </c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5" t="str">
        <v>90 NH</v>
      </c>
      <c r="B742" s="5">
        <f>VLOOKUP(A742,'Sheet10'!$A:$C,3,0)</f>
      </c>
      <c r="C742" s="5" t="str">
        <v>(NEW) Nhuộm phủ bạc tiêu chuẩn 199K</v>
      </c>
      <c r="D742" s="5">
        <v>967</v>
      </c>
      <c r="E742" s="5"/>
      <c r="F742" s="6">
        <v>199000</v>
      </c>
      <c r="G742" s="8">
        <v>202000</v>
      </c>
      <c r="H742" s="8">
        <v>202000</v>
      </c>
      <c r="I742" s="8">
        <v>202000</v>
      </c>
      <c r="J742" s="3" t="str">
        <v>Điều chỉnh giá</v>
      </c>
      <c r="K742" s="4">
        <f>G742-F742</f>
      </c>
      <c r="L742" s="4">
        <v>194</v>
      </c>
      <c r="M742" s="4">
        <v>967</v>
      </c>
      <c r="N742" s="4" t="str">
        <v>Không đổi</v>
      </c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5" t="str">
        <v>90 NH</v>
      </c>
      <c r="B743" s="5">
        <f>VLOOKUP(A743,'Sheet10'!$A:$C,3,0)</f>
      </c>
      <c r="C743" s="5" t="str">
        <v>(NEW) Uốn/Duỗi/Định hình full đầu tạo form vào nếp tự nhiên</v>
      </c>
      <c r="D743" s="5">
        <f>VLOOKUP(C743,'Sheet7'!$B:$C,2,0)</f>
      </c>
      <c r="E743" s="5">
        <f>A743&amp;D743</f>
      </c>
      <c r="F743" s="6">
        <v>386000</v>
      </c>
      <c r="G743" s="7">
        <v>386000</v>
      </c>
      <c r="H743" s="7">
        <v>396000</v>
      </c>
      <c r="I743" s="7">
        <v>396000</v>
      </c>
      <c r="J743" s="9" t="str">
        <v>Giá không đổi</v>
      </c>
      <c r="K743" s="4">
        <f>G743-F743</f>
      </c>
      <c r="L743" s="4">
        <v>194</v>
      </c>
      <c r="M743" s="4">
        <v>1009</v>
      </c>
      <c r="N743" s="4" t="str" xml:space="preserve">
        <v>+10.000 VNĐ </v>
      </c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5" t="str">
        <v>90 NH</v>
      </c>
      <c r="B744" s="5">
        <f>VLOOKUP(A744,'Sheet10'!$A:$C,3,0)</f>
      </c>
      <c r="C744" s="5" t="str">
        <v>[DV] Nhuộm đen phủ bạc R&amp;B thảo dược</v>
      </c>
      <c r="D744" s="5">
        <v>912</v>
      </c>
      <c r="E744" s="5"/>
      <c r="F744" s="6">
        <v>289000</v>
      </c>
      <c r="G744" s="8">
        <v>293000</v>
      </c>
      <c r="H744" s="8">
        <v>293000</v>
      </c>
      <c r="I744" s="8">
        <v>293000</v>
      </c>
      <c r="J744" s="3" t="str">
        <v>Điều chỉnh giá</v>
      </c>
      <c r="K744" s="4">
        <f>G744-F744</f>
      </c>
      <c r="L744" s="4">
        <v>194</v>
      </c>
      <c r="M744" s="4">
        <v>912</v>
      </c>
      <c r="N744" s="4" t="str">
        <v>Không đổi</v>
      </c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5" t="str">
        <v>90 NH</v>
      </c>
      <c r="B745" s="5">
        <f>VLOOKUP(A745,'Sheet10'!$A:$C,3,0)</f>
      </c>
      <c r="C745" s="5" t="str">
        <v>[DV] Tẩy tóc bật tông Ý (1 lần)</v>
      </c>
      <c r="D745" s="5">
        <v>915</v>
      </c>
      <c r="E745" s="5"/>
      <c r="F745" s="6">
        <v>252000</v>
      </c>
      <c r="G745" s="7">
        <v>252000</v>
      </c>
      <c r="H745" s="7">
        <v>252000</v>
      </c>
      <c r="I745" s="7">
        <v>252000</v>
      </c>
      <c r="J745" s="9" t="str">
        <v>Giá không đổi</v>
      </c>
      <c r="K745" s="4">
        <f>G745-F745</f>
      </c>
      <c r="L745" s="4">
        <v>194</v>
      </c>
      <c r="M745" s="4">
        <v>915</v>
      </c>
      <c r="N745" s="4" t="str">
        <v>Không đổi</v>
      </c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5" t="str">
        <v>90 NH</v>
      </c>
      <c r="B746" s="5">
        <f>VLOOKUP(A746,'Sheet10'!$A:$C,3,0)</f>
      </c>
      <c r="C746" s="5" t="str">
        <v>[DV] Tẩy tóc bật tông Ý (2 lần) 500k</v>
      </c>
      <c r="D746" s="5">
        <v>916</v>
      </c>
      <c r="E746" s="5"/>
      <c r="F746" s="6">
        <v>500000</v>
      </c>
      <c r="G746" s="7">
        <v>500000</v>
      </c>
      <c r="H746" s="7">
        <v>500000</v>
      </c>
      <c r="I746" s="7">
        <v>500000</v>
      </c>
      <c r="J746" s="9" t="str">
        <v>Giá không đổi</v>
      </c>
      <c r="K746" s="4">
        <f>G746-F746</f>
      </c>
      <c r="L746" s="4">
        <v>194</v>
      </c>
      <c r="M746" s="4">
        <v>916</v>
      </c>
      <c r="N746" s="4" t="str">
        <v>Không đổi</v>
      </c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5" t="str">
        <v>90 NH</v>
      </c>
      <c r="B747" s="5">
        <f>VLOOKUP(A747,'Sheet10'!$A:$C,3,0)</f>
      </c>
      <c r="C747" s="5" t="str">
        <v>[DV] Uốn Texture con sâu/Uốn Ruffled</v>
      </c>
      <c r="D747" s="5">
        <f>VLOOKUP(C747,'Sheet7'!$B:$C,2,0)</f>
      </c>
      <c r="E747" s="5"/>
      <c r="F747" s="6">
        <v>499000</v>
      </c>
      <c r="G747" s="8">
        <v>520000</v>
      </c>
      <c r="H747" s="7">
        <v>530000</v>
      </c>
      <c r="I747" s="7">
        <v>530000</v>
      </c>
      <c r="J747" s="3" t="str">
        <v>Điều chỉnh giá</v>
      </c>
      <c r="K747" s="4">
        <f>G747-F747</f>
      </c>
      <c r="L747" s="4">
        <v>194</v>
      </c>
      <c r="M747" s="4">
        <v>674</v>
      </c>
      <c r="N747" s="4" t="str" xml:space="preserve">
        <v>+10.000 VNĐ </v>
      </c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5" t="str">
        <v>90 NH</v>
      </c>
      <c r="B748" s="5">
        <f>VLOOKUP(A748,'Sheet10'!$A:$C,3,0)</f>
      </c>
      <c r="C748" s="5" t="str">
        <v>[DV] Ép side hai bên</v>
      </c>
      <c r="D748" s="5">
        <f>VLOOKUP(C748,'Sheet7'!$B:$C,2,0)</f>
      </c>
      <c r="E748" s="5"/>
      <c r="F748" s="6">
        <v>189000</v>
      </c>
      <c r="G748" s="8">
        <v>198000</v>
      </c>
      <c r="H748" s="7">
        <v>208000</v>
      </c>
      <c r="I748" s="7">
        <v>208000</v>
      </c>
      <c r="J748" s="3" t="str">
        <v>Điều chỉnh giá</v>
      </c>
      <c r="K748" s="4">
        <f>G748-F748</f>
      </c>
      <c r="L748" s="4">
        <v>194</v>
      </c>
      <c r="M748" s="4">
        <v>902</v>
      </c>
      <c r="N748" s="4" t="str" xml:space="preserve">
        <v>+10.000 VNĐ </v>
      </c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5" t="str">
        <v>90 NH</v>
      </c>
      <c r="B749" s="5">
        <f>VLOOKUP(A749,'Sheet10'!$A:$C,3,0)</f>
      </c>
      <c r="C749" s="5" t="str">
        <v>NHUỘM THIẾT KẾ PHỤC HỒI CHUYÊN SÂU LIPID BOND 2025</v>
      </c>
      <c r="D749" s="5">
        <v>1149</v>
      </c>
      <c r="E749" s="5"/>
      <c r="F749" s="6">
        <v>689000</v>
      </c>
      <c r="G749" s="8">
        <v>719000</v>
      </c>
      <c r="H749" s="8">
        <v>719000</v>
      </c>
      <c r="I749" s="8">
        <v>719000</v>
      </c>
      <c r="J749" s="3" t="str">
        <v>Điều chỉnh giá</v>
      </c>
      <c r="K749" s="4">
        <f>G749-F749</f>
      </c>
      <c r="L749" s="4">
        <v>194</v>
      </c>
      <c r="M749" s="4">
        <v>1149</v>
      </c>
      <c r="N749" s="4" t="str">
        <v>Không đổi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5" t="str">
        <v>90 NH</v>
      </c>
      <c r="B750" s="5">
        <f>VLOOKUP(A750,'Sheet10'!$A:$C,3,0)</f>
      </c>
      <c r="C750" s="5" t="str">
        <v>Phục hồi trẻ hóa Lipid Bond</v>
      </c>
      <c r="D750" s="5">
        <v>1101</v>
      </c>
      <c r="E750" s="5"/>
      <c r="F750" s="6">
        <v>132000</v>
      </c>
      <c r="G750" s="8">
        <v>146000</v>
      </c>
      <c r="H750" s="8">
        <v>146000</v>
      </c>
      <c r="I750" s="8">
        <v>146000</v>
      </c>
      <c r="J750" s="3" t="str">
        <v>Điều chỉnh giá</v>
      </c>
      <c r="K750" s="4">
        <f>G750-F750</f>
      </c>
      <c r="L750" s="4">
        <v>194</v>
      </c>
      <c r="M750" s="4">
        <v>1101</v>
      </c>
      <c r="N750" s="4" t="str">
        <v>Không đổi</v>
      </c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5" t="str">
        <v>90 NH</v>
      </c>
      <c r="B751" s="5">
        <f>VLOOKUP(A751,'Sheet10'!$A:$C,3,0)</f>
      </c>
      <c r="C751" s="5" t="str">
        <v>UỐN THIẾT KẾ PHỤC HỒI CHUYÊN SÂU LIPID BOND 2025</v>
      </c>
      <c r="D751" s="5">
        <f>VLOOKUP(C751,'Sheet7'!$B:$C,2,0)</f>
      </c>
      <c r="E751" s="5"/>
      <c r="F751" s="6">
        <v>689000</v>
      </c>
      <c r="G751" s="7">
        <v>689000</v>
      </c>
      <c r="H751" s="7">
        <v>699000</v>
      </c>
      <c r="I751" s="7">
        <v>699000</v>
      </c>
      <c r="J751" s="9" t="str">
        <v>Giá không đổi</v>
      </c>
      <c r="K751" s="4">
        <f>G751-F751</f>
      </c>
      <c r="L751" s="4">
        <v>194</v>
      </c>
      <c r="M751" s="4">
        <v>1148</v>
      </c>
      <c r="N751" s="4" t="str" xml:space="preserve">
        <v>+10.000 VNĐ </v>
      </c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5" t="str">
        <v>90 NH</v>
      </c>
      <c r="B752" s="5">
        <f>VLOOKUP(A752,'Sheet10'!$A:$C,3,0)</f>
      </c>
      <c r="C752" s="5" t="str">
        <v>Uốn định hình nếp tóc cao cấp (K-Perm Collection)</v>
      </c>
      <c r="D752" s="5">
        <f>VLOOKUP(C752,'Sheet7'!$B:$C,2,0)</f>
      </c>
      <c r="E752" s="5"/>
      <c r="F752" s="6">
        <v>478000</v>
      </c>
      <c r="G752" s="7">
        <v>478000</v>
      </c>
      <c r="H752" s="7">
        <v>488000</v>
      </c>
      <c r="I752" s="7">
        <v>488000</v>
      </c>
      <c r="J752" s="9" t="str">
        <v>Giá không đổi</v>
      </c>
      <c r="K752" s="4">
        <f>G752-F752</f>
      </c>
      <c r="L752" s="4">
        <v>194</v>
      </c>
      <c r="M752" s="4">
        <v>952</v>
      </c>
      <c r="N752" s="4" t="str" xml:space="preserve">
        <v>+10.000 VNĐ </v>
      </c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5" t="str">
        <v>927 HG</v>
      </c>
      <c r="B753" s="5">
        <f>VLOOKUP(A753,'Sheet10'!$A:$C,3,0)</f>
      </c>
      <c r="C753" s="5" t="str">
        <v>(2022T) ATS Control Buffer - Khử mùi tạo thơm cho tóc uốn nhuộm 40k</v>
      </c>
      <c r="D753" s="5">
        <v>610</v>
      </c>
      <c r="E753" s="5"/>
      <c r="F753" s="6">
        <v>40000</v>
      </c>
      <c r="G753" s="7">
        <v>40000</v>
      </c>
      <c r="H753" s="7">
        <v>40000</v>
      </c>
      <c r="I753" s="7">
        <v>40000</v>
      </c>
      <c r="J753" s="9" t="str">
        <v>Giá không đổi</v>
      </c>
      <c r="K753" s="4">
        <f>G753-F753</f>
      </c>
      <c r="L753" s="4">
        <v>22</v>
      </c>
      <c r="M753" s="4">
        <v>610</v>
      </c>
      <c r="N753" s="4" t="str">
        <v>Không đổi</v>
      </c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5" t="str">
        <v>927 HG</v>
      </c>
      <c r="B754" s="5">
        <f>VLOOKUP(A754,'Sheet10'!$A:$C,3,0)</f>
      </c>
      <c r="C754" s="5" t="str">
        <v>(NEW) Nhuộm màu thời trang Milano</v>
      </c>
      <c r="D754" s="5">
        <v>960</v>
      </c>
      <c r="E754" s="5">
        <f>A754&amp;D754</f>
      </c>
      <c r="F754" s="6">
        <v>332000</v>
      </c>
      <c r="G754" s="8">
        <v>366000</v>
      </c>
      <c r="H754" s="8">
        <v>366000</v>
      </c>
      <c r="I754" s="8">
        <v>366000</v>
      </c>
      <c r="J754" s="3" t="str">
        <v>Điều chỉnh giá</v>
      </c>
      <c r="K754" s="4">
        <f>G754-F754</f>
      </c>
      <c r="L754" s="4">
        <v>22</v>
      </c>
      <c r="M754" s="4">
        <v>960</v>
      </c>
      <c r="N754" s="4" t="str">
        <v>Không đổi</v>
      </c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5" t="str">
        <v>927 HG</v>
      </c>
      <c r="B755" s="5">
        <f>VLOOKUP(A755,'Sheet10'!$A:$C,3,0)</f>
      </c>
      <c r="C755" s="5" t="str">
        <v>(NEW) Nhuộm phủ bạc tiêu chuẩn 199K</v>
      </c>
      <c r="D755" s="5">
        <v>967</v>
      </c>
      <c r="E755" s="5"/>
      <c r="F755" s="6">
        <v>199000</v>
      </c>
      <c r="G755" s="7">
        <v>199000</v>
      </c>
      <c r="H755" s="7">
        <v>199000</v>
      </c>
      <c r="I755" s="7">
        <v>199000</v>
      </c>
      <c r="J755" s="9" t="str">
        <v>Giá không đổi</v>
      </c>
      <c r="K755" s="4">
        <f>G755-F755</f>
      </c>
      <c r="L755" s="4">
        <v>22</v>
      </c>
      <c r="M755" s="4">
        <v>967</v>
      </c>
      <c r="N755" s="4" t="str">
        <v>Không đổi</v>
      </c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5" t="str">
        <v>927 HG</v>
      </c>
      <c r="B756" s="5">
        <f>VLOOKUP(A756,'Sheet10'!$A:$C,3,0)</f>
      </c>
      <c r="C756" s="5" t="str">
        <v>(NEW) Uốn/Duỗi/Định hình full đầu tạo form vào nếp tự nhiên</v>
      </c>
      <c r="D756" s="5">
        <f>VLOOKUP(C756,'Sheet7'!$B:$C,2,0)</f>
      </c>
      <c r="E756" s="5">
        <f>A756&amp;D756</f>
      </c>
      <c r="F756" s="6">
        <v>386000</v>
      </c>
      <c r="G756" s="7">
        <v>386000</v>
      </c>
      <c r="H756" s="7">
        <v>396000</v>
      </c>
      <c r="I756" s="7">
        <v>396000</v>
      </c>
      <c r="J756" s="9" t="str">
        <v>Giá không đổi</v>
      </c>
      <c r="K756" s="4">
        <f>G756-F756</f>
      </c>
      <c r="L756" s="4">
        <v>22</v>
      </c>
      <c r="M756" s="4">
        <v>1009</v>
      </c>
      <c r="N756" s="4" t="str" xml:space="preserve">
        <v>+10.000 VNĐ </v>
      </c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5" t="str">
        <v>927 HG</v>
      </c>
      <c r="B757" s="5">
        <f>VLOOKUP(A757,'Sheet10'!$A:$C,3,0)</f>
      </c>
      <c r="C757" s="5" t="str">
        <v>[DV] Nhuộm đen phủ bạc R&amp;B thảo dược</v>
      </c>
      <c r="D757" s="5">
        <v>912</v>
      </c>
      <c r="E757" s="5"/>
      <c r="F757" s="6">
        <v>289000</v>
      </c>
      <c r="G757" s="7">
        <v>289000</v>
      </c>
      <c r="H757" s="7">
        <v>289000</v>
      </c>
      <c r="I757" s="7">
        <v>289000</v>
      </c>
      <c r="J757" s="9" t="str">
        <v>Giá không đổi</v>
      </c>
      <c r="K757" s="4">
        <f>G757-F757</f>
      </c>
      <c r="L757" s="4">
        <v>22</v>
      </c>
      <c r="M757" s="4">
        <v>912</v>
      </c>
      <c r="N757" s="4" t="str">
        <v>Không đổi</v>
      </c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5" t="str">
        <v>927 HG</v>
      </c>
      <c r="B758" s="5">
        <f>VLOOKUP(A758,'Sheet10'!$A:$C,3,0)</f>
      </c>
      <c r="C758" s="5" t="str">
        <v>[DV] Tẩy tóc bật tông Ý (1 lần)</v>
      </c>
      <c r="D758" s="5">
        <v>915</v>
      </c>
      <c r="E758" s="5"/>
      <c r="F758" s="6">
        <v>252000</v>
      </c>
      <c r="G758" s="8">
        <v>259000</v>
      </c>
      <c r="H758" s="8">
        <v>259000</v>
      </c>
      <c r="I758" s="8">
        <v>259000</v>
      </c>
      <c r="J758" s="3" t="str">
        <v>Điều chỉnh giá</v>
      </c>
      <c r="K758" s="4">
        <f>G758-F758</f>
      </c>
      <c r="L758" s="4">
        <v>22</v>
      </c>
      <c r="M758" s="4">
        <v>915</v>
      </c>
      <c r="N758" s="4" t="str">
        <v>Không đổi</v>
      </c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5" t="str">
        <v>927 HG</v>
      </c>
      <c r="B759" s="5">
        <f>VLOOKUP(A759,'Sheet10'!$A:$C,3,0)</f>
      </c>
      <c r="C759" s="5" t="str">
        <v>[DV] Tẩy tóc bật tông Ý (2 lần) 500k</v>
      </c>
      <c r="D759" s="5">
        <v>916</v>
      </c>
      <c r="E759" s="5"/>
      <c r="F759" s="6">
        <v>500000</v>
      </c>
      <c r="G759" s="8">
        <v>514000</v>
      </c>
      <c r="H759" s="8">
        <v>514000</v>
      </c>
      <c r="I759" s="8">
        <v>514000</v>
      </c>
      <c r="J759" s="3" t="str">
        <v>Điều chỉnh giá</v>
      </c>
      <c r="K759" s="4">
        <f>G759-F759</f>
      </c>
      <c r="L759" s="4">
        <v>22</v>
      </c>
      <c r="M759" s="4">
        <v>916</v>
      </c>
      <c r="N759" s="4" t="str">
        <v>Không đổi</v>
      </c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5" t="str">
        <v>927 HG</v>
      </c>
      <c r="B760" s="5">
        <f>VLOOKUP(A760,'Sheet10'!$A:$C,3,0)</f>
      </c>
      <c r="C760" s="5" t="str">
        <v>[DV] Uốn Texture con sâu/Uốn Ruffled</v>
      </c>
      <c r="D760" s="5">
        <f>VLOOKUP(C760,'Sheet7'!$B:$C,2,0)</f>
      </c>
      <c r="E760" s="5"/>
      <c r="F760" s="6">
        <v>499000</v>
      </c>
      <c r="G760" s="8">
        <v>550000</v>
      </c>
      <c r="H760" s="7">
        <v>560000</v>
      </c>
      <c r="I760" s="7">
        <v>560000</v>
      </c>
      <c r="J760" s="3" t="str">
        <v>Điều chỉnh giá</v>
      </c>
      <c r="K760" s="4">
        <f>G760-F760</f>
      </c>
      <c r="L760" s="4">
        <v>22</v>
      </c>
      <c r="M760" s="4">
        <v>674</v>
      </c>
      <c r="N760" s="4" t="str" xml:space="preserve">
        <v>+10.000 VNĐ </v>
      </c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5" t="str">
        <v>927 HG</v>
      </c>
      <c r="B761" s="5">
        <f>VLOOKUP(A761,'Sheet10'!$A:$C,3,0)</f>
      </c>
      <c r="C761" s="5" t="str">
        <v>[DV] Ép side hai bên</v>
      </c>
      <c r="D761" s="5">
        <f>VLOOKUP(C761,'Sheet7'!$B:$C,2,0)</f>
      </c>
      <c r="E761" s="5"/>
      <c r="F761" s="6">
        <v>189000</v>
      </c>
      <c r="G761" s="8">
        <v>216000</v>
      </c>
      <c r="H761" s="7">
        <v>226000</v>
      </c>
      <c r="I761" s="7">
        <v>226000</v>
      </c>
      <c r="J761" s="3" t="str">
        <v>Điều chỉnh giá</v>
      </c>
      <c r="K761" s="4">
        <f>G761-F761</f>
      </c>
      <c r="L761" s="4">
        <v>22</v>
      </c>
      <c r="M761" s="4">
        <v>902</v>
      </c>
      <c r="N761" s="4" t="str" xml:space="preserve">
        <v>+10.000 VNĐ </v>
      </c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5" t="str">
        <v>927 HG</v>
      </c>
      <c r="B762" s="5">
        <f>VLOOKUP(A762,'Sheet10'!$A:$C,3,0)</f>
      </c>
      <c r="C762" s="5" t="str">
        <v>NHUỘM THIẾT KẾ PHỤC HỒI CHUYÊN SÂU LIPID BOND 2025</v>
      </c>
      <c r="D762" s="5">
        <v>1149</v>
      </c>
      <c r="E762" s="5"/>
      <c r="F762" s="6">
        <v>689000</v>
      </c>
      <c r="G762" s="8">
        <v>759000</v>
      </c>
      <c r="H762" s="8">
        <v>759000</v>
      </c>
      <c r="I762" s="8">
        <v>759000</v>
      </c>
      <c r="J762" s="3" t="str">
        <v>Điều chỉnh giá</v>
      </c>
      <c r="K762" s="4">
        <f>G762-F762</f>
      </c>
      <c r="L762" s="4">
        <v>22</v>
      </c>
      <c r="M762" s="4">
        <v>1149</v>
      </c>
      <c r="N762" s="4" t="str">
        <v>Không đổi</v>
      </c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5" t="str">
        <v>927 HG</v>
      </c>
      <c r="B763" s="5">
        <f>VLOOKUP(A763,'Sheet10'!$A:$C,3,0)</f>
      </c>
      <c r="C763" s="5" t="str">
        <v>Phục hồi trẻ hóa Lipid Bond</v>
      </c>
      <c r="D763" s="5">
        <v>1101</v>
      </c>
      <c r="E763" s="5"/>
      <c r="F763" s="6">
        <v>132000</v>
      </c>
      <c r="G763" s="8">
        <v>146000</v>
      </c>
      <c r="H763" s="8">
        <v>146000</v>
      </c>
      <c r="I763" s="8">
        <v>146000</v>
      </c>
      <c r="J763" s="3" t="str">
        <v>Điều chỉnh giá</v>
      </c>
      <c r="K763" s="4">
        <f>G763-F763</f>
      </c>
      <c r="L763" s="4">
        <v>22</v>
      </c>
      <c r="M763" s="4">
        <v>1101</v>
      </c>
      <c r="N763" s="4" t="str">
        <v>Không đổi</v>
      </c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5" t="str">
        <v>927 HG</v>
      </c>
      <c r="B764" s="5">
        <f>VLOOKUP(A764,'Sheet10'!$A:$C,3,0)</f>
      </c>
      <c r="C764" s="5" t="str">
        <v>UỐN THIẾT KẾ PHỤC HỒI CHUYÊN SÂU LIPID BOND 2025</v>
      </c>
      <c r="D764" s="5">
        <f>VLOOKUP(C764,'Sheet7'!$B:$C,2,0)</f>
      </c>
      <c r="E764" s="5"/>
      <c r="F764" s="6">
        <v>689000</v>
      </c>
      <c r="G764" s="7">
        <v>689000</v>
      </c>
      <c r="H764" s="7">
        <v>699000</v>
      </c>
      <c r="I764" s="7">
        <v>699000</v>
      </c>
      <c r="J764" s="9" t="str">
        <v>Giá không đổi</v>
      </c>
      <c r="K764" s="4">
        <f>G764-F764</f>
      </c>
      <c r="L764" s="4">
        <v>22</v>
      </c>
      <c r="M764" s="4">
        <v>1148</v>
      </c>
      <c r="N764" s="4" t="str" xml:space="preserve">
        <v>+10.000 VNĐ </v>
      </c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5" t="str">
        <v>927 HG</v>
      </c>
      <c r="B765" s="5">
        <f>VLOOKUP(A765,'Sheet10'!$A:$C,3,0)</f>
      </c>
      <c r="C765" s="5" t="str">
        <v>Uốn định hình nếp tóc cao cấp (K-Perm Collection)</v>
      </c>
      <c r="D765" s="5">
        <f>VLOOKUP(C765,'Sheet7'!$B:$C,2,0)</f>
      </c>
      <c r="E765" s="5"/>
      <c r="F765" s="6">
        <v>478000</v>
      </c>
      <c r="G765" s="7">
        <v>478000</v>
      </c>
      <c r="H765" s="7">
        <v>488000</v>
      </c>
      <c r="I765" s="7">
        <v>488000</v>
      </c>
      <c r="J765" s="9" t="str">
        <v>Giá không đổi</v>
      </c>
      <c r="K765" s="4">
        <f>G765-F765</f>
      </c>
      <c r="L765" s="4">
        <v>22</v>
      </c>
      <c r="M765" s="4">
        <v>952</v>
      </c>
      <c r="N765" s="4" t="str" xml:space="preserve">
        <v>+10.000 VNĐ </v>
      </c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5" t="str">
        <v>99 TSN</v>
      </c>
      <c r="B766" s="5">
        <f>VLOOKUP(A766,'Sheet10'!$A:$C,3,0)</f>
      </c>
      <c r="C766" s="5" t="str">
        <v>(2022T) ATS Control Buffer - Khử mùi tạo thơm cho tóc uốn nhuộm 40k</v>
      </c>
      <c r="D766" s="5">
        <v>610</v>
      </c>
      <c r="E766" s="5"/>
      <c r="F766" s="6">
        <v>40000</v>
      </c>
      <c r="G766" s="7">
        <v>40000</v>
      </c>
      <c r="H766" s="7">
        <v>40000</v>
      </c>
      <c r="I766" s="7">
        <v>40000</v>
      </c>
      <c r="J766" s="9" t="str">
        <v>Giá không đổi</v>
      </c>
      <c r="K766" s="4">
        <f>G766-F766</f>
      </c>
      <c r="L766" s="4">
        <v>147</v>
      </c>
      <c r="M766" s="4">
        <v>610</v>
      </c>
      <c r="N766" s="4" t="str">
        <v>Không đổi</v>
      </c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5" t="str">
        <v>99 TSN</v>
      </c>
      <c r="B767" s="5">
        <f>VLOOKUP(A767,'Sheet10'!$A:$C,3,0)</f>
      </c>
      <c r="C767" s="5" t="str">
        <v>(NEW) Nhuộm màu thời trang Milano</v>
      </c>
      <c r="D767" s="5">
        <v>960</v>
      </c>
      <c r="E767" s="5">
        <f>A767&amp;D767</f>
      </c>
      <c r="F767" s="6">
        <v>332000</v>
      </c>
      <c r="G767" s="8">
        <v>366000</v>
      </c>
      <c r="H767" s="8">
        <v>366000</v>
      </c>
      <c r="I767" s="8">
        <v>366000</v>
      </c>
      <c r="J767" s="3" t="str">
        <v>Điều chỉnh giá</v>
      </c>
      <c r="K767" s="4">
        <f>G767-F767</f>
      </c>
      <c r="L767" s="4">
        <v>147</v>
      </c>
      <c r="M767" s="4">
        <v>960</v>
      </c>
      <c r="N767" s="4" t="str">
        <v>Không đổi</v>
      </c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5" t="str">
        <v>99 TSN</v>
      </c>
      <c r="B768" s="5">
        <f>VLOOKUP(A768,'Sheet10'!$A:$C,3,0)</f>
      </c>
      <c r="C768" s="5" t="str">
        <v>(NEW) Nhuộm phủ bạc tiêu chuẩn 199K</v>
      </c>
      <c r="D768" s="5">
        <v>967</v>
      </c>
      <c r="E768" s="5"/>
      <c r="F768" s="6">
        <v>199000</v>
      </c>
      <c r="G768" s="7">
        <v>199000</v>
      </c>
      <c r="H768" s="7">
        <v>199000</v>
      </c>
      <c r="I768" s="7">
        <v>199000</v>
      </c>
      <c r="J768" s="9" t="str">
        <v>Giá không đổi</v>
      </c>
      <c r="K768" s="4">
        <f>G768-F768</f>
      </c>
      <c r="L768" s="4">
        <v>147</v>
      </c>
      <c r="M768" s="4">
        <v>967</v>
      </c>
      <c r="N768" s="4" t="str">
        <v>Không đổi</v>
      </c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5" t="str">
        <v>99 TSN</v>
      </c>
      <c r="B769" s="5">
        <f>VLOOKUP(A769,'Sheet10'!$A:$C,3,0)</f>
      </c>
      <c r="C769" s="5" t="str">
        <v>(NEW) Uốn/Duỗi/Định hình full đầu tạo form vào nếp tự nhiên</v>
      </c>
      <c r="D769" s="5">
        <f>VLOOKUP(C769,'Sheet7'!$B:$C,2,0)</f>
      </c>
      <c r="E769" s="5">
        <f>A769&amp;D769</f>
      </c>
      <c r="F769" s="6">
        <v>386000</v>
      </c>
      <c r="G769" s="7">
        <v>386000</v>
      </c>
      <c r="H769" s="7">
        <v>396000</v>
      </c>
      <c r="I769" s="7">
        <v>396000</v>
      </c>
      <c r="J769" s="9" t="str">
        <v>Giá không đổi</v>
      </c>
      <c r="K769" s="4">
        <f>G769-F769</f>
      </c>
      <c r="L769" s="4">
        <v>147</v>
      </c>
      <c r="M769" s="4">
        <v>1009</v>
      </c>
      <c r="N769" s="4" t="str" xml:space="preserve">
        <v>+10.000 VNĐ </v>
      </c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5" t="str">
        <v>99 TSN</v>
      </c>
      <c r="B770" s="5">
        <f>VLOOKUP(A770,'Sheet10'!$A:$C,3,0)</f>
      </c>
      <c r="C770" s="5" t="str">
        <v>[DV] Nhuộm đen phủ bạc R&amp;B thảo dược</v>
      </c>
      <c r="D770" s="5">
        <v>912</v>
      </c>
      <c r="E770" s="5"/>
      <c r="F770" s="6">
        <v>289000</v>
      </c>
      <c r="G770" s="7">
        <v>289000</v>
      </c>
      <c r="H770" s="7">
        <v>289000</v>
      </c>
      <c r="I770" s="7">
        <v>289000</v>
      </c>
      <c r="J770" s="9" t="str">
        <v>Giá không đổi</v>
      </c>
      <c r="K770" s="4">
        <f>G770-F770</f>
      </c>
      <c r="L770" s="4">
        <v>147</v>
      </c>
      <c r="M770" s="4">
        <v>912</v>
      </c>
      <c r="N770" s="4" t="str">
        <v>Không đổi</v>
      </c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5" t="str">
        <v>99 TSN</v>
      </c>
      <c r="B771" s="5">
        <f>VLOOKUP(A771,'Sheet10'!$A:$C,3,0)</f>
      </c>
      <c r="C771" s="5" t="str">
        <v>[DV] Tẩy tóc bật tông Ý (1 lần)</v>
      </c>
      <c r="D771" s="5">
        <v>915</v>
      </c>
      <c r="E771" s="5"/>
      <c r="F771" s="6">
        <v>252000</v>
      </c>
      <c r="G771" s="7">
        <v>252000</v>
      </c>
      <c r="H771" s="7">
        <v>252000</v>
      </c>
      <c r="I771" s="7">
        <v>252000</v>
      </c>
      <c r="J771" s="9" t="str">
        <v>Giá không đổi</v>
      </c>
      <c r="K771" s="4">
        <f>G771-F771</f>
      </c>
      <c r="L771" s="4">
        <v>147</v>
      </c>
      <c r="M771" s="4">
        <v>915</v>
      </c>
      <c r="N771" s="4" t="str">
        <v>Không đổi</v>
      </c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5" t="str">
        <v>99 TSN</v>
      </c>
      <c r="B772" s="5">
        <f>VLOOKUP(A772,'Sheet10'!$A:$C,3,0)</f>
      </c>
      <c r="C772" s="5" t="str">
        <v>[DV] Tẩy tóc bật tông Ý (2 lần) 500k</v>
      </c>
      <c r="D772" s="5">
        <v>916</v>
      </c>
      <c r="E772" s="5"/>
      <c r="F772" s="6">
        <v>500000</v>
      </c>
      <c r="G772" s="7">
        <v>500000</v>
      </c>
      <c r="H772" s="7">
        <v>500000</v>
      </c>
      <c r="I772" s="7">
        <v>500000</v>
      </c>
      <c r="J772" s="9" t="str">
        <v>Giá không đổi</v>
      </c>
      <c r="K772" s="4">
        <f>G772-F772</f>
      </c>
      <c r="L772" s="4">
        <v>147</v>
      </c>
      <c r="M772" s="4">
        <v>916</v>
      </c>
      <c r="N772" s="4" t="str">
        <v>Không đổi</v>
      </c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5" t="str">
        <v>99 TSN</v>
      </c>
      <c r="B773" s="5">
        <f>VLOOKUP(A773,'Sheet10'!$A:$C,3,0)</f>
      </c>
      <c r="C773" s="5" t="str">
        <v>[DV] Uốn Texture con sâu/Uốn Ruffled</v>
      </c>
      <c r="D773" s="5">
        <f>VLOOKUP(C773,'Sheet7'!$B:$C,2,0)</f>
      </c>
      <c r="E773" s="5"/>
      <c r="F773" s="6">
        <v>499000</v>
      </c>
      <c r="G773" s="8">
        <v>550000</v>
      </c>
      <c r="H773" s="7">
        <v>560000</v>
      </c>
      <c r="I773" s="7">
        <v>560000</v>
      </c>
      <c r="J773" s="3" t="str">
        <v>Điều chỉnh giá</v>
      </c>
      <c r="K773" s="4">
        <f>G773-F773</f>
      </c>
      <c r="L773" s="4">
        <v>147</v>
      </c>
      <c r="M773" s="4">
        <v>674</v>
      </c>
      <c r="N773" s="4" t="str" xml:space="preserve">
        <v>+10.000 VNĐ </v>
      </c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5" t="str">
        <v>99 TSN</v>
      </c>
      <c r="B774" s="5">
        <f>VLOOKUP(A774,'Sheet10'!$A:$C,3,0)</f>
      </c>
      <c r="C774" s="5" t="str">
        <v>[DV] Ép side hai bên</v>
      </c>
      <c r="D774" s="5">
        <f>VLOOKUP(C774,'Sheet7'!$B:$C,2,0)</f>
      </c>
      <c r="E774" s="5"/>
      <c r="F774" s="6">
        <v>189000</v>
      </c>
      <c r="G774" s="8">
        <v>216000</v>
      </c>
      <c r="H774" s="7">
        <v>226000</v>
      </c>
      <c r="I774" s="7">
        <v>226000</v>
      </c>
      <c r="J774" s="3" t="str">
        <v>Điều chỉnh giá</v>
      </c>
      <c r="K774" s="4">
        <f>G774-F774</f>
      </c>
      <c r="L774" s="4">
        <v>147</v>
      </c>
      <c r="M774" s="4">
        <v>902</v>
      </c>
      <c r="N774" s="4" t="str" xml:space="preserve">
        <v>+10.000 VNĐ </v>
      </c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5" t="str">
        <v>99 TSN</v>
      </c>
      <c r="B775" s="5">
        <f>VLOOKUP(A775,'Sheet10'!$A:$C,3,0)</f>
      </c>
      <c r="C775" s="5" t="str">
        <v>NHUỘM THIẾT KẾ PHỤC HỒI CHUYÊN SÂU LIPID BOND 2025</v>
      </c>
      <c r="D775" s="5">
        <v>1149</v>
      </c>
      <c r="E775" s="5"/>
      <c r="F775" s="6">
        <v>689000</v>
      </c>
      <c r="G775" s="8">
        <v>759000</v>
      </c>
      <c r="H775" s="8">
        <v>759000</v>
      </c>
      <c r="I775" s="8">
        <v>759000</v>
      </c>
      <c r="J775" s="3" t="str">
        <v>Điều chỉnh giá</v>
      </c>
      <c r="K775" s="4">
        <f>G775-F775</f>
      </c>
      <c r="L775" s="4">
        <v>147</v>
      </c>
      <c r="M775" s="4">
        <v>1149</v>
      </c>
      <c r="N775" s="4" t="str">
        <v>Không đổi</v>
      </c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5" t="str">
        <v>99 TSN</v>
      </c>
      <c r="B776" s="5">
        <f>VLOOKUP(A776,'Sheet10'!$A:$C,3,0)</f>
      </c>
      <c r="C776" s="5" t="str">
        <v>Phục hồi trẻ hóa Lipid Bond</v>
      </c>
      <c r="D776" s="5">
        <v>1101</v>
      </c>
      <c r="E776" s="5"/>
      <c r="F776" s="6">
        <v>132000</v>
      </c>
      <c r="G776" s="8">
        <v>146000</v>
      </c>
      <c r="H776" s="8">
        <v>146000</v>
      </c>
      <c r="I776" s="8">
        <v>146000</v>
      </c>
      <c r="J776" s="3" t="str">
        <v>Điều chỉnh giá</v>
      </c>
      <c r="K776" s="4">
        <f>G776-F776</f>
      </c>
      <c r="L776" s="4">
        <v>147</v>
      </c>
      <c r="M776" s="4">
        <v>1101</v>
      </c>
      <c r="N776" s="4" t="str">
        <v>Không đổi</v>
      </c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5" t="str">
        <v>99 TSN</v>
      </c>
      <c r="B777" s="5">
        <f>VLOOKUP(A777,'Sheet10'!$A:$C,3,0)</f>
      </c>
      <c r="C777" s="5" t="str">
        <v>UỐN THIẾT KẾ PHỤC HỒI CHUYÊN SÂU LIPID BOND 2025</v>
      </c>
      <c r="D777" s="5">
        <f>VLOOKUP(C777,'Sheet7'!$B:$C,2,0)</f>
      </c>
      <c r="E777" s="5"/>
      <c r="F777" s="6">
        <v>689000</v>
      </c>
      <c r="G777" s="7">
        <v>689000</v>
      </c>
      <c r="H777" s="7">
        <v>699000</v>
      </c>
      <c r="I777" s="7">
        <v>699000</v>
      </c>
      <c r="J777" s="9" t="str">
        <v>Giá không đổi</v>
      </c>
      <c r="K777" s="4">
        <f>G777-F777</f>
      </c>
      <c r="L777" s="4">
        <v>147</v>
      </c>
      <c r="M777" s="4">
        <v>1148</v>
      </c>
      <c r="N777" s="4" t="str" xml:space="preserve">
        <v>+10.000 VNĐ </v>
      </c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5" t="str">
        <v>99 TSN</v>
      </c>
      <c r="B778" s="5">
        <f>VLOOKUP(A778,'Sheet10'!$A:$C,3,0)</f>
      </c>
      <c r="C778" s="5" t="str">
        <v>Uốn định hình nếp tóc cao cấp (K-Perm Collection)</v>
      </c>
      <c r="D778" s="5">
        <f>VLOOKUP(C778,'Sheet7'!$B:$C,2,0)</f>
      </c>
      <c r="E778" s="5"/>
      <c r="F778" s="6">
        <v>478000</v>
      </c>
      <c r="G778" s="7">
        <v>478000</v>
      </c>
      <c r="H778" s="7">
        <v>488000</v>
      </c>
      <c r="I778" s="7">
        <v>488000</v>
      </c>
      <c r="J778" s="9" t="str">
        <v>Giá không đổi</v>
      </c>
      <c r="K778" s="4">
        <f>G778-F778</f>
      </c>
      <c r="L778" s="4">
        <v>147</v>
      </c>
      <c r="M778" s="4">
        <v>952</v>
      </c>
      <c r="N778" s="4" t="str" xml:space="preserve">
        <v>+10.000 VNĐ </v>
      </c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5" t="str">
        <v>TG 25/4 QN</v>
      </c>
      <c r="B779" s="5">
        <f>VLOOKUP(A779,'Sheet10'!$A:$C,3,0)</f>
      </c>
      <c r="C779" s="5" t="str">
        <v>(2022T) ATS Control Buffer - Khử mùi tạo thơm cho tóc uốn nhuộm 40k</v>
      </c>
      <c r="D779" s="5">
        <v>610</v>
      </c>
      <c r="E779" s="5"/>
      <c r="F779" s="6">
        <v>40000</v>
      </c>
      <c r="G779" s="7">
        <v>40000</v>
      </c>
      <c r="H779" s="7">
        <v>40000</v>
      </c>
      <c r="I779" s="7">
        <v>40000</v>
      </c>
      <c r="J779" s="9" t="str">
        <v>Giá không đổi</v>
      </c>
      <c r="K779" s="4">
        <f>G779-F779</f>
      </c>
      <c r="L779" s="4">
        <v>217</v>
      </c>
      <c r="M779" s="4">
        <v>610</v>
      </c>
      <c r="N779" s="4" t="str">
        <v>Không đổi</v>
      </c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5" t="str">
        <v>TG 25/4 QN</v>
      </c>
      <c r="B780" s="5">
        <f>VLOOKUP(A780,'Sheet10'!$A:$C,3,0)</f>
      </c>
      <c r="C780" s="5" t="str">
        <v>(NEW) Nhuộm màu thời trang Milano</v>
      </c>
      <c r="D780" s="5">
        <v>960</v>
      </c>
      <c r="E780" s="5">
        <f>A780&amp;D780</f>
      </c>
      <c r="F780" s="6">
        <v>332000</v>
      </c>
      <c r="G780" s="8">
        <v>346000</v>
      </c>
      <c r="H780" s="8">
        <v>346000</v>
      </c>
      <c r="I780" s="8">
        <v>346000</v>
      </c>
      <c r="J780" s="3" t="str">
        <v>Điều chỉnh giá</v>
      </c>
      <c r="K780" s="4">
        <f>G780-F780</f>
      </c>
      <c r="L780" s="4">
        <v>217</v>
      </c>
      <c r="M780" s="4">
        <v>960</v>
      </c>
      <c r="N780" s="4" t="str">
        <v>Không đổi</v>
      </c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5" t="str">
        <v>TG 25/4 QN</v>
      </c>
      <c r="B781" s="5">
        <f>VLOOKUP(A781,'Sheet10'!$A:$C,3,0)</f>
      </c>
      <c r="C781" s="5" t="str">
        <v>(NEW) Nhuộm phủ bạc tiêu chuẩn 199K</v>
      </c>
      <c r="D781" s="5">
        <v>967</v>
      </c>
      <c r="E781" s="5"/>
      <c r="F781" s="6">
        <v>199000</v>
      </c>
      <c r="G781" s="7">
        <v>199000</v>
      </c>
      <c r="H781" s="7">
        <v>199000</v>
      </c>
      <c r="I781" s="7">
        <v>199000</v>
      </c>
      <c r="J781" s="9" t="str">
        <v>Giá không đổi</v>
      </c>
      <c r="K781" s="4">
        <f>G781-F781</f>
      </c>
      <c r="L781" s="4">
        <v>217</v>
      </c>
      <c r="M781" s="4">
        <v>967</v>
      </c>
      <c r="N781" s="4" t="str">
        <v>Không đổi</v>
      </c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5" t="str">
        <v>TG 25/4 QN</v>
      </c>
      <c r="B782" s="5">
        <f>VLOOKUP(A782,'Sheet10'!$A:$C,3,0)</f>
      </c>
      <c r="C782" s="5" t="str">
        <v>(NEW) Uốn/Duỗi/Định hình full đầu tạo form vào nếp tự nhiên</v>
      </c>
      <c r="D782" s="5">
        <f>VLOOKUP(C782,'Sheet7'!$B:$C,2,0)</f>
      </c>
      <c r="E782" s="5">
        <f>A782&amp;D782</f>
      </c>
      <c r="F782" s="6">
        <v>386000</v>
      </c>
      <c r="G782" s="7">
        <v>386000</v>
      </c>
      <c r="H782" s="7">
        <v>396000</v>
      </c>
      <c r="I782" s="7">
        <v>396000</v>
      </c>
      <c r="J782" s="9" t="str">
        <v>Giá không đổi</v>
      </c>
      <c r="K782" s="4">
        <f>G782-F782</f>
      </c>
      <c r="L782" s="4">
        <v>217</v>
      </c>
      <c r="M782" s="4">
        <v>1009</v>
      </c>
      <c r="N782" s="4" t="str" xml:space="preserve">
        <v>+10.000 VNĐ </v>
      </c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5" t="str">
        <v>TG 25/4 QN</v>
      </c>
      <c r="B783" s="5">
        <f>VLOOKUP(A783,'Sheet10'!$A:$C,3,0)</f>
      </c>
      <c r="C783" s="5" t="str">
        <v>[DV] Nhuộm đen phủ bạc R&amp;B thảo dược</v>
      </c>
      <c r="D783" s="5">
        <v>912</v>
      </c>
      <c r="E783" s="5"/>
      <c r="F783" s="6">
        <v>289000</v>
      </c>
      <c r="G783" s="7">
        <v>289000</v>
      </c>
      <c r="H783" s="7">
        <v>289000</v>
      </c>
      <c r="I783" s="7">
        <v>289000</v>
      </c>
      <c r="J783" s="9" t="str">
        <v>Giá không đổi</v>
      </c>
      <c r="K783" s="4">
        <f>G783-F783</f>
      </c>
      <c r="L783" s="4">
        <v>217</v>
      </c>
      <c r="M783" s="4">
        <v>912</v>
      </c>
      <c r="N783" s="4" t="str">
        <v>Không đổi</v>
      </c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5" t="str">
        <v>TG 25/4 QN</v>
      </c>
      <c r="B784" s="5">
        <f>VLOOKUP(A784,'Sheet10'!$A:$C,3,0)</f>
      </c>
      <c r="C784" s="5" t="str">
        <v>[DV] Tẩy tóc bật tông Ý (1 lần)</v>
      </c>
      <c r="D784" s="5">
        <v>915</v>
      </c>
      <c r="E784" s="5"/>
      <c r="F784" s="6">
        <v>252000</v>
      </c>
      <c r="G784" s="8">
        <v>269000</v>
      </c>
      <c r="H784" s="8">
        <v>269000</v>
      </c>
      <c r="I784" s="8">
        <v>269000</v>
      </c>
      <c r="J784" s="3" t="str">
        <v>Điều chỉnh giá</v>
      </c>
      <c r="K784" s="4">
        <f>G784-F784</f>
      </c>
      <c r="L784" s="4">
        <v>217</v>
      </c>
      <c r="M784" s="4">
        <v>915</v>
      </c>
      <c r="N784" s="4" t="str">
        <v>Không đổi</v>
      </c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5" t="str">
        <v>TG 25/4 QN</v>
      </c>
      <c r="B785" s="5">
        <f>VLOOKUP(A785,'Sheet10'!$A:$C,3,0)</f>
      </c>
      <c r="C785" s="5" t="str">
        <v>[DV] Tẩy tóc bật tông Ý (2 lần) 500k</v>
      </c>
      <c r="D785" s="5">
        <v>916</v>
      </c>
      <c r="E785" s="5"/>
      <c r="F785" s="6">
        <v>500000</v>
      </c>
      <c r="G785" s="8">
        <v>534000</v>
      </c>
      <c r="H785" s="8">
        <v>534000</v>
      </c>
      <c r="I785" s="8">
        <v>534000</v>
      </c>
      <c r="J785" s="3" t="str">
        <v>Điều chỉnh giá</v>
      </c>
      <c r="K785" s="4">
        <f>G785-F785</f>
      </c>
      <c r="L785" s="4">
        <v>217</v>
      </c>
      <c r="M785" s="4">
        <v>916</v>
      </c>
      <c r="N785" s="4" t="str">
        <v>Không đổi</v>
      </c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5" t="str">
        <v>TG 25/4 QN</v>
      </c>
      <c r="B786" s="5">
        <f>VLOOKUP(A786,'Sheet10'!$A:$C,3,0)</f>
      </c>
      <c r="C786" s="5" t="str">
        <v>[DV] Uốn Texture con sâu/Uốn Ruffled</v>
      </c>
      <c r="D786" s="5">
        <f>VLOOKUP(C786,'Sheet7'!$B:$C,2,0)</f>
      </c>
      <c r="E786" s="5"/>
      <c r="F786" s="6">
        <v>499000</v>
      </c>
      <c r="G786" s="8">
        <v>520000</v>
      </c>
      <c r="H786" s="7">
        <v>530000</v>
      </c>
      <c r="I786" s="7">
        <v>530000</v>
      </c>
      <c r="J786" s="3" t="str">
        <v>Điều chỉnh giá</v>
      </c>
      <c r="K786" s="4">
        <f>G786-F786</f>
      </c>
      <c r="L786" s="4">
        <v>217</v>
      </c>
      <c r="M786" s="4">
        <v>674</v>
      </c>
      <c r="N786" s="4" t="str" xml:space="preserve">
        <v>+10.000 VNĐ 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5" t="str">
        <v>TG 25/4 QN</v>
      </c>
      <c r="B787" s="5">
        <f>VLOOKUP(A787,'Sheet10'!$A:$C,3,0)</f>
      </c>
      <c r="C787" s="5" t="str">
        <v>[DV] Ép side hai bên</v>
      </c>
      <c r="D787" s="5">
        <f>VLOOKUP(C787,'Sheet7'!$B:$C,2,0)</f>
      </c>
      <c r="E787" s="5"/>
      <c r="F787" s="6">
        <v>189000</v>
      </c>
      <c r="G787" s="8">
        <v>209000</v>
      </c>
      <c r="H787" s="7">
        <v>219000</v>
      </c>
      <c r="I787" s="7">
        <v>219000</v>
      </c>
      <c r="J787" s="3" t="str">
        <v>Điều chỉnh giá</v>
      </c>
      <c r="K787" s="4">
        <f>G787-F787</f>
      </c>
      <c r="L787" s="4">
        <v>217</v>
      </c>
      <c r="M787" s="4">
        <v>902</v>
      </c>
      <c r="N787" s="4" t="str" xml:space="preserve">
        <v>+10.000 VNĐ 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5" t="str">
        <v>TG 25/4 QN</v>
      </c>
      <c r="B788" s="5">
        <f>VLOOKUP(A788,'Sheet10'!$A:$C,3,0)</f>
      </c>
      <c r="C788" s="5" t="str">
        <v>NHUỘM THIẾT KẾ PHỤC HỒI CHUYÊN SÂU LIPID BOND 2025</v>
      </c>
      <c r="D788" s="5">
        <v>1149</v>
      </c>
      <c r="E788" s="5"/>
      <c r="F788" s="6">
        <v>689000</v>
      </c>
      <c r="G788" s="8">
        <v>719000</v>
      </c>
      <c r="H788" s="8">
        <v>719000</v>
      </c>
      <c r="I788" s="8">
        <v>719000</v>
      </c>
      <c r="J788" s="3" t="str">
        <v>Điều chỉnh giá</v>
      </c>
      <c r="K788" s="4">
        <f>G788-F788</f>
      </c>
      <c r="L788" s="4">
        <v>217</v>
      </c>
      <c r="M788" s="4">
        <v>1149</v>
      </c>
      <c r="N788" s="4" t="str">
        <v>Không đổi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5" t="str">
        <v>TG 25/4 QN</v>
      </c>
      <c r="B789" s="5">
        <f>VLOOKUP(A789,'Sheet10'!$A:$C,3,0)</f>
      </c>
      <c r="C789" s="5" t="str">
        <v>Phục hồi trẻ hóa Lipid Bond</v>
      </c>
      <c r="D789" s="5">
        <v>1101</v>
      </c>
      <c r="E789" s="5"/>
      <c r="F789" s="6">
        <v>132000</v>
      </c>
      <c r="G789" s="8">
        <v>146000</v>
      </c>
      <c r="H789" s="8">
        <v>146000</v>
      </c>
      <c r="I789" s="8">
        <v>146000</v>
      </c>
      <c r="J789" s="3" t="str">
        <v>Điều chỉnh giá</v>
      </c>
      <c r="K789" s="4">
        <f>G789-F789</f>
      </c>
      <c r="L789" s="4">
        <v>217</v>
      </c>
      <c r="M789" s="4">
        <v>1101</v>
      </c>
      <c r="N789" s="4" t="str">
        <v>Không đổi</v>
      </c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5" t="str">
        <v>TG 25/4 QN</v>
      </c>
      <c r="B790" s="5">
        <f>VLOOKUP(A790,'Sheet10'!$A:$C,3,0)</f>
      </c>
      <c r="C790" s="5" t="str">
        <v>UỐN THIẾT KẾ PHỤC HỒI CHUYÊN SÂU LIPID BOND 2025</v>
      </c>
      <c r="D790" s="5">
        <f>VLOOKUP(C790,'Sheet7'!$B:$C,2,0)</f>
      </c>
      <c r="E790" s="5"/>
      <c r="F790" s="6">
        <v>689000</v>
      </c>
      <c r="G790" s="7">
        <v>689000</v>
      </c>
      <c r="H790" s="7">
        <v>699000</v>
      </c>
      <c r="I790" s="7">
        <v>699000</v>
      </c>
      <c r="J790" s="9" t="str">
        <v>Giá không đổi</v>
      </c>
      <c r="K790" s="4">
        <f>G790-F790</f>
      </c>
      <c r="L790" s="4">
        <v>217</v>
      </c>
      <c r="M790" s="4">
        <v>1148</v>
      </c>
      <c r="N790" s="4" t="str" xml:space="preserve">
        <v>+10.000 VNĐ </v>
      </c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5" t="str">
        <v>TG 25/4 QN</v>
      </c>
      <c r="B791" s="5">
        <f>VLOOKUP(A791,'Sheet10'!$A:$C,3,0)</f>
      </c>
      <c r="C791" s="5" t="str">
        <v>Uốn định hình nếp tóc cao cấp (K-Perm Collection)</v>
      </c>
      <c r="D791" s="5">
        <f>VLOOKUP(C791,'Sheet7'!$B:$C,2,0)</f>
      </c>
      <c r="E791" s="5"/>
      <c r="F791" s="6">
        <v>478000</v>
      </c>
      <c r="G791" s="7">
        <v>478000</v>
      </c>
      <c r="H791" s="7">
        <v>488000</v>
      </c>
      <c r="I791" s="7">
        <v>488000</v>
      </c>
      <c r="J791" s="9" t="str">
        <v>Giá không đổi</v>
      </c>
      <c r="K791" s="4">
        <f>G791-F791</f>
      </c>
      <c r="L791" s="4">
        <v>217</v>
      </c>
      <c r="M791" s="4">
        <v>952</v>
      </c>
      <c r="N791" s="4" t="str" xml:space="preserve">
        <v>+10.000 VNĐ 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3" min="3" style="0" width="14"/>
    <col collapsed="false" customWidth="true" hidden="false" max="4" min="4" style="0" width="9"/>
    <col collapsed="false" customWidth="true" hidden="false" max="5" min="5" style="0" width="49"/>
    <col collapsed="false" customWidth="true" hidden="false" max="6" min="6" style="0" width="23"/>
    <col collapsed="false" customWidth="true" hidden="false" max="7" min="7" style="0" width="24"/>
    <col collapsed="false" customWidth="true" hidden="false" max="8" min="8" style="0" width="21"/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9"/>
    <col collapsed="false" customWidth="true" hidden="false" max="5" min="5" style="0" width="40"/>
    <col collapsed="false" customWidth="true" hidden="false" max="6" min="6" style="0" width="23"/>
    <col collapsed="false" customWidth="true" hidden="false" max="6" min="6" style="0" width="23"/>
    <col collapsed="false" customWidth="true" hidden="false" max="7" min="7" style="0" width="29"/>
    <col collapsed="false" customWidth="true" hidden="false" max="7" min="7" style="0" width="29"/>
    <col collapsed="false" customWidth="true" hidden="false" max="8" min="8" style="0" width="25"/>
    <col collapsed="false" customWidth="true" hidden="false" max="9" min="9" style="0" width="14"/>
    <col collapsed="false" customWidth="true" hidden="true" max="9" min="9" style="0" width="14"/>
    <col collapsed="false" customWidth="true" hidden="false" max="10" min="10" style="0" width="14"/>
    <col collapsed="false" customWidth="true" hidden="true" max="10" min="10" style="0" width="14"/>
  </cols>
  <sheetData>
    <row r="1">
      <c r="A1" s="18" t="str">
        <v>ID Salon</v>
      </c>
      <c r="B1" s="18" t="str">
        <v>Salon</v>
      </c>
      <c r="C1" s="18" t="str">
        <v>Nhóm ngành</v>
      </c>
      <c r="D1" s="18" t="str">
        <v>ID DV</v>
      </c>
      <c r="E1" s="18" t="str">
        <v>Tên dịch vụ</v>
      </c>
      <c r="F1" s="22" t="str">
        <v>Giá cũ trước 14.3</v>
      </c>
      <c r="G1" s="22" t="str">
        <v>Giá ngày 14.3</v>
      </c>
      <c r="H1" s="22" t="str">
        <v>Giá mới ngày 24.3 (giá hiện tại)</v>
      </c>
      <c r="I1" s="17"/>
      <c r="J1" s="17" t="str">
        <v>Giá mới ngày 24.3</v>
      </c>
      <c r="K1" s="17"/>
      <c r="L1" s="17"/>
      <c r="M1" s="17"/>
      <c r="N1" s="17"/>
      <c r="O1" s="17"/>
      <c r="P1" s="17"/>
      <c r="Q1" s="17"/>
      <c r="R1" s="17"/>
      <c r="S1" s="17"/>
    </row>
    <row r="2">
      <c r="A2" s="4">
        <v>143</v>
      </c>
      <c r="B2" s="4" t="str">
        <v>10 TP</v>
      </c>
      <c r="C2" s="4" t="str">
        <v>DV_Cắt</v>
      </c>
      <c r="D2" s="4">
        <v>513</v>
      </c>
      <c r="E2" s="4" t="str">
        <v>[DV] ShineCombo 10 bước Ultra Care 2023</v>
      </c>
      <c r="F2" s="21">
        <v>122000</v>
      </c>
      <c r="G2" s="21">
        <v>122000</v>
      </c>
      <c r="H2" s="21">
        <v>122000</v>
      </c>
      <c r="I2" s="4">
        <f>A2&amp;D2</f>
      </c>
      <c r="J2" s="4">
        <v>122000</v>
      </c>
      <c r="K2" s="4"/>
      <c r="L2" s="4"/>
      <c r="M2" s="4"/>
      <c r="N2" s="4"/>
      <c r="O2" s="4"/>
      <c r="P2" s="4"/>
      <c r="Q2" s="4"/>
      <c r="R2" s="4"/>
      <c r="S2" s="4"/>
    </row>
    <row r="3">
      <c r="A3" s="4">
        <v>143</v>
      </c>
      <c r="B3" s="4" t="str">
        <v>10 TP</v>
      </c>
      <c r="C3" s="4" t="str">
        <v>DV_Cắt</v>
      </c>
      <c r="D3" s="4">
        <v>891</v>
      </c>
      <c r="E3" s="4" t="str">
        <v>Cắt xả tạo kiểu</v>
      </c>
      <c r="F3" s="21">
        <v>94000</v>
      </c>
      <c r="G3" s="21">
        <v>95000</v>
      </c>
      <c r="H3" s="21">
        <v>95000</v>
      </c>
      <c r="I3" s="4">
        <f>A3&amp;D3</f>
      </c>
      <c r="J3" s="4">
        <v>95000</v>
      </c>
      <c r="K3" s="4"/>
      <c r="L3" s="4"/>
      <c r="M3" s="4"/>
      <c r="N3" s="4"/>
      <c r="O3" s="4"/>
      <c r="P3" s="4"/>
      <c r="Q3" s="4"/>
      <c r="R3" s="4"/>
      <c r="S3" s="4"/>
    </row>
    <row r="4">
      <c r="A4" s="4">
        <v>143</v>
      </c>
      <c r="B4" s="4" t="str">
        <v>10 TP</v>
      </c>
      <c r="C4" s="4" t="str">
        <v>DV_Cắt</v>
      </c>
      <c r="D4" s="4">
        <v>1002</v>
      </c>
      <c r="E4" s="4" t="str">
        <v>Kid Cắt</v>
      </c>
      <c r="F4" s="21">
        <v>75000</v>
      </c>
      <c r="G4" s="21">
        <v>76000</v>
      </c>
      <c r="H4" s="21">
        <v>76000</v>
      </c>
      <c r="I4" s="4">
        <f>A4&amp;D4</f>
      </c>
      <c r="J4" s="4">
        <v>76000</v>
      </c>
      <c r="K4" s="4"/>
      <c r="L4" s="4"/>
      <c r="M4" s="4"/>
      <c r="N4" s="4"/>
      <c r="O4" s="4"/>
      <c r="P4" s="4"/>
      <c r="Q4" s="4"/>
      <c r="R4" s="4"/>
      <c r="S4" s="4"/>
    </row>
    <row r="5">
      <c r="A5" s="4">
        <v>143</v>
      </c>
      <c r="B5" s="4" t="str">
        <v>10 TP</v>
      </c>
      <c r="C5" s="4" t="str">
        <v>DV_Cắt</v>
      </c>
      <c r="D5" s="4">
        <v>1052</v>
      </c>
      <c r="E5" s="4" t="str">
        <v>Combo 1 - First Class 1</v>
      </c>
      <c r="F5" s="21">
        <v>139000</v>
      </c>
      <c r="G5" s="21">
        <v>139000</v>
      </c>
      <c r="H5" s="21">
        <v>139000</v>
      </c>
      <c r="I5" s="4">
        <f>A5&amp;D5</f>
      </c>
      <c r="J5" s="4">
        <v>139000</v>
      </c>
      <c r="K5" s="4"/>
      <c r="L5" s="4"/>
      <c r="M5" s="4"/>
      <c r="N5" s="4"/>
      <c r="O5" s="4"/>
      <c r="P5" s="4"/>
      <c r="Q5" s="4"/>
      <c r="R5" s="4"/>
      <c r="S5" s="4"/>
    </row>
    <row r="6">
      <c r="A6" s="4">
        <v>143</v>
      </c>
      <c r="B6" s="4" t="str">
        <v>10 TP</v>
      </c>
      <c r="C6" s="4" t="str">
        <v>DV_Cắt</v>
      </c>
      <c r="D6" s="4">
        <v>1070</v>
      </c>
      <c r="E6" s="4" t="str">
        <v>Combo Cắt gội Kid</v>
      </c>
      <c r="F6" s="21">
        <v>100000</v>
      </c>
      <c r="G6" s="21">
        <v>101000</v>
      </c>
      <c r="H6" s="21">
        <v>101000</v>
      </c>
      <c r="I6" s="4">
        <f>A6&amp;D6</f>
      </c>
      <c r="J6" s="4">
        <v>101000</v>
      </c>
      <c r="K6" s="4"/>
      <c r="L6" s="4"/>
      <c r="M6" s="4"/>
      <c r="N6" s="4"/>
      <c r="O6" s="4"/>
      <c r="P6" s="4"/>
      <c r="Q6" s="4"/>
      <c r="R6" s="4"/>
      <c r="S6" s="4"/>
    </row>
    <row r="7">
      <c r="A7" s="4">
        <v>143</v>
      </c>
      <c r="B7" s="4" t="str">
        <v>10 TP</v>
      </c>
      <c r="C7" s="4" t="str">
        <v>DV_Cắt_Vip</v>
      </c>
      <c r="D7" s="4">
        <v>1046</v>
      </c>
      <c r="E7" s="4" t="str">
        <v>Shinecombo 2</v>
      </c>
      <c r="F7" s="21">
        <v>199000</v>
      </c>
      <c r="G7" s="21">
        <v>201000</v>
      </c>
      <c r="H7" s="21">
        <v>201000</v>
      </c>
      <c r="I7" s="4">
        <f>A7&amp;D7</f>
      </c>
      <c r="J7" s="4">
        <v>201000</v>
      </c>
      <c r="K7" s="4"/>
      <c r="L7" s="4"/>
      <c r="M7" s="4"/>
      <c r="N7" s="4"/>
      <c r="O7" s="4"/>
      <c r="P7" s="4"/>
      <c r="Q7" s="4"/>
      <c r="R7" s="4"/>
      <c r="S7" s="4"/>
    </row>
    <row r="8">
      <c r="A8" s="4">
        <v>143</v>
      </c>
      <c r="B8" s="4" t="str">
        <v>10 TP</v>
      </c>
      <c r="C8" s="4" t="str">
        <v>DV_Cắt_Vip</v>
      </c>
      <c r="D8" s="4">
        <v>1047</v>
      </c>
      <c r="E8" s="4" t="str">
        <v>Cắt Gội Combo 3 - Chăm da</v>
      </c>
      <c r="F8" s="21">
        <v>299000</v>
      </c>
      <c r="G8" s="21">
        <v>302000</v>
      </c>
      <c r="H8" s="21">
        <v>302000</v>
      </c>
      <c r="I8" s="4">
        <f>A8&amp;D8</f>
      </c>
      <c r="J8" s="4">
        <v>302000</v>
      </c>
      <c r="K8" s="4"/>
      <c r="L8" s="4"/>
      <c r="M8" s="4"/>
      <c r="N8" s="4"/>
      <c r="O8" s="4"/>
      <c r="P8" s="4"/>
      <c r="Q8" s="4"/>
      <c r="R8" s="4"/>
      <c r="S8" s="4"/>
    </row>
    <row r="9">
      <c r="A9" s="4">
        <v>143</v>
      </c>
      <c r="B9" s="4" t="str">
        <v>10 TP</v>
      </c>
      <c r="C9" s="4" t="str">
        <v>DV_Cắt_Vip</v>
      </c>
      <c r="D9" s="4">
        <v>1048</v>
      </c>
      <c r="E9" s="4" t="str">
        <v>Combo 4</v>
      </c>
      <c r="F9" s="21">
        <v>389000</v>
      </c>
      <c r="G9" s="21">
        <v>393000</v>
      </c>
      <c r="H9" s="21">
        <v>393000</v>
      </c>
      <c r="I9" s="4">
        <f>A9&amp;D9</f>
      </c>
      <c r="J9" s="4">
        <v>393000</v>
      </c>
      <c r="K9" s="4"/>
      <c r="L9" s="4"/>
      <c r="M9" s="4"/>
      <c r="N9" s="4"/>
      <c r="O9" s="4"/>
      <c r="P9" s="4"/>
      <c r="Q9" s="4"/>
      <c r="R9" s="4"/>
      <c r="S9" s="4"/>
    </row>
    <row r="10">
      <c r="A10" s="4">
        <v>143</v>
      </c>
      <c r="B10" s="4" t="str">
        <v>10 TP</v>
      </c>
      <c r="C10" s="4" t="str">
        <v>DV_Cắt_Vip</v>
      </c>
      <c r="D10" s="4">
        <v>1053</v>
      </c>
      <c r="E10" s="4" t="str">
        <v>Combo 2 - First Class 2</v>
      </c>
      <c r="F10" s="21">
        <v>239000</v>
      </c>
      <c r="G10" s="21">
        <v>242000</v>
      </c>
      <c r="H10" s="21">
        <v>242000</v>
      </c>
      <c r="I10" s="4">
        <f>A10&amp;D10</f>
      </c>
      <c r="J10" s="4">
        <v>242000</v>
      </c>
      <c r="K10" s="4"/>
      <c r="L10" s="4"/>
      <c r="M10" s="4"/>
      <c r="N10" s="4"/>
      <c r="O10" s="4"/>
      <c r="P10" s="4"/>
      <c r="Q10" s="4"/>
      <c r="R10" s="4"/>
      <c r="S10" s="4"/>
    </row>
    <row r="11">
      <c r="A11" s="4">
        <v>143</v>
      </c>
      <c r="B11" s="4" t="str">
        <v>10 TP</v>
      </c>
      <c r="C11" s="4" t="str">
        <v>DV_Cắt_Vip</v>
      </c>
      <c r="D11" s="4">
        <v>1054</v>
      </c>
      <c r="E11" s="4" t="str">
        <v>Combo 3 - First Class 3</v>
      </c>
      <c r="F11" s="21">
        <v>309000</v>
      </c>
      <c r="G11" s="21">
        <v>312000</v>
      </c>
      <c r="H11" s="21">
        <v>312000</v>
      </c>
      <c r="I11" s="4">
        <f>A11&amp;D11</f>
      </c>
      <c r="J11" s="4">
        <v>312000</v>
      </c>
      <c r="K11" s="4"/>
      <c r="L11" s="4"/>
      <c r="M11" s="4"/>
      <c r="N11" s="4"/>
      <c r="O11" s="4"/>
      <c r="P11" s="4"/>
      <c r="Q11" s="4"/>
      <c r="R11" s="4"/>
      <c r="S11" s="4"/>
    </row>
    <row r="12">
      <c r="A12" s="4">
        <v>143</v>
      </c>
      <c r="B12" s="4" t="str">
        <v>10 TP</v>
      </c>
      <c r="C12" s="4" t="str">
        <v>DV_Cắt_Vip</v>
      </c>
      <c r="D12" s="4">
        <v>1055</v>
      </c>
      <c r="E12" s="4" t="str">
        <v>Combo 4- First Class 4</v>
      </c>
      <c r="F12" s="21">
        <v>409000</v>
      </c>
      <c r="G12" s="21">
        <v>413000</v>
      </c>
      <c r="H12" s="21">
        <v>413000</v>
      </c>
      <c r="I12" s="4">
        <f>A12&amp;D12</f>
      </c>
      <c r="J12" s="4">
        <v>413000</v>
      </c>
      <c r="K12" s="4"/>
      <c r="L12" s="4"/>
      <c r="M12" s="4"/>
      <c r="N12" s="4"/>
      <c r="O12" s="4"/>
      <c r="P12" s="4"/>
      <c r="Q12" s="4"/>
      <c r="R12" s="4"/>
      <c r="S12" s="4"/>
    </row>
    <row r="13">
      <c r="A13" s="4">
        <v>143</v>
      </c>
      <c r="B13" s="4" t="str">
        <v>10 TP</v>
      </c>
      <c r="C13" s="4" t="str">
        <v>DV_Cắt_Vip</v>
      </c>
      <c r="D13" s="4">
        <v>1064</v>
      </c>
      <c r="E13" s="4" t="str">
        <v>Cắt Gội Combo 5 - Dưỡng sinh</v>
      </c>
      <c r="F13" s="21">
        <v>459000</v>
      </c>
      <c r="G13" s="21">
        <v>464000</v>
      </c>
      <c r="H13" s="21">
        <v>464000</v>
      </c>
      <c r="I13" s="4">
        <f>A13&amp;D13</f>
      </c>
      <c r="J13" s="4">
        <v>464000</v>
      </c>
      <c r="K13" s="4"/>
      <c r="L13" s="4"/>
      <c r="M13" s="4"/>
      <c r="N13" s="4"/>
      <c r="O13" s="4"/>
      <c r="P13" s="4"/>
      <c r="Q13" s="4"/>
      <c r="R13" s="4"/>
      <c r="S13" s="4"/>
    </row>
    <row r="14">
      <c r="A14" s="4">
        <v>143</v>
      </c>
      <c r="B14" s="4" t="str">
        <v>10 TP</v>
      </c>
      <c r="C14" s="4" t="str">
        <v>DV_Cắt_Vip</v>
      </c>
      <c r="D14" s="4">
        <v>1065</v>
      </c>
      <c r="E14" s="4" t="str">
        <v>Cắt Gội Combo 3 - Dưỡng sinh</v>
      </c>
      <c r="F14" s="21">
        <v>299000</v>
      </c>
      <c r="G14" s="21">
        <v>302000</v>
      </c>
      <c r="H14" s="21">
        <v>302000</v>
      </c>
      <c r="I14" s="4">
        <f>A14&amp;D14</f>
      </c>
      <c r="J14" s="4">
        <v>302000</v>
      </c>
      <c r="K14" s="4"/>
      <c r="L14" s="4"/>
      <c r="M14" s="4"/>
      <c r="N14" s="4"/>
      <c r="O14" s="4"/>
      <c r="P14" s="4"/>
      <c r="Q14" s="4"/>
      <c r="R14" s="4"/>
      <c r="S14" s="4"/>
    </row>
    <row r="15">
      <c r="A15" s="4">
        <v>143</v>
      </c>
      <c r="B15" s="4" t="str">
        <v>10 TP</v>
      </c>
      <c r="C15" s="4" t="str">
        <v>DV_Gội</v>
      </c>
      <c r="D15" s="4">
        <v>867</v>
      </c>
      <c r="E15" s="4" t="str">
        <v>Gội dưỡng sinh cổ vai gáy</v>
      </c>
      <c r="F15" s="21">
        <v>99000</v>
      </c>
      <c r="G15" s="21">
        <v>100000</v>
      </c>
      <c r="H15" s="21">
        <v>100000</v>
      </c>
      <c r="I15" s="4">
        <f>A15&amp;D15</f>
      </c>
      <c r="J15" s="4">
        <v>100000</v>
      </c>
      <c r="K15" s="4"/>
      <c r="L15" s="4"/>
      <c r="M15" s="4"/>
      <c r="N15" s="4"/>
      <c r="O15" s="4"/>
      <c r="P15" s="4"/>
      <c r="Q15" s="4"/>
      <c r="R15" s="4"/>
      <c r="S15" s="4"/>
    </row>
    <row r="16">
      <c r="A16" s="4">
        <v>143</v>
      </c>
      <c r="B16" s="4" t="str">
        <v>10 TP</v>
      </c>
      <c r="C16" s="4" t="str">
        <v>DV_Gội</v>
      </c>
      <c r="D16" s="4">
        <v>930</v>
      </c>
      <c r="E16" s="4" t="str">
        <v>[NEW] Gội dưỡng sinh cổ vai gáy và chăm sóc da</v>
      </c>
      <c r="F16" s="21">
        <v>139000</v>
      </c>
      <c r="G16" s="21">
        <v>140000</v>
      </c>
      <c r="H16" s="21">
        <v>140000</v>
      </c>
      <c r="I16" s="4">
        <f>A16&amp;D16</f>
      </c>
      <c r="J16" s="4">
        <v>140000</v>
      </c>
      <c r="K16" s="4"/>
      <c r="L16" s="4"/>
      <c r="M16" s="4"/>
      <c r="N16" s="4"/>
      <c r="O16" s="4"/>
      <c r="P16" s="4"/>
      <c r="Q16" s="4"/>
      <c r="R16" s="4"/>
      <c r="S16" s="4"/>
    </row>
    <row r="17">
      <c r="A17" s="4">
        <v>143</v>
      </c>
      <c r="B17" s="4" t="str">
        <v>10 TP</v>
      </c>
      <c r="C17" s="4" t="str">
        <v>DV_Gội</v>
      </c>
      <c r="D17" s="4">
        <v>934</v>
      </c>
      <c r="E17" s="4" t="str">
        <v>Gội combo 3 - Dưỡng sinh</v>
      </c>
      <c r="F17" s="21">
        <v>229000</v>
      </c>
      <c r="G17" s="21">
        <v>231000</v>
      </c>
      <c r="H17" s="21">
        <v>231000</v>
      </c>
      <c r="I17" s="4">
        <f>A17&amp;D17</f>
      </c>
      <c r="J17" s="4">
        <v>231000</v>
      </c>
      <c r="K17" s="4"/>
      <c r="L17" s="4"/>
      <c r="M17" s="4"/>
      <c r="N17" s="4"/>
      <c r="O17" s="4"/>
      <c r="P17" s="4"/>
      <c r="Q17" s="4"/>
      <c r="R17" s="4"/>
      <c r="S17" s="4"/>
    </row>
    <row r="18">
      <c r="A18" s="4">
        <v>143</v>
      </c>
      <c r="B18" s="4" t="str">
        <v>10 TP</v>
      </c>
      <c r="C18" s="4" t="str">
        <v>DV_Gội</v>
      </c>
      <c r="D18" s="4">
        <v>940</v>
      </c>
      <c r="E18" s="4" t="str">
        <v>[NEW] Gội dưỡng sinh</v>
      </c>
      <c r="F18" s="21">
        <v>59000</v>
      </c>
      <c r="G18" s="21">
        <v>60000</v>
      </c>
      <c r="H18" s="21">
        <v>60000</v>
      </c>
      <c r="I18" s="4">
        <f>A18&amp;D18</f>
      </c>
      <c r="J18" s="4">
        <v>60000</v>
      </c>
      <c r="K18" s="4"/>
      <c r="L18" s="4"/>
      <c r="M18" s="4"/>
      <c r="N18" s="4"/>
      <c r="O18" s="4"/>
      <c r="P18" s="4"/>
      <c r="Q18" s="4"/>
      <c r="R18" s="4"/>
      <c r="S18" s="4"/>
    </row>
    <row r="19">
      <c r="A19" s="4">
        <v>143</v>
      </c>
      <c r="B19" s="4" t="str">
        <v>10 TP</v>
      </c>
      <c r="C19" s="4" t="str">
        <v>DV_Gội</v>
      </c>
      <c r="D19" s="4">
        <v>1058</v>
      </c>
      <c r="E19" s="4" t="str">
        <v>Gội Combo 2</v>
      </c>
      <c r="F19" s="21">
        <v>159000</v>
      </c>
      <c r="G19" s="21">
        <v>161000</v>
      </c>
      <c r="H19" s="21">
        <v>161000</v>
      </c>
      <c r="I19" s="4">
        <f>A19&amp;D19</f>
      </c>
      <c r="J19" s="4">
        <v>161000</v>
      </c>
      <c r="K19" s="4"/>
      <c r="L19" s="4"/>
      <c r="M19" s="4"/>
      <c r="N19" s="4"/>
      <c r="O19" s="4"/>
      <c r="P19" s="4"/>
      <c r="Q19" s="4"/>
      <c r="R19" s="4"/>
      <c r="S19" s="4"/>
    </row>
    <row r="20">
      <c r="A20" s="4">
        <v>143</v>
      </c>
      <c r="B20" s="4" t="str">
        <v>10 TP</v>
      </c>
      <c r="C20" s="4" t="str">
        <v>DV_Gội</v>
      </c>
      <c r="D20" s="4">
        <v>1059</v>
      </c>
      <c r="E20" s="4" t="str">
        <v>Gội Combo 3 - Chăm da</v>
      </c>
      <c r="F20" s="21">
        <v>239000</v>
      </c>
      <c r="G20" s="21">
        <v>242000</v>
      </c>
      <c r="H20" s="21">
        <v>242000</v>
      </c>
      <c r="I20" s="4">
        <f>A20&amp;D20</f>
      </c>
      <c r="J20" s="4">
        <v>242000</v>
      </c>
      <c r="K20" s="4"/>
      <c r="L20" s="4"/>
      <c r="M20" s="4"/>
      <c r="N20" s="4"/>
      <c r="O20" s="4"/>
      <c r="P20" s="4"/>
      <c r="Q20" s="4"/>
      <c r="R20" s="4"/>
      <c r="S20" s="4"/>
    </row>
    <row r="21">
      <c r="A21" s="4">
        <v>143</v>
      </c>
      <c r="B21" s="4" t="str">
        <v>10 TP</v>
      </c>
      <c r="C21" s="4" t="str">
        <v>DV_Gội</v>
      </c>
      <c r="D21" s="4">
        <v>1060</v>
      </c>
      <c r="E21" s="4" t="str">
        <v>Gội Combo 4</v>
      </c>
      <c r="F21" s="21">
        <v>329000</v>
      </c>
      <c r="G21" s="21">
        <v>332000</v>
      </c>
      <c r="H21" s="21">
        <v>332000</v>
      </c>
      <c r="I21" s="4">
        <f>A21&amp;D21</f>
      </c>
      <c r="J21" s="4">
        <v>332000</v>
      </c>
      <c r="K21" s="4"/>
      <c r="L21" s="4"/>
      <c r="M21" s="4"/>
      <c r="N21" s="4"/>
      <c r="O21" s="4"/>
      <c r="P21" s="4"/>
      <c r="Q21" s="4"/>
      <c r="R21" s="4"/>
      <c r="S21" s="4"/>
    </row>
    <row r="22">
      <c r="A22" s="4">
        <v>143</v>
      </c>
      <c r="B22" s="4" t="str">
        <v>10 TP</v>
      </c>
      <c r="C22" s="4" t="str">
        <v>DV_Gội</v>
      </c>
      <c r="D22" s="4">
        <v>1066</v>
      </c>
      <c r="E22" s="4" t="str">
        <v>Gội trải nghiệm 75p</v>
      </c>
      <c r="F22" s="21">
        <v>589000</v>
      </c>
      <c r="G22" s="21">
        <v>595000</v>
      </c>
      <c r="H22" s="21">
        <v>595000</v>
      </c>
      <c r="I22" s="4">
        <f>A22&amp;D22</f>
      </c>
      <c r="J22" s="4">
        <v>595000</v>
      </c>
      <c r="K22" s="4"/>
      <c r="L22" s="4"/>
      <c r="M22" s="4"/>
      <c r="N22" s="4"/>
      <c r="O22" s="4"/>
      <c r="P22" s="4"/>
      <c r="Q22" s="4"/>
      <c r="R22" s="4"/>
      <c r="S22" s="4"/>
    </row>
    <row r="23">
      <c r="A23" s="4">
        <v>143</v>
      </c>
      <c r="B23" s="4" t="str">
        <v>10 TP</v>
      </c>
      <c r="C23" s="4" t="str">
        <v>DV_Gội</v>
      </c>
      <c r="D23" s="4">
        <v>1067</v>
      </c>
      <c r="E23" s="4" t="str">
        <v>Gội trải nghiệm 90p</v>
      </c>
      <c r="F23" s="21">
        <v>789000</v>
      </c>
      <c r="G23" s="21">
        <v>797000</v>
      </c>
      <c r="H23" s="21">
        <v>797000</v>
      </c>
      <c r="I23" s="4">
        <f>A23&amp;D23</f>
      </c>
      <c r="J23" s="4">
        <v>797000</v>
      </c>
      <c r="K23" s="4"/>
      <c r="L23" s="4"/>
      <c r="M23" s="4"/>
      <c r="N23" s="4"/>
      <c r="O23" s="4"/>
      <c r="P23" s="4"/>
      <c r="Q23" s="4"/>
      <c r="R23" s="4"/>
      <c r="S23" s="4"/>
    </row>
    <row r="24">
      <c r="A24" s="4">
        <v>143</v>
      </c>
      <c r="B24" s="4" t="str">
        <v>10 TP</v>
      </c>
      <c r="C24" s="4" t="str">
        <v>DV_Gội</v>
      </c>
      <c r="D24" s="4">
        <v>1068</v>
      </c>
      <c r="E24" s="4" t="str">
        <v>Gội trải nghiệm 115p</v>
      </c>
      <c r="F24" s="21">
        <v>999000</v>
      </c>
      <c r="G24" s="21">
        <v>1010000</v>
      </c>
      <c r="H24" s="21">
        <v>1010000</v>
      </c>
      <c r="I24" s="4">
        <f>A24&amp;D24</f>
      </c>
      <c r="J24" s="4">
        <v>1010000</v>
      </c>
      <c r="K24" s="4"/>
      <c r="L24" s="4"/>
      <c r="M24" s="4"/>
      <c r="N24" s="4"/>
      <c r="O24" s="4"/>
      <c r="P24" s="4"/>
      <c r="Q24" s="4"/>
      <c r="R24" s="4"/>
      <c r="S24" s="4"/>
    </row>
    <row r="25">
      <c r="A25" s="4">
        <v>143</v>
      </c>
      <c r="B25" s="4" t="str">
        <v>10 TP</v>
      </c>
      <c r="C25" s="4" t="str">
        <v>DV_Spa</v>
      </c>
      <c r="D25" s="4">
        <v>938</v>
      </c>
      <c r="E25" s="4" t="str">
        <v>[NEW] Lấy mụn &amp; chăm sóc da CNC Light Smooth (có phân tích da)</v>
      </c>
      <c r="F25" s="21">
        <v>359000</v>
      </c>
      <c r="G25" s="21">
        <v>363000</v>
      </c>
      <c r="H25" s="21">
        <v>363000</v>
      </c>
      <c r="I25" s="4">
        <f>A25&amp;D25</f>
      </c>
      <c r="J25" s="4">
        <v>363000</v>
      </c>
      <c r="K25" s="4"/>
      <c r="L25" s="4"/>
      <c r="M25" s="4"/>
      <c r="N25" s="4"/>
      <c r="O25" s="4"/>
      <c r="P25" s="4"/>
      <c r="Q25" s="4"/>
      <c r="R25" s="4"/>
      <c r="S25" s="4"/>
    </row>
    <row r="26">
      <c r="A26" s="4">
        <v>44</v>
      </c>
      <c r="B26" s="4" t="str">
        <v>103 TN</v>
      </c>
      <c r="C26" s="4" t="str">
        <v>DV_Cắt</v>
      </c>
      <c r="D26" s="4">
        <v>513</v>
      </c>
      <c r="E26" s="4" t="str">
        <v>[DV] ShineCombo 10 bước Ultra Care 2023</v>
      </c>
      <c r="F26" s="21">
        <v>122000</v>
      </c>
      <c r="G26" s="21">
        <v>122000</v>
      </c>
      <c r="H26" s="21">
        <v>122000</v>
      </c>
      <c r="I26" s="4">
        <f>A26&amp;D26</f>
      </c>
      <c r="J26" s="4">
        <v>122000</v>
      </c>
      <c r="K26" s="4"/>
      <c r="L26" s="4"/>
      <c r="M26" s="4"/>
      <c r="N26" s="4"/>
      <c r="O26" s="4"/>
      <c r="P26" s="4"/>
      <c r="Q26" s="4"/>
      <c r="R26" s="4"/>
      <c r="S26" s="4"/>
    </row>
    <row r="27">
      <c r="A27" s="4">
        <v>44</v>
      </c>
      <c r="B27" s="4" t="str">
        <v>103 TN</v>
      </c>
      <c r="C27" s="4" t="str">
        <v>DV_Cắt</v>
      </c>
      <c r="D27" s="4">
        <v>891</v>
      </c>
      <c r="E27" s="4" t="str">
        <v>Cắt xả tạo kiểu</v>
      </c>
      <c r="F27" s="21">
        <v>95000</v>
      </c>
      <c r="G27" s="21">
        <v>99000</v>
      </c>
      <c r="H27" s="21">
        <v>99000</v>
      </c>
      <c r="I27" s="4">
        <f>A27&amp;D27</f>
      </c>
      <c r="J27" s="4">
        <v>99000</v>
      </c>
      <c r="K27" s="4"/>
      <c r="L27" s="4"/>
      <c r="M27" s="4"/>
      <c r="N27" s="4"/>
      <c r="O27" s="4"/>
      <c r="P27" s="4"/>
      <c r="Q27" s="4"/>
      <c r="R27" s="4"/>
      <c r="S27" s="4"/>
    </row>
    <row r="28">
      <c r="A28" s="4">
        <v>44</v>
      </c>
      <c r="B28" s="4" t="str">
        <v>103 TN</v>
      </c>
      <c r="C28" s="4" t="str">
        <v>DV_Cắt</v>
      </c>
      <c r="D28" s="4">
        <v>1002</v>
      </c>
      <c r="E28" s="4" t="str">
        <v>Kid Cắt</v>
      </c>
      <c r="F28" s="21">
        <v>76000</v>
      </c>
      <c r="G28" s="21">
        <v>79000</v>
      </c>
      <c r="H28" s="21">
        <v>79000</v>
      </c>
      <c r="I28" s="4">
        <f>A28&amp;D28</f>
      </c>
      <c r="J28" s="4">
        <v>79000</v>
      </c>
      <c r="K28" s="4"/>
      <c r="L28" s="4"/>
      <c r="M28" s="4"/>
      <c r="N28" s="4"/>
      <c r="O28" s="4"/>
      <c r="P28" s="4"/>
      <c r="Q28" s="4"/>
      <c r="R28" s="4"/>
      <c r="S28" s="4"/>
    </row>
    <row r="29">
      <c r="A29" s="4">
        <v>44</v>
      </c>
      <c r="B29" s="4" t="str">
        <v>103 TN</v>
      </c>
      <c r="C29" s="4" t="str">
        <v>DV_Cắt</v>
      </c>
      <c r="D29" s="4">
        <v>1052</v>
      </c>
      <c r="E29" s="4" t="str">
        <v>Combo 1 - First Class 1</v>
      </c>
      <c r="F29" s="21">
        <v>139000</v>
      </c>
      <c r="G29" s="21">
        <v>139000</v>
      </c>
      <c r="H29" s="21">
        <v>139000</v>
      </c>
      <c r="I29" s="4">
        <f>A29&amp;D29</f>
      </c>
      <c r="J29" s="4">
        <v>139000</v>
      </c>
      <c r="K29" s="4"/>
      <c r="L29" s="4"/>
      <c r="M29" s="4"/>
      <c r="N29" s="4"/>
      <c r="O29" s="4"/>
      <c r="P29" s="4"/>
      <c r="Q29" s="4"/>
      <c r="R29" s="4"/>
      <c r="S29" s="4"/>
    </row>
    <row r="30">
      <c r="A30" s="4">
        <v>44</v>
      </c>
      <c r="B30" s="4" t="str">
        <v>103 TN</v>
      </c>
      <c r="C30" s="4" t="str">
        <v>DV_Cắt</v>
      </c>
      <c r="D30" s="4">
        <v>1070</v>
      </c>
      <c r="E30" s="4" t="str">
        <v>Combo Cắt gội Kid</v>
      </c>
      <c r="F30" s="21">
        <v>100000</v>
      </c>
      <c r="G30" s="21">
        <v>104000</v>
      </c>
      <c r="H30" s="21">
        <v>104000</v>
      </c>
      <c r="I30" s="4">
        <f>A30&amp;D30</f>
      </c>
      <c r="J30" s="4">
        <v>104000</v>
      </c>
      <c r="K30" s="4"/>
      <c r="L30" s="4"/>
      <c r="M30" s="4"/>
      <c r="N30" s="4"/>
      <c r="O30" s="4"/>
      <c r="P30" s="4"/>
      <c r="Q30" s="4"/>
      <c r="R30" s="4"/>
      <c r="S30" s="4"/>
    </row>
    <row r="31">
      <c r="A31" s="4">
        <v>44</v>
      </c>
      <c r="B31" s="4" t="str">
        <v>103 TN</v>
      </c>
      <c r="C31" s="4" t="str">
        <v>DV_Cắt_Vip</v>
      </c>
      <c r="D31" s="4">
        <v>1046</v>
      </c>
      <c r="E31" s="4" t="str">
        <v>Shinecombo 2</v>
      </c>
      <c r="F31" s="21">
        <v>200000</v>
      </c>
      <c r="G31" s="21">
        <v>208000</v>
      </c>
      <c r="H31" s="21">
        <v>208000</v>
      </c>
      <c r="I31" s="4">
        <f>A31&amp;D31</f>
      </c>
      <c r="J31" s="4">
        <v>208000</v>
      </c>
      <c r="K31" s="4"/>
      <c r="L31" s="4"/>
      <c r="M31" s="4"/>
      <c r="N31" s="4"/>
      <c r="O31" s="4"/>
      <c r="P31" s="4"/>
      <c r="Q31" s="4"/>
      <c r="R31" s="4"/>
      <c r="S31" s="4"/>
    </row>
    <row r="32">
      <c r="A32" s="4">
        <v>44</v>
      </c>
      <c r="B32" s="4" t="str">
        <v>103 TN</v>
      </c>
      <c r="C32" s="4" t="str">
        <v>DV_Cắt_Vip</v>
      </c>
      <c r="D32" s="4">
        <v>1047</v>
      </c>
      <c r="E32" s="4" t="str">
        <v>Cắt Gội Combo 3 - Chăm da</v>
      </c>
      <c r="F32" s="21">
        <v>300000</v>
      </c>
      <c r="G32" s="21">
        <v>313000</v>
      </c>
      <c r="H32" s="21">
        <v>313000</v>
      </c>
      <c r="I32" s="4">
        <f>A32&amp;D32</f>
      </c>
      <c r="J32" s="4">
        <v>313000</v>
      </c>
      <c r="K32" s="4"/>
      <c r="L32" s="4"/>
      <c r="M32" s="4"/>
      <c r="N32" s="4"/>
      <c r="O32" s="4"/>
      <c r="P32" s="4"/>
      <c r="Q32" s="4"/>
      <c r="R32" s="4"/>
      <c r="S32" s="4"/>
    </row>
    <row r="33">
      <c r="A33" s="4">
        <v>44</v>
      </c>
      <c r="B33" s="4" t="str">
        <v>103 TN</v>
      </c>
      <c r="C33" s="4" t="str">
        <v>DV_Cắt_Vip</v>
      </c>
      <c r="D33" s="4">
        <v>1048</v>
      </c>
      <c r="E33" s="4" t="str">
        <v>Combo 4</v>
      </c>
      <c r="F33" s="21">
        <v>390000</v>
      </c>
      <c r="G33" s="21">
        <v>406000</v>
      </c>
      <c r="H33" s="21">
        <v>406000</v>
      </c>
      <c r="I33" s="4">
        <f>A33&amp;D33</f>
      </c>
      <c r="J33" s="4">
        <v>406000</v>
      </c>
      <c r="K33" s="4"/>
      <c r="L33" s="4"/>
      <c r="M33" s="4"/>
      <c r="N33" s="4"/>
      <c r="O33" s="4"/>
      <c r="P33" s="4"/>
      <c r="Q33" s="4"/>
      <c r="R33" s="4"/>
      <c r="S33" s="4"/>
    </row>
    <row r="34">
      <c r="A34" s="4">
        <v>44</v>
      </c>
      <c r="B34" s="4" t="str">
        <v>103 TN</v>
      </c>
      <c r="C34" s="4" t="str">
        <v>DV_Cắt_Vip</v>
      </c>
      <c r="D34" s="4">
        <v>1053</v>
      </c>
      <c r="E34" s="4" t="str">
        <v>Combo 2 - First Class 2</v>
      </c>
      <c r="F34" s="21">
        <v>240000</v>
      </c>
      <c r="G34" s="21">
        <v>250000</v>
      </c>
      <c r="H34" s="21">
        <v>250000</v>
      </c>
      <c r="I34" s="4">
        <f>A34&amp;D34</f>
      </c>
      <c r="J34" s="4">
        <v>250000</v>
      </c>
      <c r="K34" s="4"/>
      <c r="L34" s="4"/>
      <c r="M34" s="4"/>
      <c r="N34" s="4"/>
      <c r="O34" s="4"/>
      <c r="P34" s="4"/>
      <c r="Q34" s="4"/>
      <c r="R34" s="4"/>
      <c r="S34" s="4"/>
    </row>
    <row r="35">
      <c r="A35" s="4">
        <v>44</v>
      </c>
      <c r="B35" s="4" t="str">
        <v>103 TN</v>
      </c>
      <c r="C35" s="4" t="str">
        <v>DV_Cắt_Vip</v>
      </c>
      <c r="D35" s="4">
        <v>1054</v>
      </c>
      <c r="E35" s="4" t="str">
        <v>Combo 3 - First Class 3</v>
      </c>
      <c r="F35" s="21">
        <v>310000</v>
      </c>
      <c r="G35" s="21">
        <v>323000</v>
      </c>
      <c r="H35" s="21">
        <v>323000</v>
      </c>
      <c r="I35" s="4">
        <f>A35&amp;D35</f>
      </c>
      <c r="J35" s="4">
        <v>323000</v>
      </c>
      <c r="K35" s="4"/>
      <c r="L35" s="4"/>
      <c r="M35" s="4"/>
      <c r="N35" s="4"/>
      <c r="O35" s="4"/>
      <c r="P35" s="4"/>
      <c r="Q35" s="4"/>
      <c r="R35" s="4"/>
      <c r="S35" s="4"/>
    </row>
    <row r="36">
      <c r="A36" s="4">
        <v>44</v>
      </c>
      <c r="B36" s="4" t="str">
        <v>103 TN</v>
      </c>
      <c r="C36" s="4" t="str">
        <v>DV_Cắt_Vip</v>
      </c>
      <c r="D36" s="4">
        <v>1055</v>
      </c>
      <c r="E36" s="4" t="str">
        <v>Combo 4- First Class 4</v>
      </c>
      <c r="F36" s="21">
        <v>410000</v>
      </c>
      <c r="G36" s="21">
        <v>427000</v>
      </c>
      <c r="H36" s="21">
        <v>427000</v>
      </c>
      <c r="I36" s="4">
        <f>A36&amp;D36</f>
      </c>
      <c r="J36" s="4">
        <v>427000</v>
      </c>
      <c r="K36" s="4"/>
      <c r="L36" s="4"/>
      <c r="M36" s="4"/>
      <c r="N36" s="4"/>
      <c r="O36" s="4"/>
      <c r="P36" s="4"/>
      <c r="Q36" s="4"/>
      <c r="R36" s="4"/>
      <c r="S36" s="4"/>
    </row>
    <row r="37">
      <c r="A37" s="4">
        <v>44</v>
      </c>
      <c r="B37" s="4" t="str">
        <v>103 TN</v>
      </c>
      <c r="C37" s="4" t="str">
        <v>DV_Cắt_Vip</v>
      </c>
      <c r="D37" s="4">
        <v>1064</v>
      </c>
      <c r="E37" s="4" t="str">
        <v>Cắt Gội Combo 5 - Dưỡng sinh</v>
      </c>
      <c r="F37" s="21">
        <v>459000</v>
      </c>
      <c r="G37" s="21">
        <v>478000</v>
      </c>
      <c r="H37" s="21">
        <v>478000</v>
      </c>
      <c r="I37" s="4">
        <f>A37&amp;D37</f>
      </c>
      <c r="J37" s="4">
        <v>478000</v>
      </c>
      <c r="K37" s="4"/>
      <c r="L37" s="4"/>
      <c r="M37" s="4"/>
      <c r="N37" s="4"/>
      <c r="O37" s="4"/>
      <c r="P37" s="4"/>
      <c r="Q37" s="4"/>
      <c r="R37" s="4"/>
      <c r="S37" s="4"/>
    </row>
    <row r="38">
      <c r="A38" s="4">
        <v>44</v>
      </c>
      <c r="B38" s="4" t="str">
        <v>103 TN</v>
      </c>
      <c r="C38" s="4" t="str">
        <v>DV_Cắt_Vip</v>
      </c>
      <c r="D38" s="4">
        <v>1065</v>
      </c>
      <c r="E38" s="4" t="str">
        <v>Cắt Gội Combo 3 - Dưỡng sinh</v>
      </c>
      <c r="F38" s="21">
        <v>300000</v>
      </c>
      <c r="G38" s="21">
        <v>313000</v>
      </c>
      <c r="H38" s="21">
        <v>313000</v>
      </c>
      <c r="I38" s="4">
        <f>A38&amp;D38</f>
      </c>
      <c r="J38" s="4">
        <v>313000</v>
      </c>
      <c r="K38" s="4"/>
      <c r="L38" s="4"/>
      <c r="M38" s="4"/>
      <c r="N38" s="4"/>
      <c r="O38" s="4"/>
      <c r="P38" s="4"/>
      <c r="Q38" s="4"/>
      <c r="R38" s="4"/>
      <c r="S38" s="4"/>
    </row>
    <row r="39">
      <c r="A39" s="4">
        <v>44</v>
      </c>
      <c r="B39" s="4" t="str">
        <v>103 TN</v>
      </c>
      <c r="C39" s="4" t="str">
        <v>DV_Gội</v>
      </c>
      <c r="D39" s="4">
        <v>867</v>
      </c>
      <c r="E39" s="4" t="str">
        <v>Gội dưỡng sinh cổ vai gáy</v>
      </c>
      <c r="F39" s="21">
        <v>99000</v>
      </c>
      <c r="G39" s="21">
        <v>103000</v>
      </c>
      <c r="H39" s="21">
        <v>103000</v>
      </c>
      <c r="I39" s="4">
        <f>A39&amp;D39</f>
      </c>
      <c r="J39" s="4">
        <v>103000</v>
      </c>
      <c r="K39" s="4"/>
      <c r="L39" s="4"/>
      <c r="M39" s="4"/>
      <c r="N39" s="4"/>
      <c r="O39" s="4"/>
      <c r="P39" s="4"/>
      <c r="Q39" s="4"/>
      <c r="R39" s="4"/>
      <c r="S39" s="4"/>
    </row>
    <row r="40">
      <c r="A40" s="4">
        <v>44</v>
      </c>
      <c r="B40" s="4" t="str">
        <v>103 TN</v>
      </c>
      <c r="C40" s="4" t="str">
        <v>DV_Gội</v>
      </c>
      <c r="D40" s="4">
        <v>930</v>
      </c>
      <c r="E40" s="4" t="str">
        <v>[NEW] Gội dưỡng sinh cổ vai gáy và chăm sóc da</v>
      </c>
      <c r="F40" s="21">
        <v>139000</v>
      </c>
      <c r="G40" s="21">
        <v>145000</v>
      </c>
      <c r="H40" s="21">
        <v>145000</v>
      </c>
      <c r="I40" s="4">
        <f>A40&amp;D40</f>
      </c>
      <c r="J40" s="4">
        <v>145000</v>
      </c>
      <c r="K40" s="4"/>
      <c r="L40" s="4"/>
      <c r="M40" s="4"/>
      <c r="N40" s="4"/>
      <c r="O40" s="4"/>
      <c r="P40" s="4"/>
      <c r="Q40" s="4"/>
      <c r="R40" s="4"/>
      <c r="S40" s="4"/>
    </row>
    <row r="41">
      <c r="A41" s="4">
        <v>44</v>
      </c>
      <c r="B41" s="4" t="str">
        <v>103 TN</v>
      </c>
      <c r="C41" s="4" t="str">
        <v>DV_Gội</v>
      </c>
      <c r="D41" s="4">
        <v>934</v>
      </c>
      <c r="E41" s="4" t="str">
        <v>Gội combo 3 - Dưỡng sinh</v>
      </c>
      <c r="F41" s="21">
        <v>229000</v>
      </c>
      <c r="G41" s="21">
        <v>239000</v>
      </c>
      <c r="H41" s="21">
        <v>239000</v>
      </c>
      <c r="I41" s="4">
        <f>A41&amp;D41</f>
      </c>
      <c r="J41" s="4">
        <v>239000</v>
      </c>
      <c r="K41" s="4"/>
      <c r="L41" s="4"/>
      <c r="M41" s="4"/>
      <c r="N41" s="4"/>
      <c r="O41" s="4"/>
      <c r="P41" s="4"/>
      <c r="Q41" s="4"/>
      <c r="R41" s="4"/>
      <c r="S41" s="4"/>
    </row>
    <row r="42">
      <c r="A42" s="4">
        <v>44</v>
      </c>
      <c r="B42" s="4" t="str">
        <v>103 TN</v>
      </c>
      <c r="C42" s="4" t="str">
        <v>DV_Gội</v>
      </c>
      <c r="D42" s="4">
        <v>940</v>
      </c>
      <c r="E42" s="4" t="str">
        <v>[NEW] Gội dưỡng sinh</v>
      </c>
      <c r="F42" s="21">
        <v>59000</v>
      </c>
      <c r="G42" s="21">
        <v>61000</v>
      </c>
      <c r="H42" s="21">
        <v>61000</v>
      </c>
      <c r="I42" s="4">
        <f>A42&amp;D42</f>
      </c>
      <c r="J42" s="4">
        <v>61000</v>
      </c>
      <c r="K42" s="4"/>
      <c r="L42" s="4"/>
      <c r="M42" s="4"/>
      <c r="N42" s="4"/>
      <c r="O42" s="4"/>
      <c r="P42" s="4"/>
      <c r="Q42" s="4"/>
      <c r="R42" s="4"/>
      <c r="S42" s="4"/>
    </row>
    <row r="43">
      <c r="A43" s="4">
        <v>44</v>
      </c>
      <c r="B43" s="4" t="str">
        <v>103 TN</v>
      </c>
      <c r="C43" s="4" t="str">
        <v>DV_Gội</v>
      </c>
      <c r="D43" s="4">
        <v>1058</v>
      </c>
      <c r="E43" s="4" t="str">
        <v>Gội Combo 2</v>
      </c>
      <c r="F43" s="21">
        <v>159000</v>
      </c>
      <c r="G43" s="21">
        <v>166000</v>
      </c>
      <c r="H43" s="21">
        <v>166000</v>
      </c>
      <c r="I43" s="4">
        <f>A43&amp;D43</f>
      </c>
      <c r="J43" s="4">
        <v>166000</v>
      </c>
      <c r="K43" s="4"/>
      <c r="L43" s="4"/>
      <c r="M43" s="4"/>
      <c r="N43" s="4"/>
      <c r="O43" s="4"/>
      <c r="P43" s="4"/>
      <c r="Q43" s="4"/>
      <c r="R43" s="4"/>
      <c r="S43" s="4"/>
    </row>
    <row r="44">
      <c r="A44" s="4">
        <v>44</v>
      </c>
      <c r="B44" s="4" t="str">
        <v>103 TN</v>
      </c>
      <c r="C44" s="4" t="str">
        <v>DV_Gội</v>
      </c>
      <c r="D44" s="4">
        <v>1059</v>
      </c>
      <c r="E44" s="4" t="str">
        <v>Gội Combo 3 - Chăm da</v>
      </c>
      <c r="F44" s="21">
        <v>239000</v>
      </c>
      <c r="G44" s="21">
        <v>249000</v>
      </c>
      <c r="H44" s="21">
        <v>249000</v>
      </c>
      <c r="I44" s="4">
        <f>A44&amp;D44</f>
      </c>
      <c r="J44" s="4">
        <v>249000</v>
      </c>
      <c r="K44" s="4"/>
      <c r="L44" s="4"/>
      <c r="M44" s="4"/>
      <c r="N44" s="4"/>
      <c r="O44" s="4"/>
      <c r="P44" s="4"/>
      <c r="Q44" s="4"/>
      <c r="R44" s="4"/>
      <c r="S44" s="4"/>
    </row>
    <row r="45">
      <c r="A45" s="4">
        <v>44</v>
      </c>
      <c r="B45" s="4" t="str">
        <v>103 TN</v>
      </c>
      <c r="C45" s="4" t="str">
        <v>DV_Gội</v>
      </c>
      <c r="D45" s="4">
        <v>1060</v>
      </c>
      <c r="E45" s="4" t="str">
        <v>Gội Combo 4</v>
      </c>
      <c r="F45" s="21">
        <v>329000</v>
      </c>
      <c r="G45" s="21">
        <v>343000</v>
      </c>
      <c r="H45" s="21">
        <v>343000</v>
      </c>
      <c r="I45" s="4">
        <f>A45&amp;D45</f>
      </c>
      <c r="J45" s="4">
        <v>343000</v>
      </c>
      <c r="K45" s="4"/>
      <c r="L45" s="4"/>
      <c r="M45" s="4"/>
      <c r="N45" s="4"/>
      <c r="O45" s="4"/>
      <c r="P45" s="4"/>
      <c r="Q45" s="4"/>
      <c r="R45" s="4"/>
      <c r="S45" s="4"/>
    </row>
    <row r="46">
      <c r="A46" s="4">
        <v>44</v>
      </c>
      <c r="B46" s="4" t="str">
        <v>103 TN</v>
      </c>
      <c r="C46" s="4" t="str">
        <v>DV_Gội</v>
      </c>
      <c r="D46" s="4">
        <v>1066</v>
      </c>
      <c r="E46" s="4" t="str">
        <v>Gội trải nghiệm 75p</v>
      </c>
      <c r="F46" s="21">
        <v>589000</v>
      </c>
      <c r="G46" s="21">
        <v>614000</v>
      </c>
      <c r="H46" s="21">
        <v>614000</v>
      </c>
      <c r="I46" s="4">
        <f>A46&amp;D46</f>
      </c>
      <c r="J46" s="4">
        <v>614000</v>
      </c>
      <c r="K46" s="4"/>
      <c r="L46" s="4"/>
      <c r="M46" s="4"/>
      <c r="N46" s="4"/>
      <c r="O46" s="4"/>
      <c r="P46" s="4"/>
      <c r="Q46" s="4"/>
      <c r="R46" s="4"/>
      <c r="S46" s="4"/>
    </row>
    <row r="47">
      <c r="A47" s="4">
        <v>44</v>
      </c>
      <c r="B47" s="4" t="str">
        <v>103 TN</v>
      </c>
      <c r="C47" s="4" t="str">
        <v>DV_Gội</v>
      </c>
      <c r="D47" s="4">
        <v>1067</v>
      </c>
      <c r="E47" s="4" t="str">
        <v>Gội trải nghiệm 90p</v>
      </c>
      <c r="F47" s="21">
        <v>789000</v>
      </c>
      <c r="G47" s="21">
        <v>822000</v>
      </c>
      <c r="H47" s="21">
        <v>822000</v>
      </c>
      <c r="I47" s="4">
        <f>A47&amp;D47</f>
      </c>
      <c r="J47" s="4">
        <v>822000</v>
      </c>
      <c r="K47" s="4"/>
      <c r="L47" s="4"/>
      <c r="M47" s="4"/>
      <c r="N47" s="4"/>
      <c r="O47" s="4"/>
      <c r="P47" s="4"/>
      <c r="Q47" s="4"/>
      <c r="R47" s="4"/>
      <c r="S47" s="4"/>
    </row>
    <row r="48">
      <c r="A48" s="4">
        <v>44</v>
      </c>
      <c r="B48" s="4" t="str">
        <v>103 TN</v>
      </c>
      <c r="C48" s="4" t="str">
        <v>DV_Gội</v>
      </c>
      <c r="D48" s="4">
        <v>1068</v>
      </c>
      <c r="E48" s="4" t="str">
        <v>Gội trải nghiệm 115p</v>
      </c>
      <c r="F48" s="21">
        <v>999000</v>
      </c>
      <c r="G48" s="21">
        <v>1041000</v>
      </c>
      <c r="H48" s="21">
        <v>1041000</v>
      </c>
      <c r="I48" s="4">
        <f>A48&amp;D48</f>
      </c>
      <c r="J48" s="4">
        <v>1041000</v>
      </c>
      <c r="K48" s="4"/>
      <c r="L48" s="4"/>
      <c r="M48" s="4"/>
      <c r="N48" s="4"/>
      <c r="O48" s="4"/>
      <c r="P48" s="4"/>
      <c r="Q48" s="4"/>
      <c r="R48" s="4"/>
      <c r="S48" s="4"/>
    </row>
    <row r="49">
      <c r="A49" s="4">
        <v>146</v>
      </c>
      <c r="B49" s="4" t="str">
        <v>109 TQH</v>
      </c>
      <c r="C49" s="4" t="str">
        <v>DV_Cắt</v>
      </c>
      <c r="D49" s="4">
        <v>513</v>
      </c>
      <c r="E49" s="4" t="str">
        <v>[DV] ShineCombo 10 bước Ultra Care 2023</v>
      </c>
      <c r="F49" s="21">
        <v>122000</v>
      </c>
      <c r="G49" s="21">
        <v>122000</v>
      </c>
      <c r="H49" s="21">
        <v>122000</v>
      </c>
      <c r="I49" s="4">
        <f>A49&amp;D49</f>
      </c>
      <c r="J49" s="4">
        <v>122000</v>
      </c>
      <c r="K49" s="4"/>
      <c r="L49" s="4"/>
      <c r="M49" s="4"/>
      <c r="N49" s="4"/>
      <c r="O49" s="4"/>
      <c r="P49" s="4"/>
      <c r="Q49" s="4"/>
      <c r="R49" s="4"/>
      <c r="S49" s="4"/>
    </row>
    <row r="50">
      <c r="A50" s="4">
        <v>146</v>
      </c>
      <c r="B50" s="4" t="str">
        <v>109 TQH</v>
      </c>
      <c r="C50" s="4" t="str">
        <v>DV_Cắt</v>
      </c>
      <c r="D50" s="4">
        <v>891</v>
      </c>
      <c r="E50" s="4" t="str">
        <v>Cắt xả tạo kiểu</v>
      </c>
      <c r="F50" s="21">
        <v>94000</v>
      </c>
      <c r="G50" s="21">
        <v>98000</v>
      </c>
      <c r="H50" s="21">
        <v>98000</v>
      </c>
      <c r="I50" s="4">
        <f>A50&amp;D50</f>
      </c>
      <c r="J50" s="4">
        <v>98000</v>
      </c>
      <c r="K50" s="4"/>
      <c r="L50" s="4"/>
      <c r="M50" s="4"/>
      <c r="N50" s="4"/>
      <c r="O50" s="4"/>
      <c r="P50" s="4"/>
      <c r="Q50" s="4"/>
      <c r="R50" s="4"/>
      <c r="S50" s="4"/>
    </row>
    <row r="51">
      <c r="A51" s="4">
        <v>146</v>
      </c>
      <c r="B51" s="4" t="str">
        <v>109 TQH</v>
      </c>
      <c r="C51" s="4" t="str">
        <v>DV_Cắt</v>
      </c>
      <c r="D51" s="4">
        <v>1002</v>
      </c>
      <c r="E51" s="4" t="str">
        <v>Kid Cắt</v>
      </c>
      <c r="F51" s="21">
        <v>75000</v>
      </c>
      <c r="G51" s="21">
        <v>78000</v>
      </c>
      <c r="H51" s="21">
        <v>78000</v>
      </c>
      <c r="I51" s="4">
        <f>A51&amp;D51</f>
      </c>
      <c r="J51" s="4">
        <v>78000</v>
      </c>
      <c r="K51" s="4"/>
      <c r="L51" s="4"/>
      <c r="M51" s="4"/>
      <c r="N51" s="4"/>
      <c r="O51" s="4"/>
      <c r="P51" s="4"/>
      <c r="Q51" s="4"/>
      <c r="R51" s="4"/>
      <c r="S51" s="4"/>
    </row>
    <row r="52">
      <c r="A52" s="4">
        <v>146</v>
      </c>
      <c r="B52" s="4" t="str">
        <v>109 TQH</v>
      </c>
      <c r="C52" s="4" t="str">
        <v>DV_Cắt</v>
      </c>
      <c r="D52" s="4">
        <v>1070</v>
      </c>
      <c r="E52" s="4" t="str">
        <v>Combo Cắt gội Kid</v>
      </c>
      <c r="F52" s="21">
        <v>100000</v>
      </c>
      <c r="G52" s="21">
        <v>104000</v>
      </c>
      <c r="H52" s="21">
        <v>104000</v>
      </c>
      <c r="I52" s="4">
        <f>A52&amp;D52</f>
      </c>
      <c r="J52" s="4">
        <v>104000</v>
      </c>
      <c r="K52" s="4"/>
      <c r="L52" s="4"/>
      <c r="M52" s="4"/>
      <c r="N52" s="4"/>
      <c r="O52" s="4"/>
      <c r="P52" s="4"/>
      <c r="Q52" s="4"/>
      <c r="R52" s="4"/>
      <c r="S52" s="4"/>
    </row>
    <row r="53">
      <c r="A53" s="4">
        <v>146</v>
      </c>
      <c r="B53" s="4" t="str">
        <v>109 TQH</v>
      </c>
      <c r="C53" s="4" t="str">
        <v>DV_Cắt_Vip</v>
      </c>
      <c r="D53" s="4">
        <v>1046</v>
      </c>
      <c r="E53" s="4" t="str">
        <v>Shinecombo 2</v>
      </c>
      <c r="F53" s="21">
        <v>199000</v>
      </c>
      <c r="G53" s="21">
        <v>207000</v>
      </c>
      <c r="H53" s="21">
        <v>207000</v>
      </c>
      <c r="I53" s="4">
        <f>A53&amp;D53</f>
      </c>
      <c r="J53" s="4">
        <v>207000</v>
      </c>
      <c r="K53" s="4"/>
      <c r="L53" s="4"/>
      <c r="M53" s="4"/>
      <c r="N53" s="4"/>
      <c r="O53" s="4"/>
      <c r="P53" s="4"/>
      <c r="Q53" s="4"/>
      <c r="R53" s="4"/>
      <c r="S53" s="4"/>
    </row>
    <row r="54">
      <c r="A54" s="4">
        <v>146</v>
      </c>
      <c r="B54" s="4" t="str">
        <v>109 TQH</v>
      </c>
      <c r="C54" s="4" t="str">
        <v>DV_Cắt_Vip</v>
      </c>
      <c r="D54" s="4">
        <v>1047</v>
      </c>
      <c r="E54" s="4" t="str">
        <v>Cắt Gội Combo 3 - Chăm da</v>
      </c>
      <c r="F54" s="21">
        <v>299000</v>
      </c>
      <c r="G54" s="21">
        <v>312000</v>
      </c>
      <c r="H54" s="21">
        <v>312000</v>
      </c>
      <c r="I54" s="4">
        <f>A54&amp;D54</f>
      </c>
      <c r="J54" s="4">
        <v>312000</v>
      </c>
      <c r="K54" s="4"/>
      <c r="L54" s="4"/>
      <c r="M54" s="4"/>
      <c r="N54" s="4"/>
      <c r="O54" s="4"/>
      <c r="P54" s="4"/>
      <c r="Q54" s="4"/>
      <c r="R54" s="4"/>
      <c r="S54" s="4"/>
    </row>
    <row r="55">
      <c r="A55" s="4">
        <v>146</v>
      </c>
      <c r="B55" s="4" t="str">
        <v>109 TQH</v>
      </c>
      <c r="C55" s="4" t="str">
        <v>DV_Cắt_Vip</v>
      </c>
      <c r="D55" s="4">
        <v>1048</v>
      </c>
      <c r="E55" s="4" t="str">
        <v>Combo 4</v>
      </c>
      <c r="F55" s="21">
        <v>389000</v>
      </c>
      <c r="G55" s="21">
        <v>406000</v>
      </c>
      <c r="H55" s="21">
        <v>406000</v>
      </c>
      <c r="I55" s="4">
        <f>A55&amp;D55</f>
      </c>
      <c r="J55" s="4">
        <v>406000</v>
      </c>
      <c r="K55" s="4"/>
      <c r="L55" s="4"/>
      <c r="M55" s="4"/>
      <c r="N55" s="4"/>
      <c r="O55" s="4"/>
      <c r="P55" s="4"/>
      <c r="Q55" s="4"/>
      <c r="R55" s="4"/>
      <c r="S55" s="4"/>
    </row>
    <row r="56">
      <c r="A56" s="4">
        <v>146</v>
      </c>
      <c r="B56" s="4" t="str">
        <v>109 TQH</v>
      </c>
      <c r="C56" s="4" t="str">
        <v>DV_Cắt_Vip</v>
      </c>
      <c r="D56" s="4">
        <v>1064</v>
      </c>
      <c r="E56" s="4" t="str">
        <v>Cắt Gội Combo 5 - Dưỡng sinh</v>
      </c>
      <c r="F56" s="21">
        <v>459000</v>
      </c>
      <c r="G56" s="21">
        <v>479000</v>
      </c>
      <c r="H56" s="21">
        <v>479000</v>
      </c>
      <c r="I56" s="4">
        <f>A56&amp;D56</f>
      </c>
      <c r="J56" s="4">
        <v>479000</v>
      </c>
      <c r="K56" s="4"/>
      <c r="L56" s="4"/>
      <c r="M56" s="4"/>
      <c r="N56" s="4"/>
      <c r="O56" s="4"/>
      <c r="P56" s="4"/>
      <c r="Q56" s="4"/>
      <c r="R56" s="4"/>
      <c r="S56" s="4"/>
    </row>
    <row r="57">
      <c r="A57" s="4">
        <v>146</v>
      </c>
      <c r="B57" s="4" t="str">
        <v>109 TQH</v>
      </c>
      <c r="C57" s="4" t="str">
        <v>DV_Cắt_Vip</v>
      </c>
      <c r="D57" s="4">
        <v>1065</v>
      </c>
      <c r="E57" s="4" t="str">
        <v>Cắt Gội Combo 3 - Dưỡng sinh</v>
      </c>
      <c r="F57" s="21">
        <v>299000</v>
      </c>
      <c r="G57" s="21">
        <v>312000</v>
      </c>
      <c r="H57" s="21">
        <v>312000</v>
      </c>
      <c r="I57" s="4">
        <f>A57&amp;D57</f>
      </c>
      <c r="J57" s="4">
        <v>312000</v>
      </c>
      <c r="K57" s="4"/>
      <c r="L57" s="4"/>
      <c r="M57" s="4"/>
      <c r="N57" s="4"/>
      <c r="O57" s="4"/>
      <c r="P57" s="4"/>
      <c r="Q57" s="4"/>
      <c r="R57" s="4"/>
      <c r="S57" s="4"/>
    </row>
    <row r="58">
      <c r="A58" s="4">
        <v>146</v>
      </c>
      <c r="B58" s="4" t="str">
        <v>109 TQH</v>
      </c>
      <c r="C58" s="4" t="str">
        <v>DV_Gội</v>
      </c>
      <c r="D58" s="4">
        <v>867</v>
      </c>
      <c r="E58" s="4" t="str">
        <v>Gội dưỡng sinh cổ vai gáy</v>
      </c>
      <c r="F58" s="21">
        <v>99000</v>
      </c>
      <c r="G58" s="21">
        <v>103000</v>
      </c>
      <c r="H58" s="21">
        <v>103000</v>
      </c>
      <c r="I58" s="4">
        <f>A58&amp;D58</f>
      </c>
      <c r="J58" s="4">
        <v>103000</v>
      </c>
      <c r="K58" s="4"/>
      <c r="L58" s="4"/>
      <c r="M58" s="4"/>
      <c r="N58" s="4"/>
      <c r="O58" s="4"/>
      <c r="P58" s="4"/>
      <c r="Q58" s="4"/>
      <c r="R58" s="4"/>
      <c r="S58" s="4"/>
    </row>
    <row r="59">
      <c r="A59" s="4">
        <v>146</v>
      </c>
      <c r="B59" s="4" t="str">
        <v>109 TQH</v>
      </c>
      <c r="C59" s="4" t="str">
        <v>DV_Gội</v>
      </c>
      <c r="D59" s="4">
        <v>930</v>
      </c>
      <c r="E59" s="4" t="str">
        <v>[NEW] Gội dưỡng sinh cổ vai gáy và chăm sóc da</v>
      </c>
      <c r="F59" s="21">
        <v>139000</v>
      </c>
      <c r="G59" s="21">
        <v>145000</v>
      </c>
      <c r="H59" s="21">
        <v>145000</v>
      </c>
      <c r="I59" s="4">
        <f>A59&amp;D59</f>
      </c>
      <c r="J59" s="4">
        <v>145000</v>
      </c>
      <c r="K59" s="4"/>
      <c r="L59" s="4"/>
      <c r="M59" s="4"/>
      <c r="N59" s="4"/>
      <c r="O59" s="4"/>
      <c r="P59" s="4"/>
      <c r="Q59" s="4"/>
      <c r="R59" s="4"/>
      <c r="S59" s="4"/>
    </row>
    <row r="60">
      <c r="A60" s="4">
        <v>146</v>
      </c>
      <c r="B60" s="4" t="str">
        <v>109 TQH</v>
      </c>
      <c r="C60" s="4" t="str">
        <v>DV_Gội</v>
      </c>
      <c r="D60" s="4">
        <v>931</v>
      </c>
      <c r="E60" s="4" t="str">
        <v>[NEW] Gội dưỡng sinh đá nóng - Paradise dưỡng sinh đá nóng</v>
      </c>
      <c r="F60" s="21">
        <v>259000</v>
      </c>
      <c r="G60" s="21">
        <v>270000</v>
      </c>
      <c r="H60" s="21">
        <v>270000</v>
      </c>
      <c r="I60" s="4">
        <f>A60&amp;D60</f>
      </c>
      <c r="J60" s="4">
        <v>270000</v>
      </c>
      <c r="K60" s="4"/>
      <c r="L60" s="4"/>
      <c r="M60" s="4"/>
      <c r="N60" s="4"/>
      <c r="O60" s="4"/>
      <c r="P60" s="4"/>
      <c r="Q60" s="4"/>
      <c r="R60" s="4"/>
      <c r="S60" s="4"/>
    </row>
    <row r="61">
      <c r="A61" s="4">
        <v>146</v>
      </c>
      <c r="B61" s="4" t="str">
        <v>109 TQH</v>
      </c>
      <c r="C61" s="4" t="str">
        <v>DV_Gội</v>
      </c>
      <c r="D61" s="4">
        <v>934</v>
      </c>
      <c r="E61" s="4" t="str">
        <v>Gội combo 3 - Dưỡng sinh</v>
      </c>
      <c r="F61" s="21">
        <v>229000</v>
      </c>
      <c r="G61" s="21">
        <v>239000</v>
      </c>
      <c r="H61" s="21">
        <v>239000</v>
      </c>
      <c r="I61" s="4">
        <f>A61&amp;D61</f>
      </c>
      <c r="J61" s="4">
        <v>239000</v>
      </c>
      <c r="K61" s="4"/>
      <c r="L61" s="4"/>
      <c r="M61" s="4"/>
      <c r="N61" s="4"/>
      <c r="O61" s="4"/>
      <c r="P61" s="4"/>
      <c r="Q61" s="4"/>
      <c r="R61" s="4"/>
      <c r="S61" s="4"/>
    </row>
    <row r="62">
      <c r="A62" s="4">
        <v>146</v>
      </c>
      <c r="B62" s="4" t="str">
        <v>109 TQH</v>
      </c>
      <c r="C62" s="4" t="str">
        <v>DV_Gội</v>
      </c>
      <c r="D62" s="4">
        <v>940</v>
      </c>
      <c r="E62" s="4" t="str">
        <v>[NEW] Gội dưỡng sinh</v>
      </c>
      <c r="F62" s="21">
        <v>59000</v>
      </c>
      <c r="G62" s="21">
        <v>62000</v>
      </c>
      <c r="H62" s="21">
        <v>62000</v>
      </c>
      <c r="I62" s="4">
        <f>A62&amp;D62</f>
      </c>
      <c r="J62" s="4">
        <v>62000</v>
      </c>
      <c r="K62" s="4"/>
      <c r="L62" s="4"/>
      <c r="M62" s="4"/>
      <c r="N62" s="4"/>
      <c r="O62" s="4"/>
      <c r="P62" s="4"/>
      <c r="Q62" s="4"/>
      <c r="R62" s="4"/>
      <c r="S62" s="4"/>
    </row>
    <row r="63">
      <c r="A63" s="4">
        <v>146</v>
      </c>
      <c r="B63" s="4" t="str">
        <v>109 TQH</v>
      </c>
      <c r="C63" s="4" t="str">
        <v>DV_Gội</v>
      </c>
      <c r="D63" s="4">
        <v>1058</v>
      </c>
      <c r="E63" s="4" t="str">
        <v>Gội Combo 2</v>
      </c>
      <c r="F63" s="21">
        <v>159000</v>
      </c>
      <c r="G63" s="21">
        <v>166000</v>
      </c>
      <c r="H63" s="21">
        <v>166000</v>
      </c>
      <c r="I63" s="4">
        <f>A63&amp;D63</f>
      </c>
      <c r="J63" s="4">
        <v>166000</v>
      </c>
      <c r="K63" s="4"/>
      <c r="L63" s="4"/>
      <c r="M63" s="4"/>
      <c r="N63" s="4"/>
      <c r="O63" s="4"/>
      <c r="P63" s="4"/>
      <c r="Q63" s="4"/>
      <c r="R63" s="4"/>
      <c r="S63" s="4"/>
    </row>
    <row r="64">
      <c r="A64" s="4">
        <v>146</v>
      </c>
      <c r="B64" s="4" t="str">
        <v>109 TQH</v>
      </c>
      <c r="C64" s="4" t="str">
        <v>DV_Gội</v>
      </c>
      <c r="D64" s="4">
        <v>1059</v>
      </c>
      <c r="E64" s="4" t="str">
        <v>Gội Combo 3 - Chăm da</v>
      </c>
      <c r="F64" s="21">
        <v>239000</v>
      </c>
      <c r="G64" s="21">
        <v>249000</v>
      </c>
      <c r="H64" s="21">
        <v>249000</v>
      </c>
      <c r="I64" s="4">
        <f>A64&amp;D64</f>
      </c>
      <c r="J64" s="4">
        <v>249000</v>
      </c>
      <c r="K64" s="4"/>
      <c r="L64" s="4"/>
      <c r="M64" s="4"/>
      <c r="N64" s="4"/>
      <c r="O64" s="4"/>
      <c r="P64" s="4"/>
      <c r="Q64" s="4"/>
      <c r="R64" s="4"/>
      <c r="S64" s="4"/>
    </row>
    <row r="65">
      <c r="A65" s="4">
        <v>146</v>
      </c>
      <c r="B65" s="4" t="str">
        <v>109 TQH</v>
      </c>
      <c r="C65" s="4" t="str">
        <v>DV_Gội</v>
      </c>
      <c r="D65" s="4">
        <v>1060</v>
      </c>
      <c r="E65" s="4" t="str">
        <v>Gội Combo 4</v>
      </c>
      <c r="F65" s="21">
        <v>289000</v>
      </c>
      <c r="G65" s="21">
        <v>333000</v>
      </c>
      <c r="H65" s="21">
        <v>333000</v>
      </c>
      <c r="I65" s="4">
        <f>A65&amp;D65</f>
      </c>
      <c r="J65" s="4">
        <v>333000</v>
      </c>
      <c r="K65" s="4"/>
      <c r="L65" s="4"/>
      <c r="M65" s="4"/>
      <c r="N65" s="4"/>
      <c r="O65" s="4"/>
      <c r="P65" s="4"/>
      <c r="Q65" s="4"/>
      <c r="R65" s="4"/>
      <c r="S65" s="4"/>
    </row>
    <row r="66">
      <c r="A66" s="4">
        <v>146</v>
      </c>
      <c r="B66" s="4" t="str">
        <v>109 TQH</v>
      </c>
      <c r="C66" s="4" t="str">
        <v>DV_Gội</v>
      </c>
      <c r="D66" s="4">
        <v>1066</v>
      </c>
      <c r="E66" s="4" t="str">
        <v>Gội trải nghiệm 75p</v>
      </c>
      <c r="F66" s="21">
        <v>589000</v>
      </c>
      <c r="G66" s="21">
        <v>614000</v>
      </c>
      <c r="H66" s="21">
        <v>614000</v>
      </c>
      <c r="I66" s="4">
        <f>A66&amp;D66</f>
      </c>
      <c r="J66" s="4">
        <v>614000</v>
      </c>
      <c r="K66" s="4"/>
      <c r="L66" s="4"/>
      <c r="M66" s="4"/>
      <c r="N66" s="4"/>
      <c r="O66" s="4"/>
      <c r="P66" s="4"/>
      <c r="Q66" s="4"/>
      <c r="R66" s="4"/>
      <c r="S66" s="4"/>
    </row>
    <row r="67">
      <c r="A67" s="4">
        <v>146</v>
      </c>
      <c r="B67" s="4" t="str">
        <v>109 TQH</v>
      </c>
      <c r="C67" s="4" t="str">
        <v>DV_Gội</v>
      </c>
      <c r="D67" s="4">
        <v>1067</v>
      </c>
      <c r="E67" s="4" t="str">
        <v>Gội trải nghiệm 90p</v>
      </c>
      <c r="F67" s="21">
        <v>789000</v>
      </c>
      <c r="G67" s="21">
        <v>823000</v>
      </c>
      <c r="H67" s="21">
        <v>823000</v>
      </c>
      <c r="I67" s="4">
        <f>A67&amp;D67</f>
      </c>
      <c r="J67" s="4">
        <v>823000</v>
      </c>
      <c r="K67" s="4"/>
      <c r="L67" s="4"/>
      <c r="M67" s="4"/>
      <c r="N67" s="4"/>
      <c r="O67" s="4"/>
      <c r="P67" s="4"/>
      <c r="Q67" s="4"/>
      <c r="R67" s="4"/>
      <c r="S67" s="4"/>
    </row>
    <row r="68">
      <c r="A68" s="4">
        <v>146</v>
      </c>
      <c r="B68" s="4" t="str">
        <v>109 TQH</v>
      </c>
      <c r="C68" s="4" t="str">
        <v>DV_Gội</v>
      </c>
      <c r="D68" s="4">
        <v>1068</v>
      </c>
      <c r="E68" s="4" t="str">
        <v>Gội trải nghiệm 115p</v>
      </c>
      <c r="F68" s="21">
        <v>999000</v>
      </c>
      <c r="G68" s="21">
        <v>1042000</v>
      </c>
      <c r="H68" s="21">
        <v>1042000</v>
      </c>
      <c r="I68" s="4">
        <f>A68&amp;D68</f>
      </c>
      <c r="J68" s="4">
        <v>1042000</v>
      </c>
      <c r="K68" s="4"/>
      <c r="L68" s="4"/>
      <c r="M68" s="4"/>
      <c r="N68" s="4"/>
      <c r="O68" s="4"/>
      <c r="P68" s="4"/>
      <c r="Q68" s="4"/>
      <c r="R68" s="4"/>
      <c r="S68" s="4"/>
    </row>
    <row r="69">
      <c r="A69" s="4">
        <v>146</v>
      </c>
      <c r="B69" s="4" t="str">
        <v>109 TQH</v>
      </c>
      <c r="C69" s="4" t="str">
        <v>DV_Gội</v>
      </c>
      <c r="D69" s="4">
        <v>1069</v>
      </c>
      <c r="E69" s="4" t="str">
        <v>Gội trải nghiệm 140p</v>
      </c>
      <c r="F69" s="21">
        <v>1199000</v>
      </c>
      <c r="G69" s="21">
        <v>1250000</v>
      </c>
      <c r="H69" s="21">
        <v>1250000</v>
      </c>
      <c r="I69" s="4">
        <f>A69&amp;D69</f>
      </c>
      <c r="J69" s="4">
        <v>1250000</v>
      </c>
      <c r="K69" s="4"/>
      <c r="L69" s="4"/>
      <c r="M69" s="4"/>
      <c r="N69" s="4"/>
      <c r="O69" s="4"/>
      <c r="P69" s="4"/>
      <c r="Q69" s="4"/>
      <c r="R69" s="4"/>
      <c r="S69" s="4"/>
    </row>
    <row r="70">
      <c r="A70" s="4">
        <v>244</v>
      </c>
      <c r="B70" s="4" t="str">
        <v>11 PKT</v>
      </c>
      <c r="C70" s="4" t="str">
        <v>DV_Cắt</v>
      </c>
      <c r="D70" s="4">
        <v>513</v>
      </c>
      <c r="E70" s="4" t="str">
        <v>[DV] ShineCombo 10 bước Ultra Care 2023</v>
      </c>
      <c r="F70" s="21">
        <v>122000</v>
      </c>
      <c r="G70" s="21">
        <v>122000</v>
      </c>
      <c r="H70" s="21">
        <v>122000</v>
      </c>
      <c r="I70" s="4">
        <f>A70&amp;D70</f>
      </c>
      <c r="J70" s="4">
        <v>122000</v>
      </c>
      <c r="K70" s="4"/>
      <c r="L70" s="4"/>
      <c r="M70" s="4"/>
      <c r="N70" s="4"/>
      <c r="O70" s="4"/>
      <c r="P70" s="4"/>
      <c r="Q70" s="4"/>
      <c r="R70" s="4"/>
      <c r="S70" s="4"/>
    </row>
    <row r="71">
      <c r="A71" s="4">
        <v>244</v>
      </c>
      <c r="B71" s="4" t="str">
        <v>11 PKT</v>
      </c>
      <c r="C71" s="4" t="str">
        <v>DV_Cắt</v>
      </c>
      <c r="D71" s="4">
        <v>891</v>
      </c>
      <c r="E71" s="4" t="str">
        <v>Cắt xả tạo kiểu</v>
      </c>
      <c r="F71" s="21">
        <v>100000</v>
      </c>
      <c r="G71" s="21">
        <v>104000</v>
      </c>
      <c r="H71" s="21">
        <v>104000</v>
      </c>
      <c r="I71" s="4">
        <f>A71&amp;D71</f>
      </c>
      <c r="J71" s="4">
        <v>104000</v>
      </c>
      <c r="K71" s="4"/>
      <c r="L71" s="4"/>
      <c r="M71" s="4"/>
      <c r="N71" s="4"/>
      <c r="O71" s="4"/>
      <c r="P71" s="4"/>
      <c r="Q71" s="4"/>
      <c r="R71" s="4"/>
      <c r="S71" s="4"/>
    </row>
    <row r="72">
      <c r="A72" s="4">
        <v>244</v>
      </c>
      <c r="B72" s="4" t="str">
        <v>11 PKT</v>
      </c>
      <c r="C72" s="4" t="str">
        <v>DV_Cắt</v>
      </c>
      <c r="D72" s="4">
        <v>1002</v>
      </c>
      <c r="E72" s="4" t="str">
        <v>Kid Cắt</v>
      </c>
      <c r="F72" s="21">
        <v>81000</v>
      </c>
      <c r="G72" s="21">
        <v>84000</v>
      </c>
      <c r="H72" s="21">
        <v>84000</v>
      </c>
      <c r="I72" s="4">
        <f>A72&amp;D72</f>
      </c>
      <c r="J72" s="4">
        <v>84000</v>
      </c>
      <c r="K72" s="4"/>
      <c r="L72" s="4"/>
      <c r="M72" s="4"/>
      <c r="N72" s="4"/>
      <c r="O72" s="4"/>
      <c r="P72" s="4"/>
      <c r="Q72" s="4"/>
      <c r="R72" s="4"/>
      <c r="S72" s="4"/>
    </row>
    <row r="73">
      <c r="A73" s="4">
        <v>244</v>
      </c>
      <c r="B73" s="4" t="str">
        <v>11 PKT</v>
      </c>
      <c r="C73" s="4" t="str">
        <v>DV_Cắt</v>
      </c>
      <c r="D73" s="4">
        <v>1070</v>
      </c>
      <c r="E73" s="4" t="str">
        <v>Combo Cắt gội Kid</v>
      </c>
      <c r="F73" s="21">
        <v>100000</v>
      </c>
      <c r="G73" s="21">
        <v>104000</v>
      </c>
      <c r="H73" s="21">
        <v>104000</v>
      </c>
      <c r="I73" s="4">
        <f>A73&amp;D73</f>
      </c>
      <c r="J73" s="4">
        <v>104000</v>
      </c>
      <c r="K73" s="4"/>
      <c r="L73" s="4"/>
      <c r="M73" s="4"/>
      <c r="N73" s="4"/>
      <c r="O73" s="4"/>
      <c r="P73" s="4"/>
      <c r="Q73" s="4"/>
      <c r="R73" s="4"/>
      <c r="S73" s="4"/>
    </row>
    <row r="74">
      <c r="A74" s="4">
        <v>244</v>
      </c>
      <c r="B74" s="4" t="str">
        <v>11 PKT</v>
      </c>
      <c r="C74" s="4" t="str">
        <v>DV_Cắt_Vip</v>
      </c>
      <c r="D74" s="4">
        <v>1046</v>
      </c>
      <c r="E74" s="4" t="str">
        <v>Shinecombo 2</v>
      </c>
      <c r="F74" s="21">
        <v>205000</v>
      </c>
      <c r="G74" s="21">
        <v>213000</v>
      </c>
      <c r="H74" s="21">
        <v>209000</v>
      </c>
      <c r="I74" s="4">
        <f>A74&amp;D74</f>
      </c>
      <c r="J74" s="4">
        <f>VLOOKUP(I74,#REF!,2,0)</f>
      </c>
      <c r="K74" s="4"/>
      <c r="L74" s="4"/>
      <c r="M74" s="4"/>
      <c r="N74" s="4"/>
      <c r="O74" s="4"/>
      <c r="P74" s="4"/>
      <c r="Q74" s="4"/>
      <c r="R74" s="4"/>
      <c r="S74" s="4"/>
    </row>
    <row r="75">
      <c r="A75" s="4">
        <v>244</v>
      </c>
      <c r="B75" s="4" t="str">
        <v>11 PKT</v>
      </c>
      <c r="C75" s="4" t="str">
        <v>DV_Cắt_Vip</v>
      </c>
      <c r="D75" s="4">
        <v>1047</v>
      </c>
      <c r="E75" s="4" t="str">
        <v>Cắt Gội Combo 3 - Chăm da</v>
      </c>
      <c r="F75" s="21">
        <v>305000</v>
      </c>
      <c r="G75" s="21">
        <v>317000</v>
      </c>
      <c r="H75" s="21">
        <v>309000</v>
      </c>
      <c r="I75" s="4">
        <f>A75&amp;D75</f>
      </c>
      <c r="J75" s="4">
        <f>VLOOKUP(I75,#REF!,2,0)</f>
      </c>
      <c r="K75" s="4"/>
      <c r="L75" s="4"/>
      <c r="M75" s="4"/>
      <c r="N75" s="4"/>
      <c r="O75" s="4"/>
      <c r="P75" s="4"/>
      <c r="Q75" s="4"/>
      <c r="R75" s="4"/>
      <c r="S75" s="4"/>
    </row>
    <row r="76">
      <c r="A76" s="4">
        <v>244</v>
      </c>
      <c r="B76" s="4" t="str">
        <v>11 PKT</v>
      </c>
      <c r="C76" s="4" t="str">
        <v>DV_Cắt_Vip</v>
      </c>
      <c r="D76" s="4">
        <v>1048</v>
      </c>
      <c r="E76" s="4" t="str">
        <v>Combo 4</v>
      </c>
      <c r="F76" s="21">
        <v>395000</v>
      </c>
      <c r="G76" s="21">
        <v>411000</v>
      </c>
      <c r="H76" s="21">
        <v>411000</v>
      </c>
      <c r="I76" s="4">
        <f>A76&amp;D76</f>
      </c>
      <c r="J76" s="4">
        <v>411000</v>
      </c>
      <c r="K76" s="4"/>
      <c r="L76" s="4"/>
      <c r="M76" s="4"/>
      <c r="N76" s="4"/>
      <c r="O76" s="4"/>
      <c r="P76" s="4"/>
      <c r="Q76" s="4"/>
      <c r="R76" s="4"/>
      <c r="S76" s="4"/>
    </row>
    <row r="77">
      <c r="A77" s="4">
        <v>244</v>
      </c>
      <c r="B77" s="4" t="str">
        <v>11 PKT</v>
      </c>
      <c r="C77" s="4" t="str">
        <v>DV_Cắt_Vip</v>
      </c>
      <c r="D77" s="4">
        <v>1064</v>
      </c>
      <c r="E77" s="4" t="str">
        <v>Cắt Gội Combo 5 - Dưỡng sinh</v>
      </c>
      <c r="F77" s="21">
        <v>459000</v>
      </c>
      <c r="G77" s="21">
        <v>477000</v>
      </c>
      <c r="H77" s="21">
        <v>477000</v>
      </c>
      <c r="I77" s="4">
        <f>A77&amp;D77</f>
      </c>
      <c r="J77" s="4">
        <v>477000</v>
      </c>
      <c r="K77" s="4"/>
      <c r="L77" s="4"/>
      <c r="M77" s="4"/>
      <c r="N77" s="4"/>
      <c r="O77" s="4"/>
      <c r="P77" s="4"/>
      <c r="Q77" s="4"/>
      <c r="R77" s="4"/>
      <c r="S77" s="4"/>
    </row>
    <row r="78">
      <c r="A78" s="4">
        <v>244</v>
      </c>
      <c r="B78" s="4" t="str">
        <v>11 PKT</v>
      </c>
      <c r="C78" s="4" t="str">
        <v>DV_Cắt_Vip</v>
      </c>
      <c r="D78" s="4">
        <v>1065</v>
      </c>
      <c r="E78" s="4" t="str">
        <v>Cắt Gội Combo 3 - Dưỡng sinh</v>
      </c>
      <c r="F78" s="21">
        <v>305000</v>
      </c>
      <c r="G78" s="21">
        <v>317000</v>
      </c>
      <c r="H78" s="21">
        <v>317000</v>
      </c>
      <c r="I78" s="4">
        <f>A78&amp;D78</f>
      </c>
      <c r="J78" s="4">
        <v>317000</v>
      </c>
      <c r="K78" s="4"/>
      <c r="L78" s="4"/>
      <c r="M78" s="4"/>
      <c r="N78" s="4"/>
      <c r="O78" s="4"/>
      <c r="P78" s="4"/>
      <c r="Q78" s="4"/>
      <c r="R78" s="4"/>
      <c r="S78" s="4"/>
    </row>
    <row r="79">
      <c r="A79" s="4">
        <v>244</v>
      </c>
      <c r="B79" s="4" t="str">
        <v>11 PKT</v>
      </c>
      <c r="C79" s="4" t="str">
        <v>DV_Gội</v>
      </c>
      <c r="D79" s="4">
        <v>867</v>
      </c>
      <c r="E79" s="4" t="str">
        <v>Gội dưỡng sinh cổ vai gáy</v>
      </c>
      <c r="F79" s="21">
        <v>99000</v>
      </c>
      <c r="G79" s="21">
        <v>103000</v>
      </c>
      <c r="H79" s="21">
        <v>99000</v>
      </c>
      <c r="I79" s="4">
        <f>A79&amp;D79</f>
      </c>
      <c r="J79" s="4">
        <f>VLOOKUP(I79,#REF!,2,0)</f>
      </c>
      <c r="K79" s="4"/>
      <c r="L79" s="4"/>
      <c r="M79" s="4"/>
      <c r="N79" s="4"/>
      <c r="O79" s="4"/>
      <c r="P79" s="4"/>
      <c r="Q79" s="4"/>
      <c r="R79" s="4"/>
      <c r="S79" s="4"/>
    </row>
    <row r="80">
      <c r="A80" s="4">
        <v>244</v>
      </c>
      <c r="B80" s="4" t="str">
        <v>11 PKT</v>
      </c>
      <c r="C80" s="4" t="str">
        <v>DV_Gội</v>
      </c>
      <c r="D80" s="4">
        <v>930</v>
      </c>
      <c r="E80" s="4" t="str">
        <v>[NEW] Gội dưỡng sinh cổ vai gáy và chăm sóc da</v>
      </c>
      <c r="F80" s="21">
        <v>139000</v>
      </c>
      <c r="G80" s="21">
        <v>145000</v>
      </c>
      <c r="H80" s="21">
        <v>139000</v>
      </c>
      <c r="I80" s="4">
        <f>A80&amp;D80</f>
      </c>
      <c r="J80" s="4">
        <f>VLOOKUP(I80,#REF!,2,0)</f>
      </c>
      <c r="K80" s="4"/>
      <c r="L80" s="4"/>
      <c r="M80" s="4"/>
      <c r="N80" s="4"/>
      <c r="O80" s="4"/>
      <c r="P80" s="4"/>
      <c r="Q80" s="4"/>
      <c r="R80" s="4"/>
      <c r="S80" s="4"/>
    </row>
    <row r="81">
      <c r="A81" s="4">
        <v>244</v>
      </c>
      <c r="B81" s="4" t="str">
        <v>11 PKT</v>
      </c>
      <c r="C81" s="4" t="str">
        <v>DV_Gội</v>
      </c>
      <c r="D81" s="4">
        <v>934</v>
      </c>
      <c r="E81" s="4" t="str">
        <v>Gội combo 3 - Dưỡng sinh</v>
      </c>
      <c r="F81" s="21">
        <v>229000</v>
      </c>
      <c r="G81" s="21">
        <v>238000</v>
      </c>
      <c r="H81" s="21">
        <v>238000</v>
      </c>
      <c r="I81" s="4">
        <f>A81&amp;D81</f>
      </c>
      <c r="J81" s="4">
        <v>238000</v>
      </c>
      <c r="K81" s="4"/>
      <c r="L81" s="4"/>
      <c r="M81" s="4"/>
      <c r="N81" s="4"/>
      <c r="O81" s="4"/>
      <c r="P81" s="4"/>
      <c r="Q81" s="4"/>
      <c r="R81" s="4"/>
      <c r="S81" s="4"/>
    </row>
    <row r="82">
      <c r="A82" s="4">
        <v>244</v>
      </c>
      <c r="B82" s="4" t="str">
        <v>11 PKT</v>
      </c>
      <c r="C82" s="4" t="str">
        <v>DV_Gội</v>
      </c>
      <c r="D82" s="4">
        <v>940</v>
      </c>
      <c r="E82" s="4" t="str">
        <v>[NEW] Gội dưỡng sinh</v>
      </c>
      <c r="F82" s="21">
        <v>59000</v>
      </c>
      <c r="G82" s="21">
        <v>61000</v>
      </c>
      <c r="H82" s="21">
        <v>59000</v>
      </c>
      <c r="I82" s="4">
        <f>A82&amp;D82</f>
      </c>
      <c r="J82" s="4">
        <f>VLOOKUP(I82,#REF!,2,0)</f>
      </c>
      <c r="K82" s="4"/>
      <c r="L82" s="4"/>
      <c r="M82" s="4"/>
      <c r="N82" s="4"/>
      <c r="O82" s="4"/>
      <c r="P82" s="4"/>
      <c r="Q82" s="4"/>
      <c r="R82" s="4"/>
      <c r="S82" s="4"/>
    </row>
    <row r="83">
      <c r="A83" s="4">
        <v>244</v>
      </c>
      <c r="B83" s="4" t="str">
        <v>11 PKT</v>
      </c>
      <c r="C83" s="4" t="str">
        <v>DV_Gội</v>
      </c>
      <c r="D83" s="4">
        <v>1058</v>
      </c>
      <c r="E83" s="4" t="str">
        <v>Gội Combo 2</v>
      </c>
      <c r="F83" s="21">
        <v>159000</v>
      </c>
      <c r="G83" s="21">
        <v>165000</v>
      </c>
      <c r="H83" s="21">
        <v>165000</v>
      </c>
      <c r="I83" s="4">
        <f>A83&amp;D83</f>
      </c>
      <c r="J83" s="4">
        <v>165000</v>
      </c>
      <c r="K83" s="4"/>
      <c r="L83" s="4"/>
      <c r="M83" s="4"/>
      <c r="N83" s="4"/>
      <c r="O83" s="4"/>
      <c r="P83" s="4"/>
      <c r="Q83" s="4"/>
      <c r="R83" s="4"/>
      <c r="S83" s="4"/>
    </row>
    <row r="84">
      <c r="A84" s="4">
        <v>244</v>
      </c>
      <c r="B84" s="4" t="str">
        <v>11 PKT</v>
      </c>
      <c r="C84" s="4" t="str">
        <v>DV_Gội</v>
      </c>
      <c r="D84" s="4">
        <v>1059</v>
      </c>
      <c r="E84" s="4" t="str">
        <v>Gội Combo 3 - Chăm da</v>
      </c>
      <c r="F84" s="21">
        <v>239000</v>
      </c>
      <c r="G84" s="21">
        <v>249000</v>
      </c>
      <c r="H84" s="21">
        <v>243000</v>
      </c>
      <c r="I84" s="4">
        <f>A84&amp;D84</f>
      </c>
      <c r="J84" s="4">
        <f>VLOOKUP(I84,#REF!,2,0)</f>
      </c>
      <c r="K84" s="4"/>
      <c r="L84" s="4"/>
      <c r="M84" s="4"/>
      <c r="N84" s="4"/>
      <c r="O84" s="4"/>
      <c r="P84" s="4"/>
      <c r="Q84" s="4"/>
      <c r="R84" s="4"/>
      <c r="S84" s="4"/>
    </row>
    <row r="85">
      <c r="A85" s="4">
        <v>244</v>
      </c>
      <c r="B85" s="4" t="str">
        <v>11 PKT</v>
      </c>
      <c r="C85" s="4" t="str">
        <v>DV_Gội</v>
      </c>
      <c r="D85" s="4">
        <v>1060</v>
      </c>
      <c r="E85" s="4" t="str">
        <v>Gội Combo 4</v>
      </c>
      <c r="F85" s="21">
        <v>289000</v>
      </c>
      <c r="G85" s="21">
        <v>302000</v>
      </c>
      <c r="H85" s="21">
        <v>289000</v>
      </c>
      <c r="I85" s="4">
        <f>A85&amp;D85</f>
      </c>
      <c r="J85" s="4">
        <f>VLOOKUP(I85,#REF!,2,0)</f>
      </c>
      <c r="K85" s="4"/>
      <c r="L85" s="4"/>
      <c r="M85" s="4"/>
      <c r="N85" s="4"/>
      <c r="O85" s="4"/>
      <c r="P85" s="4"/>
      <c r="Q85" s="4"/>
      <c r="R85" s="4"/>
      <c r="S85" s="4"/>
    </row>
    <row r="86">
      <c r="A86" s="4">
        <v>244</v>
      </c>
      <c r="B86" s="4" t="str">
        <v>11 PKT</v>
      </c>
      <c r="C86" s="4" t="str">
        <v>DV_Gội</v>
      </c>
      <c r="D86" s="4">
        <v>1066</v>
      </c>
      <c r="E86" s="4" t="str">
        <v>Gội trải nghiệm 75p</v>
      </c>
      <c r="F86" s="21">
        <v>589000</v>
      </c>
      <c r="G86" s="21">
        <v>613000</v>
      </c>
      <c r="H86" s="21">
        <v>594000</v>
      </c>
      <c r="I86" s="4">
        <f>A86&amp;D86</f>
      </c>
      <c r="J86" s="4">
        <f>VLOOKUP(I86,#REF!,2,0)</f>
      </c>
      <c r="K86" s="4"/>
      <c r="L86" s="4"/>
      <c r="M86" s="4"/>
      <c r="N86" s="4"/>
      <c r="O86" s="4"/>
      <c r="P86" s="4"/>
      <c r="Q86" s="4"/>
      <c r="R86" s="4"/>
      <c r="S86" s="4"/>
    </row>
    <row r="87">
      <c r="A87" s="4">
        <v>244</v>
      </c>
      <c r="B87" s="4" t="str">
        <v>11 PKT</v>
      </c>
      <c r="C87" s="4" t="str">
        <v>DV_Gội</v>
      </c>
      <c r="D87" s="4">
        <v>1067</v>
      </c>
      <c r="E87" s="4" t="str">
        <v>Gội trải nghiệm 90p</v>
      </c>
      <c r="F87" s="23">
        <v>789000</v>
      </c>
      <c r="G87" s="21">
        <v>821000</v>
      </c>
      <c r="H87" s="21">
        <v>821000</v>
      </c>
      <c r="I87" s="4">
        <f>A87&amp;D87</f>
      </c>
      <c r="J87" s="4">
        <v>821000</v>
      </c>
      <c r="K87" s="4"/>
      <c r="L87" s="4"/>
      <c r="M87" s="4"/>
      <c r="N87" s="4"/>
      <c r="O87" s="4"/>
      <c r="P87" s="4"/>
      <c r="Q87" s="4"/>
      <c r="R87" s="4"/>
      <c r="S87" s="4"/>
    </row>
    <row r="88">
      <c r="A88" s="4">
        <v>244</v>
      </c>
      <c r="B88" s="4" t="str">
        <v>11 PKT</v>
      </c>
      <c r="C88" s="4" t="str">
        <v>DV_Gội</v>
      </c>
      <c r="D88" s="4">
        <v>1068</v>
      </c>
      <c r="E88" s="4" t="str">
        <v>Gội trải nghiệm 115p</v>
      </c>
      <c r="F88" s="21">
        <v>999000</v>
      </c>
      <c r="G88" s="21">
        <v>1039000</v>
      </c>
      <c r="H88" s="21">
        <v>1039000</v>
      </c>
      <c r="I88" s="4">
        <f>A88&amp;D88</f>
      </c>
      <c r="J88" s="4">
        <v>1039000</v>
      </c>
      <c r="K88" s="4"/>
      <c r="L88" s="4"/>
      <c r="M88" s="4"/>
      <c r="N88" s="4"/>
      <c r="O88" s="4"/>
      <c r="P88" s="4"/>
      <c r="Q88" s="4"/>
      <c r="R88" s="4"/>
      <c r="S88" s="4"/>
    </row>
    <row r="89">
      <c r="A89" s="4">
        <v>244</v>
      </c>
      <c r="B89" s="4" t="str">
        <v>11 PKT</v>
      </c>
      <c r="C89" s="4" t="str">
        <v>DV_Gội</v>
      </c>
      <c r="D89" s="4">
        <v>1069</v>
      </c>
      <c r="E89" s="4" t="str">
        <v>Gội trải nghiệm 140p</v>
      </c>
      <c r="F89" s="21">
        <v>1199000</v>
      </c>
      <c r="G89" s="21">
        <v>1247000</v>
      </c>
      <c r="H89" s="21">
        <v>1247000</v>
      </c>
      <c r="I89" s="4">
        <f>A89&amp;D89</f>
      </c>
      <c r="J89" s="4">
        <v>1247000</v>
      </c>
      <c r="K89" s="4"/>
      <c r="L89" s="4"/>
      <c r="M89" s="4"/>
      <c r="N89" s="4"/>
      <c r="O89" s="4"/>
      <c r="P89" s="4"/>
      <c r="Q89" s="4"/>
      <c r="R89" s="4"/>
      <c r="S89" s="4"/>
    </row>
    <row r="90">
      <c r="A90" s="4">
        <v>72</v>
      </c>
      <c r="B90" s="4" t="str">
        <v>113 THD AG</v>
      </c>
      <c r="C90" s="4" t="str">
        <v>DV_Cắt</v>
      </c>
      <c r="D90" s="4">
        <v>513</v>
      </c>
      <c r="E90" s="4" t="str">
        <v>[DV] ShineCombo 10 bước Ultra Care 2023</v>
      </c>
      <c r="F90" s="21">
        <v>122000</v>
      </c>
      <c r="G90" s="21">
        <v>122000</v>
      </c>
      <c r="H90" s="21">
        <v>122000</v>
      </c>
      <c r="I90" s="4">
        <f>A90&amp;D90</f>
      </c>
      <c r="J90" s="4">
        <v>122000</v>
      </c>
      <c r="K90" s="4"/>
      <c r="L90" s="4"/>
      <c r="M90" s="4"/>
      <c r="N90" s="4"/>
      <c r="O90" s="4"/>
      <c r="P90" s="4"/>
      <c r="Q90" s="4"/>
      <c r="R90" s="4"/>
      <c r="S90" s="4"/>
    </row>
    <row r="91">
      <c r="A91" s="4">
        <v>72</v>
      </c>
      <c r="B91" s="4" t="str">
        <v>113 THD AG</v>
      </c>
      <c r="C91" s="4" t="str">
        <v>DV_Cắt</v>
      </c>
      <c r="D91" s="4">
        <v>891</v>
      </c>
      <c r="E91" s="4" t="str">
        <v>Cắt xả tạo kiểu</v>
      </c>
      <c r="F91" s="21">
        <v>94000</v>
      </c>
      <c r="G91" s="21">
        <v>94000</v>
      </c>
      <c r="H91" s="21">
        <v>94000</v>
      </c>
      <c r="I91" s="4">
        <f>A91&amp;D91</f>
      </c>
      <c r="J91" s="4">
        <v>94000</v>
      </c>
      <c r="K91" s="4"/>
      <c r="L91" s="4"/>
      <c r="M91" s="4"/>
      <c r="N91" s="4"/>
      <c r="O91" s="4"/>
      <c r="P91" s="4"/>
      <c r="Q91" s="4"/>
      <c r="R91" s="4"/>
      <c r="S91" s="4"/>
    </row>
    <row r="92">
      <c r="A92" s="4">
        <v>72</v>
      </c>
      <c r="B92" s="4" t="str">
        <v>113 THD AG</v>
      </c>
      <c r="C92" s="4" t="str">
        <v>DV_Cắt</v>
      </c>
      <c r="D92" s="4">
        <v>1002</v>
      </c>
      <c r="E92" s="4" t="str">
        <v>Kid Cắt</v>
      </c>
      <c r="F92" s="21">
        <v>75000</v>
      </c>
      <c r="G92" s="21">
        <v>75000</v>
      </c>
      <c r="H92" s="21">
        <v>75000</v>
      </c>
      <c r="I92" s="4">
        <f>A92&amp;D92</f>
      </c>
      <c r="J92" s="4">
        <v>75000</v>
      </c>
      <c r="K92" s="4"/>
      <c r="L92" s="4"/>
      <c r="M92" s="4"/>
      <c r="N92" s="4"/>
      <c r="O92" s="4"/>
      <c r="P92" s="4"/>
      <c r="Q92" s="4"/>
      <c r="R92" s="4"/>
      <c r="S92" s="4"/>
    </row>
    <row r="93">
      <c r="A93" s="4">
        <v>72</v>
      </c>
      <c r="B93" s="4" t="str">
        <v>113 THD AG</v>
      </c>
      <c r="C93" s="4" t="str">
        <v>DV_Cắt</v>
      </c>
      <c r="D93" s="4">
        <v>1070</v>
      </c>
      <c r="E93" s="4" t="str">
        <v>Combo Cắt gội Kid</v>
      </c>
      <c r="F93" s="21">
        <v>100000</v>
      </c>
      <c r="G93" s="21">
        <v>100000</v>
      </c>
      <c r="H93" s="21">
        <v>100000</v>
      </c>
      <c r="I93" s="4">
        <f>A93&amp;D93</f>
      </c>
      <c r="J93" s="4">
        <v>100000</v>
      </c>
      <c r="K93" s="4"/>
      <c r="L93" s="4"/>
      <c r="M93" s="4"/>
      <c r="N93" s="4"/>
      <c r="O93" s="4"/>
      <c r="P93" s="4"/>
      <c r="Q93" s="4"/>
      <c r="R93" s="4"/>
      <c r="S93" s="4"/>
    </row>
    <row r="94">
      <c r="A94" s="4">
        <v>72</v>
      </c>
      <c r="B94" s="4" t="str">
        <v>113 THD AG</v>
      </c>
      <c r="C94" s="4" t="str">
        <v>DV_Cắt_Vip</v>
      </c>
      <c r="D94" s="4">
        <v>1046</v>
      </c>
      <c r="E94" s="4" t="str">
        <v>Shinecombo 2</v>
      </c>
      <c r="F94" s="21">
        <v>199000</v>
      </c>
      <c r="G94" s="21">
        <v>199000</v>
      </c>
      <c r="H94" s="21">
        <v>199000</v>
      </c>
      <c r="I94" s="4">
        <f>A94&amp;D94</f>
      </c>
      <c r="J94" s="4">
        <v>199000</v>
      </c>
      <c r="K94" s="4"/>
      <c r="L94" s="4"/>
      <c r="M94" s="4"/>
      <c r="N94" s="4"/>
      <c r="O94" s="4"/>
      <c r="P94" s="4"/>
      <c r="Q94" s="4"/>
      <c r="R94" s="4"/>
      <c r="S94" s="4"/>
    </row>
    <row r="95">
      <c r="A95" s="4">
        <v>72</v>
      </c>
      <c r="B95" s="4" t="str">
        <v>113 THD AG</v>
      </c>
      <c r="C95" s="4" t="str">
        <v>DV_Cắt_Vip</v>
      </c>
      <c r="D95" s="4">
        <v>1047</v>
      </c>
      <c r="E95" s="4" t="str">
        <v>Cắt Gội Combo 3 - Chăm da</v>
      </c>
      <c r="F95" s="21">
        <v>299000</v>
      </c>
      <c r="G95" s="21">
        <v>299000</v>
      </c>
      <c r="H95" s="21">
        <v>299000</v>
      </c>
      <c r="I95" s="4">
        <f>A95&amp;D95</f>
      </c>
      <c r="J95" s="4">
        <v>299000</v>
      </c>
      <c r="K95" s="4"/>
      <c r="L95" s="4"/>
      <c r="M95" s="4"/>
      <c r="N95" s="4"/>
      <c r="O95" s="4"/>
      <c r="P95" s="4"/>
      <c r="Q95" s="4"/>
      <c r="R95" s="4"/>
      <c r="S95" s="4"/>
    </row>
    <row r="96">
      <c r="A96" s="4">
        <v>72</v>
      </c>
      <c r="B96" s="4" t="str">
        <v>113 THD AG</v>
      </c>
      <c r="C96" s="4" t="str">
        <v>DV_Cắt_Vip</v>
      </c>
      <c r="D96" s="4">
        <v>1048</v>
      </c>
      <c r="E96" s="4" t="str">
        <v>Combo 4</v>
      </c>
      <c r="F96" s="21">
        <v>389000</v>
      </c>
      <c r="G96" s="21">
        <v>389000</v>
      </c>
      <c r="H96" s="21">
        <v>389000</v>
      </c>
      <c r="I96" s="4">
        <f>A96&amp;D96</f>
      </c>
      <c r="J96" s="4">
        <v>389000</v>
      </c>
      <c r="K96" s="4"/>
      <c r="L96" s="4"/>
      <c r="M96" s="4"/>
      <c r="N96" s="4"/>
      <c r="O96" s="4"/>
      <c r="P96" s="4"/>
      <c r="Q96" s="4"/>
      <c r="R96" s="4"/>
      <c r="S96" s="4"/>
    </row>
    <row r="97">
      <c r="A97" s="4">
        <v>72</v>
      </c>
      <c r="B97" s="4" t="str">
        <v>113 THD AG</v>
      </c>
      <c r="C97" s="4" t="str">
        <v>DV_Cắt_Vip</v>
      </c>
      <c r="D97" s="4">
        <v>1064</v>
      </c>
      <c r="E97" s="4" t="str">
        <v>Cắt Gội Combo 5 - Dưỡng sinh</v>
      </c>
      <c r="F97" s="21">
        <v>459000</v>
      </c>
      <c r="G97" s="21">
        <v>459000</v>
      </c>
      <c r="H97" s="21">
        <v>459000</v>
      </c>
      <c r="I97" s="4">
        <f>A97&amp;D97</f>
      </c>
      <c r="J97" s="4">
        <v>459000</v>
      </c>
      <c r="K97" s="4"/>
      <c r="L97" s="4"/>
      <c r="M97" s="4"/>
      <c r="N97" s="4"/>
      <c r="O97" s="4"/>
      <c r="P97" s="4"/>
      <c r="Q97" s="4"/>
      <c r="R97" s="4"/>
      <c r="S97" s="4"/>
    </row>
    <row r="98">
      <c r="A98" s="4">
        <v>72</v>
      </c>
      <c r="B98" s="4" t="str">
        <v>113 THD AG</v>
      </c>
      <c r="C98" s="4" t="str">
        <v>DV_Cắt_Vip</v>
      </c>
      <c r="D98" s="4">
        <v>1065</v>
      </c>
      <c r="E98" s="4" t="str">
        <v>Cắt Gội Combo 3 - Dưỡng sinh</v>
      </c>
      <c r="F98" s="21">
        <v>299000</v>
      </c>
      <c r="G98" s="21">
        <v>299000</v>
      </c>
      <c r="H98" s="21">
        <v>299000</v>
      </c>
      <c r="I98" s="4">
        <f>A98&amp;D98</f>
      </c>
      <c r="J98" s="4">
        <v>299000</v>
      </c>
      <c r="K98" s="4"/>
      <c r="L98" s="4"/>
      <c r="M98" s="4"/>
      <c r="N98" s="4"/>
      <c r="O98" s="4"/>
      <c r="P98" s="4"/>
      <c r="Q98" s="4"/>
      <c r="R98" s="4"/>
      <c r="S98" s="4"/>
    </row>
    <row r="99">
      <c r="A99" s="4">
        <v>72</v>
      </c>
      <c r="B99" s="4" t="str">
        <v>113 THD AG</v>
      </c>
      <c r="C99" s="4" t="str">
        <v>DV_Cắt_Vip</v>
      </c>
      <c r="D99" s="4">
        <v>1150</v>
      </c>
      <c r="E99" s="4" t="str">
        <v>Combo cắt gội đỉnh cao thư giãn vip</v>
      </c>
      <c r="F99" s="21">
        <v>600000</v>
      </c>
      <c r="G99" s="21">
        <v>600000</v>
      </c>
      <c r="H99" s="21">
        <v>600000</v>
      </c>
      <c r="I99" s="4">
        <f>A99&amp;D99</f>
      </c>
      <c r="J99" s="4">
        <v>600000</v>
      </c>
      <c r="K99" s="4"/>
      <c r="L99" s="4"/>
      <c r="M99" s="4"/>
      <c r="N99" s="4"/>
      <c r="O99" s="4"/>
      <c r="P99" s="4"/>
      <c r="Q99" s="4"/>
      <c r="R99" s="4"/>
      <c r="S99" s="4"/>
    </row>
    <row r="100">
      <c r="A100" s="4">
        <v>72</v>
      </c>
      <c r="B100" s="4" t="str">
        <v>113 THD AG</v>
      </c>
      <c r="C100" s="4" t="str">
        <v>DV_Gội</v>
      </c>
      <c r="D100" s="4">
        <v>867</v>
      </c>
      <c r="E100" s="4" t="str">
        <v>Gội dưỡng sinh cổ vai gáy</v>
      </c>
      <c r="F100" s="21">
        <v>99000</v>
      </c>
      <c r="G100" s="21">
        <v>99000</v>
      </c>
      <c r="H100" s="21">
        <v>99000</v>
      </c>
      <c r="I100" s="4">
        <f>A100&amp;D100</f>
      </c>
      <c r="J100" s="4">
        <v>99000</v>
      </c>
      <c r="K100" s="4"/>
      <c r="L100" s="4"/>
      <c r="M100" s="4"/>
      <c r="N100" s="4"/>
      <c r="O100" s="4"/>
      <c r="P100" s="4"/>
      <c r="Q100" s="4"/>
      <c r="R100" s="4"/>
      <c r="S100" s="4"/>
    </row>
    <row r="101">
      <c r="A101" s="4">
        <v>72</v>
      </c>
      <c r="B101" s="4" t="str">
        <v>113 THD AG</v>
      </c>
      <c r="C101" s="4" t="str">
        <v>DV_Gội</v>
      </c>
      <c r="D101" s="4">
        <v>930</v>
      </c>
      <c r="E101" s="4" t="str">
        <v>[NEW] Gội dưỡng sinh cổ vai gáy và chăm sóc da</v>
      </c>
      <c r="F101" s="21">
        <v>139000</v>
      </c>
      <c r="G101" s="21">
        <v>139000</v>
      </c>
      <c r="H101" s="21">
        <v>139000</v>
      </c>
      <c r="I101" s="4">
        <f>A101&amp;D101</f>
      </c>
      <c r="J101" s="4">
        <v>139000</v>
      </c>
      <c r="K101" s="4"/>
      <c r="L101" s="4"/>
      <c r="M101" s="4"/>
      <c r="N101" s="4"/>
      <c r="O101" s="4"/>
      <c r="P101" s="4"/>
      <c r="Q101" s="4"/>
      <c r="R101" s="4"/>
      <c r="S101" s="4"/>
    </row>
    <row r="102">
      <c r="A102" s="4">
        <v>72</v>
      </c>
      <c r="B102" s="4" t="str">
        <v>113 THD AG</v>
      </c>
      <c r="C102" s="4" t="str">
        <v>DV_Gội</v>
      </c>
      <c r="D102" s="4">
        <v>934</v>
      </c>
      <c r="E102" s="4" t="str">
        <v>Gội combo 3 - Dưỡng sinh</v>
      </c>
      <c r="F102" s="21">
        <v>229000</v>
      </c>
      <c r="G102" s="21">
        <v>229000</v>
      </c>
      <c r="H102" s="21">
        <v>229000</v>
      </c>
      <c r="I102" s="4">
        <f>A102&amp;D102</f>
      </c>
      <c r="J102" s="4">
        <v>229000</v>
      </c>
      <c r="K102" s="4"/>
      <c r="L102" s="4"/>
      <c r="M102" s="4"/>
      <c r="N102" s="4"/>
      <c r="O102" s="4"/>
      <c r="P102" s="4"/>
      <c r="Q102" s="4"/>
      <c r="R102" s="4"/>
      <c r="S102" s="4"/>
    </row>
    <row r="103">
      <c r="A103" s="4">
        <v>72</v>
      </c>
      <c r="B103" s="4" t="str">
        <v>113 THD AG</v>
      </c>
      <c r="C103" s="4" t="str">
        <v>DV_Gội</v>
      </c>
      <c r="D103" s="4">
        <v>940</v>
      </c>
      <c r="E103" s="4" t="str">
        <v>[NEW] Gội dưỡng sinh</v>
      </c>
      <c r="F103" s="21">
        <v>59000</v>
      </c>
      <c r="G103" s="21">
        <v>59000</v>
      </c>
      <c r="H103" s="21">
        <v>59000</v>
      </c>
      <c r="I103" s="4">
        <f>A103&amp;D103</f>
      </c>
      <c r="J103" s="4">
        <v>59000</v>
      </c>
      <c r="K103" s="4"/>
      <c r="L103" s="4"/>
      <c r="M103" s="4"/>
      <c r="N103" s="4"/>
      <c r="O103" s="4"/>
      <c r="P103" s="4"/>
      <c r="Q103" s="4"/>
      <c r="R103" s="4"/>
      <c r="S103" s="4"/>
    </row>
    <row r="104">
      <c r="A104" s="4">
        <v>72</v>
      </c>
      <c r="B104" s="4" t="str">
        <v>113 THD AG</v>
      </c>
      <c r="C104" s="4" t="str">
        <v>DV_Gội</v>
      </c>
      <c r="D104" s="4">
        <v>1058</v>
      </c>
      <c r="E104" s="4" t="str">
        <v>Gội Combo 2</v>
      </c>
      <c r="F104" s="21">
        <v>159000</v>
      </c>
      <c r="G104" s="21">
        <v>159000</v>
      </c>
      <c r="H104" s="21">
        <v>159000</v>
      </c>
      <c r="I104" s="4">
        <f>A104&amp;D104</f>
      </c>
      <c r="J104" s="4">
        <v>159000</v>
      </c>
      <c r="K104" s="4"/>
      <c r="L104" s="4"/>
      <c r="M104" s="4"/>
      <c r="N104" s="4"/>
      <c r="O104" s="4"/>
      <c r="P104" s="4"/>
      <c r="Q104" s="4"/>
      <c r="R104" s="4"/>
      <c r="S104" s="4"/>
    </row>
    <row r="105">
      <c r="A105" s="4">
        <v>72</v>
      </c>
      <c r="B105" s="4" t="str">
        <v>113 THD AG</v>
      </c>
      <c r="C105" s="4" t="str">
        <v>DV_Gội</v>
      </c>
      <c r="D105" s="4">
        <v>1059</v>
      </c>
      <c r="E105" s="4" t="str">
        <v>Gội Combo 3 - Chăm da</v>
      </c>
      <c r="F105" s="21">
        <v>239000</v>
      </c>
      <c r="G105" s="21">
        <v>239000</v>
      </c>
      <c r="H105" s="21">
        <v>239000</v>
      </c>
      <c r="I105" s="4">
        <f>A105&amp;D105</f>
      </c>
      <c r="J105" s="4">
        <v>239000</v>
      </c>
      <c r="K105" s="4"/>
      <c r="L105" s="4"/>
      <c r="M105" s="4"/>
      <c r="N105" s="4"/>
      <c r="O105" s="4"/>
      <c r="P105" s="4"/>
      <c r="Q105" s="4"/>
      <c r="R105" s="4"/>
      <c r="S105" s="4"/>
    </row>
    <row r="106">
      <c r="A106" s="4">
        <v>72</v>
      </c>
      <c r="B106" s="4" t="str">
        <v>113 THD AG</v>
      </c>
      <c r="C106" s="4" t="str">
        <v>DV_Gội</v>
      </c>
      <c r="D106" s="4">
        <v>1060</v>
      </c>
      <c r="E106" s="4" t="str">
        <v>Gội Combo 4</v>
      </c>
      <c r="F106" s="21">
        <v>289000</v>
      </c>
      <c r="G106" s="21">
        <v>289000</v>
      </c>
      <c r="H106" s="21">
        <v>289000</v>
      </c>
      <c r="I106" s="4">
        <f>A106&amp;D106</f>
      </c>
      <c r="J106" s="4">
        <v>289000</v>
      </c>
      <c r="K106" s="4"/>
      <c r="L106" s="4"/>
      <c r="M106" s="4"/>
      <c r="N106" s="4"/>
      <c r="O106" s="4"/>
      <c r="P106" s="4"/>
      <c r="Q106" s="4"/>
      <c r="R106" s="4"/>
      <c r="S106" s="4"/>
    </row>
    <row r="107">
      <c r="A107" s="4">
        <v>72</v>
      </c>
      <c r="B107" s="4" t="str">
        <v>113 THD AG</v>
      </c>
      <c r="C107" s="4" t="str">
        <v>DV_Gội</v>
      </c>
      <c r="D107" s="4">
        <v>1066</v>
      </c>
      <c r="E107" s="4" t="str">
        <v>Gội trải nghiệm 75p</v>
      </c>
      <c r="F107" s="21">
        <v>589000</v>
      </c>
      <c r="G107" s="21">
        <v>589000</v>
      </c>
      <c r="H107" s="21">
        <v>589000</v>
      </c>
      <c r="I107" s="4">
        <f>A107&amp;D107</f>
      </c>
      <c r="J107" s="4">
        <v>589000</v>
      </c>
      <c r="K107" s="4"/>
      <c r="L107" s="4"/>
      <c r="M107" s="4"/>
      <c r="N107" s="4"/>
      <c r="O107" s="4"/>
      <c r="P107" s="4"/>
      <c r="Q107" s="4"/>
      <c r="R107" s="4"/>
      <c r="S107" s="4"/>
    </row>
    <row r="108">
      <c r="A108" s="4">
        <v>72</v>
      </c>
      <c r="B108" s="4" t="str">
        <v>113 THD AG</v>
      </c>
      <c r="C108" s="4" t="str">
        <v>DV_Gội</v>
      </c>
      <c r="D108" s="4">
        <v>1067</v>
      </c>
      <c r="E108" s="4" t="str">
        <v>Gội trải nghiệm 90p</v>
      </c>
      <c r="F108" s="21">
        <v>789000</v>
      </c>
      <c r="G108" s="21">
        <v>789000</v>
      </c>
      <c r="H108" s="21">
        <v>789000</v>
      </c>
      <c r="I108" s="4">
        <f>A108&amp;D108</f>
      </c>
      <c r="J108" s="4">
        <v>789000</v>
      </c>
      <c r="K108" s="4"/>
      <c r="L108" s="4"/>
      <c r="M108" s="4"/>
      <c r="N108" s="4"/>
      <c r="O108" s="4"/>
      <c r="P108" s="4"/>
      <c r="Q108" s="4"/>
      <c r="R108" s="4"/>
      <c r="S108" s="4"/>
    </row>
    <row r="109">
      <c r="A109" s="4">
        <v>72</v>
      </c>
      <c r="B109" s="4" t="str">
        <v>113 THD AG</v>
      </c>
      <c r="C109" s="4" t="str">
        <v>DV_Gội</v>
      </c>
      <c r="D109" s="4">
        <v>1068</v>
      </c>
      <c r="E109" s="4" t="str">
        <v>Gội trải nghiệm 115p</v>
      </c>
      <c r="F109" s="21">
        <v>999000</v>
      </c>
      <c r="G109" s="21">
        <v>999000</v>
      </c>
      <c r="H109" s="21">
        <v>999000</v>
      </c>
      <c r="I109" s="4">
        <f>A109&amp;D109</f>
      </c>
      <c r="J109" s="4">
        <v>999000</v>
      </c>
      <c r="K109" s="4"/>
      <c r="L109" s="4"/>
      <c r="M109" s="4"/>
      <c r="N109" s="4"/>
      <c r="O109" s="4"/>
      <c r="P109" s="4"/>
      <c r="Q109" s="4"/>
      <c r="R109" s="4"/>
      <c r="S109" s="4"/>
    </row>
    <row r="110">
      <c r="A110" s="4">
        <v>249</v>
      </c>
      <c r="B110" s="4" t="str">
        <v>1146 KVC</v>
      </c>
      <c r="C110" s="4" t="str">
        <v>DV_Cắt</v>
      </c>
      <c r="D110" s="4">
        <v>513</v>
      </c>
      <c r="E110" s="4" t="str">
        <v>[DV] ShineCombo 10 bước Ultra Care 2023</v>
      </c>
      <c r="F110" s="21">
        <v>122000</v>
      </c>
      <c r="G110" s="21">
        <v>122000</v>
      </c>
      <c r="H110" s="21">
        <v>122000</v>
      </c>
      <c r="I110" s="4">
        <f>A110&amp;D110</f>
      </c>
      <c r="J110" s="4">
        <v>122000</v>
      </c>
      <c r="K110" s="4"/>
      <c r="L110" s="4"/>
      <c r="M110" s="4"/>
      <c r="N110" s="4"/>
      <c r="O110" s="4"/>
      <c r="P110" s="4"/>
      <c r="Q110" s="4"/>
      <c r="R110" s="4"/>
      <c r="S110" s="4"/>
    </row>
    <row r="111">
      <c r="A111" s="4">
        <v>249</v>
      </c>
      <c r="B111" s="4" t="str">
        <v>1146 KVC</v>
      </c>
      <c r="C111" s="4" t="str">
        <v>DV_Cắt</v>
      </c>
      <c r="D111" s="4">
        <v>891</v>
      </c>
      <c r="E111" s="4" t="str">
        <v>Cắt xả tạo kiểu</v>
      </c>
      <c r="F111" s="21">
        <v>94000</v>
      </c>
      <c r="G111" s="21">
        <v>94000</v>
      </c>
      <c r="H111" s="21">
        <v>94000</v>
      </c>
      <c r="I111" s="4">
        <f>A111&amp;D111</f>
      </c>
      <c r="J111" s="4">
        <v>94000</v>
      </c>
      <c r="K111" s="4"/>
      <c r="L111" s="4"/>
      <c r="M111" s="4"/>
      <c r="N111" s="4"/>
      <c r="O111" s="4"/>
      <c r="P111" s="4"/>
      <c r="Q111" s="4"/>
      <c r="R111" s="4"/>
      <c r="S111" s="4"/>
    </row>
    <row r="112">
      <c r="A112" s="4">
        <v>249</v>
      </c>
      <c r="B112" s="4" t="str">
        <v>1146 KVC</v>
      </c>
      <c r="C112" s="4" t="str">
        <v>DV_Cắt</v>
      </c>
      <c r="D112" s="4">
        <v>1002</v>
      </c>
      <c r="E112" s="4" t="str">
        <v>Kid Cắt</v>
      </c>
      <c r="F112" s="21">
        <v>75000</v>
      </c>
      <c r="G112" s="21">
        <v>75000</v>
      </c>
      <c r="H112" s="21">
        <v>75000</v>
      </c>
      <c r="I112" s="4">
        <f>A112&amp;D112</f>
      </c>
      <c r="J112" s="4">
        <v>75000</v>
      </c>
      <c r="K112" s="4"/>
      <c r="L112" s="4"/>
      <c r="M112" s="4"/>
      <c r="N112" s="4"/>
      <c r="O112" s="4"/>
      <c r="P112" s="4"/>
      <c r="Q112" s="4"/>
      <c r="R112" s="4"/>
      <c r="S112" s="4"/>
    </row>
    <row r="113">
      <c r="A113" s="4">
        <v>249</v>
      </c>
      <c r="B113" s="4" t="str">
        <v>1146 KVC</v>
      </c>
      <c r="C113" s="4" t="str">
        <v>DV_Cắt</v>
      </c>
      <c r="D113" s="4">
        <v>1070</v>
      </c>
      <c r="E113" s="4" t="str">
        <v>Combo Cắt gội Kid</v>
      </c>
      <c r="F113" s="21">
        <v>100000</v>
      </c>
      <c r="G113" s="21">
        <v>100000</v>
      </c>
      <c r="H113" s="21">
        <v>100000</v>
      </c>
      <c r="I113" s="4">
        <f>A113&amp;D113</f>
      </c>
      <c r="J113" s="4">
        <v>100000</v>
      </c>
      <c r="K113" s="4"/>
      <c r="L113" s="4"/>
      <c r="M113" s="4"/>
      <c r="N113" s="4"/>
      <c r="O113" s="4"/>
      <c r="P113" s="4"/>
      <c r="Q113" s="4"/>
      <c r="R113" s="4"/>
      <c r="S113" s="4"/>
    </row>
    <row r="114">
      <c r="A114" s="4">
        <v>249</v>
      </c>
      <c r="B114" s="4" t="str">
        <v>1146 KVC</v>
      </c>
      <c r="C114" s="4" t="str">
        <v>DV_Cắt_Vip</v>
      </c>
      <c r="D114" s="4">
        <v>1046</v>
      </c>
      <c r="E114" s="4" t="str">
        <v>Shinecombo 2</v>
      </c>
      <c r="F114" s="21">
        <v>199000</v>
      </c>
      <c r="G114" s="21">
        <v>199000</v>
      </c>
      <c r="H114" s="21">
        <v>199000</v>
      </c>
      <c r="I114" s="4">
        <f>A114&amp;D114</f>
      </c>
      <c r="J114" s="4">
        <v>199000</v>
      </c>
      <c r="K114" s="4"/>
      <c r="L114" s="4"/>
      <c r="M114" s="4"/>
      <c r="N114" s="4"/>
      <c r="O114" s="4"/>
      <c r="P114" s="4"/>
      <c r="Q114" s="4"/>
      <c r="R114" s="4"/>
      <c r="S114" s="4"/>
    </row>
    <row r="115">
      <c r="A115" s="4">
        <v>249</v>
      </c>
      <c r="B115" s="4" t="str">
        <v>1146 KVC</v>
      </c>
      <c r="C115" s="4" t="str">
        <v>DV_Cắt_Vip</v>
      </c>
      <c r="D115" s="4">
        <v>1047</v>
      </c>
      <c r="E115" s="4" t="str">
        <v>Cắt Gội Combo 3 - Chăm da</v>
      </c>
      <c r="F115" s="21">
        <v>299000</v>
      </c>
      <c r="G115" s="21">
        <v>299000</v>
      </c>
      <c r="H115" s="21">
        <v>299000</v>
      </c>
      <c r="I115" s="4">
        <f>A115&amp;D115</f>
      </c>
      <c r="J115" s="4">
        <v>299000</v>
      </c>
      <c r="K115" s="4"/>
      <c r="L115" s="4"/>
      <c r="M115" s="4"/>
      <c r="N115" s="4"/>
      <c r="O115" s="4"/>
      <c r="P115" s="4"/>
      <c r="Q115" s="4"/>
      <c r="R115" s="4"/>
      <c r="S115" s="4"/>
    </row>
    <row r="116">
      <c r="A116" s="4">
        <v>249</v>
      </c>
      <c r="B116" s="4" t="str">
        <v>1146 KVC</v>
      </c>
      <c r="C116" s="4" t="str">
        <v>DV_Cắt_Vip</v>
      </c>
      <c r="D116" s="4">
        <v>1048</v>
      </c>
      <c r="E116" s="4" t="str">
        <v>Combo 4</v>
      </c>
      <c r="F116" s="21">
        <v>389000</v>
      </c>
      <c r="G116" s="21">
        <v>389000</v>
      </c>
      <c r="H116" s="21">
        <v>389000</v>
      </c>
      <c r="I116" s="4">
        <f>A116&amp;D116</f>
      </c>
      <c r="J116" s="4">
        <v>389000</v>
      </c>
      <c r="K116" s="4"/>
      <c r="L116" s="4"/>
      <c r="M116" s="4"/>
      <c r="N116" s="4"/>
      <c r="O116" s="4"/>
      <c r="P116" s="4"/>
      <c r="Q116" s="4"/>
      <c r="R116" s="4"/>
      <c r="S116" s="4"/>
    </row>
    <row r="117">
      <c r="A117" s="4">
        <v>249</v>
      </c>
      <c r="B117" s="4" t="str">
        <v>1146 KVC</v>
      </c>
      <c r="C117" s="4" t="str">
        <v>DV_Cắt_Vip</v>
      </c>
      <c r="D117" s="4">
        <v>1064</v>
      </c>
      <c r="E117" s="4" t="str">
        <v>Cắt Gội Combo 5 - Dưỡng sinh</v>
      </c>
      <c r="F117" s="21">
        <v>459000</v>
      </c>
      <c r="G117" s="21">
        <v>459000</v>
      </c>
      <c r="H117" s="21">
        <v>459000</v>
      </c>
      <c r="I117" s="4">
        <f>A117&amp;D117</f>
      </c>
      <c r="J117" s="4">
        <v>459000</v>
      </c>
      <c r="K117" s="4"/>
      <c r="L117" s="4"/>
      <c r="M117" s="4"/>
      <c r="N117" s="4"/>
      <c r="O117" s="4"/>
      <c r="P117" s="4"/>
      <c r="Q117" s="4"/>
      <c r="R117" s="4"/>
      <c r="S117" s="4"/>
    </row>
    <row r="118">
      <c r="A118" s="4">
        <v>249</v>
      </c>
      <c r="B118" s="4" t="str">
        <v>1146 KVC</v>
      </c>
      <c r="C118" s="4" t="str">
        <v>DV_Cắt_Vip</v>
      </c>
      <c r="D118" s="4">
        <v>1065</v>
      </c>
      <c r="E118" s="4" t="str">
        <v>Cắt Gội Combo 3 - Dưỡng sinh</v>
      </c>
      <c r="F118" s="21">
        <v>299000</v>
      </c>
      <c r="G118" s="21">
        <v>299000</v>
      </c>
      <c r="H118" s="21">
        <v>299000</v>
      </c>
      <c r="I118" s="4">
        <f>A118&amp;D118</f>
      </c>
      <c r="J118" s="4">
        <v>299000</v>
      </c>
      <c r="K118" s="4"/>
      <c r="L118" s="4"/>
      <c r="M118" s="4"/>
      <c r="N118" s="4"/>
      <c r="O118" s="4"/>
      <c r="P118" s="4"/>
      <c r="Q118" s="4"/>
      <c r="R118" s="4"/>
      <c r="S118" s="4"/>
    </row>
    <row r="119">
      <c r="A119" s="4">
        <v>249</v>
      </c>
      <c r="B119" s="4" t="str">
        <v>1146 KVC</v>
      </c>
      <c r="C119" s="4" t="str">
        <v>DV_Cắt_Vip</v>
      </c>
      <c r="D119" s="4">
        <v>1150</v>
      </c>
      <c r="E119" s="4" t="str">
        <v>Combo cắt gội đỉnh cao thư giãn vip</v>
      </c>
      <c r="F119" s="21">
        <v>500000</v>
      </c>
      <c r="G119" s="21">
        <v>500000</v>
      </c>
      <c r="H119" s="21">
        <v>500000</v>
      </c>
      <c r="I119" s="4">
        <f>A119&amp;D119</f>
      </c>
      <c r="J119" s="4">
        <v>500000</v>
      </c>
      <c r="K119" s="4"/>
      <c r="L119" s="4"/>
      <c r="M119" s="4"/>
      <c r="N119" s="4"/>
      <c r="O119" s="4"/>
      <c r="P119" s="4"/>
      <c r="Q119" s="4"/>
      <c r="R119" s="4"/>
      <c r="S119" s="4"/>
    </row>
    <row r="120">
      <c r="A120" s="4">
        <v>249</v>
      </c>
      <c r="B120" s="4" t="str">
        <v>1146 KVC</v>
      </c>
      <c r="C120" s="4" t="str">
        <v>DV_Gội</v>
      </c>
      <c r="D120" s="4">
        <v>867</v>
      </c>
      <c r="E120" s="4" t="str">
        <v>Gội dưỡng sinh cổ vai gáy</v>
      </c>
      <c r="F120" s="21">
        <v>99000</v>
      </c>
      <c r="G120" s="21">
        <v>99000</v>
      </c>
      <c r="H120" s="21">
        <v>99000</v>
      </c>
      <c r="I120" s="4">
        <f>A120&amp;D120</f>
      </c>
      <c r="J120" s="4">
        <v>99000</v>
      </c>
      <c r="K120" s="4"/>
      <c r="L120" s="4"/>
      <c r="M120" s="4"/>
      <c r="N120" s="4"/>
      <c r="O120" s="4"/>
      <c r="P120" s="4"/>
      <c r="Q120" s="4"/>
      <c r="R120" s="4"/>
      <c r="S120" s="4"/>
    </row>
    <row r="121">
      <c r="A121" s="4">
        <v>249</v>
      </c>
      <c r="B121" s="4" t="str">
        <v>1146 KVC</v>
      </c>
      <c r="C121" s="4" t="str">
        <v>DV_Gội</v>
      </c>
      <c r="D121" s="4">
        <v>930</v>
      </c>
      <c r="E121" s="4" t="str">
        <v>[NEW] Gội dưỡng sinh cổ vai gáy và chăm sóc da</v>
      </c>
      <c r="F121" s="21">
        <v>139000</v>
      </c>
      <c r="G121" s="21">
        <v>139000</v>
      </c>
      <c r="H121" s="21">
        <v>139000</v>
      </c>
      <c r="I121" s="4">
        <f>A121&amp;D121</f>
      </c>
      <c r="J121" s="4">
        <v>139000</v>
      </c>
      <c r="K121" s="4"/>
      <c r="L121" s="4"/>
      <c r="M121" s="4"/>
      <c r="N121" s="4"/>
      <c r="O121" s="4"/>
      <c r="P121" s="4"/>
      <c r="Q121" s="4"/>
      <c r="R121" s="4"/>
      <c r="S121" s="4"/>
    </row>
    <row r="122">
      <c r="A122" s="4">
        <v>249</v>
      </c>
      <c r="B122" s="4" t="str">
        <v>1146 KVC</v>
      </c>
      <c r="C122" s="4" t="str">
        <v>DV_Gội</v>
      </c>
      <c r="D122" s="4">
        <v>934</v>
      </c>
      <c r="E122" s="4" t="str">
        <v>Gội combo 3 - Dưỡng sinh</v>
      </c>
      <c r="F122" s="21">
        <v>229000</v>
      </c>
      <c r="G122" s="21">
        <v>229000</v>
      </c>
      <c r="H122" s="21">
        <v>229000</v>
      </c>
      <c r="I122" s="4">
        <f>A122&amp;D122</f>
      </c>
      <c r="J122" s="4">
        <v>229000</v>
      </c>
      <c r="K122" s="4"/>
      <c r="L122" s="4"/>
      <c r="M122" s="4"/>
      <c r="N122" s="4"/>
      <c r="O122" s="4"/>
      <c r="P122" s="4"/>
      <c r="Q122" s="4"/>
      <c r="R122" s="4"/>
      <c r="S122" s="4"/>
    </row>
    <row r="123">
      <c r="A123" s="4">
        <v>249</v>
      </c>
      <c r="B123" s="4" t="str">
        <v>1146 KVC</v>
      </c>
      <c r="C123" s="4" t="str">
        <v>DV_Gội</v>
      </c>
      <c r="D123" s="4">
        <v>940</v>
      </c>
      <c r="E123" s="4" t="str">
        <v>[NEW] Gội dưỡng sinh</v>
      </c>
      <c r="F123" s="21">
        <v>59000</v>
      </c>
      <c r="G123" s="21">
        <v>59000</v>
      </c>
      <c r="H123" s="21">
        <v>59000</v>
      </c>
      <c r="I123" s="4">
        <f>A123&amp;D123</f>
      </c>
      <c r="J123" s="4">
        <v>59000</v>
      </c>
      <c r="K123" s="4"/>
      <c r="L123" s="4"/>
      <c r="M123" s="4"/>
      <c r="N123" s="4"/>
      <c r="O123" s="4"/>
      <c r="P123" s="4"/>
      <c r="Q123" s="4"/>
      <c r="R123" s="4"/>
      <c r="S123" s="4"/>
    </row>
    <row r="124">
      <c r="A124" s="4">
        <v>249</v>
      </c>
      <c r="B124" s="4" t="str">
        <v>1146 KVC</v>
      </c>
      <c r="C124" s="4" t="str">
        <v>DV_Gội</v>
      </c>
      <c r="D124" s="4">
        <v>1058</v>
      </c>
      <c r="E124" s="4" t="str">
        <v>Gội Combo 2</v>
      </c>
      <c r="F124" s="21">
        <v>159000</v>
      </c>
      <c r="G124" s="21">
        <v>159000</v>
      </c>
      <c r="H124" s="21">
        <v>159000</v>
      </c>
      <c r="I124" s="4">
        <f>A124&amp;D124</f>
      </c>
      <c r="J124" s="4">
        <v>159000</v>
      </c>
      <c r="K124" s="4"/>
      <c r="L124" s="4"/>
      <c r="M124" s="4"/>
      <c r="N124" s="4"/>
      <c r="O124" s="4"/>
      <c r="P124" s="4"/>
      <c r="Q124" s="4"/>
      <c r="R124" s="4"/>
      <c r="S124" s="4"/>
    </row>
    <row r="125">
      <c r="A125" s="4">
        <v>249</v>
      </c>
      <c r="B125" s="4" t="str">
        <v>1146 KVC</v>
      </c>
      <c r="C125" s="4" t="str">
        <v>DV_Gội</v>
      </c>
      <c r="D125" s="4">
        <v>1059</v>
      </c>
      <c r="E125" s="4" t="str">
        <v>Gội Combo 3 - Chăm da</v>
      </c>
      <c r="F125" s="21">
        <v>239000</v>
      </c>
      <c r="G125" s="21">
        <v>239000</v>
      </c>
      <c r="H125" s="21">
        <v>239000</v>
      </c>
      <c r="I125" s="4">
        <f>A125&amp;D125</f>
      </c>
      <c r="J125" s="4">
        <v>239000</v>
      </c>
      <c r="K125" s="4"/>
      <c r="L125" s="4"/>
      <c r="M125" s="4"/>
      <c r="N125" s="4"/>
      <c r="O125" s="4"/>
      <c r="P125" s="4"/>
      <c r="Q125" s="4"/>
      <c r="R125" s="4"/>
      <c r="S125" s="4"/>
    </row>
    <row r="126">
      <c r="A126" s="4">
        <v>249</v>
      </c>
      <c r="B126" s="4" t="str">
        <v>1146 KVC</v>
      </c>
      <c r="C126" s="4" t="str">
        <v>DV_Gội</v>
      </c>
      <c r="D126" s="4">
        <v>1060</v>
      </c>
      <c r="E126" s="4" t="str">
        <v>Gội Combo 4</v>
      </c>
      <c r="F126" s="21">
        <v>289000</v>
      </c>
      <c r="G126" s="21">
        <v>289000</v>
      </c>
      <c r="H126" s="21">
        <v>289000</v>
      </c>
      <c r="I126" s="4">
        <f>A126&amp;D126</f>
      </c>
      <c r="J126" s="4">
        <v>289000</v>
      </c>
      <c r="K126" s="4"/>
      <c r="L126" s="4"/>
      <c r="M126" s="4"/>
      <c r="N126" s="4"/>
      <c r="O126" s="4"/>
      <c r="P126" s="4"/>
      <c r="Q126" s="4"/>
      <c r="R126" s="4"/>
      <c r="S126" s="4"/>
    </row>
    <row r="127">
      <c r="A127" s="4">
        <v>249</v>
      </c>
      <c r="B127" s="4" t="str">
        <v>1146 KVC</v>
      </c>
      <c r="C127" s="4" t="str">
        <v>DV_Gội</v>
      </c>
      <c r="D127" s="4">
        <v>1066</v>
      </c>
      <c r="E127" s="4" t="str">
        <v>Gội trải nghiệm 75p</v>
      </c>
      <c r="F127" s="21">
        <v>589000</v>
      </c>
      <c r="G127" s="21">
        <v>589000</v>
      </c>
      <c r="H127" s="21">
        <v>589000</v>
      </c>
      <c r="I127" s="4">
        <f>A127&amp;D127</f>
      </c>
      <c r="J127" s="4">
        <v>589000</v>
      </c>
      <c r="K127" s="4"/>
      <c r="L127" s="4"/>
      <c r="M127" s="4"/>
      <c r="N127" s="4"/>
      <c r="O127" s="4"/>
      <c r="P127" s="4"/>
      <c r="Q127" s="4"/>
      <c r="R127" s="4"/>
      <c r="S127" s="4"/>
    </row>
    <row r="128">
      <c r="A128" s="4">
        <v>249</v>
      </c>
      <c r="B128" s="4" t="str">
        <v>1146 KVC</v>
      </c>
      <c r="C128" s="4" t="str">
        <v>DV_Gội</v>
      </c>
      <c r="D128" s="4">
        <v>1067</v>
      </c>
      <c r="E128" s="4" t="str">
        <v>Gội trải nghiệm 90p</v>
      </c>
      <c r="F128" s="21">
        <v>789000</v>
      </c>
      <c r="G128" s="21">
        <v>789000</v>
      </c>
      <c r="H128" s="21">
        <v>789000</v>
      </c>
      <c r="I128" s="4">
        <f>A128&amp;D128</f>
      </c>
      <c r="J128" s="4">
        <v>789000</v>
      </c>
      <c r="K128" s="4"/>
      <c r="L128" s="4"/>
      <c r="M128" s="4"/>
      <c r="N128" s="4"/>
      <c r="O128" s="4"/>
      <c r="P128" s="4"/>
      <c r="Q128" s="4"/>
      <c r="R128" s="4"/>
      <c r="S128" s="4"/>
    </row>
    <row r="129">
      <c r="A129" s="4">
        <v>249</v>
      </c>
      <c r="B129" s="4" t="str">
        <v>1146 KVC</v>
      </c>
      <c r="C129" s="4" t="str">
        <v>DV_Gội</v>
      </c>
      <c r="D129" s="4">
        <v>1068</v>
      </c>
      <c r="E129" s="4" t="str">
        <v>Gội trải nghiệm 115p</v>
      </c>
      <c r="F129" s="21">
        <v>999000</v>
      </c>
      <c r="G129" s="21">
        <v>999000</v>
      </c>
      <c r="H129" s="21">
        <v>999000</v>
      </c>
      <c r="I129" s="4">
        <f>A129&amp;D129</f>
      </c>
      <c r="J129" s="4">
        <v>999000</v>
      </c>
      <c r="K129" s="4"/>
      <c r="L129" s="4"/>
      <c r="M129" s="4"/>
      <c r="N129" s="4"/>
      <c r="O129" s="4"/>
      <c r="P129" s="4"/>
      <c r="Q129" s="4"/>
      <c r="R129" s="4"/>
      <c r="S129" s="4"/>
    </row>
    <row r="130">
      <c r="A130" s="4">
        <v>249</v>
      </c>
      <c r="B130" s="4" t="str">
        <v>1146 KVC</v>
      </c>
      <c r="C130" s="4" t="str">
        <v>DV_Gội</v>
      </c>
      <c r="D130" s="4">
        <v>1240</v>
      </c>
      <c r="E130" s="4" t="str">
        <v>Gội Detox Scalp Pro</v>
      </c>
      <c r="F130" s="21">
        <v>179000</v>
      </c>
      <c r="G130" s="21">
        <v>179000</v>
      </c>
      <c r="H130" s="21">
        <v>179000</v>
      </c>
      <c r="I130" s="4">
        <f>A130&amp;D130</f>
      </c>
      <c r="J130" s="4">
        <v>179000</v>
      </c>
      <c r="K130" s="4"/>
      <c r="L130" s="4"/>
      <c r="M130" s="4"/>
      <c r="N130" s="4"/>
      <c r="O130" s="4"/>
      <c r="P130" s="4"/>
      <c r="Q130" s="4"/>
      <c r="R130" s="4"/>
      <c r="S130" s="4"/>
    </row>
    <row r="131">
      <c r="A131" s="4">
        <v>187</v>
      </c>
      <c r="B131" s="4" t="str">
        <v>116 TK</v>
      </c>
      <c r="C131" s="4" t="str">
        <v>DV_Cắt</v>
      </c>
      <c r="D131" s="4">
        <v>513</v>
      </c>
      <c r="E131" s="4" t="str">
        <v>[DV] ShineCombo 10 bước Ultra Care 2023</v>
      </c>
      <c r="F131" s="21">
        <v>122000</v>
      </c>
      <c r="G131" s="21">
        <v>122000</v>
      </c>
      <c r="H131" s="21">
        <v>122000</v>
      </c>
      <c r="I131" s="4">
        <f>A131&amp;D131</f>
      </c>
      <c r="J131" s="4">
        <v>122000</v>
      </c>
      <c r="K131" s="4"/>
      <c r="L131" s="4"/>
      <c r="M131" s="4"/>
      <c r="N131" s="4"/>
      <c r="O131" s="4"/>
      <c r="P131" s="4"/>
      <c r="Q131" s="4"/>
      <c r="R131" s="4"/>
      <c r="S131" s="4"/>
    </row>
    <row r="132">
      <c r="A132" s="4">
        <v>187</v>
      </c>
      <c r="B132" s="4" t="str">
        <v>116 TK</v>
      </c>
      <c r="C132" s="4" t="str">
        <v>DV_Cắt</v>
      </c>
      <c r="D132" s="4">
        <v>891</v>
      </c>
      <c r="E132" s="4" t="str">
        <v>Cắt xả tạo kiểu</v>
      </c>
      <c r="F132" s="21">
        <v>94000</v>
      </c>
      <c r="G132" s="21">
        <v>94000</v>
      </c>
      <c r="H132" s="21">
        <v>94000</v>
      </c>
      <c r="I132" s="4">
        <f>A132&amp;D132</f>
      </c>
      <c r="J132" s="4">
        <v>94000</v>
      </c>
      <c r="K132" s="4"/>
      <c r="L132" s="4"/>
      <c r="M132" s="4"/>
      <c r="N132" s="4"/>
      <c r="O132" s="4"/>
      <c r="P132" s="4"/>
      <c r="Q132" s="4"/>
      <c r="R132" s="4"/>
      <c r="S132" s="4"/>
    </row>
    <row r="133">
      <c r="A133" s="4">
        <v>187</v>
      </c>
      <c r="B133" s="4" t="str">
        <v>116 TK</v>
      </c>
      <c r="C133" s="4" t="str">
        <v>DV_Cắt</v>
      </c>
      <c r="D133" s="4">
        <v>1002</v>
      </c>
      <c r="E133" s="4" t="str">
        <v>Kid Cắt</v>
      </c>
      <c r="F133" s="21">
        <v>75000</v>
      </c>
      <c r="G133" s="21">
        <v>75000</v>
      </c>
      <c r="H133" s="21">
        <v>75000</v>
      </c>
      <c r="I133" s="4">
        <f>A133&amp;D133</f>
      </c>
      <c r="J133" s="4">
        <v>75000</v>
      </c>
      <c r="K133" s="4"/>
      <c r="L133" s="4"/>
      <c r="M133" s="4"/>
      <c r="N133" s="4"/>
      <c r="O133" s="4"/>
      <c r="P133" s="4"/>
      <c r="Q133" s="4"/>
      <c r="R133" s="4"/>
      <c r="S133" s="4"/>
    </row>
    <row r="134">
      <c r="A134" s="4">
        <v>187</v>
      </c>
      <c r="B134" s="4" t="str">
        <v>116 TK</v>
      </c>
      <c r="C134" s="4" t="str">
        <v>DV_Cắt</v>
      </c>
      <c r="D134" s="4">
        <v>1070</v>
      </c>
      <c r="E134" s="4" t="str">
        <v>Combo Cắt gội Kid</v>
      </c>
      <c r="F134" s="21">
        <v>100000</v>
      </c>
      <c r="G134" s="21">
        <v>100000</v>
      </c>
      <c r="H134" s="21">
        <v>100000</v>
      </c>
      <c r="I134" s="4">
        <f>A134&amp;D134</f>
      </c>
      <c r="J134" s="4">
        <v>100000</v>
      </c>
      <c r="K134" s="4"/>
      <c r="L134" s="4"/>
      <c r="M134" s="4"/>
      <c r="N134" s="4"/>
      <c r="O134" s="4"/>
      <c r="P134" s="4"/>
      <c r="Q134" s="4"/>
      <c r="R134" s="4"/>
      <c r="S134" s="4"/>
    </row>
    <row r="135">
      <c r="A135" s="4">
        <v>187</v>
      </c>
      <c r="B135" s="4" t="str">
        <v>116 TK</v>
      </c>
      <c r="C135" s="4" t="str">
        <v>DV_Cắt_Vip</v>
      </c>
      <c r="D135" s="4">
        <v>1046</v>
      </c>
      <c r="E135" s="4" t="str">
        <v>Shinecombo 2</v>
      </c>
      <c r="F135" s="21">
        <v>199000</v>
      </c>
      <c r="G135" s="21">
        <v>199000</v>
      </c>
      <c r="H135" s="21">
        <v>199000</v>
      </c>
      <c r="I135" s="4">
        <f>A135&amp;D135</f>
      </c>
      <c r="J135" s="4">
        <v>199000</v>
      </c>
      <c r="K135" s="4"/>
      <c r="L135" s="4"/>
      <c r="M135" s="4"/>
      <c r="N135" s="4"/>
      <c r="O135" s="4"/>
      <c r="P135" s="4"/>
      <c r="Q135" s="4"/>
      <c r="R135" s="4"/>
      <c r="S135" s="4"/>
    </row>
    <row r="136">
      <c r="A136" s="4">
        <v>187</v>
      </c>
      <c r="B136" s="4" t="str">
        <v>116 TK</v>
      </c>
      <c r="C136" s="4" t="str">
        <v>DV_Cắt_Vip</v>
      </c>
      <c r="D136" s="4">
        <v>1047</v>
      </c>
      <c r="E136" s="4" t="str">
        <v>Cắt Gội Combo 3 - Chăm da</v>
      </c>
      <c r="F136" s="21">
        <v>299000</v>
      </c>
      <c r="G136" s="21">
        <v>299000</v>
      </c>
      <c r="H136" s="21">
        <v>299000</v>
      </c>
      <c r="I136" s="4">
        <f>A136&amp;D136</f>
      </c>
      <c r="J136" s="4">
        <v>299000</v>
      </c>
      <c r="K136" s="4"/>
      <c r="L136" s="4"/>
      <c r="M136" s="4"/>
      <c r="N136" s="4"/>
      <c r="O136" s="4"/>
      <c r="P136" s="4"/>
      <c r="Q136" s="4"/>
      <c r="R136" s="4"/>
      <c r="S136" s="4"/>
    </row>
    <row r="137">
      <c r="A137" s="4">
        <v>187</v>
      </c>
      <c r="B137" s="4" t="str">
        <v>116 TK</v>
      </c>
      <c r="C137" s="4" t="str">
        <v>DV_Cắt_Vip</v>
      </c>
      <c r="D137" s="4">
        <v>1048</v>
      </c>
      <c r="E137" s="4" t="str">
        <v>Combo 4</v>
      </c>
      <c r="F137" s="21">
        <v>389000</v>
      </c>
      <c r="G137" s="21">
        <v>389000</v>
      </c>
      <c r="H137" s="21">
        <v>389000</v>
      </c>
      <c r="I137" s="4">
        <f>A137&amp;D137</f>
      </c>
      <c r="J137" s="4">
        <v>389000</v>
      </c>
      <c r="K137" s="4"/>
      <c r="L137" s="4"/>
      <c r="M137" s="4"/>
      <c r="N137" s="4"/>
      <c r="O137" s="4"/>
      <c r="P137" s="4"/>
      <c r="Q137" s="4"/>
      <c r="R137" s="4"/>
      <c r="S137" s="4"/>
    </row>
    <row r="138">
      <c r="A138" s="4">
        <v>187</v>
      </c>
      <c r="B138" s="4" t="str">
        <v>116 TK</v>
      </c>
      <c r="C138" s="4" t="str">
        <v>DV_Cắt_Vip</v>
      </c>
      <c r="D138" s="4">
        <v>1064</v>
      </c>
      <c r="E138" s="4" t="str">
        <v>Cắt Gội Combo 5 - Dưỡng sinh</v>
      </c>
      <c r="F138" s="21">
        <v>459000</v>
      </c>
      <c r="G138" s="21">
        <v>459000</v>
      </c>
      <c r="H138" s="21">
        <v>459000</v>
      </c>
      <c r="I138" s="4">
        <f>A138&amp;D138</f>
      </c>
      <c r="J138" s="4">
        <v>459000</v>
      </c>
      <c r="K138" s="4"/>
      <c r="L138" s="4"/>
      <c r="M138" s="4"/>
      <c r="N138" s="4"/>
      <c r="O138" s="4"/>
      <c r="P138" s="4"/>
      <c r="Q138" s="4"/>
      <c r="R138" s="4"/>
      <c r="S138" s="4"/>
    </row>
    <row r="139">
      <c r="A139" s="4">
        <v>187</v>
      </c>
      <c r="B139" s="4" t="str">
        <v>116 TK</v>
      </c>
      <c r="C139" s="4" t="str">
        <v>DV_Cắt_Vip</v>
      </c>
      <c r="D139" s="4">
        <v>1065</v>
      </c>
      <c r="E139" s="4" t="str">
        <v>Cắt Gội Combo 3 - Dưỡng sinh</v>
      </c>
      <c r="F139" s="21">
        <v>299000</v>
      </c>
      <c r="G139" s="21">
        <v>299000</v>
      </c>
      <c r="H139" s="21">
        <v>299000</v>
      </c>
      <c r="I139" s="4">
        <f>A139&amp;D139</f>
      </c>
      <c r="J139" s="4">
        <v>299000</v>
      </c>
      <c r="K139" s="4"/>
      <c r="L139" s="4"/>
      <c r="M139" s="4"/>
      <c r="N139" s="4"/>
      <c r="O139" s="4"/>
      <c r="P139" s="4"/>
      <c r="Q139" s="4"/>
      <c r="R139" s="4"/>
      <c r="S139" s="4"/>
    </row>
    <row r="140">
      <c r="A140" s="4">
        <v>187</v>
      </c>
      <c r="B140" s="4" t="str">
        <v>116 TK</v>
      </c>
      <c r="C140" s="4" t="str">
        <v>DV_Gội</v>
      </c>
      <c r="D140" s="4">
        <v>867</v>
      </c>
      <c r="E140" s="4" t="str">
        <v>Gội dưỡng sinh cổ vai gáy</v>
      </c>
      <c r="F140" s="21">
        <v>99000</v>
      </c>
      <c r="G140" s="21">
        <v>99000</v>
      </c>
      <c r="H140" s="21">
        <v>99000</v>
      </c>
      <c r="I140" s="4">
        <f>A140&amp;D140</f>
      </c>
      <c r="J140" s="4">
        <v>99000</v>
      </c>
      <c r="K140" s="4"/>
      <c r="L140" s="4"/>
      <c r="M140" s="4"/>
      <c r="N140" s="4"/>
      <c r="O140" s="4"/>
      <c r="P140" s="4"/>
      <c r="Q140" s="4"/>
      <c r="R140" s="4"/>
      <c r="S140" s="4"/>
    </row>
    <row r="141">
      <c r="A141" s="4">
        <v>187</v>
      </c>
      <c r="B141" s="4" t="str">
        <v>116 TK</v>
      </c>
      <c r="C141" s="4" t="str">
        <v>DV_Gội</v>
      </c>
      <c r="D141" s="4">
        <v>930</v>
      </c>
      <c r="E141" s="4" t="str">
        <v>[NEW] Gội dưỡng sinh cổ vai gáy và chăm sóc da</v>
      </c>
      <c r="F141" s="21">
        <v>139000</v>
      </c>
      <c r="G141" s="21">
        <v>139000</v>
      </c>
      <c r="H141" s="21">
        <v>139000</v>
      </c>
      <c r="I141" s="4">
        <f>A141&amp;D141</f>
      </c>
      <c r="J141" s="4">
        <v>139000</v>
      </c>
      <c r="K141" s="4"/>
      <c r="L141" s="4"/>
      <c r="M141" s="4"/>
      <c r="N141" s="4"/>
      <c r="O141" s="4"/>
      <c r="P141" s="4"/>
      <c r="Q141" s="4"/>
      <c r="R141" s="4"/>
      <c r="S141" s="4"/>
    </row>
    <row r="142">
      <c r="A142" s="4">
        <v>187</v>
      </c>
      <c r="B142" s="4" t="str">
        <v>116 TK</v>
      </c>
      <c r="C142" s="4" t="str">
        <v>DV_Gội</v>
      </c>
      <c r="D142" s="4">
        <v>931</v>
      </c>
      <c r="E142" s="4" t="str">
        <v>[NEW] Gội dưỡng sinh đá nóng - Paradise dưỡng sinh đá nóng</v>
      </c>
      <c r="F142" s="21">
        <v>289000</v>
      </c>
      <c r="G142" s="21">
        <v>289000</v>
      </c>
      <c r="H142" s="21">
        <v>289000</v>
      </c>
      <c r="I142" s="4">
        <f>A142&amp;D142</f>
      </c>
      <c r="J142" s="4">
        <v>289000</v>
      </c>
      <c r="K142" s="4"/>
      <c r="L142" s="4"/>
      <c r="M142" s="4"/>
      <c r="N142" s="4"/>
      <c r="O142" s="4"/>
      <c r="P142" s="4"/>
      <c r="Q142" s="4"/>
      <c r="R142" s="4"/>
      <c r="S142" s="4"/>
    </row>
    <row r="143">
      <c r="A143" s="4">
        <v>187</v>
      </c>
      <c r="B143" s="4" t="str">
        <v>116 TK</v>
      </c>
      <c r="C143" s="4" t="str">
        <v>DV_Gội</v>
      </c>
      <c r="D143" s="4">
        <v>934</v>
      </c>
      <c r="E143" s="4" t="str">
        <v>Gội combo 3 - Dưỡng sinh</v>
      </c>
      <c r="F143" s="21">
        <v>229000</v>
      </c>
      <c r="G143" s="21">
        <v>229000</v>
      </c>
      <c r="H143" s="21">
        <v>229000</v>
      </c>
      <c r="I143" s="4">
        <f>A143&amp;D143</f>
      </c>
      <c r="J143" s="4">
        <v>229000</v>
      </c>
      <c r="K143" s="4"/>
      <c r="L143" s="4"/>
      <c r="M143" s="4"/>
      <c r="N143" s="4"/>
      <c r="O143" s="4"/>
      <c r="P143" s="4"/>
      <c r="Q143" s="4"/>
      <c r="R143" s="4"/>
      <c r="S143" s="4"/>
    </row>
    <row r="144">
      <c r="A144" s="4">
        <v>187</v>
      </c>
      <c r="B144" s="4" t="str">
        <v>116 TK</v>
      </c>
      <c r="C144" s="4" t="str">
        <v>DV_Gội</v>
      </c>
      <c r="D144" s="4">
        <v>940</v>
      </c>
      <c r="E144" s="4" t="str">
        <v>[NEW] Gội dưỡng sinh</v>
      </c>
      <c r="F144" s="21">
        <v>59000</v>
      </c>
      <c r="G144" s="21">
        <v>59000</v>
      </c>
      <c r="H144" s="21">
        <v>59000</v>
      </c>
      <c r="I144" s="4">
        <f>A144&amp;D144</f>
      </c>
      <c r="J144" s="4">
        <v>59000</v>
      </c>
      <c r="K144" s="4"/>
      <c r="L144" s="4"/>
      <c r="M144" s="4"/>
      <c r="N144" s="4"/>
      <c r="O144" s="4"/>
      <c r="P144" s="4"/>
      <c r="Q144" s="4"/>
      <c r="R144" s="4"/>
      <c r="S144" s="4"/>
    </row>
    <row r="145">
      <c r="A145" s="4">
        <v>187</v>
      </c>
      <c r="B145" s="4" t="str">
        <v>116 TK</v>
      </c>
      <c r="C145" s="4" t="str">
        <v>DV_Gội</v>
      </c>
      <c r="D145" s="4">
        <v>1058</v>
      </c>
      <c r="E145" s="4" t="str">
        <v>Gội Combo 2</v>
      </c>
      <c r="F145" s="21">
        <v>159000</v>
      </c>
      <c r="G145" s="21">
        <v>159000</v>
      </c>
      <c r="H145" s="21">
        <v>159000</v>
      </c>
      <c r="I145" s="4">
        <f>A145&amp;D145</f>
      </c>
      <c r="J145" s="4">
        <v>159000</v>
      </c>
      <c r="K145" s="4"/>
      <c r="L145" s="4"/>
      <c r="M145" s="4"/>
      <c r="N145" s="4"/>
      <c r="O145" s="4"/>
      <c r="P145" s="4"/>
      <c r="Q145" s="4"/>
      <c r="R145" s="4"/>
      <c r="S145" s="4"/>
    </row>
    <row r="146">
      <c r="A146" s="4">
        <v>187</v>
      </c>
      <c r="B146" s="4" t="str">
        <v>116 TK</v>
      </c>
      <c r="C146" s="4" t="str">
        <v>DV_Gội</v>
      </c>
      <c r="D146" s="4">
        <v>1059</v>
      </c>
      <c r="E146" s="4" t="str">
        <v>Gội Combo 3 - Chăm da</v>
      </c>
      <c r="F146" s="21">
        <v>239000</v>
      </c>
      <c r="G146" s="21">
        <v>239000</v>
      </c>
      <c r="H146" s="21">
        <v>239000</v>
      </c>
      <c r="I146" s="4">
        <f>A146&amp;D146</f>
      </c>
      <c r="J146" s="4">
        <v>239000</v>
      </c>
      <c r="K146" s="4"/>
      <c r="L146" s="4"/>
      <c r="M146" s="4"/>
      <c r="N146" s="4"/>
      <c r="O146" s="4"/>
      <c r="P146" s="4"/>
      <c r="Q146" s="4"/>
      <c r="R146" s="4"/>
      <c r="S146" s="4"/>
    </row>
    <row r="147">
      <c r="A147" s="4">
        <v>187</v>
      </c>
      <c r="B147" s="4" t="str">
        <v>116 TK</v>
      </c>
      <c r="C147" s="4" t="str">
        <v>DV_Gội</v>
      </c>
      <c r="D147" s="4">
        <v>1060</v>
      </c>
      <c r="E147" s="4" t="str">
        <v>Gội Combo 4</v>
      </c>
      <c r="F147" s="21">
        <v>289000</v>
      </c>
      <c r="G147" s="21">
        <v>289000</v>
      </c>
      <c r="H147" s="21">
        <v>289000</v>
      </c>
      <c r="I147" s="4">
        <f>A147&amp;D147</f>
      </c>
      <c r="J147" s="4">
        <v>289000</v>
      </c>
      <c r="K147" s="4"/>
      <c r="L147" s="4"/>
      <c r="M147" s="4"/>
      <c r="N147" s="4"/>
      <c r="O147" s="4"/>
      <c r="P147" s="4"/>
      <c r="Q147" s="4"/>
      <c r="R147" s="4"/>
      <c r="S147" s="4"/>
    </row>
    <row r="148">
      <c r="A148" s="4">
        <v>187</v>
      </c>
      <c r="B148" s="4" t="str">
        <v>116 TK</v>
      </c>
      <c r="C148" s="4" t="str">
        <v>DV_Gội</v>
      </c>
      <c r="D148" s="4">
        <v>1066</v>
      </c>
      <c r="E148" s="4" t="str">
        <v>Gội trải nghiệm 75p</v>
      </c>
      <c r="F148" s="21">
        <v>589000</v>
      </c>
      <c r="G148" s="21">
        <v>589000</v>
      </c>
      <c r="H148" s="21">
        <v>589000</v>
      </c>
      <c r="I148" s="4">
        <f>A148&amp;D148</f>
      </c>
      <c r="J148" s="4">
        <v>589000</v>
      </c>
      <c r="K148" s="4"/>
      <c r="L148" s="4"/>
      <c r="M148" s="4"/>
      <c r="N148" s="4"/>
      <c r="O148" s="4"/>
      <c r="P148" s="4"/>
      <c r="Q148" s="4"/>
      <c r="R148" s="4"/>
      <c r="S148" s="4"/>
    </row>
    <row r="149">
      <c r="A149" s="4">
        <v>187</v>
      </c>
      <c r="B149" s="4" t="str">
        <v>116 TK</v>
      </c>
      <c r="C149" s="4" t="str">
        <v>DV_Gội</v>
      </c>
      <c r="D149" s="4">
        <v>1067</v>
      </c>
      <c r="E149" s="4" t="str">
        <v>Gội trải nghiệm 90p</v>
      </c>
      <c r="F149" s="21">
        <v>789000</v>
      </c>
      <c r="G149" s="21">
        <v>789000</v>
      </c>
      <c r="H149" s="21">
        <v>789000</v>
      </c>
      <c r="I149" s="4">
        <f>A149&amp;D149</f>
      </c>
      <c r="J149" s="4">
        <v>789000</v>
      </c>
      <c r="K149" s="4"/>
      <c r="L149" s="4"/>
      <c r="M149" s="4"/>
      <c r="N149" s="4"/>
      <c r="O149" s="4"/>
      <c r="P149" s="4"/>
      <c r="Q149" s="4"/>
      <c r="R149" s="4"/>
      <c r="S149" s="4"/>
    </row>
    <row r="150">
      <c r="A150" s="4">
        <v>187</v>
      </c>
      <c r="B150" s="4" t="str">
        <v>116 TK</v>
      </c>
      <c r="C150" s="4" t="str">
        <v>DV_Gội</v>
      </c>
      <c r="D150" s="4">
        <v>1068</v>
      </c>
      <c r="E150" s="4" t="str">
        <v>Gội trải nghiệm 115p</v>
      </c>
      <c r="F150" s="21">
        <v>999000</v>
      </c>
      <c r="G150" s="21">
        <v>999000</v>
      </c>
      <c r="H150" s="21">
        <v>999000</v>
      </c>
      <c r="I150" s="4">
        <f>A150&amp;D150</f>
      </c>
      <c r="J150" s="4">
        <v>999000</v>
      </c>
      <c r="K150" s="4"/>
      <c r="L150" s="4"/>
      <c r="M150" s="4"/>
      <c r="N150" s="4"/>
      <c r="O150" s="4"/>
      <c r="P150" s="4"/>
      <c r="Q150" s="4"/>
      <c r="R150" s="4"/>
      <c r="S150" s="4"/>
    </row>
    <row r="151">
      <c r="A151" s="4">
        <v>187</v>
      </c>
      <c r="B151" s="4" t="str">
        <v>116 TK</v>
      </c>
      <c r="C151" s="4" t="str">
        <v>DV_Gội</v>
      </c>
      <c r="D151" s="4">
        <v>1069</v>
      </c>
      <c r="E151" s="4" t="str">
        <v>Gội trải nghiệm 140p</v>
      </c>
      <c r="F151" s="21">
        <v>1199000</v>
      </c>
      <c r="G151" s="21">
        <v>1199000</v>
      </c>
      <c r="H151" s="21">
        <v>1199000</v>
      </c>
      <c r="I151" s="4">
        <f>A151&amp;D151</f>
      </c>
      <c r="J151" s="4">
        <v>1199000</v>
      </c>
      <c r="K151" s="4"/>
      <c r="L151" s="4"/>
      <c r="M151" s="4"/>
      <c r="N151" s="4"/>
      <c r="O151" s="4"/>
      <c r="P151" s="4"/>
      <c r="Q151" s="4"/>
      <c r="R151" s="4"/>
      <c r="S151" s="4"/>
    </row>
    <row r="152">
      <c r="A152" s="4">
        <v>61</v>
      </c>
      <c r="B152" s="4" t="str">
        <v>1180 QT</v>
      </c>
      <c r="C152" s="4" t="str">
        <v>DV_Cắt</v>
      </c>
      <c r="D152" s="4">
        <v>513</v>
      </c>
      <c r="E152" s="4" t="str">
        <v>[DV] ShineCombo 10 bước Ultra Care 2023</v>
      </c>
      <c r="F152" s="21">
        <v>122000</v>
      </c>
      <c r="G152" s="21">
        <v>122000</v>
      </c>
      <c r="H152" s="21">
        <v>122000</v>
      </c>
      <c r="I152" s="4">
        <f>A152&amp;D152</f>
      </c>
      <c r="J152" s="4">
        <v>122000</v>
      </c>
      <c r="K152" s="4"/>
      <c r="L152" s="4"/>
      <c r="M152" s="4"/>
      <c r="N152" s="4"/>
      <c r="O152" s="4"/>
      <c r="P152" s="4"/>
      <c r="Q152" s="4"/>
      <c r="R152" s="4"/>
      <c r="S152" s="4"/>
    </row>
    <row r="153">
      <c r="A153" s="4">
        <v>61</v>
      </c>
      <c r="B153" s="4" t="str">
        <v>1180 QT</v>
      </c>
      <c r="C153" s="4" t="str">
        <v>DV_Cắt</v>
      </c>
      <c r="D153" s="4">
        <v>891</v>
      </c>
      <c r="E153" s="4" t="str">
        <v>Cắt xả tạo kiểu</v>
      </c>
      <c r="F153" s="21">
        <v>103000</v>
      </c>
      <c r="G153" s="21">
        <v>107000</v>
      </c>
      <c r="H153" s="21">
        <v>107000</v>
      </c>
      <c r="I153" s="4">
        <f>A153&amp;D153</f>
      </c>
      <c r="J153" s="4">
        <v>107000</v>
      </c>
      <c r="K153" s="4"/>
      <c r="L153" s="4"/>
      <c r="M153" s="4"/>
      <c r="N153" s="4"/>
      <c r="O153" s="4"/>
      <c r="P153" s="4"/>
      <c r="Q153" s="4"/>
      <c r="R153" s="4"/>
      <c r="S153" s="4"/>
    </row>
    <row r="154">
      <c r="A154" s="4">
        <v>61</v>
      </c>
      <c r="B154" s="4" t="str">
        <v>1180 QT</v>
      </c>
      <c r="C154" s="4" t="str">
        <v>DV_Cắt</v>
      </c>
      <c r="D154" s="4">
        <v>1002</v>
      </c>
      <c r="E154" s="4" t="str">
        <v>Kid Cắt</v>
      </c>
      <c r="F154" s="21">
        <v>84000</v>
      </c>
      <c r="G154" s="21">
        <v>87000</v>
      </c>
      <c r="H154" s="21">
        <v>87000</v>
      </c>
      <c r="I154" s="4">
        <f>A154&amp;D154</f>
      </c>
      <c r="J154" s="4">
        <v>87000</v>
      </c>
      <c r="K154" s="4"/>
      <c r="L154" s="4"/>
      <c r="M154" s="4"/>
      <c r="N154" s="4"/>
      <c r="O154" s="4"/>
      <c r="P154" s="4"/>
      <c r="Q154" s="4"/>
      <c r="R154" s="4"/>
      <c r="S154" s="4"/>
    </row>
    <row r="155">
      <c r="A155" s="4">
        <v>61</v>
      </c>
      <c r="B155" s="4" t="str">
        <v>1180 QT</v>
      </c>
      <c r="C155" s="4" t="str">
        <v>DV_Cắt</v>
      </c>
      <c r="D155" s="4">
        <v>1052</v>
      </c>
      <c r="E155" s="4" t="str">
        <v>Combo 1 - First Class 1</v>
      </c>
      <c r="F155" s="21">
        <v>139000</v>
      </c>
      <c r="G155" s="21">
        <v>139000</v>
      </c>
      <c r="H155" s="21">
        <v>139000</v>
      </c>
      <c r="I155" s="4">
        <f>A155&amp;D155</f>
      </c>
      <c r="J155" s="4">
        <v>139000</v>
      </c>
      <c r="K155" s="4"/>
      <c r="L155" s="4"/>
      <c r="M155" s="4"/>
      <c r="N155" s="4"/>
      <c r="O155" s="4"/>
      <c r="P155" s="4"/>
      <c r="Q155" s="4"/>
      <c r="R155" s="4"/>
      <c r="S155" s="4"/>
    </row>
    <row r="156">
      <c r="A156" s="4">
        <v>61</v>
      </c>
      <c r="B156" s="4" t="str">
        <v>1180 QT</v>
      </c>
      <c r="C156" s="4" t="str">
        <v>DV_Cắt</v>
      </c>
      <c r="D156" s="4">
        <v>1070</v>
      </c>
      <c r="E156" s="4" t="str">
        <v>Combo Cắt gội Kid</v>
      </c>
      <c r="F156" s="21">
        <v>100000</v>
      </c>
      <c r="G156" s="21">
        <v>104000</v>
      </c>
      <c r="H156" s="21">
        <v>104000</v>
      </c>
      <c r="I156" s="4">
        <f>A156&amp;D156</f>
      </c>
      <c r="J156" s="4">
        <v>104000</v>
      </c>
      <c r="K156" s="4"/>
      <c r="L156" s="4"/>
      <c r="M156" s="4"/>
      <c r="N156" s="4"/>
      <c r="O156" s="4"/>
      <c r="P156" s="4"/>
      <c r="Q156" s="4"/>
      <c r="R156" s="4"/>
      <c r="S156" s="4"/>
    </row>
    <row r="157">
      <c r="A157" s="4">
        <v>61</v>
      </c>
      <c r="B157" s="4" t="str">
        <v>1180 QT</v>
      </c>
      <c r="C157" s="4" t="str">
        <v>DV_Cắt_Vip</v>
      </c>
      <c r="D157" s="4">
        <v>1046</v>
      </c>
      <c r="E157" s="4" t="str">
        <v>Shinecombo 2</v>
      </c>
      <c r="F157" s="21">
        <v>208000</v>
      </c>
      <c r="G157" s="21">
        <v>216000</v>
      </c>
      <c r="H157" s="21">
        <v>216000</v>
      </c>
      <c r="I157" s="4">
        <f>A157&amp;D157</f>
      </c>
      <c r="J157" s="4">
        <v>216000</v>
      </c>
      <c r="K157" s="4"/>
      <c r="L157" s="4"/>
      <c r="M157" s="4"/>
      <c r="N157" s="4"/>
      <c r="O157" s="4"/>
      <c r="P157" s="4"/>
      <c r="Q157" s="4"/>
      <c r="R157" s="4"/>
      <c r="S157" s="4"/>
    </row>
    <row r="158">
      <c r="A158" s="4">
        <v>61</v>
      </c>
      <c r="B158" s="4" t="str">
        <v>1180 QT</v>
      </c>
      <c r="C158" s="4" t="str">
        <v>DV_Cắt_Vip</v>
      </c>
      <c r="D158" s="4">
        <v>1047</v>
      </c>
      <c r="E158" s="4" t="str">
        <v>Cắt Gội Combo 3 - Chăm da</v>
      </c>
      <c r="F158" s="21">
        <v>299000</v>
      </c>
      <c r="G158" s="21">
        <v>311000</v>
      </c>
      <c r="H158" s="21">
        <v>311000</v>
      </c>
      <c r="I158" s="4">
        <f>A158&amp;D158</f>
      </c>
      <c r="J158" s="4">
        <v>311000</v>
      </c>
      <c r="K158" s="4"/>
      <c r="L158" s="4"/>
      <c r="M158" s="4"/>
      <c r="N158" s="4"/>
      <c r="O158" s="4"/>
      <c r="P158" s="4"/>
      <c r="Q158" s="4"/>
      <c r="R158" s="4"/>
      <c r="S158" s="4"/>
    </row>
    <row r="159">
      <c r="A159" s="4">
        <v>61</v>
      </c>
      <c r="B159" s="4" t="str">
        <v>1180 QT</v>
      </c>
      <c r="C159" s="4" t="str">
        <v>DV_Cắt_Vip</v>
      </c>
      <c r="D159" s="4">
        <v>1048</v>
      </c>
      <c r="E159" s="4" t="str">
        <v>Combo 4</v>
      </c>
      <c r="F159" s="21">
        <v>398000</v>
      </c>
      <c r="G159" s="21">
        <v>413000</v>
      </c>
      <c r="H159" s="21">
        <v>413000</v>
      </c>
      <c r="I159" s="4">
        <f>A159&amp;D159</f>
      </c>
      <c r="J159" s="4">
        <v>413000</v>
      </c>
      <c r="K159" s="4"/>
      <c r="L159" s="4"/>
      <c r="M159" s="4"/>
      <c r="N159" s="4"/>
      <c r="O159" s="4"/>
      <c r="P159" s="4"/>
      <c r="Q159" s="4"/>
      <c r="R159" s="4"/>
      <c r="S159" s="4"/>
    </row>
    <row r="160">
      <c r="A160" s="4">
        <v>61</v>
      </c>
      <c r="B160" s="4" t="str">
        <v>1180 QT</v>
      </c>
      <c r="C160" s="4" t="str">
        <v>DV_Cắt_Vip</v>
      </c>
      <c r="D160" s="4">
        <v>1053</v>
      </c>
      <c r="E160" s="4" t="str">
        <v>Combo 2 - First Class 2</v>
      </c>
      <c r="F160" s="21">
        <v>248000</v>
      </c>
      <c r="G160" s="21">
        <v>258000</v>
      </c>
      <c r="H160" s="21">
        <v>258000</v>
      </c>
      <c r="I160" s="4">
        <f>A160&amp;D160</f>
      </c>
      <c r="J160" s="4">
        <v>258000</v>
      </c>
      <c r="K160" s="4"/>
      <c r="L160" s="4"/>
      <c r="M160" s="4"/>
      <c r="N160" s="4"/>
      <c r="O160" s="4"/>
      <c r="P160" s="4"/>
      <c r="Q160" s="4"/>
      <c r="R160" s="4"/>
      <c r="S160" s="4"/>
    </row>
    <row r="161">
      <c r="A161" s="4">
        <v>61</v>
      </c>
      <c r="B161" s="4" t="str">
        <v>1180 QT</v>
      </c>
      <c r="C161" s="4" t="str">
        <v>DV_Cắt_Vip</v>
      </c>
      <c r="D161" s="4">
        <v>1054</v>
      </c>
      <c r="E161" s="4" t="str">
        <v>Combo 3 - First Class 3</v>
      </c>
      <c r="F161" s="21">
        <v>318000</v>
      </c>
      <c r="G161" s="21">
        <v>330000</v>
      </c>
      <c r="H161" s="21">
        <v>330000</v>
      </c>
      <c r="I161" s="4">
        <f>A161&amp;D161</f>
      </c>
      <c r="J161" s="4">
        <v>330000</v>
      </c>
      <c r="K161" s="4"/>
      <c r="L161" s="4"/>
      <c r="M161" s="4"/>
      <c r="N161" s="4"/>
      <c r="O161" s="4"/>
      <c r="P161" s="4"/>
      <c r="Q161" s="4"/>
      <c r="R161" s="4"/>
      <c r="S161" s="4"/>
    </row>
    <row r="162">
      <c r="A162" s="4">
        <v>61</v>
      </c>
      <c r="B162" s="4" t="str">
        <v>1180 QT</v>
      </c>
      <c r="C162" s="4" t="str">
        <v>DV_Cắt_Vip</v>
      </c>
      <c r="D162" s="4">
        <v>1055</v>
      </c>
      <c r="E162" s="4" t="str">
        <v>Combo 4- First Class 4</v>
      </c>
      <c r="F162" s="21">
        <v>418000</v>
      </c>
      <c r="G162" s="21">
        <v>434000</v>
      </c>
      <c r="H162" s="21">
        <v>434000</v>
      </c>
      <c r="I162" s="4">
        <f>A162&amp;D162</f>
      </c>
      <c r="J162" s="4">
        <v>434000</v>
      </c>
      <c r="K162" s="4"/>
      <c r="L162" s="4"/>
      <c r="M162" s="4"/>
      <c r="N162" s="4"/>
      <c r="O162" s="4"/>
      <c r="P162" s="4"/>
      <c r="Q162" s="4"/>
      <c r="R162" s="4"/>
      <c r="S162" s="4"/>
    </row>
    <row r="163">
      <c r="A163" s="4">
        <v>61</v>
      </c>
      <c r="B163" s="4" t="str">
        <v>1180 QT</v>
      </c>
      <c r="C163" s="4" t="str">
        <v>DV_Cắt_Vip</v>
      </c>
      <c r="D163" s="4">
        <v>1064</v>
      </c>
      <c r="E163" s="4" t="str">
        <v>Cắt Gội Combo 5 - Dưỡng sinh</v>
      </c>
      <c r="F163" s="21">
        <v>468000</v>
      </c>
      <c r="G163" s="21">
        <v>486000</v>
      </c>
      <c r="H163" s="21">
        <v>486000</v>
      </c>
      <c r="I163" s="4">
        <f>A163&amp;D163</f>
      </c>
      <c r="J163" s="4">
        <v>486000</v>
      </c>
      <c r="K163" s="4"/>
      <c r="L163" s="4"/>
      <c r="M163" s="4"/>
      <c r="N163" s="4"/>
      <c r="O163" s="4"/>
      <c r="P163" s="4"/>
      <c r="Q163" s="4"/>
      <c r="R163" s="4"/>
      <c r="S163" s="4"/>
    </row>
    <row r="164">
      <c r="A164" s="4">
        <v>61</v>
      </c>
      <c r="B164" s="4" t="str">
        <v>1180 QT</v>
      </c>
      <c r="C164" s="4" t="str">
        <v>DV_Cắt_Vip</v>
      </c>
      <c r="D164" s="4">
        <v>1065</v>
      </c>
      <c r="E164" s="4" t="str">
        <v>Cắt Gội Combo 3 - Dưỡng sinh</v>
      </c>
      <c r="F164" s="21">
        <v>299000</v>
      </c>
      <c r="G164" s="21">
        <v>311000</v>
      </c>
      <c r="H164" s="21">
        <v>311000</v>
      </c>
      <c r="I164" s="4">
        <f>A164&amp;D164</f>
      </c>
      <c r="J164" s="4">
        <v>311000</v>
      </c>
      <c r="K164" s="4"/>
      <c r="L164" s="4"/>
      <c r="M164" s="4"/>
      <c r="N164" s="4"/>
      <c r="O164" s="4"/>
      <c r="P164" s="4"/>
      <c r="Q164" s="4"/>
      <c r="R164" s="4"/>
      <c r="S164" s="4"/>
    </row>
    <row r="165">
      <c r="A165" s="4">
        <v>61</v>
      </c>
      <c r="B165" s="4" t="str">
        <v>1180 QT</v>
      </c>
      <c r="C165" s="4" t="str">
        <v>DV_Gội</v>
      </c>
      <c r="D165" s="4">
        <v>867</v>
      </c>
      <c r="E165" s="4" t="str">
        <v>Gội dưỡng sinh cổ vai gáy</v>
      </c>
      <c r="F165" s="21">
        <v>99000</v>
      </c>
      <c r="G165" s="21">
        <v>103000</v>
      </c>
      <c r="H165" s="21">
        <v>103000</v>
      </c>
      <c r="I165" s="4">
        <f>A165&amp;D165</f>
      </c>
      <c r="J165" s="4">
        <v>103000</v>
      </c>
      <c r="K165" s="4"/>
      <c r="L165" s="4"/>
      <c r="M165" s="4"/>
      <c r="N165" s="4"/>
      <c r="O165" s="4"/>
      <c r="P165" s="4"/>
      <c r="Q165" s="4"/>
      <c r="R165" s="4"/>
      <c r="S165" s="4"/>
    </row>
    <row r="166">
      <c r="A166" s="4">
        <v>61</v>
      </c>
      <c r="B166" s="4" t="str">
        <v>1180 QT</v>
      </c>
      <c r="C166" s="4" t="str">
        <v>DV_Gội</v>
      </c>
      <c r="D166" s="4">
        <v>930</v>
      </c>
      <c r="E166" s="4" t="str">
        <v>[NEW] Gội dưỡng sinh cổ vai gáy và chăm sóc da</v>
      </c>
      <c r="F166" s="21">
        <v>139000</v>
      </c>
      <c r="G166" s="21">
        <v>144000</v>
      </c>
      <c r="H166" s="21">
        <v>144000</v>
      </c>
      <c r="I166" s="4">
        <f>A166&amp;D166</f>
      </c>
      <c r="J166" s="4">
        <v>144000</v>
      </c>
      <c r="K166" s="4"/>
      <c r="L166" s="4"/>
      <c r="M166" s="4"/>
      <c r="N166" s="4"/>
      <c r="O166" s="4"/>
      <c r="P166" s="4"/>
      <c r="Q166" s="4"/>
      <c r="R166" s="4"/>
      <c r="S166" s="4"/>
    </row>
    <row r="167">
      <c r="A167" s="4">
        <v>61</v>
      </c>
      <c r="B167" s="4" t="str">
        <v>1180 QT</v>
      </c>
      <c r="C167" s="4" t="str">
        <v>DV_Gội</v>
      </c>
      <c r="D167" s="4">
        <v>934</v>
      </c>
      <c r="E167" s="4" t="str">
        <v>Gội combo 3 - Dưỡng sinh</v>
      </c>
      <c r="F167" s="21">
        <v>229000</v>
      </c>
      <c r="G167" s="21">
        <v>238000</v>
      </c>
      <c r="H167" s="21">
        <v>238000</v>
      </c>
      <c r="I167" s="4">
        <f>A167&amp;D167</f>
      </c>
      <c r="J167" s="4">
        <v>238000</v>
      </c>
      <c r="K167" s="4"/>
      <c r="L167" s="4"/>
      <c r="M167" s="4"/>
      <c r="N167" s="4"/>
      <c r="O167" s="4"/>
      <c r="P167" s="4"/>
      <c r="Q167" s="4"/>
      <c r="R167" s="4"/>
      <c r="S167" s="4"/>
    </row>
    <row r="168">
      <c r="A168" s="4">
        <v>61</v>
      </c>
      <c r="B168" s="4" t="str">
        <v>1180 QT</v>
      </c>
      <c r="C168" s="4" t="str">
        <v>DV_Gội</v>
      </c>
      <c r="D168" s="4">
        <v>940</v>
      </c>
      <c r="E168" s="4" t="str">
        <v>[NEW] Gội dưỡng sinh</v>
      </c>
      <c r="F168" s="21">
        <v>59000</v>
      </c>
      <c r="G168" s="21">
        <v>61000</v>
      </c>
      <c r="H168" s="21">
        <v>61000</v>
      </c>
      <c r="I168" s="4">
        <f>A168&amp;D168</f>
      </c>
      <c r="J168" s="4">
        <v>61000</v>
      </c>
      <c r="K168" s="4"/>
      <c r="L168" s="4"/>
      <c r="M168" s="4"/>
      <c r="N168" s="4"/>
      <c r="O168" s="4"/>
      <c r="P168" s="4"/>
      <c r="Q168" s="4"/>
      <c r="R168" s="4"/>
      <c r="S168" s="4"/>
    </row>
    <row r="169">
      <c r="A169" s="4">
        <v>61</v>
      </c>
      <c r="B169" s="4" t="str">
        <v>1180 QT</v>
      </c>
      <c r="C169" s="4" t="str">
        <v>DV_Gội</v>
      </c>
      <c r="D169" s="4">
        <v>1058</v>
      </c>
      <c r="E169" s="4" t="str">
        <v>Gội Combo 2</v>
      </c>
      <c r="F169" s="21">
        <v>159000</v>
      </c>
      <c r="G169" s="21">
        <v>165000</v>
      </c>
      <c r="H169" s="21">
        <v>165000</v>
      </c>
      <c r="I169" s="4">
        <f>A169&amp;D169</f>
      </c>
      <c r="J169" s="4">
        <v>165000</v>
      </c>
      <c r="K169" s="4"/>
      <c r="L169" s="4"/>
      <c r="M169" s="4"/>
      <c r="N169" s="4"/>
      <c r="O169" s="4"/>
      <c r="P169" s="4"/>
      <c r="Q169" s="4"/>
      <c r="R169" s="4"/>
      <c r="S169" s="4"/>
    </row>
    <row r="170">
      <c r="A170" s="4">
        <v>61</v>
      </c>
      <c r="B170" s="4" t="str">
        <v>1180 QT</v>
      </c>
      <c r="C170" s="4" t="str">
        <v>DV_Gội</v>
      </c>
      <c r="D170" s="4">
        <v>1059</v>
      </c>
      <c r="E170" s="4" t="str">
        <v>Gội Combo 3 - Chăm da</v>
      </c>
      <c r="F170" s="21">
        <v>239000</v>
      </c>
      <c r="G170" s="21">
        <v>248000</v>
      </c>
      <c r="H170" s="21">
        <v>248000</v>
      </c>
      <c r="I170" s="4">
        <f>A170&amp;D170</f>
      </c>
      <c r="J170" s="4">
        <v>248000</v>
      </c>
      <c r="K170" s="4"/>
      <c r="L170" s="4"/>
      <c r="M170" s="4"/>
      <c r="N170" s="4"/>
      <c r="O170" s="4"/>
      <c r="P170" s="4"/>
      <c r="Q170" s="4"/>
      <c r="R170" s="4"/>
      <c r="S170" s="4"/>
    </row>
    <row r="171">
      <c r="A171" s="4">
        <v>61</v>
      </c>
      <c r="B171" s="4" t="str">
        <v>1180 QT</v>
      </c>
      <c r="C171" s="4" t="str">
        <v>DV_Gội</v>
      </c>
      <c r="D171" s="4">
        <v>1060</v>
      </c>
      <c r="E171" s="4" t="str">
        <v>Gội Combo 4</v>
      </c>
      <c r="F171" s="21">
        <v>329000</v>
      </c>
      <c r="G171" s="21">
        <v>342000</v>
      </c>
      <c r="H171" s="21">
        <v>342000</v>
      </c>
      <c r="I171" s="4">
        <f>A171&amp;D171</f>
      </c>
      <c r="J171" s="4">
        <v>342000</v>
      </c>
      <c r="K171" s="4"/>
      <c r="L171" s="4"/>
      <c r="M171" s="4"/>
      <c r="N171" s="4"/>
      <c r="O171" s="4"/>
      <c r="P171" s="4"/>
      <c r="Q171" s="4"/>
      <c r="R171" s="4"/>
      <c r="S171" s="4"/>
    </row>
    <row r="172">
      <c r="A172" s="4">
        <v>61</v>
      </c>
      <c r="B172" s="4" t="str">
        <v>1180 QT</v>
      </c>
      <c r="C172" s="4" t="str">
        <v>DV_Gội</v>
      </c>
      <c r="D172" s="4">
        <v>1061</v>
      </c>
      <c r="E172" s="4" t="str">
        <v>Gội Combo 5 - Chăm da</v>
      </c>
      <c r="F172" s="21">
        <v>359000</v>
      </c>
      <c r="G172" s="21">
        <v>373000</v>
      </c>
      <c r="H172" s="21">
        <v>373000</v>
      </c>
      <c r="I172" s="4">
        <f>A172&amp;D172</f>
      </c>
      <c r="J172" s="4">
        <v>373000</v>
      </c>
      <c r="K172" s="4"/>
      <c r="L172" s="4"/>
      <c r="M172" s="4"/>
      <c r="N172" s="4"/>
      <c r="O172" s="4"/>
      <c r="P172" s="4"/>
      <c r="Q172" s="4"/>
      <c r="R172" s="4"/>
      <c r="S172" s="4"/>
    </row>
    <row r="173">
      <c r="A173" s="4">
        <v>61</v>
      </c>
      <c r="B173" s="4" t="str">
        <v>1180 QT</v>
      </c>
      <c r="C173" s="4" t="str">
        <v>DV_Gội</v>
      </c>
      <c r="D173" s="4">
        <v>1066</v>
      </c>
      <c r="E173" s="4" t="str">
        <v>Gội trải nghiệm 75p</v>
      </c>
      <c r="F173" s="21">
        <v>589000</v>
      </c>
      <c r="G173" s="21">
        <v>612000</v>
      </c>
      <c r="H173" s="21">
        <v>612000</v>
      </c>
      <c r="I173" s="4">
        <f>A173&amp;D173</f>
      </c>
      <c r="J173" s="4">
        <v>612000</v>
      </c>
      <c r="K173" s="4"/>
      <c r="L173" s="4"/>
      <c r="M173" s="4"/>
      <c r="N173" s="4"/>
      <c r="O173" s="4"/>
      <c r="P173" s="4"/>
      <c r="Q173" s="4"/>
      <c r="R173" s="4"/>
      <c r="S173" s="4"/>
    </row>
    <row r="174">
      <c r="A174" s="4">
        <v>61</v>
      </c>
      <c r="B174" s="4" t="str">
        <v>1180 QT</v>
      </c>
      <c r="C174" s="4" t="str">
        <v>DV_Gội</v>
      </c>
      <c r="D174" s="4">
        <v>1067</v>
      </c>
      <c r="E174" s="4" t="str">
        <v>Gội trải nghiệm 90p</v>
      </c>
      <c r="F174" s="21">
        <v>789000</v>
      </c>
      <c r="G174" s="21">
        <v>820000</v>
      </c>
      <c r="H174" s="21">
        <v>820000</v>
      </c>
      <c r="I174" s="4">
        <f>A174&amp;D174</f>
      </c>
      <c r="J174" s="4">
        <v>820000</v>
      </c>
      <c r="K174" s="4"/>
      <c r="L174" s="4"/>
      <c r="M174" s="4"/>
      <c r="N174" s="4"/>
      <c r="O174" s="4"/>
      <c r="P174" s="4"/>
      <c r="Q174" s="4"/>
      <c r="R174" s="4"/>
      <c r="S174" s="4"/>
    </row>
    <row r="175">
      <c r="A175" s="4">
        <v>61</v>
      </c>
      <c r="B175" s="4" t="str">
        <v>1180 QT</v>
      </c>
      <c r="C175" s="4" t="str">
        <v>DV_Gội</v>
      </c>
      <c r="D175" s="4">
        <v>1068</v>
      </c>
      <c r="E175" s="4" t="str">
        <v>Gội trải nghiệm 115p</v>
      </c>
      <c r="F175" s="21">
        <v>999000</v>
      </c>
      <c r="G175" s="21">
        <v>1038000</v>
      </c>
      <c r="H175" s="21">
        <v>1038000</v>
      </c>
      <c r="I175" s="4">
        <f>A175&amp;D175</f>
      </c>
      <c r="J175" s="4">
        <v>1038000</v>
      </c>
      <c r="K175" s="4"/>
      <c r="L175" s="4"/>
      <c r="M175" s="4"/>
      <c r="N175" s="4"/>
      <c r="O175" s="4"/>
      <c r="P175" s="4"/>
      <c r="Q175" s="4"/>
      <c r="R175" s="4"/>
      <c r="S175" s="4"/>
    </row>
    <row r="176">
      <c r="A176" s="4">
        <v>12</v>
      </c>
      <c r="B176" s="4" t="str">
        <v>12 LDT</v>
      </c>
      <c r="C176" s="4" t="str">
        <v>DV_Cắt</v>
      </c>
      <c r="D176" s="4">
        <v>513</v>
      </c>
      <c r="E176" s="4" t="str">
        <v>[DV] ShineCombo 10 bước Ultra Care 2023</v>
      </c>
      <c r="F176" s="21">
        <v>122000</v>
      </c>
      <c r="G176" s="21">
        <v>122000</v>
      </c>
      <c r="H176" s="21">
        <v>122000</v>
      </c>
      <c r="I176" s="4">
        <f>A176&amp;D176</f>
      </c>
      <c r="J176" s="4">
        <v>122000</v>
      </c>
      <c r="K176" s="4"/>
      <c r="L176" s="4"/>
      <c r="M176" s="4"/>
      <c r="N176" s="4"/>
      <c r="O176" s="4"/>
      <c r="P176" s="4"/>
      <c r="Q176" s="4"/>
      <c r="R176" s="4"/>
      <c r="S176" s="4"/>
    </row>
    <row r="177">
      <c r="A177" s="4">
        <v>12</v>
      </c>
      <c r="B177" s="4" t="str">
        <v>12 LDT</v>
      </c>
      <c r="C177" s="4" t="str">
        <v>DV_Cắt</v>
      </c>
      <c r="D177" s="4">
        <v>891</v>
      </c>
      <c r="E177" s="4" t="str">
        <v>Cắt xả tạo kiểu</v>
      </c>
      <c r="F177" s="21">
        <v>103000</v>
      </c>
      <c r="G177" s="21">
        <v>106000</v>
      </c>
      <c r="H177" s="21">
        <v>106000</v>
      </c>
      <c r="I177" s="4">
        <f>A177&amp;D177</f>
      </c>
      <c r="J177" s="4">
        <v>106000</v>
      </c>
      <c r="K177" s="4"/>
      <c r="L177" s="4"/>
      <c r="M177" s="4"/>
      <c r="N177" s="4"/>
      <c r="O177" s="4"/>
      <c r="P177" s="4"/>
      <c r="Q177" s="4"/>
      <c r="R177" s="4"/>
      <c r="S177" s="4"/>
    </row>
    <row r="178">
      <c r="A178" s="4">
        <v>12</v>
      </c>
      <c r="B178" s="4" t="str">
        <v>12 LDT</v>
      </c>
      <c r="C178" s="4" t="str">
        <v>DV_Cắt</v>
      </c>
      <c r="D178" s="4">
        <v>1002</v>
      </c>
      <c r="E178" s="4" t="str">
        <v>Kid Cắt</v>
      </c>
      <c r="F178" s="21">
        <v>84000</v>
      </c>
      <c r="G178" s="21">
        <v>86000</v>
      </c>
      <c r="H178" s="21">
        <v>86000</v>
      </c>
      <c r="I178" s="4">
        <f>A178&amp;D178</f>
      </c>
      <c r="J178" s="4">
        <v>86000</v>
      </c>
      <c r="K178" s="4"/>
      <c r="L178" s="4"/>
      <c r="M178" s="4"/>
      <c r="N178" s="4"/>
      <c r="O178" s="4"/>
      <c r="P178" s="4"/>
      <c r="Q178" s="4"/>
      <c r="R178" s="4"/>
      <c r="S178" s="4"/>
    </row>
    <row r="179">
      <c r="A179" s="4">
        <v>12</v>
      </c>
      <c r="B179" s="4" t="str">
        <v>12 LDT</v>
      </c>
      <c r="C179" s="4" t="str">
        <v>DV_Cắt</v>
      </c>
      <c r="D179" s="4">
        <v>1052</v>
      </c>
      <c r="E179" s="4" t="str">
        <v>Combo 1 - First Class 1</v>
      </c>
      <c r="F179" s="21">
        <v>139000</v>
      </c>
      <c r="G179" s="21">
        <v>139000</v>
      </c>
      <c r="H179" s="21">
        <v>139000</v>
      </c>
      <c r="I179" s="4">
        <f>A179&amp;D179</f>
      </c>
      <c r="J179" s="4">
        <v>139000</v>
      </c>
      <c r="K179" s="4"/>
      <c r="L179" s="4"/>
      <c r="M179" s="4"/>
      <c r="N179" s="4"/>
      <c r="O179" s="4"/>
      <c r="P179" s="4"/>
      <c r="Q179" s="4"/>
      <c r="R179" s="4"/>
      <c r="S179" s="4"/>
    </row>
    <row r="180">
      <c r="A180" s="4">
        <v>12</v>
      </c>
      <c r="B180" s="4" t="str">
        <v>12 LDT</v>
      </c>
      <c r="C180" s="4" t="str">
        <v>DV_Cắt</v>
      </c>
      <c r="D180" s="4">
        <v>1070</v>
      </c>
      <c r="E180" s="4" t="str">
        <v>Combo Cắt gội Kid</v>
      </c>
      <c r="F180" s="21">
        <v>100000</v>
      </c>
      <c r="G180" s="21">
        <v>103000</v>
      </c>
      <c r="H180" s="21">
        <v>103000</v>
      </c>
      <c r="I180" s="4">
        <f>A180&amp;D180</f>
      </c>
      <c r="J180" s="4">
        <v>103000</v>
      </c>
      <c r="K180" s="4"/>
      <c r="L180" s="4"/>
      <c r="M180" s="4"/>
      <c r="N180" s="4"/>
      <c r="O180" s="4"/>
      <c r="P180" s="4"/>
      <c r="Q180" s="4"/>
      <c r="R180" s="4"/>
      <c r="S180" s="4"/>
    </row>
    <row r="181">
      <c r="A181" s="4">
        <v>12</v>
      </c>
      <c r="B181" s="4" t="str">
        <v>12 LDT</v>
      </c>
      <c r="C181" s="4" t="str">
        <v>DV_Cắt_Vip</v>
      </c>
      <c r="D181" s="4">
        <v>1046</v>
      </c>
      <c r="E181" s="4" t="str">
        <v>Shinecombo 2</v>
      </c>
      <c r="F181" s="21">
        <v>208000</v>
      </c>
      <c r="G181" s="21">
        <v>214000</v>
      </c>
      <c r="H181" s="21">
        <v>214000</v>
      </c>
      <c r="I181" s="4">
        <f>A181&amp;D181</f>
      </c>
      <c r="J181" s="4">
        <v>214000</v>
      </c>
      <c r="K181" s="4"/>
      <c r="L181" s="4"/>
      <c r="M181" s="4"/>
      <c r="N181" s="4"/>
      <c r="O181" s="4"/>
      <c r="P181" s="4"/>
      <c r="Q181" s="4"/>
      <c r="R181" s="4"/>
      <c r="S181" s="4"/>
    </row>
    <row r="182">
      <c r="A182" s="4">
        <v>12</v>
      </c>
      <c r="B182" s="4" t="str">
        <v>12 LDT</v>
      </c>
      <c r="C182" s="4" t="str">
        <v>DV_Cắt_Vip</v>
      </c>
      <c r="D182" s="4">
        <v>1047</v>
      </c>
      <c r="E182" s="4" t="str">
        <v>Cắt Gội Combo 3 - Chăm da</v>
      </c>
      <c r="F182" s="21">
        <v>308000</v>
      </c>
      <c r="G182" s="21">
        <v>317000</v>
      </c>
      <c r="H182" s="21">
        <v>317000</v>
      </c>
      <c r="I182" s="4">
        <f>A182&amp;D182</f>
      </c>
      <c r="J182" s="4">
        <v>317000</v>
      </c>
      <c r="K182" s="4"/>
      <c r="L182" s="4"/>
      <c r="M182" s="4"/>
      <c r="N182" s="4"/>
      <c r="O182" s="4"/>
      <c r="P182" s="4"/>
      <c r="Q182" s="4"/>
      <c r="R182" s="4"/>
      <c r="S182" s="4"/>
    </row>
    <row r="183">
      <c r="A183" s="4">
        <v>12</v>
      </c>
      <c r="B183" s="4" t="str">
        <v>12 LDT</v>
      </c>
      <c r="C183" s="4" t="str">
        <v>DV_Cắt_Vip</v>
      </c>
      <c r="D183" s="4">
        <v>1048</v>
      </c>
      <c r="E183" s="4" t="str">
        <v>Combo 4</v>
      </c>
      <c r="F183" s="21">
        <v>398000</v>
      </c>
      <c r="G183" s="21">
        <v>410000</v>
      </c>
      <c r="H183" s="21">
        <v>410000</v>
      </c>
      <c r="I183" s="4">
        <f>A183&amp;D183</f>
      </c>
      <c r="J183" s="4">
        <v>410000</v>
      </c>
      <c r="K183" s="4"/>
      <c r="L183" s="4"/>
      <c r="M183" s="4"/>
      <c r="N183" s="4"/>
      <c r="O183" s="4"/>
      <c r="P183" s="4"/>
      <c r="Q183" s="4"/>
      <c r="R183" s="4"/>
      <c r="S183" s="4"/>
    </row>
    <row r="184">
      <c r="A184" s="4">
        <v>12</v>
      </c>
      <c r="B184" s="4" t="str">
        <v>12 LDT</v>
      </c>
      <c r="C184" s="4" t="str">
        <v>DV_Cắt_Vip</v>
      </c>
      <c r="D184" s="4">
        <v>1049</v>
      </c>
      <c r="E184" s="4" t="str">
        <v>Cắt Gội Combo 5 - Chăm da</v>
      </c>
      <c r="F184" s="21">
        <v>399000</v>
      </c>
      <c r="G184" s="21">
        <v>411000</v>
      </c>
      <c r="H184" s="21">
        <v>411000</v>
      </c>
      <c r="I184" s="4">
        <f>A184&amp;D184</f>
      </c>
      <c r="J184" s="4">
        <v>411000</v>
      </c>
      <c r="K184" s="4"/>
      <c r="L184" s="4"/>
      <c r="M184" s="4"/>
      <c r="N184" s="4"/>
      <c r="O184" s="4"/>
      <c r="P184" s="4"/>
      <c r="Q184" s="4"/>
      <c r="R184" s="4"/>
      <c r="S184" s="4"/>
    </row>
    <row r="185">
      <c r="A185" s="4">
        <v>12</v>
      </c>
      <c r="B185" s="4" t="str">
        <v>12 LDT</v>
      </c>
      <c r="C185" s="4" t="str">
        <v>DV_Cắt_Vip</v>
      </c>
      <c r="D185" s="4">
        <v>1053</v>
      </c>
      <c r="E185" s="4" t="str">
        <v>Combo 2 - First Class 2</v>
      </c>
      <c r="F185" s="21">
        <v>248000</v>
      </c>
      <c r="G185" s="21">
        <v>255000</v>
      </c>
      <c r="H185" s="21">
        <v>255000</v>
      </c>
      <c r="I185" s="4">
        <f>A185&amp;D185</f>
      </c>
      <c r="J185" s="4">
        <v>255000</v>
      </c>
      <c r="K185" s="4"/>
      <c r="L185" s="4"/>
      <c r="M185" s="4"/>
      <c r="N185" s="4"/>
      <c r="O185" s="4"/>
      <c r="P185" s="4"/>
      <c r="Q185" s="4"/>
      <c r="R185" s="4"/>
      <c r="S185" s="4"/>
    </row>
    <row r="186">
      <c r="A186" s="4">
        <v>12</v>
      </c>
      <c r="B186" s="4" t="str">
        <v>12 LDT</v>
      </c>
      <c r="C186" s="4" t="str">
        <v>DV_Cắt_Vip</v>
      </c>
      <c r="D186" s="4">
        <v>1054</v>
      </c>
      <c r="E186" s="4" t="str">
        <v>Combo 3 - First Class 3</v>
      </c>
      <c r="F186" s="21">
        <v>318000</v>
      </c>
      <c r="G186" s="21">
        <v>327000</v>
      </c>
      <c r="H186" s="21">
        <v>327000</v>
      </c>
      <c r="I186" s="4">
        <f>A186&amp;D186</f>
      </c>
      <c r="J186" s="4">
        <v>327000</v>
      </c>
      <c r="K186" s="4"/>
      <c r="L186" s="4"/>
      <c r="M186" s="4"/>
      <c r="N186" s="4"/>
      <c r="O186" s="4"/>
      <c r="P186" s="4"/>
      <c r="Q186" s="4"/>
      <c r="R186" s="4"/>
      <c r="S186" s="4"/>
    </row>
    <row r="187">
      <c r="A187" s="4">
        <v>12</v>
      </c>
      <c r="B187" s="4" t="str">
        <v>12 LDT</v>
      </c>
      <c r="C187" s="4" t="str">
        <v>DV_Cắt_Vip</v>
      </c>
      <c r="D187" s="4">
        <v>1055</v>
      </c>
      <c r="E187" s="4" t="str">
        <v>Combo 4- First Class 4</v>
      </c>
      <c r="F187" s="21">
        <v>418000</v>
      </c>
      <c r="G187" s="21">
        <v>430000</v>
      </c>
      <c r="H187" s="21">
        <v>430000</v>
      </c>
      <c r="I187" s="4">
        <f>A187&amp;D187</f>
      </c>
      <c r="J187" s="4">
        <v>430000</v>
      </c>
      <c r="K187" s="4"/>
      <c r="L187" s="4"/>
      <c r="M187" s="4"/>
      <c r="N187" s="4"/>
      <c r="O187" s="4"/>
      <c r="P187" s="4"/>
      <c r="Q187" s="4"/>
      <c r="R187" s="4"/>
      <c r="S187" s="4"/>
    </row>
    <row r="188">
      <c r="A188" s="4">
        <v>12</v>
      </c>
      <c r="B188" s="4" t="str">
        <v>12 LDT</v>
      </c>
      <c r="C188" s="4" t="str">
        <v>DV_Cắt_Vip</v>
      </c>
      <c r="D188" s="4">
        <v>1064</v>
      </c>
      <c r="E188" s="4" t="str">
        <v>Cắt Gội Combo 5 - Dưỡng sinh</v>
      </c>
      <c r="F188" s="21">
        <v>468000</v>
      </c>
      <c r="G188" s="21">
        <v>482000</v>
      </c>
      <c r="H188" s="21">
        <v>482000</v>
      </c>
      <c r="I188" s="4">
        <f>A188&amp;D188</f>
      </c>
      <c r="J188" s="4">
        <v>482000</v>
      </c>
      <c r="K188" s="4"/>
      <c r="L188" s="4"/>
      <c r="M188" s="4"/>
      <c r="N188" s="4"/>
      <c r="O188" s="4"/>
      <c r="P188" s="4"/>
      <c r="Q188" s="4"/>
      <c r="R188" s="4"/>
      <c r="S188" s="4"/>
    </row>
    <row r="189">
      <c r="A189" s="4">
        <v>12</v>
      </c>
      <c r="B189" s="4" t="str">
        <v>12 LDT</v>
      </c>
      <c r="C189" s="4" t="str">
        <v>DV_Cắt_Vip</v>
      </c>
      <c r="D189" s="4">
        <v>1065</v>
      </c>
      <c r="E189" s="4" t="str">
        <v>Cắt Gội Combo 3 - Dưỡng sinh</v>
      </c>
      <c r="F189" s="21">
        <v>299000</v>
      </c>
      <c r="G189" s="21">
        <v>308000</v>
      </c>
      <c r="H189" s="21">
        <v>308000</v>
      </c>
      <c r="I189" s="4">
        <f>A189&amp;D189</f>
      </c>
      <c r="J189" s="4">
        <v>308000</v>
      </c>
      <c r="K189" s="4"/>
      <c r="L189" s="4"/>
      <c r="M189" s="4"/>
      <c r="N189" s="4"/>
      <c r="O189" s="4"/>
      <c r="P189" s="4"/>
      <c r="Q189" s="4"/>
      <c r="R189" s="4"/>
      <c r="S189" s="4"/>
    </row>
    <row r="190">
      <c r="A190" s="4">
        <v>12</v>
      </c>
      <c r="B190" s="4" t="str">
        <v>12 LDT</v>
      </c>
      <c r="C190" s="4" t="str">
        <v>DV_Gội</v>
      </c>
      <c r="D190" s="4">
        <v>867</v>
      </c>
      <c r="E190" s="4" t="str">
        <v>Gội dưỡng sinh cổ vai gáy</v>
      </c>
      <c r="F190" s="21">
        <v>99000</v>
      </c>
      <c r="G190" s="21">
        <v>102000</v>
      </c>
      <c r="H190" s="21">
        <v>102000</v>
      </c>
      <c r="I190" s="4">
        <f>A190&amp;D190</f>
      </c>
      <c r="J190" s="4">
        <v>102000</v>
      </c>
      <c r="K190" s="4"/>
      <c r="L190" s="4"/>
      <c r="M190" s="4"/>
      <c r="N190" s="4"/>
      <c r="O190" s="4"/>
      <c r="P190" s="4"/>
      <c r="Q190" s="4"/>
      <c r="R190" s="4"/>
      <c r="S190" s="4"/>
    </row>
    <row r="191">
      <c r="A191" s="4">
        <v>12</v>
      </c>
      <c r="B191" s="4" t="str">
        <v>12 LDT</v>
      </c>
      <c r="C191" s="4" t="str">
        <v>DV_Gội</v>
      </c>
      <c r="D191" s="4">
        <v>930</v>
      </c>
      <c r="E191" s="4" t="str">
        <v>[NEW] Gội dưỡng sinh cổ vai gáy và chăm sóc da</v>
      </c>
      <c r="F191" s="21">
        <v>139000</v>
      </c>
      <c r="G191" s="21">
        <v>143000</v>
      </c>
      <c r="H191" s="21">
        <v>143000</v>
      </c>
      <c r="I191" s="4">
        <f>A191&amp;D191</f>
      </c>
      <c r="J191" s="4">
        <v>143000</v>
      </c>
      <c r="K191" s="4"/>
      <c r="L191" s="4"/>
      <c r="M191" s="4"/>
      <c r="N191" s="4"/>
      <c r="O191" s="4"/>
      <c r="P191" s="4"/>
      <c r="Q191" s="4"/>
      <c r="R191" s="4"/>
      <c r="S191" s="4"/>
    </row>
    <row r="192">
      <c r="A192" s="4">
        <v>12</v>
      </c>
      <c r="B192" s="4" t="str">
        <v>12 LDT</v>
      </c>
      <c r="C192" s="4" t="str">
        <v>DV_Gội</v>
      </c>
      <c r="D192" s="4">
        <v>934</v>
      </c>
      <c r="E192" s="4" t="str">
        <v>Gội combo 3 - Dưỡng sinh</v>
      </c>
      <c r="F192" s="21">
        <v>229000</v>
      </c>
      <c r="G192" s="21">
        <v>236000</v>
      </c>
      <c r="H192" s="21">
        <v>236000</v>
      </c>
      <c r="I192" s="4">
        <f>A192&amp;D192</f>
      </c>
      <c r="J192" s="4">
        <v>236000</v>
      </c>
      <c r="K192" s="4"/>
      <c r="L192" s="4"/>
      <c r="M192" s="4"/>
      <c r="N192" s="4"/>
      <c r="O192" s="4"/>
      <c r="P192" s="4"/>
      <c r="Q192" s="4"/>
      <c r="R192" s="4"/>
      <c r="S192" s="4"/>
    </row>
    <row r="193">
      <c r="A193" s="4">
        <v>12</v>
      </c>
      <c r="B193" s="4" t="str">
        <v>12 LDT</v>
      </c>
      <c r="C193" s="4" t="str">
        <v>DV_Gội</v>
      </c>
      <c r="D193" s="4">
        <v>940</v>
      </c>
      <c r="E193" s="4" t="str">
        <v>[NEW] Gội dưỡng sinh</v>
      </c>
      <c r="F193" s="21">
        <v>59000</v>
      </c>
      <c r="G193" s="21">
        <v>61000</v>
      </c>
      <c r="H193" s="21">
        <v>61000</v>
      </c>
      <c r="I193" s="4">
        <f>A193&amp;D193</f>
      </c>
      <c r="J193" s="4">
        <v>61000</v>
      </c>
      <c r="K193" s="4"/>
      <c r="L193" s="4"/>
      <c r="M193" s="4"/>
      <c r="N193" s="4"/>
      <c r="O193" s="4"/>
      <c r="P193" s="4"/>
      <c r="Q193" s="4"/>
      <c r="R193" s="4"/>
      <c r="S193" s="4"/>
    </row>
    <row r="194">
      <c r="A194" s="4">
        <v>12</v>
      </c>
      <c r="B194" s="4" t="str">
        <v>12 LDT</v>
      </c>
      <c r="C194" s="4" t="str">
        <v>DV_Gội</v>
      </c>
      <c r="D194" s="4">
        <v>1058</v>
      </c>
      <c r="E194" s="4" t="str">
        <v>Gội Combo 2</v>
      </c>
      <c r="F194" s="21">
        <v>159000</v>
      </c>
      <c r="G194" s="21">
        <v>164000</v>
      </c>
      <c r="H194" s="21">
        <v>164000</v>
      </c>
      <c r="I194" s="4">
        <f>A194&amp;D194</f>
      </c>
      <c r="J194" s="4">
        <v>164000</v>
      </c>
      <c r="K194" s="4"/>
      <c r="L194" s="4"/>
      <c r="M194" s="4"/>
      <c r="N194" s="4"/>
      <c r="O194" s="4"/>
      <c r="P194" s="4"/>
      <c r="Q194" s="4"/>
      <c r="R194" s="4"/>
      <c r="S194" s="4"/>
    </row>
    <row r="195">
      <c r="A195" s="4">
        <v>12</v>
      </c>
      <c r="B195" s="4" t="str">
        <v>12 LDT</v>
      </c>
      <c r="C195" s="4" t="str">
        <v>DV_Gội</v>
      </c>
      <c r="D195" s="4">
        <v>1059</v>
      </c>
      <c r="E195" s="4" t="str">
        <v>Gội Combo 3 - Chăm da</v>
      </c>
      <c r="F195" s="21">
        <v>239000</v>
      </c>
      <c r="G195" s="21">
        <v>246000</v>
      </c>
      <c r="H195" s="21">
        <v>246000</v>
      </c>
      <c r="I195" s="4">
        <f>A195&amp;D195</f>
      </c>
      <c r="J195" s="4">
        <v>246000</v>
      </c>
      <c r="K195" s="4"/>
      <c r="L195" s="4"/>
      <c r="M195" s="4"/>
      <c r="N195" s="4"/>
      <c r="O195" s="4"/>
      <c r="P195" s="4"/>
      <c r="Q195" s="4"/>
      <c r="R195" s="4"/>
      <c r="S195" s="4"/>
    </row>
    <row r="196">
      <c r="A196" s="4">
        <v>12</v>
      </c>
      <c r="B196" s="4" t="str">
        <v>12 LDT</v>
      </c>
      <c r="C196" s="4" t="str">
        <v>DV_Gội</v>
      </c>
      <c r="D196" s="4">
        <v>1060</v>
      </c>
      <c r="E196" s="4" t="str">
        <v>Gội Combo 4</v>
      </c>
      <c r="F196" s="21">
        <v>329000</v>
      </c>
      <c r="G196" s="21">
        <v>339000</v>
      </c>
      <c r="H196" s="21">
        <v>339000</v>
      </c>
      <c r="I196" s="4">
        <f>A196&amp;D196</f>
      </c>
      <c r="J196" s="4">
        <v>339000</v>
      </c>
      <c r="K196" s="4"/>
      <c r="L196" s="4"/>
      <c r="M196" s="4"/>
      <c r="N196" s="4"/>
      <c r="O196" s="4"/>
      <c r="P196" s="4"/>
      <c r="Q196" s="4"/>
      <c r="R196" s="4"/>
      <c r="S196" s="4"/>
    </row>
    <row r="197">
      <c r="A197" s="4">
        <v>12</v>
      </c>
      <c r="B197" s="4" t="str">
        <v>12 LDT</v>
      </c>
      <c r="C197" s="4" t="str">
        <v>DV_Gội</v>
      </c>
      <c r="D197" s="4">
        <v>1061</v>
      </c>
      <c r="E197" s="4" t="str">
        <v>Gội Combo 5 - Chăm da</v>
      </c>
      <c r="F197" s="21">
        <v>359000</v>
      </c>
      <c r="G197" s="21">
        <v>369000</v>
      </c>
      <c r="H197" s="21">
        <v>369000</v>
      </c>
      <c r="I197" s="4">
        <f>A197&amp;D197</f>
      </c>
      <c r="J197" s="4">
        <v>369000</v>
      </c>
      <c r="K197" s="4"/>
      <c r="L197" s="4"/>
      <c r="M197" s="4"/>
      <c r="N197" s="4"/>
      <c r="O197" s="4"/>
      <c r="P197" s="4"/>
      <c r="Q197" s="4"/>
      <c r="R197" s="4"/>
      <c r="S197" s="4"/>
    </row>
    <row r="198">
      <c r="A198" s="4">
        <v>12</v>
      </c>
      <c r="B198" s="4" t="str">
        <v>12 LDT</v>
      </c>
      <c r="C198" s="4" t="str">
        <v>DV_Gội</v>
      </c>
      <c r="D198" s="4">
        <v>1066</v>
      </c>
      <c r="E198" s="4" t="str">
        <v>Gội trải nghiệm 75p</v>
      </c>
      <c r="F198" s="21">
        <v>589000</v>
      </c>
      <c r="G198" s="21">
        <v>606000</v>
      </c>
      <c r="H198" s="21">
        <v>606000</v>
      </c>
      <c r="I198" s="4">
        <f>A198&amp;D198</f>
      </c>
      <c r="J198" s="4">
        <v>606000</v>
      </c>
      <c r="K198" s="4"/>
      <c r="L198" s="4"/>
      <c r="M198" s="4"/>
      <c r="N198" s="4"/>
      <c r="O198" s="4"/>
      <c r="P198" s="4"/>
      <c r="Q198" s="4"/>
      <c r="R198" s="4"/>
      <c r="S198" s="4"/>
    </row>
    <row r="199">
      <c r="A199" s="4">
        <v>12</v>
      </c>
      <c r="B199" s="4" t="str">
        <v>12 LDT</v>
      </c>
      <c r="C199" s="4" t="str">
        <v>DV_Gội</v>
      </c>
      <c r="D199" s="4">
        <v>1067</v>
      </c>
      <c r="E199" s="4" t="str">
        <v>Gội trải nghiệm 90p</v>
      </c>
      <c r="F199" s="21">
        <v>789000</v>
      </c>
      <c r="G199" s="21">
        <v>812000</v>
      </c>
      <c r="H199" s="21">
        <v>812000</v>
      </c>
      <c r="I199" s="4">
        <f>A199&amp;D199</f>
      </c>
      <c r="J199" s="4">
        <v>812000</v>
      </c>
      <c r="K199" s="4"/>
      <c r="L199" s="4"/>
      <c r="M199" s="4"/>
      <c r="N199" s="4"/>
      <c r="O199" s="4"/>
      <c r="P199" s="4"/>
      <c r="Q199" s="4"/>
      <c r="R199" s="4"/>
      <c r="S199" s="4"/>
    </row>
    <row r="200">
      <c r="A200" s="4">
        <v>12</v>
      </c>
      <c r="B200" s="4" t="str">
        <v>12 LDT</v>
      </c>
      <c r="C200" s="4" t="str">
        <v>DV_Gội</v>
      </c>
      <c r="D200" s="4">
        <v>1068</v>
      </c>
      <c r="E200" s="4" t="str">
        <v>Gội trải nghiệm 115p</v>
      </c>
      <c r="F200" s="21">
        <v>999000</v>
      </c>
      <c r="G200" s="21">
        <v>1028000</v>
      </c>
      <c r="H200" s="21">
        <v>1028000</v>
      </c>
      <c r="I200" s="4">
        <f>A200&amp;D200</f>
      </c>
      <c r="J200" s="4">
        <v>1028000</v>
      </c>
      <c r="K200" s="4"/>
      <c r="L200" s="4"/>
      <c r="M200" s="4"/>
      <c r="N200" s="4"/>
      <c r="O200" s="4"/>
      <c r="P200" s="4"/>
      <c r="Q200" s="4"/>
      <c r="R200" s="4"/>
      <c r="S200" s="4"/>
    </row>
    <row r="201">
      <c r="A201" s="4">
        <v>247</v>
      </c>
      <c r="B201" s="4" t="str">
        <v>1371 PVT</v>
      </c>
      <c r="C201" s="4" t="str">
        <v>DV_Cắt</v>
      </c>
      <c r="D201" s="4">
        <v>513</v>
      </c>
      <c r="E201" s="4" t="str">
        <v>[DV] ShineCombo 10 bước Ultra Care 2023</v>
      </c>
      <c r="F201" s="21">
        <v>122000</v>
      </c>
      <c r="G201" s="21">
        <v>122000</v>
      </c>
      <c r="H201" s="21">
        <v>122000</v>
      </c>
      <c r="I201" s="4">
        <f>A201&amp;D201</f>
      </c>
      <c r="J201" s="4">
        <v>122000</v>
      </c>
      <c r="K201" s="4"/>
      <c r="L201" s="4"/>
      <c r="M201" s="4"/>
      <c r="N201" s="4"/>
      <c r="O201" s="4"/>
      <c r="P201" s="4"/>
      <c r="Q201" s="4"/>
      <c r="R201" s="4"/>
      <c r="S201" s="4"/>
    </row>
    <row r="202">
      <c r="A202" s="4">
        <v>247</v>
      </c>
      <c r="B202" s="4" t="str">
        <v>1371 PVT</v>
      </c>
      <c r="C202" s="4" t="str">
        <v>DV_Cắt</v>
      </c>
      <c r="D202" s="4">
        <v>891</v>
      </c>
      <c r="E202" s="4" t="str">
        <v>Cắt xả tạo kiểu</v>
      </c>
      <c r="F202" s="21">
        <v>102000</v>
      </c>
      <c r="G202" s="21">
        <v>102000</v>
      </c>
      <c r="H202" s="21">
        <v>102000</v>
      </c>
      <c r="I202" s="4">
        <f>A202&amp;D202</f>
      </c>
      <c r="J202" s="4">
        <v>102000</v>
      </c>
      <c r="K202" s="4"/>
      <c r="L202" s="4"/>
      <c r="M202" s="4"/>
      <c r="N202" s="4"/>
      <c r="O202" s="4"/>
      <c r="P202" s="4"/>
      <c r="Q202" s="4"/>
      <c r="R202" s="4"/>
      <c r="S202" s="4"/>
    </row>
    <row r="203">
      <c r="A203" s="4">
        <v>247</v>
      </c>
      <c r="B203" s="4" t="str">
        <v>1371 PVT</v>
      </c>
      <c r="C203" s="4" t="str">
        <v>DV_Cắt</v>
      </c>
      <c r="D203" s="4">
        <v>1002</v>
      </c>
      <c r="E203" s="4" t="str">
        <v>Kid Cắt</v>
      </c>
      <c r="F203" s="21">
        <v>83000</v>
      </c>
      <c r="G203" s="21">
        <v>83000</v>
      </c>
      <c r="H203" s="21">
        <v>83000</v>
      </c>
      <c r="I203" s="4">
        <f>A203&amp;D203</f>
      </c>
      <c r="J203" s="4">
        <v>83000</v>
      </c>
      <c r="K203" s="4"/>
      <c r="L203" s="4"/>
      <c r="M203" s="4"/>
      <c r="N203" s="4"/>
      <c r="O203" s="4"/>
      <c r="P203" s="4"/>
      <c r="Q203" s="4"/>
      <c r="R203" s="4"/>
      <c r="S203" s="4"/>
    </row>
    <row r="204">
      <c r="A204" s="4">
        <v>247</v>
      </c>
      <c r="B204" s="4" t="str">
        <v>1371 PVT</v>
      </c>
      <c r="C204" s="4" t="str">
        <v>DV_Cắt</v>
      </c>
      <c r="D204" s="4">
        <v>1070</v>
      </c>
      <c r="E204" s="4" t="str">
        <v>Combo Cắt gội Kid</v>
      </c>
      <c r="F204" s="21">
        <v>100000</v>
      </c>
      <c r="G204" s="21">
        <v>100000</v>
      </c>
      <c r="H204" s="21">
        <v>100000</v>
      </c>
      <c r="I204" s="4">
        <f>A204&amp;D204</f>
      </c>
      <c r="J204" s="4">
        <v>100000</v>
      </c>
      <c r="K204" s="4"/>
      <c r="L204" s="4"/>
      <c r="M204" s="4"/>
      <c r="N204" s="4"/>
      <c r="O204" s="4"/>
      <c r="P204" s="4"/>
      <c r="Q204" s="4"/>
      <c r="R204" s="4"/>
      <c r="S204" s="4"/>
    </row>
    <row r="205">
      <c r="A205" s="4">
        <v>247</v>
      </c>
      <c r="B205" s="4" t="str">
        <v>1371 PVT</v>
      </c>
      <c r="C205" s="4" t="str">
        <v>DV_Cắt_Vip</v>
      </c>
      <c r="D205" s="4">
        <v>1046</v>
      </c>
      <c r="E205" s="4" t="str">
        <v>Shinecombo 2</v>
      </c>
      <c r="F205" s="21">
        <v>177000</v>
      </c>
      <c r="G205" s="21">
        <v>177000</v>
      </c>
      <c r="H205" s="21">
        <v>177000</v>
      </c>
      <c r="I205" s="4">
        <f>A205&amp;D205</f>
      </c>
      <c r="J205" s="4">
        <v>177000</v>
      </c>
      <c r="K205" s="4"/>
      <c r="L205" s="4"/>
      <c r="M205" s="4"/>
      <c r="N205" s="4"/>
      <c r="O205" s="4"/>
      <c r="P205" s="4"/>
      <c r="Q205" s="4"/>
      <c r="R205" s="4"/>
      <c r="S205" s="4"/>
    </row>
    <row r="206">
      <c r="A206" s="4">
        <v>247</v>
      </c>
      <c r="B206" s="4" t="str">
        <v>1371 PVT</v>
      </c>
      <c r="C206" s="4" t="str">
        <v>DV_Cắt_Vip</v>
      </c>
      <c r="D206" s="4">
        <v>1047</v>
      </c>
      <c r="E206" s="4" t="str">
        <v>Cắt Gội Combo 3 - Chăm da</v>
      </c>
      <c r="F206" s="21">
        <v>287000</v>
      </c>
      <c r="G206" s="21">
        <v>287000</v>
      </c>
      <c r="H206" s="21">
        <v>287000</v>
      </c>
      <c r="I206" s="4">
        <f>A206&amp;D206</f>
      </c>
      <c r="J206" s="4">
        <v>287000</v>
      </c>
      <c r="K206" s="4"/>
      <c r="L206" s="4"/>
      <c r="M206" s="4"/>
      <c r="N206" s="4"/>
      <c r="O206" s="4"/>
      <c r="P206" s="4"/>
      <c r="Q206" s="4"/>
      <c r="R206" s="4"/>
      <c r="S206" s="4"/>
    </row>
    <row r="207">
      <c r="A207" s="4">
        <v>247</v>
      </c>
      <c r="B207" s="4" t="str">
        <v>1371 PVT</v>
      </c>
      <c r="C207" s="4" t="str">
        <v>DV_Cắt_Vip</v>
      </c>
      <c r="D207" s="4">
        <v>1048</v>
      </c>
      <c r="E207" s="4" t="str">
        <v>Combo 4</v>
      </c>
      <c r="F207" s="21">
        <v>397000</v>
      </c>
      <c r="G207" s="21">
        <v>397000</v>
      </c>
      <c r="H207" s="21">
        <v>397000</v>
      </c>
      <c r="I207" s="4">
        <f>A207&amp;D207</f>
      </c>
      <c r="J207" s="4">
        <v>397000</v>
      </c>
      <c r="K207" s="4"/>
      <c r="L207" s="4"/>
      <c r="M207" s="4"/>
      <c r="N207" s="4"/>
      <c r="O207" s="4"/>
      <c r="P207" s="4"/>
      <c r="Q207" s="4"/>
      <c r="R207" s="4"/>
      <c r="S207" s="4"/>
    </row>
    <row r="208">
      <c r="A208" s="4">
        <v>247</v>
      </c>
      <c r="B208" s="4" t="str">
        <v>1371 PVT</v>
      </c>
      <c r="C208" s="4" t="str">
        <v>DV_Cắt_Vip</v>
      </c>
      <c r="D208" s="4">
        <v>1064</v>
      </c>
      <c r="E208" s="4" t="str">
        <v>Cắt Gội Combo 5 - Dưỡng sinh</v>
      </c>
      <c r="F208" s="21">
        <v>459000</v>
      </c>
      <c r="G208" s="21">
        <v>459000</v>
      </c>
      <c r="H208" s="21">
        <v>459000</v>
      </c>
      <c r="I208" s="4">
        <f>A208&amp;D208</f>
      </c>
      <c r="J208" s="4">
        <v>459000</v>
      </c>
      <c r="K208" s="4"/>
      <c r="L208" s="4"/>
      <c r="M208" s="4"/>
      <c r="N208" s="4"/>
      <c r="O208" s="4"/>
      <c r="P208" s="4"/>
      <c r="Q208" s="4"/>
      <c r="R208" s="4"/>
      <c r="S208" s="4"/>
    </row>
    <row r="209">
      <c r="A209" s="4">
        <v>247</v>
      </c>
      <c r="B209" s="4" t="str">
        <v>1371 PVT</v>
      </c>
      <c r="C209" s="4" t="str">
        <v>DV_Cắt_Vip</v>
      </c>
      <c r="D209" s="4">
        <v>1065</v>
      </c>
      <c r="E209" s="4" t="str">
        <v>Cắt Gội Combo 3 - Dưỡng sinh</v>
      </c>
      <c r="F209" s="21">
        <v>299000</v>
      </c>
      <c r="G209" s="21">
        <v>299000</v>
      </c>
      <c r="H209" s="21">
        <v>299000</v>
      </c>
      <c r="I209" s="4">
        <f>A209&amp;D209</f>
      </c>
      <c r="J209" s="4">
        <v>299000</v>
      </c>
      <c r="K209" s="4"/>
      <c r="L209" s="4"/>
      <c r="M209" s="4"/>
      <c r="N209" s="4"/>
      <c r="O209" s="4"/>
      <c r="P209" s="4"/>
      <c r="Q209" s="4"/>
      <c r="R209" s="4"/>
      <c r="S209" s="4"/>
    </row>
    <row r="210">
      <c r="A210" s="4">
        <v>247</v>
      </c>
      <c r="B210" s="4" t="str">
        <v>1371 PVT</v>
      </c>
      <c r="C210" s="4" t="str">
        <v>DV_Cắt_Vip</v>
      </c>
      <c r="D210" s="4">
        <v>1150</v>
      </c>
      <c r="E210" s="4" t="str">
        <v>Combo cắt gội đỉnh cao thư giãn vip</v>
      </c>
      <c r="F210" s="21">
        <v>508000</v>
      </c>
      <c r="G210" s="21">
        <v>508000</v>
      </c>
      <c r="H210" s="21">
        <v>508000</v>
      </c>
      <c r="I210" s="4">
        <f>A210&amp;D210</f>
      </c>
      <c r="J210" s="4">
        <v>508000</v>
      </c>
      <c r="K210" s="4"/>
      <c r="L210" s="4"/>
      <c r="M210" s="4"/>
      <c r="N210" s="4"/>
      <c r="O210" s="4"/>
      <c r="P210" s="4"/>
      <c r="Q210" s="4"/>
      <c r="R210" s="4"/>
      <c r="S210" s="4"/>
    </row>
    <row r="211">
      <c r="A211" s="4">
        <v>247</v>
      </c>
      <c r="B211" s="4" t="str">
        <v>1371 PVT</v>
      </c>
      <c r="C211" s="4" t="str">
        <v>DV_Gội</v>
      </c>
      <c r="D211" s="4">
        <v>867</v>
      </c>
      <c r="E211" s="4" t="str">
        <v>Gội dưỡng sinh cổ vai gáy</v>
      </c>
      <c r="F211" s="21">
        <v>99000</v>
      </c>
      <c r="G211" s="21">
        <v>99000</v>
      </c>
      <c r="H211" s="21">
        <v>99000</v>
      </c>
      <c r="I211" s="4">
        <f>A211&amp;D211</f>
      </c>
      <c r="J211" s="4">
        <v>99000</v>
      </c>
      <c r="K211" s="4"/>
      <c r="L211" s="4"/>
      <c r="M211" s="4"/>
      <c r="N211" s="4"/>
      <c r="O211" s="4"/>
      <c r="P211" s="4"/>
      <c r="Q211" s="4"/>
      <c r="R211" s="4"/>
      <c r="S211" s="4"/>
    </row>
    <row r="212">
      <c r="A212" s="4">
        <v>247</v>
      </c>
      <c r="B212" s="4" t="str">
        <v>1371 PVT</v>
      </c>
      <c r="C212" s="4" t="str">
        <v>DV_Gội</v>
      </c>
      <c r="D212" s="4">
        <v>930</v>
      </c>
      <c r="E212" s="4" t="str">
        <v>[NEW] Gội dưỡng sinh cổ vai gáy và chăm sóc da</v>
      </c>
      <c r="F212" s="21">
        <v>139000</v>
      </c>
      <c r="G212" s="21">
        <v>139000</v>
      </c>
      <c r="H212" s="21">
        <v>139000</v>
      </c>
      <c r="I212" s="4">
        <f>A212&amp;D212</f>
      </c>
      <c r="J212" s="4">
        <v>139000</v>
      </c>
      <c r="K212" s="4"/>
      <c r="L212" s="4"/>
      <c r="M212" s="4"/>
      <c r="N212" s="4"/>
      <c r="O212" s="4"/>
      <c r="P212" s="4"/>
      <c r="Q212" s="4"/>
      <c r="R212" s="4"/>
      <c r="S212" s="4"/>
    </row>
    <row r="213">
      <c r="A213" s="4">
        <v>247</v>
      </c>
      <c r="B213" s="4" t="str">
        <v>1371 PVT</v>
      </c>
      <c r="C213" s="4" t="str">
        <v>DV_Gội</v>
      </c>
      <c r="D213" s="4">
        <v>934</v>
      </c>
      <c r="E213" s="4" t="str">
        <v>Gội combo 3 - Dưỡng sinh</v>
      </c>
      <c r="F213" s="21">
        <v>229000</v>
      </c>
      <c r="G213" s="21">
        <v>229000</v>
      </c>
      <c r="H213" s="21">
        <v>229000</v>
      </c>
      <c r="I213" s="4">
        <f>A213&amp;D213</f>
      </c>
      <c r="J213" s="4">
        <v>229000</v>
      </c>
      <c r="K213" s="4"/>
      <c r="L213" s="4"/>
      <c r="M213" s="4"/>
      <c r="N213" s="4"/>
      <c r="O213" s="4"/>
      <c r="P213" s="4"/>
      <c r="Q213" s="4"/>
      <c r="R213" s="4"/>
      <c r="S213" s="4"/>
    </row>
    <row r="214">
      <c r="A214" s="4">
        <v>247</v>
      </c>
      <c r="B214" s="4" t="str">
        <v>1371 PVT</v>
      </c>
      <c r="C214" s="4" t="str">
        <v>DV_Gội</v>
      </c>
      <c r="D214" s="4">
        <v>940</v>
      </c>
      <c r="E214" s="4" t="str">
        <v>[NEW] Gội dưỡng sinh</v>
      </c>
      <c r="F214" s="21">
        <v>59000</v>
      </c>
      <c r="G214" s="21">
        <v>59000</v>
      </c>
      <c r="H214" s="21">
        <v>59000</v>
      </c>
      <c r="I214" s="4">
        <f>A214&amp;D214</f>
      </c>
      <c r="J214" s="4">
        <v>59000</v>
      </c>
      <c r="K214" s="4"/>
      <c r="L214" s="4"/>
      <c r="M214" s="4"/>
      <c r="N214" s="4"/>
      <c r="O214" s="4"/>
      <c r="P214" s="4"/>
      <c r="Q214" s="4"/>
      <c r="R214" s="4"/>
      <c r="S214" s="4"/>
    </row>
    <row r="215">
      <c r="A215" s="4">
        <v>247</v>
      </c>
      <c r="B215" s="4" t="str">
        <v>1371 PVT</v>
      </c>
      <c r="C215" s="4" t="str">
        <v>DV_Gội</v>
      </c>
      <c r="D215" s="4">
        <v>1058</v>
      </c>
      <c r="E215" s="4" t="str">
        <v>Gội Combo 2</v>
      </c>
      <c r="F215" s="21">
        <v>159000</v>
      </c>
      <c r="G215" s="21">
        <v>159000</v>
      </c>
      <c r="H215" s="21">
        <v>159000</v>
      </c>
      <c r="I215" s="4">
        <f>A215&amp;D215</f>
      </c>
      <c r="J215" s="4">
        <v>159000</v>
      </c>
      <c r="K215" s="4"/>
      <c r="L215" s="4"/>
      <c r="M215" s="4"/>
      <c r="N215" s="4"/>
      <c r="O215" s="4"/>
      <c r="P215" s="4"/>
      <c r="Q215" s="4"/>
      <c r="R215" s="4"/>
      <c r="S215" s="4"/>
    </row>
    <row r="216">
      <c r="A216" s="4">
        <v>247</v>
      </c>
      <c r="B216" s="4" t="str">
        <v>1371 PVT</v>
      </c>
      <c r="C216" s="4" t="str">
        <v>DV_Gội</v>
      </c>
      <c r="D216" s="4">
        <v>1059</v>
      </c>
      <c r="E216" s="4" t="str">
        <v>Gội Combo 3 - Chăm da</v>
      </c>
      <c r="F216" s="21">
        <v>239000</v>
      </c>
      <c r="G216" s="21">
        <v>239000</v>
      </c>
      <c r="H216" s="21">
        <v>239000</v>
      </c>
      <c r="I216" s="4">
        <f>A216&amp;D216</f>
      </c>
      <c r="J216" s="4">
        <v>239000</v>
      </c>
      <c r="K216" s="4"/>
      <c r="L216" s="4"/>
      <c r="M216" s="4"/>
      <c r="N216" s="4"/>
      <c r="O216" s="4"/>
      <c r="P216" s="4"/>
      <c r="Q216" s="4"/>
      <c r="R216" s="4"/>
      <c r="S216" s="4"/>
    </row>
    <row r="217">
      <c r="A217" s="4">
        <v>247</v>
      </c>
      <c r="B217" s="4" t="str">
        <v>1371 PVT</v>
      </c>
      <c r="C217" s="4" t="str">
        <v>DV_Gội</v>
      </c>
      <c r="D217" s="4">
        <v>1060</v>
      </c>
      <c r="E217" s="4" t="str">
        <v>Gội Combo 4</v>
      </c>
      <c r="F217" s="21">
        <v>289000</v>
      </c>
      <c r="G217" s="21">
        <v>295000</v>
      </c>
      <c r="H217" s="21">
        <f>+6000</f>
        <v>295000</v>
      </c>
      <c r="I217" s="4">
        <f>A217&amp;D217</f>
      </c>
      <c r="J217" s="4">
        <v>295000</v>
      </c>
      <c r="K217" s="4"/>
      <c r="L217" s="4"/>
      <c r="M217" s="4"/>
      <c r="N217" s="4"/>
      <c r="O217" s="4"/>
      <c r="P217" s="4"/>
      <c r="Q217" s="4"/>
      <c r="R217" s="4"/>
      <c r="S217" s="4"/>
    </row>
    <row r="218">
      <c r="A218" s="4">
        <v>247</v>
      </c>
      <c r="B218" s="4" t="str">
        <v>1371 PVT</v>
      </c>
      <c r="C218" s="4" t="str">
        <v>DV_Gội</v>
      </c>
      <c r="D218" s="4">
        <v>1066</v>
      </c>
      <c r="E218" s="4" t="str">
        <v>Gội trải nghiệm 75p</v>
      </c>
      <c r="F218" s="21">
        <v>589000</v>
      </c>
      <c r="G218" s="21">
        <v>589000</v>
      </c>
      <c r="H218" s="21">
        <v>589000</v>
      </c>
      <c r="I218" s="4">
        <f>A218&amp;D218</f>
      </c>
      <c r="J218" s="4">
        <v>589000</v>
      </c>
      <c r="K218" s="4"/>
      <c r="L218" s="4"/>
      <c r="M218" s="4"/>
      <c r="N218" s="4"/>
      <c r="O218" s="4"/>
      <c r="P218" s="4"/>
      <c r="Q218" s="4"/>
      <c r="R218" s="4"/>
      <c r="S218" s="4"/>
    </row>
    <row r="219">
      <c r="A219" s="4">
        <v>247</v>
      </c>
      <c r="B219" s="4" t="str">
        <v>1371 PVT</v>
      </c>
      <c r="C219" s="4" t="str">
        <v>DV_Gội</v>
      </c>
      <c r="D219" s="4">
        <v>1067</v>
      </c>
      <c r="E219" s="4" t="str">
        <v>Gội trải nghiệm 90p</v>
      </c>
      <c r="F219" s="21">
        <v>789000</v>
      </c>
      <c r="G219" s="21">
        <v>789000</v>
      </c>
      <c r="H219" s="21">
        <v>789000</v>
      </c>
      <c r="I219" s="4">
        <f>A219&amp;D219</f>
      </c>
      <c r="J219" s="4">
        <v>789000</v>
      </c>
      <c r="K219" s="4"/>
      <c r="L219" s="4"/>
      <c r="M219" s="4"/>
      <c r="N219" s="4"/>
      <c r="O219" s="4"/>
      <c r="P219" s="4"/>
      <c r="Q219" s="4"/>
      <c r="R219" s="4"/>
      <c r="S219" s="4"/>
    </row>
    <row r="220">
      <c r="A220" s="4">
        <v>247</v>
      </c>
      <c r="B220" s="4" t="str">
        <v>1371 PVT</v>
      </c>
      <c r="C220" s="4" t="str">
        <v>DV_Gội</v>
      </c>
      <c r="D220" s="4">
        <v>1068</v>
      </c>
      <c r="E220" s="4" t="str">
        <v>Gội trải nghiệm 115p</v>
      </c>
      <c r="F220" s="21">
        <v>999000</v>
      </c>
      <c r="G220" s="21">
        <v>999000</v>
      </c>
      <c r="H220" s="21">
        <v>999000</v>
      </c>
      <c r="I220" s="4">
        <f>A220&amp;D220</f>
      </c>
      <c r="J220" s="4">
        <v>999000</v>
      </c>
      <c r="K220" s="4"/>
      <c r="L220" s="4"/>
      <c r="M220" s="4"/>
      <c r="N220" s="4"/>
      <c r="O220" s="4"/>
      <c r="P220" s="4"/>
      <c r="Q220" s="4"/>
      <c r="R220" s="4"/>
      <c r="S220" s="4"/>
    </row>
    <row r="221">
      <c r="A221" s="4">
        <v>247</v>
      </c>
      <c r="B221" s="4" t="str">
        <v>1371 PVT</v>
      </c>
      <c r="C221" s="4" t="str">
        <v>DV_Gội</v>
      </c>
      <c r="D221" s="4">
        <v>1240</v>
      </c>
      <c r="E221" s="4" t="str">
        <v>Gội Detox Scalp Pro</v>
      </c>
      <c r="F221" s="21">
        <v>179000</v>
      </c>
      <c r="G221" s="21">
        <v>179000</v>
      </c>
      <c r="H221" s="21">
        <v>179000</v>
      </c>
      <c r="I221" s="4">
        <f>A221&amp;D221</f>
      </c>
      <c r="J221" s="4">
        <v>179000</v>
      </c>
      <c r="K221" s="4"/>
      <c r="L221" s="4"/>
      <c r="M221" s="4"/>
      <c r="N221" s="4"/>
      <c r="O221" s="4"/>
      <c r="P221" s="4"/>
      <c r="Q221" s="4"/>
      <c r="R221" s="4"/>
      <c r="S221" s="4"/>
    </row>
    <row r="222">
      <c r="A222" s="4">
        <v>193</v>
      </c>
      <c r="B222" s="4" t="str">
        <v>145 THT</v>
      </c>
      <c r="C222" s="4" t="str">
        <v>DV_Cắt</v>
      </c>
      <c r="D222" s="4">
        <v>513</v>
      </c>
      <c r="E222" s="4" t="str">
        <v>[DV] ShineCombo 10 bước Ultra Care 2023</v>
      </c>
      <c r="F222" s="21">
        <v>122000</v>
      </c>
      <c r="G222" s="21">
        <v>122000</v>
      </c>
      <c r="H222" s="21">
        <v>122000</v>
      </c>
      <c r="I222" s="4">
        <f>A222&amp;D222</f>
      </c>
      <c r="J222" s="4">
        <v>122000</v>
      </c>
      <c r="K222" s="4"/>
      <c r="L222" s="4"/>
      <c r="M222" s="4"/>
      <c r="N222" s="4"/>
      <c r="O222" s="4"/>
      <c r="P222" s="4"/>
      <c r="Q222" s="4"/>
      <c r="R222" s="4"/>
      <c r="S222" s="4"/>
    </row>
    <row r="223">
      <c r="A223" s="4">
        <v>193</v>
      </c>
      <c r="B223" s="4" t="str">
        <v>145 THT</v>
      </c>
      <c r="C223" s="4" t="str">
        <v>DV_Cắt</v>
      </c>
      <c r="D223" s="4">
        <v>891</v>
      </c>
      <c r="E223" s="4" t="str">
        <v>Cắt xả tạo kiểu</v>
      </c>
      <c r="F223" s="21">
        <v>94000</v>
      </c>
      <c r="G223" s="21">
        <v>100000</v>
      </c>
      <c r="H223" s="21">
        <v>100000</v>
      </c>
      <c r="I223" s="4">
        <f>A223&amp;D223</f>
      </c>
      <c r="J223" s="4">
        <v>100000</v>
      </c>
      <c r="K223" s="4"/>
      <c r="L223" s="4"/>
      <c r="M223" s="4"/>
      <c r="N223" s="4"/>
      <c r="O223" s="4"/>
      <c r="P223" s="4"/>
      <c r="Q223" s="4"/>
      <c r="R223" s="4"/>
      <c r="S223" s="4"/>
    </row>
    <row r="224">
      <c r="A224" s="4">
        <v>193</v>
      </c>
      <c r="B224" s="4" t="str">
        <v>145 THT</v>
      </c>
      <c r="C224" s="4" t="str">
        <v>DV_Cắt</v>
      </c>
      <c r="D224" s="4">
        <v>1002</v>
      </c>
      <c r="E224" s="4" t="str">
        <v>Kid Cắt</v>
      </c>
      <c r="F224" s="21">
        <v>75000</v>
      </c>
      <c r="G224" s="21">
        <v>80000</v>
      </c>
      <c r="H224" s="21">
        <v>80000</v>
      </c>
      <c r="I224" s="4">
        <f>A224&amp;D224</f>
      </c>
      <c r="J224" s="4">
        <v>80000</v>
      </c>
      <c r="K224" s="4"/>
      <c r="L224" s="4"/>
      <c r="M224" s="4"/>
      <c r="N224" s="4"/>
      <c r="O224" s="4"/>
      <c r="P224" s="4"/>
      <c r="Q224" s="4"/>
      <c r="R224" s="4"/>
      <c r="S224" s="4"/>
    </row>
    <row r="225">
      <c r="A225" s="4">
        <v>193</v>
      </c>
      <c r="B225" s="4" t="str">
        <v>145 THT</v>
      </c>
      <c r="C225" s="4" t="str">
        <v>DV_Cắt</v>
      </c>
      <c r="D225" s="4">
        <v>1070</v>
      </c>
      <c r="E225" s="4" t="str">
        <v>Combo Cắt gội Kid</v>
      </c>
      <c r="F225" s="21">
        <v>100000</v>
      </c>
      <c r="G225" s="21">
        <v>106000</v>
      </c>
      <c r="H225" s="21">
        <v>106000</v>
      </c>
      <c r="I225" s="4">
        <f>A225&amp;D225</f>
      </c>
      <c r="J225" s="4">
        <v>106000</v>
      </c>
      <c r="K225" s="4"/>
      <c r="L225" s="4"/>
      <c r="M225" s="4"/>
      <c r="N225" s="4"/>
      <c r="O225" s="4"/>
      <c r="P225" s="4"/>
      <c r="Q225" s="4"/>
      <c r="R225" s="4"/>
      <c r="S225" s="4"/>
    </row>
    <row r="226">
      <c r="A226" s="4">
        <v>193</v>
      </c>
      <c r="B226" s="4" t="str">
        <v>145 THT</v>
      </c>
      <c r="C226" s="4" t="str">
        <v>DV_Cắt_Vip</v>
      </c>
      <c r="D226" s="4">
        <v>1046</v>
      </c>
      <c r="E226" s="4" t="str">
        <v>Shinecombo 2</v>
      </c>
      <c r="F226" s="21">
        <v>199000</v>
      </c>
      <c r="G226" s="21">
        <v>212000</v>
      </c>
      <c r="H226" s="21">
        <v>212000</v>
      </c>
      <c r="I226" s="4">
        <f>A226&amp;D226</f>
      </c>
      <c r="J226" s="4">
        <v>212000</v>
      </c>
      <c r="K226" s="4"/>
      <c r="L226" s="4"/>
      <c r="M226" s="4"/>
      <c r="N226" s="4"/>
      <c r="O226" s="4"/>
      <c r="P226" s="4"/>
      <c r="Q226" s="4"/>
      <c r="R226" s="4"/>
      <c r="S226" s="4"/>
    </row>
    <row r="227">
      <c r="A227" s="4">
        <v>193</v>
      </c>
      <c r="B227" s="4" t="str">
        <v>145 THT</v>
      </c>
      <c r="C227" s="4" t="str">
        <v>DV_Cắt_Vip</v>
      </c>
      <c r="D227" s="4">
        <v>1047</v>
      </c>
      <c r="E227" s="4" t="str">
        <v>Cắt Gội Combo 3 - Chăm da</v>
      </c>
      <c r="F227" s="21">
        <v>299000</v>
      </c>
      <c r="G227" s="21">
        <v>318000</v>
      </c>
      <c r="H227" s="21">
        <v>318000</v>
      </c>
      <c r="I227" s="4">
        <f>A227&amp;D227</f>
      </c>
      <c r="J227" s="4">
        <v>318000</v>
      </c>
      <c r="K227" s="4"/>
      <c r="L227" s="4"/>
      <c r="M227" s="4"/>
      <c r="N227" s="4"/>
      <c r="O227" s="4"/>
      <c r="P227" s="4"/>
      <c r="Q227" s="4"/>
      <c r="R227" s="4"/>
      <c r="S227" s="4"/>
    </row>
    <row r="228">
      <c r="A228" s="4">
        <v>193</v>
      </c>
      <c r="B228" s="4" t="str">
        <v>145 THT</v>
      </c>
      <c r="C228" s="4" t="str">
        <v>DV_Cắt_Vip</v>
      </c>
      <c r="D228" s="4">
        <v>1048</v>
      </c>
      <c r="E228" s="4" t="str">
        <v>Combo 4</v>
      </c>
      <c r="F228" s="21">
        <v>389000</v>
      </c>
      <c r="G228" s="21">
        <v>414000</v>
      </c>
      <c r="H228" s="21">
        <v>414000</v>
      </c>
      <c r="I228" s="4">
        <f>A228&amp;D228</f>
      </c>
      <c r="J228" s="4">
        <v>414000</v>
      </c>
      <c r="K228" s="4"/>
      <c r="L228" s="4"/>
      <c r="M228" s="4"/>
      <c r="N228" s="4"/>
      <c r="O228" s="4"/>
      <c r="P228" s="4"/>
      <c r="Q228" s="4"/>
      <c r="R228" s="4"/>
      <c r="S228" s="4"/>
    </row>
    <row r="229">
      <c r="A229" s="4">
        <v>193</v>
      </c>
      <c r="B229" s="4" t="str">
        <v>145 THT</v>
      </c>
      <c r="C229" s="4" t="str">
        <v>DV_Cắt_Vip</v>
      </c>
      <c r="D229" s="4">
        <v>1049</v>
      </c>
      <c r="E229" s="4" t="str">
        <v>Cắt Gội Combo 5 - Chăm da</v>
      </c>
      <c r="F229" s="21">
        <v>399000</v>
      </c>
      <c r="G229" s="21">
        <v>424000</v>
      </c>
      <c r="H229" s="21">
        <v>424000</v>
      </c>
      <c r="I229" s="4">
        <f>A229&amp;D229</f>
      </c>
      <c r="J229" s="4">
        <v>424000</v>
      </c>
      <c r="K229" s="4"/>
      <c r="L229" s="4"/>
      <c r="M229" s="4"/>
      <c r="N229" s="4"/>
      <c r="O229" s="4"/>
      <c r="P229" s="4"/>
      <c r="Q229" s="4"/>
      <c r="R229" s="4"/>
      <c r="S229" s="4"/>
    </row>
    <row r="230">
      <c r="A230" s="4">
        <v>193</v>
      </c>
      <c r="B230" s="4" t="str">
        <v>145 THT</v>
      </c>
      <c r="C230" s="4" t="str">
        <v>DV_Cắt_Vip</v>
      </c>
      <c r="D230" s="4">
        <v>1064</v>
      </c>
      <c r="E230" s="4" t="str">
        <v>Cắt Gội Combo 5 - Dưỡng sinh</v>
      </c>
      <c r="F230" s="21">
        <v>459000</v>
      </c>
      <c r="G230" s="21">
        <v>488000</v>
      </c>
      <c r="H230" s="21">
        <v>488000</v>
      </c>
      <c r="I230" s="4">
        <f>A230&amp;D230</f>
      </c>
      <c r="J230" s="4">
        <v>488000</v>
      </c>
      <c r="K230" s="4"/>
      <c r="L230" s="4"/>
      <c r="M230" s="4"/>
      <c r="N230" s="4"/>
      <c r="O230" s="4"/>
      <c r="P230" s="4"/>
      <c r="Q230" s="4"/>
      <c r="R230" s="4"/>
      <c r="S230" s="4"/>
    </row>
    <row r="231">
      <c r="A231" s="4">
        <v>193</v>
      </c>
      <c r="B231" s="4" t="str">
        <v>145 THT</v>
      </c>
      <c r="C231" s="4" t="str">
        <v>DV_Cắt_Vip</v>
      </c>
      <c r="D231" s="4">
        <v>1065</v>
      </c>
      <c r="E231" s="4" t="str">
        <v>Cắt Gội Combo 3 - Dưỡng sinh</v>
      </c>
      <c r="F231" s="21">
        <v>299000</v>
      </c>
      <c r="G231" s="21">
        <v>318000</v>
      </c>
      <c r="H231" s="21">
        <v>318000</v>
      </c>
      <c r="I231" s="4">
        <f>A231&amp;D231</f>
      </c>
      <c r="J231" s="4">
        <v>318000</v>
      </c>
      <c r="K231" s="4"/>
      <c r="L231" s="4"/>
      <c r="M231" s="4"/>
      <c r="N231" s="4"/>
      <c r="O231" s="4"/>
      <c r="P231" s="4"/>
      <c r="Q231" s="4"/>
      <c r="R231" s="4"/>
      <c r="S231" s="4"/>
    </row>
    <row r="232">
      <c r="A232" s="4">
        <v>193</v>
      </c>
      <c r="B232" s="4" t="str">
        <v>145 THT</v>
      </c>
      <c r="C232" s="4" t="str">
        <v>DV_Gội</v>
      </c>
      <c r="D232" s="4">
        <v>867</v>
      </c>
      <c r="E232" s="4" t="str">
        <v>Gội dưỡng sinh cổ vai gáy</v>
      </c>
      <c r="F232" s="21">
        <v>100000</v>
      </c>
      <c r="G232" s="21">
        <v>106000</v>
      </c>
      <c r="H232" s="21">
        <v>106000</v>
      </c>
      <c r="I232" s="4">
        <f>A232&amp;D232</f>
      </c>
      <c r="J232" s="4">
        <v>106000</v>
      </c>
      <c r="K232" s="4"/>
      <c r="L232" s="4"/>
      <c r="M232" s="4"/>
      <c r="N232" s="4"/>
      <c r="O232" s="4"/>
      <c r="P232" s="4"/>
      <c r="Q232" s="4"/>
      <c r="R232" s="4"/>
      <c r="S232" s="4"/>
    </row>
    <row r="233">
      <c r="A233" s="4">
        <v>193</v>
      </c>
      <c r="B233" s="4" t="str">
        <v>145 THT</v>
      </c>
      <c r="C233" s="4" t="str">
        <v>DV_Gội</v>
      </c>
      <c r="D233" s="4">
        <v>930</v>
      </c>
      <c r="E233" s="4" t="str">
        <v>[NEW] Gội dưỡng sinh cổ vai gáy và chăm sóc da</v>
      </c>
      <c r="F233" s="21">
        <v>139000</v>
      </c>
      <c r="G233" s="21">
        <v>148000</v>
      </c>
      <c r="H233" s="21">
        <v>148000</v>
      </c>
      <c r="I233" s="4">
        <f>A233&amp;D233</f>
      </c>
      <c r="J233" s="4">
        <v>148000</v>
      </c>
      <c r="K233" s="4"/>
      <c r="L233" s="4"/>
      <c r="M233" s="4"/>
      <c r="N233" s="4"/>
      <c r="O233" s="4"/>
      <c r="P233" s="4"/>
      <c r="Q233" s="4"/>
      <c r="R233" s="4"/>
      <c r="S233" s="4"/>
    </row>
    <row r="234">
      <c r="A234" s="4">
        <v>193</v>
      </c>
      <c r="B234" s="4" t="str">
        <v>145 THT</v>
      </c>
      <c r="C234" s="4" t="str">
        <v>DV_Gội</v>
      </c>
      <c r="D234" s="4">
        <v>932</v>
      </c>
      <c r="E234" s="4" t="str">
        <v>Gội combo 5 dưỡng sinh</v>
      </c>
      <c r="F234" s="21">
        <v>399000</v>
      </c>
      <c r="G234" s="21">
        <v>424000</v>
      </c>
      <c r="H234" s="21">
        <v>424000</v>
      </c>
      <c r="I234" s="4">
        <f>A234&amp;D234</f>
      </c>
      <c r="J234" s="4">
        <v>424000</v>
      </c>
      <c r="K234" s="4"/>
      <c r="L234" s="4"/>
      <c r="M234" s="4"/>
      <c r="N234" s="4"/>
      <c r="O234" s="4"/>
      <c r="P234" s="4"/>
      <c r="Q234" s="4"/>
      <c r="R234" s="4"/>
      <c r="S234" s="4"/>
    </row>
    <row r="235">
      <c r="A235" s="4">
        <v>193</v>
      </c>
      <c r="B235" s="4" t="str">
        <v>145 THT</v>
      </c>
      <c r="C235" s="4" t="str">
        <v>DV_Gội</v>
      </c>
      <c r="D235" s="4">
        <v>934</v>
      </c>
      <c r="E235" s="4" t="str">
        <v>Gội combo 3 - Dưỡng sinh</v>
      </c>
      <c r="F235" s="21">
        <v>229000</v>
      </c>
      <c r="G235" s="21">
        <v>244000</v>
      </c>
      <c r="H235" s="21">
        <v>244000</v>
      </c>
      <c r="I235" s="4">
        <f>A235&amp;D235</f>
      </c>
      <c r="J235" s="4">
        <v>244000</v>
      </c>
      <c r="K235" s="4"/>
      <c r="L235" s="4"/>
      <c r="M235" s="4"/>
      <c r="N235" s="4"/>
      <c r="O235" s="4"/>
      <c r="P235" s="4"/>
      <c r="Q235" s="4"/>
      <c r="R235" s="4"/>
      <c r="S235" s="4"/>
    </row>
    <row r="236">
      <c r="A236" s="4">
        <v>193</v>
      </c>
      <c r="B236" s="4" t="str">
        <v>145 THT</v>
      </c>
      <c r="C236" s="4" t="str">
        <v>DV_Gội</v>
      </c>
      <c r="D236" s="4">
        <v>940</v>
      </c>
      <c r="E236" s="4" t="str">
        <v>[NEW] Gội dưỡng sinh</v>
      </c>
      <c r="F236" s="21">
        <v>59000</v>
      </c>
      <c r="G236" s="21">
        <v>63000</v>
      </c>
      <c r="H236" s="21">
        <v>63000</v>
      </c>
      <c r="I236" s="4">
        <f>A236&amp;D236</f>
      </c>
      <c r="J236" s="4">
        <v>63000</v>
      </c>
      <c r="K236" s="4"/>
      <c r="L236" s="4"/>
      <c r="M236" s="4"/>
      <c r="N236" s="4"/>
      <c r="O236" s="4"/>
      <c r="P236" s="4"/>
      <c r="Q236" s="4"/>
      <c r="R236" s="4"/>
      <c r="S236" s="4"/>
    </row>
    <row r="237">
      <c r="A237" s="4">
        <v>193</v>
      </c>
      <c r="B237" s="4" t="str">
        <v>145 THT</v>
      </c>
      <c r="C237" s="4" t="str">
        <v>DV_Gội</v>
      </c>
      <c r="D237" s="4">
        <v>1058</v>
      </c>
      <c r="E237" s="4" t="str">
        <v>Gội Combo 2</v>
      </c>
      <c r="F237" s="21">
        <v>159000</v>
      </c>
      <c r="G237" s="21">
        <v>169000</v>
      </c>
      <c r="H237" s="21">
        <v>169000</v>
      </c>
      <c r="I237" s="4">
        <f>A237&amp;D237</f>
      </c>
      <c r="J237" s="4">
        <v>169000</v>
      </c>
      <c r="K237" s="4"/>
      <c r="L237" s="4"/>
      <c r="M237" s="4"/>
      <c r="N237" s="4"/>
      <c r="O237" s="4"/>
      <c r="P237" s="4"/>
      <c r="Q237" s="4"/>
      <c r="R237" s="4"/>
      <c r="S237" s="4"/>
    </row>
    <row r="238">
      <c r="A238" s="4">
        <v>193</v>
      </c>
      <c r="B238" s="4" t="str">
        <v>145 THT</v>
      </c>
      <c r="C238" s="4" t="str">
        <v>DV_Gội</v>
      </c>
      <c r="D238" s="4">
        <v>1059</v>
      </c>
      <c r="E238" s="4" t="str">
        <v>Gội Combo 3 - Chăm da</v>
      </c>
      <c r="F238" s="21">
        <v>239000</v>
      </c>
      <c r="G238" s="21">
        <v>254000</v>
      </c>
      <c r="H238" s="21">
        <v>254000</v>
      </c>
      <c r="I238" s="4">
        <f>A238&amp;D238</f>
      </c>
      <c r="J238" s="4">
        <v>254000</v>
      </c>
      <c r="K238" s="4"/>
      <c r="L238" s="4"/>
      <c r="M238" s="4"/>
      <c r="N238" s="4"/>
      <c r="O238" s="4"/>
      <c r="P238" s="4"/>
      <c r="Q238" s="4"/>
      <c r="R238" s="4"/>
      <c r="S238" s="4"/>
    </row>
    <row r="239">
      <c r="A239" s="4">
        <v>193</v>
      </c>
      <c r="B239" s="4" t="str">
        <v>145 THT</v>
      </c>
      <c r="C239" s="4" t="str">
        <v>DV_Gội</v>
      </c>
      <c r="D239" s="4">
        <v>1060</v>
      </c>
      <c r="E239" s="4" t="str">
        <v>Gội Combo 4</v>
      </c>
      <c r="F239" s="21">
        <v>289000</v>
      </c>
      <c r="G239" s="21">
        <v>309000</v>
      </c>
      <c r="H239" s="21">
        <v>309000</v>
      </c>
      <c r="I239" s="4">
        <f>A239&amp;D239</f>
      </c>
      <c r="J239" s="4">
        <v>309000</v>
      </c>
      <c r="K239" s="4"/>
      <c r="L239" s="4"/>
      <c r="M239" s="4"/>
      <c r="N239" s="4"/>
      <c r="O239" s="4"/>
      <c r="P239" s="4"/>
      <c r="Q239" s="4"/>
      <c r="R239" s="4"/>
      <c r="S239" s="4"/>
    </row>
    <row r="240">
      <c r="A240" s="4">
        <v>193</v>
      </c>
      <c r="B240" s="4" t="str">
        <v>145 THT</v>
      </c>
      <c r="C240" s="4" t="str">
        <v>DV_Gội</v>
      </c>
      <c r="D240" s="4">
        <v>1061</v>
      </c>
      <c r="E240" s="4" t="str">
        <v>Gội Combo 5 - Chăm da</v>
      </c>
      <c r="F240" s="21">
        <v>359000</v>
      </c>
      <c r="G240" s="21">
        <v>382000</v>
      </c>
      <c r="H240" s="21">
        <v>382000</v>
      </c>
      <c r="I240" s="4">
        <f>A240&amp;D240</f>
      </c>
      <c r="J240" s="4">
        <v>382000</v>
      </c>
      <c r="K240" s="4"/>
      <c r="L240" s="4"/>
      <c r="M240" s="4"/>
      <c r="N240" s="4"/>
      <c r="O240" s="4"/>
      <c r="P240" s="4"/>
      <c r="Q240" s="4"/>
      <c r="R240" s="4"/>
      <c r="S240" s="4"/>
    </row>
    <row r="241">
      <c r="A241" s="4">
        <v>193</v>
      </c>
      <c r="B241" s="4" t="str">
        <v>145 THT</v>
      </c>
      <c r="C241" s="4" t="str">
        <v>DV_Gội</v>
      </c>
      <c r="D241" s="4">
        <v>1066</v>
      </c>
      <c r="E241" s="4" t="str">
        <v>Gội trải nghiệm 75p</v>
      </c>
      <c r="F241" s="21">
        <v>589000</v>
      </c>
      <c r="G241" s="21">
        <v>627000</v>
      </c>
      <c r="H241" s="21">
        <v>627000</v>
      </c>
      <c r="I241" s="4">
        <f>A241&amp;D241</f>
      </c>
      <c r="J241" s="4">
        <v>627000</v>
      </c>
      <c r="K241" s="4"/>
      <c r="L241" s="4"/>
      <c r="M241" s="4"/>
      <c r="N241" s="4"/>
      <c r="O241" s="4"/>
      <c r="P241" s="4"/>
      <c r="Q241" s="4"/>
      <c r="R241" s="4"/>
      <c r="S241" s="4"/>
    </row>
    <row r="242">
      <c r="A242" s="4">
        <v>193</v>
      </c>
      <c r="B242" s="4" t="str">
        <v>145 THT</v>
      </c>
      <c r="C242" s="4" t="str">
        <v>DV_Gội</v>
      </c>
      <c r="D242" s="4">
        <v>1067</v>
      </c>
      <c r="E242" s="4" t="str">
        <v>Gội trải nghiệm 90p</v>
      </c>
      <c r="F242" s="21">
        <v>789000</v>
      </c>
      <c r="G242" s="21">
        <v>839000</v>
      </c>
      <c r="H242" s="21">
        <v>839000</v>
      </c>
      <c r="I242" s="4">
        <f>A242&amp;D242</f>
      </c>
      <c r="J242" s="4">
        <v>839000</v>
      </c>
      <c r="K242" s="4"/>
      <c r="L242" s="4"/>
      <c r="M242" s="4"/>
      <c r="N242" s="4"/>
      <c r="O242" s="4"/>
      <c r="P242" s="4"/>
      <c r="Q242" s="4"/>
      <c r="R242" s="4"/>
      <c r="S242" s="4"/>
    </row>
    <row r="243">
      <c r="A243" s="4">
        <v>193</v>
      </c>
      <c r="B243" s="4" t="str">
        <v>145 THT</v>
      </c>
      <c r="C243" s="4" t="str">
        <v>DV_Gội</v>
      </c>
      <c r="D243" s="4">
        <v>1068</v>
      </c>
      <c r="E243" s="4" t="str">
        <v>Gội trải nghiệm 115p</v>
      </c>
      <c r="F243" s="21">
        <v>999000</v>
      </c>
      <c r="G243" s="21">
        <v>1063000</v>
      </c>
      <c r="H243" s="21">
        <v>1063000</v>
      </c>
      <c r="I243" s="4">
        <f>A243&amp;D243</f>
      </c>
      <c r="J243" s="4">
        <v>1063000</v>
      </c>
      <c r="K243" s="4"/>
      <c r="L243" s="4"/>
      <c r="M243" s="4"/>
      <c r="N243" s="4"/>
      <c r="O243" s="4"/>
      <c r="P243" s="4"/>
      <c r="Q243" s="4"/>
      <c r="R243" s="4"/>
      <c r="S243" s="4"/>
    </row>
    <row r="244">
      <c r="A244" s="4">
        <v>210</v>
      </c>
      <c r="B244" s="4" t="str">
        <v>148 TD</v>
      </c>
      <c r="C244" s="4" t="str">
        <v>DV_Cắt</v>
      </c>
      <c r="D244" s="4">
        <v>513</v>
      </c>
      <c r="E244" s="4" t="str">
        <v>[DV] ShineCombo 10 bước Ultra Care 2023</v>
      </c>
      <c r="F244" s="21">
        <v>122000</v>
      </c>
      <c r="G244" s="21">
        <v>122000</v>
      </c>
      <c r="H244" s="21">
        <v>122000</v>
      </c>
      <c r="I244" s="4">
        <f>A244&amp;D244</f>
      </c>
      <c r="J244" s="4">
        <v>122000</v>
      </c>
      <c r="K244" s="4"/>
      <c r="L244" s="4"/>
      <c r="M244" s="4"/>
      <c r="N244" s="4"/>
      <c r="O244" s="4"/>
      <c r="P244" s="4"/>
      <c r="Q244" s="4"/>
      <c r="R244" s="4"/>
      <c r="S244" s="4"/>
    </row>
    <row r="245">
      <c r="A245" s="4">
        <v>210</v>
      </c>
      <c r="B245" s="4" t="str">
        <v>148 TD</v>
      </c>
      <c r="C245" s="4" t="str">
        <v>DV_Cắt</v>
      </c>
      <c r="D245" s="4">
        <v>891</v>
      </c>
      <c r="E245" s="4" t="str">
        <v>Cắt xả tạo kiểu</v>
      </c>
      <c r="F245" s="21">
        <v>96000</v>
      </c>
      <c r="G245" s="21">
        <v>100000</v>
      </c>
      <c r="H245" s="21">
        <v>100000</v>
      </c>
      <c r="I245" s="4">
        <f>A245&amp;D245</f>
      </c>
      <c r="J245" s="4">
        <v>100000</v>
      </c>
      <c r="K245" s="4"/>
      <c r="L245" s="4"/>
      <c r="M245" s="4"/>
      <c r="N245" s="4"/>
      <c r="O245" s="4"/>
      <c r="P245" s="4"/>
      <c r="Q245" s="4"/>
      <c r="R245" s="4"/>
      <c r="S245" s="4"/>
    </row>
    <row r="246">
      <c r="A246" s="4">
        <v>210</v>
      </c>
      <c r="B246" s="4" t="str">
        <v>148 TD</v>
      </c>
      <c r="C246" s="4" t="str">
        <v>DV_Cắt</v>
      </c>
      <c r="D246" s="4">
        <v>1002</v>
      </c>
      <c r="E246" s="4" t="str">
        <v>Kid Cắt</v>
      </c>
      <c r="F246" s="21">
        <v>77000</v>
      </c>
      <c r="G246" s="21">
        <v>80000</v>
      </c>
      <c r="H246" s="21">
        <v>80000</v>
      </c>
      <c r="I246" s="4">
        <f>A246&amp;D246</f>
      </c>
      <c r="J246" s="4">
        <v>80000</v>
      </c>
      <c r="K246" s="4"/>
      <c r="L246" s="4"/>
      <c r="M246" s="4"/>
      <c r="N246" s="4"/>
      <c r="O246" s="4"/>
      <c r="P246" s="4"/>
      <c r="Q246" s="4"/>
      <c r="R246" s="4"/>
      <c r="S246" s="4"/>
    </row>
    <row r="247">
      <c r="A247" s="4">
        <v>210</v>
      </c>
      <c r="B247" s="4" t="str">
        <v>148 TD</v>
      </c>
      <c r="C247" s="4" t="str">
        <v>DV_Cắt</v>
      </c>
      <c r="D247" s="4">
        <v>1070</v>
      </c>
      <c r="E247" s="4" t="str">
        <v>Combo Cắt gội Kid</v>
      </c>
      <c r="F247" s="21">
        <v>100000</v>
      </c>
      <c r="G247" s="21">
        <v>104000</v>
      </c>
      <c r="H247" s="21">
        <v>104000</v>
      </c>
      <c r="I247" s="4">
        <f>A247&amp;D247</f>
      </c>
      <c r="J247" s="4">
        <v>104000</v>
      </c>
      <c r="K247" s="4"/>
      <c r="L247" s="4"/>
      <c r="M247" s="4"/>
      <c r="N247" s="4"/>
      <c r="O247" s="4"/>
      <c r="P247" s="4"/>
      <c r="Q247" s="4"/>
      <c r="R247" s="4"/>
      <c r="S247" s="4"/>
    </row>
    <row r="248">
      <c r="A248" s="4">
        <v>210</v>
      </c>
      <c r="B248" s="4" t="str">
        <v>148 TD</v>
      </c>
      <c r="C248" s="4" t="str">
        <v>DV_Cắt_Vip</v>
      </c>
      <c r="D248" s="4">
        <v>1046</v>
      </c>
      <c r="E248" s="4" t="str">
        <v>Shinecombo 2</v>
      </c>
      <c r="F248" s="21">
        <v>201000</v>
      </c>
      <c r="G248" s="21">
        <v>209000</v>
      </c>
      <c r="H248" s="21">
        <v>209000</v>
      </c>
      <c r="I248" s="4">
        <f>A248&amp;D248</f>
      </c>
      <c r="J248" s="4">
        <v>209000</v>
      </c>
      <c r="K248" s="4"/>
      <c r="L248" s="4"/>
      <c r="M248" s="4"/>
      <c r="N248" s="4"/>
      <c r="O248" s="4"/>
      <c r="P248" s="4"/>
      <c r="Q248" s="4"/>
      <c r="R248" s="4"/>
      <c r="S248" s="4"/>
    </row>
    <row r="249">
      <c r="A249" s="4">
        <v>210</v>
      </c>
      <c r="B249" s="4" t="str">
        <v>148 TD</v>
      </c>
      <c r="C249" s="4" t="str">
        <v>DV_Cắt_Vip</v>
      </c>
      <c r="D249" s="4">
        <v>1047</v>
      </c>
      <c r="E249" s="4" t="str">
        <v>Cắt Gội Combo 3 - Chăm da</v>
      </c>
      <c r="F249" s="21">
        <v>301000</v>
      </c>
      <c r="G249" s="21">
        <v>314000</v>
      </c>
      <c r="H249" s="21">
        <v>314000</v>
      </c>
      <c r="I249" s="4">
        <f>A249&amp;D249</f>
      </c>
      <c r="J249" s="4">
        <v>314000</v>
      </c>
      <c r="K249" s="4"/>
      <c r="L249" s="4"/>
      <c r="M249" s="4"/>
      <c r="N249" s="4"/>
      <c r="O249" s="4"/>
      <c r="P249" s="4"/>
      <c r="Q249" s="4"/>
      <c r="R249" s="4"/>
      <c r="S249" s="4"/>
    </row>
    <row r="250">
      <c r="A250" s="4">
        <v>210</v>
      </c>
      <c r="B250" s="4" t="str">
        <v>148 TD</v>
      </c>
      <c r="C250" s="4" t="str">
        <v>DV_Cắt_Vip</v>
      </c>
      <c r="D250" s="4">
        <v>1048</v>
      </c>
      <c r="E250" s="4" t="str">
        <v>Combo 4</v>
      </c>
      <c r="F250" s="21">
        <v>391000</v>
      </c>
      <c r="G250" s="21">
        <v>407000</v>
      </c>
      <c r="H250" s="21">
        <v>399000</v>
      </c>
      <c r="I250" s="4">
        <f>A250&amp;D250</f>
      </c>
      <c r="J250" s="4">
        <f>VLOOKUP(I250,#REF!,2,0)</f>
      </c>
      <c r="K250" s="4"/>
      <c r="L250" s="4"/>
      <c r="M250" s="4"/>
      <c r="N250" s="4"/>
      <c r="O250" s="4"/>
      <c r="P250" s="4"/>
      <c r="Q250" s="4"/>
      <c r="R250" s="4"/>
      <c r="S250" s="4"/>
    </row>
    <row r="251">
      <c r="A251" s="4">
        <v>210</v>
      </c>
      <c r="B251" s="4" t="str">
        <v>148 TD</v>
      </c>
      <c r="C251" s="4" t="str">
        <v>DV_Cắt_Vip</v>
      </c>
      <c r="D251" s="4">
        <v>1064</v>
      </c>
      <c r="E251" s="4" t="str">
        <v>Cắt Gội Combo 5 - Dưỡng sinh</v>
      </c>
      <c r="F251" s="21">
        <v>459000</v>
      </c>
      <c r="G251" s="21">
        <v>478000</v>
      </c>
      <c r="H251" s="21">
        <v>478000</v>
      </c>
      <c r="I251" s="4">
        <f>A251&amp;D251</f>
      </c>
      <c r="J251" s="4">
        <v>478000</v>
      </c>
      <c r="K251" s="4"/>
      <c r="L251" s="4"/>
      <c r="M251" s="4"/>
      <c r="N251" s="4"/>
      <c r="O251" s="4"/>
      <c r="P251" s="4"/>
      <c r="Q251" s="4"/>
      <c r="R251" s="4"/>
      <c r="S251" s="4"/>
    </row>
    <row r="252">
      <c r="A252" s="4">
        <v>210</v>
      </c>
      <c r="B252" s="4" t="str">
        <v>148 TD</v>
      </c>
      <c r="C252" s="4" t="str">
        <v>DV_Cắt_Vip</v>
      </c>
      <c r="D252" s="4">
        <v>1065</v>
      </c>
      <c r="E252" s="4" t="str">
        <v>Cắt Gội Combo 3 - Dưỡng sinh</v>
      </c>
      <c r="F252" s="21">
        <v>301000</v>
      </c>
      <c r="G252" s="21">
        <v>314000</v>
      </c>
      <c r="H252" s="21">
        <v>314000</v>
      </c>
      <c r="I252" s="4">
        <f>A252&amp;D252</f>
      </c>
      <c r="J252" s="4">
        <v>314000</v>
      </c>
      <c r="K252" s="4"/>
      <c r="L252" s="4"/>
      <c r="M252" s="4"/>
      <c r="N252" s="4"/>
      <c r="O252" s="4"/>
      <c r="P252" s="4"/>
      <c r="Q252" s="4"/>
      <c r="R252" s="4"/>
      <c r="S252" s="4"/>
    </row>
    <row r="253">
      <c r="A253" s="4">
        <v>210</v>
      </c>
      <c r="B253" s="4" t="str">
        <v>148 TD</v>
      </c>
      <c r="C253" s="4" t="str">
        <v>DV_Gội</v>
      </c>
      <c r="D253" s="4">
        <v>867</v>
      </c>
      <c r="E253" s="4" t="str">
        <v>Gội dưỡng sinh cổ vai gáy</v>
      </c>
      <c r="F253" s="21">
        <v>99000</v>
      </c>
      <c r="G253" s="21">
        <v>103000</v>
      </c>
      <c r="H253" s="21">
        <v>103000</v>
      </c>
      <c r="I253" s="4">
        <f>A253&amp;D253</f>
      </c>
      <c r="J253" s="4">
        <v>103000</v>
      </c>
      <c r="K253" s="4"/>
      <c r="L253" s="4"/>
      <c r="M253" s="4"/>
      <c r="N253" s="4"/>
      <c r="O253" s="4"/>
      <c r="P253" s="4"/>
      <c r="Q253" s="4"/>
      <c r="R253" s="4"/>
      <c r="S253" s="4"/>
    </row>
    <row r="254">
      <c r="A254" s="4">
        <v>210</v>
      </c>
      <c r="B254" s="4" t="str">
        <v>148 TD</v>
      </c>
      <c r="C254" s="4" t="str">
        <v>DV_Gội</v>
      </c>
      <c r="D254" s="4">
        <v>930</v>
      </c>
      <c r="E254" s="4" t="str">
        <v>[NEW] Gội dưỡng sinh cổ vai gáy và chăm sóc da</v>
      </c>
      <c r="F254" s="21">
        <v>139000</v>
      </c>
      <c r="G254" s="21">
        <v>145000</v>
      </c>
      <c r="H254" s="21">
        <v>145000</v>
      </c>
      <c r="I254" s="4">
        <f>A254&amp;D254</f>
      </c>
      <c r="J254" s="4">
        <v>145000</v>
      </c>
      <c r="K254" s="4"/>
      <c r="L254" s="4"/>
      <c r="M254" s="4"/>
      <c r="N254" s="4"/>
      <c r="O254" s="4"/>
      <c r="P254" s="4"/>
      <c r="Q254" s="4"/>
      <c r="R254" s="4"/>
      <c r="S254" s="4"/>
    </row>
    <row r="255">
      <c r="A255" s="4">
        <v>210</v>
      </c>
      <c r="B255" s="4" t="str">
        <v>148 TD</v>
      </c>
      <c r="C255" s="4" t="str">
        <v>DV_Gội</v>
      </c>
      <c r="D255" s="4">
        <v>934</v>
      </c>
      <c r="E255" s="4" t="str">
        <v>Gội combo 3 - Dưỡng sinh</v>
      </c>
      <c r="F255" s="21">
        <v>229000</v>
      </c>
      <c r="G255" s="21">
        <v>239000</v>
      </c>
      <c r="H255" s="21">
        <v>239000</v>
      </c>
      <c r="I255" s="4">
        <f>A255&amp;D255</f>
      </c>
      <c r="J255" s="4">
        <v>239000</v>
      </c>
      <c r="K255" s="4"/>
      <c r="L255" s="4"/>
      <c r="M255" s="4"/>
      <c r="N255" s="4"/>
      <c r="O255" s="4"/>
      <c r="P255" s="4"/>
      <c r="Q255" s="4"/>
      <c r="R255" s="4"/>
      <c r="S255" s="4"/>
    </row>
    <row r="256">
      <c r="A256" s="4">
        <v>210</v>
      </c>
      <c r="B256" s="4" t="str">
        <v>148 TD</v>
      </c>
      <c r="C256" s="4" t="str">
        <v>DV_Gội</v>
      </c>
      <c r="D256" s="4">
        <v>940</v>
      </c>
      <c r="E256" s="4" t="str">
        <v>[NEW] Gội dưỡng sinh</v>
      </c>
      <c r="F256" s="21">
        <v>59000</v>
      </c>
      <c r="G256" s="21">
        <v>61000</v>
      </c>
      <c r="H256" s="21">
        <v>61000</v>
      </c>
      <c r="I256" s="4">
        <f>A256&amp;D256</f>
      </c>
      <c r="J256" s="4">
        <v>61000</v>
      </c>
      <c r="K256" s="4"/>
      <c r="L256" s="4"/>
      <c r="M256" s="4"/>
      <c r="N256" s="4"/>
      <c r="O256" s="4"/>
      <c r="P256" s="4"/>
      <c r="Q256" s="4"/>
      <c r="R256" s="4"/>
      <c r="S256" s="4"/>
    </row>
    <row r="257">
      <c r="A257" s="4">
        <v>210</v>
      </c>
      <c r="B257" s="4" t="str">
        <v>148 TD</v>
      </c>
      <c r="C257" s="4" t="str">
        <v>DV_Gội</v>
      </c>
      <c r="D257" s="4">
        <v>1058</v>
      </c>
      <c r="E257" s="4" t="str">
        <v>Gội Combo 2</v>
      </c>
      <c r="F257" s="21">
        <v>159000</v>
      </c>
      <c r="G257" s="21">
        <v>166000</v>
      </c>
      <c r="H257" s="21">
        <v>162000</v>
      </c>
      <c r="I257" s="4">
        <f>A257&amp;D257</f>
      </c>
      <c r="J257" s="4">
        <f>VLOOKUP(I257,#REF!,2,0)</f>
      </c>
      <c r="K257" s="4"/>
      <c r="L257" s="4"/>
      <c r="M257" s="4"/>
      <c r="N257" s="4"/>
      <c r="O257" s="4"/>
      <c r="P257" s="4"/>
      <c r="Q257" s="4"/>
      <c r="R257" s="4"/>
      <c r="S257" s="4"/>
    </row>
    <row r="258">
      <c r="A258" s="4">
        <v>210</v>
      </c>
      <c r="B258" s="4" t="str">
        <v>148 TD</v>
      </c>
      <c r="C258" s="4" t="str">
        <v>DV_Gội</v>
      </c>
      <c r="D258" s="4">
        <v>1059</v>
      </c>
      <c r="E258" s="4" t="str">
        <v>Gội Combo 3 - Chăm da</v>
      </c>
      <c r="F258" s="21">
        <v>239000</v>
      </c>
      <c r="G258" s="21">
        <v>249000</v>
      </c>
      <c r="H258" s="21">
        <v>249000</v>
      </c>
      <c r="I258" s="4">
        <f>A258&amp;D258</f>
      </c>
      <c r="J258" s="4">
        <v>249000</v>
      </c>
      <c r="K258" s="4"/>
      <c r="L258" s="4"/>
      <c r="M258" s="4"/>
      <c r="N258" s="4"/>
      <c r="O258" s="4"/>
      <c r="P258" s="4"/>
      <c r="Q258" s="4"/>
      <c r="R258" s="4"/>
      <c r="S258" s="4"/>
    </row>
    <row r="259">
      <c r="A259" s="4">
        <v>210</v>
      </c>
      <c r="B259" s="4" t="str">
        <v>148 TD</v>
      </c>
      <c r="C259" s="4" t="str">
        <v>DV_Gội</v>
      </c>
      <c r="D259" s="4">
        <v>1060</v>
      </c>
      <c r="E259" s="4" t="str">
        <v>Gội Combo 4</v>
      </c>
      <c r="F259" s="21">
        <v>289000</v>
      </c>
      <c r="G259" s="21">
        <v>302000</v>
      </c>
      <c r="H259" s="21">
        <v>297000</v>
      </c>
      <c r="I259" s="4">
        <f>A259&amp;D259</f>
      </c>
      <c r="J259" s="4">
        <f>VLOOKUP(I259,#REF!,2,0)</f>
      </c>
      <c r="K259" s="4"/>
      <c r="L259" s="4"/>
      <c r="M259" s="4"/>
      <c r="N259" s="4"/>
      <c r="O259" s="4"/>
      <c r="P259" s="4"/>
      <c r="Q259" s="4"/>
      <c r="R259" s="4"/>
      <c r="S259" s="4"/>
    </row>
    <row r="260">
      <c r="A260" s="4">
        <v>210</v>
      </c>
      <c r="B260" s="4" t="str">
        <v>148 TD</v>
      </c>
      <c r="C260" s="4" t="str">
        <v>DV_Gội</v>
      </c>
      <c r="D260" s="4">
        <v>1066</v>
      </c>
      <c r="E260" s="4" t="str">
        <v>Gội trải nghiệm 75p</v>
      </c>
      <c r="F260" s="21">
        <v>589000</v>
      </c>
      <c r="G260" s="21">
        <v>614000</v>
      </c>
      <c r="H260" s="21">
        <v>597000</v>
      </c>
      <c r="I260" s="4">
        <f>A260&amp;D260</f>
      </c>
      <c r="J260" s="4">
        <f>VLOOKUP(I260,#REF!,2,0)</f>
      </c>
      <c r="K260" s="4"/>
      <c r="L260" s="4"/>
      <c r="M260" s="4"/>
      <c r="N260" s="4"/>
      <c r="O260" s="4"/>
      <c r="P260" s="4"/>
      <c r="Q260" s="4"/>
      <c r="R260" s="4"/>
      <c r="S260" s="4"/>
    </row>
    <row r="261">
      <c r="A261" s="4">
        <v>210</v>
      </c>
      <c r="B261" s="4" t="str">
        <v>148 TD</v>
      </c>
      <c r="C261" s="4" t="str">
        <v>DV_Gội</v>
      </c>
      <c r="D261" s="4">
        <v>1067</v>
      </c>
      <c r="E261" s="4" t="str">
        <v>Gội trải nghiệm 90p</v>
      </c>
      <c r="F261" s="21">
        <v>789000</v>
      </c>
      <c r="G261" s="21">
        <v>822000</v>
      </c>
      <c r="H261" s="21">
        <v>822000</v>
      </c>
      <c r="I261" s="4">
        <f>A261&amp;D261</f>
      </c>
      <c r="J261" s="4">
        <v>822000</v>
      </c>
      <c r="K261" s="4"/>
      <c r="L261" s="4"/>
      <c r="M261" s="4"/>
      <c r="N261" s="4"/>
      <c r="O261" s="4"/>
      <c r="P261" s="4"/>
      <c r="Q261" s="4"/>
      <c r="R261" s="4"/>
      <c r="S261" s="4"/>
    </row>
    <row r="262">
      <c r="A262" s="4">
        <v>210</v>
      </c>
      <c r="B262" s="4" t="str">
        <v>148 TD</v>
      </c>
      <c r="C262" s="4" t="str">
        <v>DV_Gội</v>
      </c>
      <c r="D262" s="4">
        <v>1068</v>
      </c>
      <c r="E262" s="4" t="str">
        <v>Gội trải nghiệm 115p</v>
      </c>
      <c r="F262" s="21">
        <v>999000</v>
      </c>
      <c r="G262" s="21">
        <v>1041000</v>
      </c>
      <c r="H262" s="21">
        <v>1041000</v>
      </c>
      <c r="I262" s="4">
        <f>A262&amp;D262</f>
      </c>
      <c r="J262" s="4">
        <v>1041000</v>
      </c>
      <c r="K262" s="4"/>
      <c r="L262" s="4"/>
      <c r="M262" s="4"/>
      <c r="N262" s="4"/>
      <c r="O262" s="4"/>
      <c r="P262" s="4"/>
      <c r="Q262" s="4"/>
      <c r="R262" s="4"/>
      <c r="S262" s="4"/>
    </row>
    <row r="263">
      <c r="A263" s="4">
        <v>39</v>
      </c>
      <c r="B263" s="4" t="str">
        <v>151 CG</v>
      </c>
      <c r="C263" s="4" t="str">
        <v>DV_Cắt</v>
      </c>
      <c r="D263" s="4">
        <v>513</v>
      </c>
      <c r="E263" s="4" t="str">
        <v>[DV] ShineCombo 10 bước Ultra Care 2023</v>
      </c>
      <c r="F263" s="21">
        <v>122000</v>
      </c>
      <c r="G263" s="21">
        <v>122000</v>
      </c>
      <c r="H263" s="21">
        <v>122000</v>
      </c>
      <c r="I263" s="4">
        <f>A263&amp;D263</f>
      </c>
      <c r="J263" s="4">
        <v>122000</v>
      </c>
      <c r="K263" s="4"/>
      <c r="L263" s="4"/>
      <c r="M263" s="4"/>
      <c r="N263" s="4"/>
      <c r="O263" s="4"/>
      <c r="P263" s="4"/>
      <c r="Q263" s="4"/>
      <c r="R263" s="4"/>
      <c r="S263" s="4"/>
    </row>
    <row r="264">
      <c r="A264" s="4">
        <v>39</v>
      </c>
      <c r="B264" s="4" t="str">
        <v>151 CG</v>
      </c>
      <c r="C264" s="4" t="str">
        <v>DV_Cắt</v>
      </c>
      <c r="D264" s="4">
        <v>891</v>
      </c>
      <c r="E264" s="4" t="str">
        <v>Cắt xả tạo kiểu</v>
      </c>
      <c r="F264" s="21">
        <v>94000</v>
      </c>
      <c r="G264" s="21">
        <v>94000</v>
      </c>
      <c r="H264" s="21">
        <v>94000</v>
      </c>
      <c r="I264" s="4">
        <f>A264&amp;D264</f>
      </c>
      <c r="J264" s="4">
        <v>94000</v>
      </c>
      <c r="K264" s="4"/>
      <c r="L264" s="4"/>
      <c r="M264" s="4"/>
      <c r="N264" s="4"/>
      <c r="O264" s="4"/>
      <c r="P264" s="4"/>
      <c r="Q264" s="4"/>
      <c r="R264" s="4"/>
      <c r="S264" s="4"/>
    </row>
    <row r="265">
      <c r="A265" s="4">
        <v>39</v>
      </c>
      <c r="B265" s="4" t="str">
        <v>151 CG</v>
      </c>
      <c r="C265" s="4" t="str">
        <v>DV_Cắt</v>
      </c>
      <c r="D265" s="4">
        <v>1002</v>
      </c>
      <c r="E265" s="4" t="str">
        <v>Kid Cắt</v>
      </c>
      <c r="F265" s="21">
        <v>75000</v>
      </c>
      <c r="G265" s="21">
        <v>75000</v>
      </c>
      <c r="H265" s="21">
        <v>75000</v>
      </c>
      <c r="I265" s="4">
        <f>A265&amp;D265</f>
      </c>
      <c r="J265" s="4">
        <v>75000</v>
      </c>
      <c r="K265" s="4"/>
      <c r="L265" s="4"/>
      <c r="M265" s="4"/>
      <c r="N265" s="4"/>
      <c r="O265" s="4"/>
      <c r="P265" s="4"/>
      <c r="Q265" s="4"/>
      <c r="R265" s="4"/>
      <c r="S265" s="4"/>
    </row>
    <row r="266">
      <c r="A266" s="4">
        <v>39</v>
      </c>
      <c r="B266" s="4" t="str">
        <v>151 CG</v>
      </c>
      <c r="C266" s="4" t="str">
        <v>DV_Cắt</v>
      </c>
      <c r="D266" s="4">
        <v>1070</v>
      </c>
      <c r="E266" s="4" t="str">
        <v>Combo Cắt gội Kid</v>
      </c>
      <c r="F266" s="21">
        <v>100000</v>
      </c>
      <c r="G266" s="21">
        <v>100000</v>
      </c>
      <c r="H266" s="21">
        <v>100000</v>
      </c>
      <c r="I266" s="4">
        <f>A266&amp;D266</f>
      </c>
      <c r="J266" s="4">
        <v>100000</v>
      </c>
      <c r="K266" s="4"/>
      <c r="L266" s="4"/>
      <c r="M266" s="4"/>
      <c r="N266" s="4"/>
      <c r="O266" s="4"/>
      <c r="P266" s="4"/>
      <c r="Q266" s="4"/>
      <c r="R266" s="4"/>
      <c r="S266" s="4"/>
    </row>
    <row r="267">
      <c r="A267" s="4">
        <v>39</v>
      </c>
      <c r="B267" s="4" t="str">
        <v>151 CG</v>
      </c>
      <c r="C267" s="4" t="str">
        <v>DV_Cắt_Vip</v>
      </c>
      <c r="D267" s="4">
        <v>1046</v>
      </c>
      <c r="E267" s="4" t="str">
        <v>Shinecombo 2</v>
      </c>
      <c r="F267" s="21">
        <v>199000</v>
      </c>
      <c r="G267" s="21">
        <v>199000</v>
      </c>
      <c r="H267" s="21">
        <v>199000</v>
      </c>
      <c r="I267" s="4">
        <f>A267&amp;D267</f>
      </c>
      <c r="J267" s="4">
        <v>199000</v>
      </c>
      <c r="K267" s="4"/>
      <c r="L267" s="4"/>
      <c r="M267" s="4"/>
      <c r="N267" s="4"/>
      <c r="O267" s="4"/>
      <c r="P267" s="4"/>
      <c r="Q267" s="4"/>
      <c r="R267" s="4"/>
      <c r="S267" s="4"/>
    </row>
    <row r="268">
      <c r="A268" s="4">
        <v>39</v>
      </c>
      <c r="B268" s="4" t="str">
        <v>151 CG</v>
      </c>
      <c r="C268" s="4" t="str">
        <v>DV_Cắt_Vip</v>
      </c>
      <c r="D268" s="4">
        <v>1047</v>
      </c>
      <c r="E268" s="4" t="str">
        <v>Cắt Gội Combo 3 - Chăm da</v>
      </c>
      <c r="F268" s="21">
        <v>299000</v>
      </c>
      <c r="G268" s="21">
        <v>299000</v>
      </c>
      <c r="H268" s="21">
        <v>299000</v>
      </c>
      <c r="I268" s="4">
        <f>A268&amp;D268</f>
      </c>
      <c r="J268" s="4">
        <v>299000</v>
      </c>
      <c r="K268" s="4"/>
      <c r="L268" s="4"/>
      <c r="M268" s="4"/>
      <c r="N268" s="4"/>
      <c r="O268" s="4"/>
      <c r="P268" s="4"/>
      <c r="Q268" s="4"/>
      <c r="R268" s="4"/>
      <c r="S268" s="4"/>
    </row>
    <row r="269">
      <c r="A269" s="4">
        <v>39</v>
      </c>
      <c r="B269" s="4" t="str">
        <v>151 CG</v>
      </c>
      <c r="C269" s="4" t="str">
        <v>DV_Cắt_Vip</v>
      </c>
      <c r="D269" s="4">
        <v>1048</v>
      </c>
      <c r="E269" s="4" t="str">
        <v>Combo 4</v>
      </c>
      <c r="F269" s="21">
        <v>389000</v>
      </c>
      <c r="G269" s="21">
        <v>389000</v>
      </c>
      <c r="H269" s="21">
        <v>389000</v>
      </c>
      <c r="I269" s="4">
        <f>A269&amp;D269</f>
      </c>
      <c r="J269" s="4">
        <v>389000</v>
      </c>
      <c r="K269" s="4"/>
      <c r="L269" s="4"/>
      <c r="M269" s="4"/>
      <c r="N269" s="4"/>
      <c r="O269" s="4"/>
      <c r="P269" s="4"/>
      <c r="Q269" s="4"/>
      <c r="R269" s="4"/>
      <c r="S269" s="4"/>
    </row>
    <row r="270">
      <c r="A270" s="4">
        <v>39</v>
      </c>
      <c r="B270" s="4" t="str">
        <v>151 CG</v>
      </c>
      <c r="C270" s="4" t="str">
        <v>DV_Cắt_Vip</v>
      </c>
      <c r="D270" s="4">
        <v>1064</v>
      </c>
      <c r="E270" s="4" t="str">
        <v>Cắt Gội Combo 5 - Dưỡng sinh</v>
      </c>
      <c r="F270" s="21">
        <v>459000</v>
      </c>
      <c r="G270" s="21">
        <v>459000</v>
      </c>
      <c r="H270" s="21">
        <v>459000</v>
      </c>
      <c r="I270" s="4">
        <f>A270&amp;D270</f>
      </c>
      <c r="J270" s="4">
        <v>459000</v>
      </c>
      <c r="K270" s="4"/>
      <c r="L270" s="4"/>
      <c r="M270" s="4"/>
      <c r="N270" s="4"/>
      <c r="O270" s="4"/>
      <c r="P270" s="4"/>
      <c r="Q270" s="4"/>
      <c r="R270" s="4"/>
      <c r="S270" s="4"/>
    </row>
    <row r="271">
      <c r="A271" s="4">
        <v>39</v>
      </c>
      <c r="B271" s="4" t="str">
        <v>151 CG</v>
      </c>
      <c r="C271" s="4" t="str">
        <v>DV_Gội</v>
      </c>
      <c r="D271" s="4">
        <v>867</v>
      </c>
      <c r="E271" s="4" t="str">
        <v>Gội dưỡng sinh cổ vai gáy</v>
      </c>
      <c r="F271" s="21">
        <v>99000</v>
      </c>
      <c r="G271" s="21">
        <v>99000</v>
      </c>
      <c r="H271" s="21">
        <v>99000</v>
      </c>
      <c r="I271" s="4">
        <f>A271&amp;D271</f>
      </c>
      <c r="J271" s="4">
        <v>99000</v>
      </c>
      <c r="K271" s="4"/>
      <c r="L271" s="4"/>
      <c r="M271" s="4"/>
      <c r="N271" s="4"/>
      <c r="O271" s="4"/>
      <c r="P271" s="4"/>
      <c r="Q271" s="4"/>
      <c r="R271" s="4"/>
      <c r="S271" s="4"/>
    </row>
    <row r="272">
      <c r="A272" s="4">
        <v>39</v>
      </c>
      <c r="B272" s="4" t="str">
        <v>151 CG</v>
      </c>
      <c r="C272" s="4" t="str">
        <v>DV_Gội</v>
      </c>
      <c r="D272" s="4">
        <v>930</v>
      </c>
      <c r="E272" s="4" t="str">
        <v>[NEW] Gội dưỡng sinh cổ vai gáy và chăm sóc da</v>
      </c>
      <c r="F272" s="21">
        <v>139000</v>
      </c>
      <c r="G272" s="21">
        <v>139000</v>
      </c>
      <c r="H272" s="21">
        <v>139000</v>
      </c>
      <c r="I272" s="4">
        <f>A272&amp;D272</f>
      </c>
      <c r="J272" s="4">
        <v>139000</v>
      </c>
      <c r="K272" s="4"/>
      <c r="L272" s="4"/>
      <c r="M272" s="4"/>
      <c r="N272" s="4"/>
      <c r="O272" s="4"/>
      <c r="P272" s="4"/>
      <c r="Q272" s="4"/>
      <c r="R272" s="4"/>
      <c r="S272" s="4"/>
    </row>
    <row r="273">
      <c r="A273" s="4">
        <v>39</v>
      </c>
      <c r="B273" s="4" t="str">
        <v>151 CG</v>
      </c>
      <c r="C273" s="4" t="str">
        <v>DV_Gội</v>
      </c>
      <c r="D273" s="4">
        <v>934</v>
      </c>
      <c r="E273" s="4" t="str">
        <v>Gội combo 3 - Dưỡng sinh</v>
      </c>
      <c r="F273" s="21">
        <v>229000</v>
      </c>
      <c r="G273" s="21">
        <v>229000</v>
      </c>
      <c r="H273" s="21">
        <v>229000</v>
      </c>
      <c r="I273" s="4">
        <f>A273&amp;D273</f>
      </c>
      <c r="J273" s="4">
        <v>229000</v>
      </c>
      <c r="K273" s="4"/>
      <c r="L273" s="4"/>
      <c r="M273" s="4"/>
      <c r="N273" s="4"/>
      <c r="O273" s="4"/>
      <c r="P273" s="4"/>
      <c r="Q273" s="4"/>
      <c r="R273" s="4"/>
      <c r="S273" s="4"/>
    </row>
    <row r="274">
      <c r="A274" s="4">
        <v>39</v>
      </c>
      <c r="B274" s="4" t="str">
        <v>151 CG</v>
      </c>
      <c r="C274" s="4" t="str">
        <v>DV_Gội</v>
      </c>
      <c r="D274" s="4">
        <v>940</v>
      </c>
      <c r="E274" s="4" t="str">
        <v>[NEW] Gội dưỡng sinh</v>
      </c>
      <c r="F274" s="21">
        <v>59000</v>
      </c>
      <c r="G274" s="21">
        <v>59000</v>
      </c>
      <c r="H274" s="21">
        <v>59000</v>
      </c>
      <c r="I274" s="4">
        <f>A274&amp;D274</f>
      </c>
      <c r="J274" s="4">
        <v>59000</v>
      </c>
      <c r="K274" s="4"/>
      <c r="L274" s="4"/>
      <c r="M274" s="4"/>
      <c r="N274" s="4"/>
      <c r="O274" s="4"/>
      <c r="P274" s="4"/>
      <c r="Q274" s="4"/>
      <c r="R274" s="4"/>
      <c r="S274" s="4"/>
    </row>
    <row r="275">
      <c r="A275" s="4">
        <v>39</v>
      </c>
      <c r="B275" s="4" t="str">
        <v>151 CG</v>
      </c>
      <c r="C275" s="4" t="str">
        <v>DV_Gội</v>
      </c>
      <c r="D275" s="4">
        <v>1058</v>
      </c>
      <c r="E275" s="4" t="str">
        <v>Gội Combo 2</v>
      </c>
      <c r="F275" s="21">
        <v>159000</v>
      </c>
      <c r="G275" s="21">
        <v>159000</v>
      </c>
      <c r="H275" s="21">
        <v>159000</v>
      </c>
      <c r="I275" s="4">
        <f>A275&amp;D275</f>
      </c>
      <c r="J275" s="4">
        <v>159000</v>
      </c>
      <c r="K275" s="4"/>
      <c r="L275" s="4"/>
      <c r="M275" s="4"/>
      <c r="N275" s="4"/>
      <c r="O275" s="4"/>
      <c r="P275" s="4"/>
      <c r="Q275" s="4"/>
      <c r="R275" s="4"/>
      <c r="S275" s="4"/>
    </row>
    <row r="276">
      <c r="A276" s="4">
        <v>39</v>
      </c>
      <c r="B276" s="4" t="str">
        <v>151 CG</v>
      </c>
      <c r="C276" s="4" t="str">
        <v>DV_Gội</v>
      </c>
      <c r="D276" s="4">
        <v>1059</v>
      </c>
      <c r="E276" s="4" t="str">
        <v>Gội Combo 3 - Chăm da</v>
      </c>
      <c r="F276" s="21">
        <v>239000</v>
      </c>
      <c r="G276" s="21">
        <v>239000</v>
      </c>
      <c r="H276" s="21">
        <v>239000</v>
      </c>
      <c r="I276" s="4">
        <f>A276&amp;D276</f>
      </c>
      <c r="J276" s="4">
        <v>239000</v>
      </c>
      <c r="K276" s="4"/>
      <c r="L276" s="4"/>
      <c r="M276" s="4"/>
      <c r="N276" s="4"/>
      <c r="O276" s="4"/>
      <c r="P276" s="4"/>
      <c r="Q276" s="4"/>
      <c r="R276" s="4"/>
      <c r="S276" s="4"/>
    </row>
    <row r="277">
      <c r="A277" s="4">
        <v>39</v>
      </c>
      <c r="B277" s="4" t="str">
        <v>151 CG</v>
      </c>
      <c r="C277" s="4" t="str">
        <v>DV_Gội</v>
      </c>
      <c r="D277" s="4">
        <v>1060</v>
      </c>
      <c r="E277" s="4" t="str">
        <v>Gội Combo 4</v>
      </c>
      <c r="F277" s="21">
        <v>289000</v>
      </c>
      <c r="G277" s="21">
        <v>289000</v>
      </c>
      <c r="H277" s="21">
        <v>289000</v>
      </c>
      <c r="I277" s="4">
        <f>A277&amp;D277</f>
      </c>
      <c r="J277" s="4">
        <v>289000</v>
      </c>
      <c r="K277" s="4"/>
      <c r="L277" s="4"/>
      <c r="M277" s="4"/>
      <c r="N277" s="4"/>
      <c r="O277" s="4"/>
      <c r="P277" s="4"/>
      <c r="Q277" s="4"/>
      <c r="R277" s="4"/>
      <c r="S277" s="4"/>
    </row>
    <row r="278">
      <c r="A278" s="4">
        <v>39</v>
      </c>
      <c r="B278" s="4" t="str">
        <v>151 CG</v>
      </c>
      <c r="C278" s="4" t="str">
        <v>DV_Gội</v>
      </c>
      <c r="D278" s="4">
        <v>1066</v>
      </c>
      <c r="E278" s="4" t="str">
        <v>Gội trải nghiệm 75p</v>
      </c>
      <c r="F278" s="21">
        <v>589000</v>
      </c>
      <c r="G278" s="21">
        <v>589000</v>
      </c>
      <c r="H278" s="21">
        <v>589000</v>
      </c>
      <c r="I278" s="4">
        <f>A278&amp;D278</f>
      </c>
      <c r="J278" s="4">
        <v>589000</v>
      </c>
      <c r="K278" s="4"/>
      <c r="L278" s="4"/>
      <c r="M278" s="4"/>
      <c r="N278" s="4"/>
      <c r="O278" s="4"/>
      <c r="P278" s="4"/>
      <c r="Q278" s="4"/>
      <c r="R278" s="4"/>
      <c r="S278" s="4"/>
    </row>
    <row r="279">
      <c r="A279" s="4">
        <v>39</v>
      </c>
      <c r="B279" s="4" t="str">
        <v>151 CG</v>
      </c>
      <c r="C279" s="4" t="str">
        <v>DV_Gội</v>
      </c>
      <c r="D279" s="4">
        <v>1067</v>
      </c>
      <c r="E279" s="4" t="str">
        <v>Gội trải nghiệm 90p</v>
      </c>
      <c r="F279" s="21">
        <v>789000</v>
      </c>
      <c r="G279" s="21">
        <v>789000</v>
      </c>
      <c r="H279" s="21">
        <v>789000</v>
      </c>
      <c r="I279" s="4">
        <f>A279&amp;D279</f>
      </c>
      <c r="J279" s="4">
        <v>789000</v>
      </c>
      <c r="K279" s="4"/>
      <c r="L279" s="4"/>
      <c r="M279" s="4"/>
      <c r="N279" s="4"/>
      <c r="O279" s="4"/>
      <c r="P279" s="4"/>
      <c r="Q279" s="4"/>
      <c r="R279" s="4"/>
      <c r="S279" s="4"/>
    </row>
    <row r="280">
      <c r="A280" s="4">
        <v>39</v>
      </c>
      <c r="B280" s="4" t="str">
        <v>151 CG</v>
      </c>
      <c r="C280" s="4" t="str">
        <v>DV_Gội</v>
      </c>
      <c r="D280" s="4">
        <v>1068</v>
      </c>
      <c r="E280" s="4" t="str">
        <v>Gội trải nghiệm 115p</v>
      </c>
      <c r="F280" s="21">
        <v>999000</v>
      </c>
      <c r="G280" s="21">
        <v>999000</v>
      </c>
      <c r="H280" s="21">
        <v>999000</v>
      </c>
      <c r="I280" s="4">
        <f>A280&amp;D280</f>
      </c>
      <c r="J280" s="4">
        <v>999000</v>
      </c>
      <c r="K280" s="4"/>
      <c r="L280" s="4"/>
      <c r="M280" s="4"/>
      <c r="N280" s="4"/>
      <c r="O280" s="4"/>
      <c r="P280" s="4"/>
      <c r="Q280" s="4"/>
      <c r="R280" s="4"/>
      <c r="S280" s="4"/>
    </row>
    <row r="281">
      <c r="A281" s="4">
        <v>144</v>
      </c>
      <c r="B281" s="4" t="str">
        <v>168 NVC</v>
      </c>
      <c r="C281" s="4" t="str">
        <v>DV_Cắt</v>
      </c>
      <c r="D281" s="4">
        <v>513</v>
      </c>
      <c r="E281" s="4" t="str">
        <v>[DV] ShineCombo 10 bước Ultra Care 2023</v>
      </c>
      <c r="F281" s="21">
        <v>122000</v>
      </c>
      <c r="G281" s="21">
        <v>122000</v>
      </c>
      <c r="H281" s="21">
        <v>122000</v>
      </c>
      <c r="I281" s="4">
        <f>A281&amp;D281</f>
      </c>
      <c r="J281" s="4">
        <v>122000</v>
      </c>
      <c r="K281" s="4"/>
      <c r="L281" s="4"/>
      <c r="M281" s="4"/>
      <c r="N281" s="4"/>
      <c r="O281" s="4"/>
      <c r="P281" s="4"/>
      <c r="Q281" s="4"/>
      <c r="R281" s="4"/>
      <c r="S281" s="4"/>
    </row>
    <row r="282">
      <c r="A282" s="4">
        <v>144</v>
      </c>
      <c r="B282" s="4" t="str">
        <v>168 NVC</v>
      </c>
      <c r="C282" s="4" t="str">
        <v>DV_Cắt</v>
      </c>
      <c r="D282" s="4">
        <v>891</v>
      </c>
      <c r="E282" s="4" t="str">
        <v>Cắt xả tạo kiểu</v>
      </c>
      <c r="F282" s="21">
        <v>103000</v>
      </c>
      <c r="G282" s="21">
        <v>112000</v>
      </c>
      <c r="H282" s="21">
        <v>112000</v>
      </c>
      <c r="I282" s="4">
        <f>A282&amp;D282</f>
      </c>
      <c r="J282" s="4">
        <v>112000</v>
      </c>
      <c r="K282" s="4"/>
      <c r="L282" s="4"/>
      <c r="M282" s="4"/>
      <c r="N282" s="4"/>
      <c r="O282" s="4"/>
      <c r="P282" s="4"/>
      <c r="Q282" s="4"/>
      <c r="R282" s="4"/>
      <c r="S282" s="4"/>
    </row>
    <row r="283">
      <c r="A283" s="4">
        <v>144</v>
      </c>
      <c r="B283" s="4" t="str">
        <v>168 NVC</v>
      </c>
      <c r="C283" s="4" t="str">
        <v>DV_Cắt</v>
      </c>
      <c r="D283" s="4">
        <v>1002</v>
      </c>
      <c r="E283" s="4" t="str">
        <v>Kid Cắt</v>
      </c>
      <c r="F283" s="21">
        <v>84000</v>
      </c>
      <c r="G283" s="21">
        <v>93000</v>
      </c>
      <c r="H283" s="21">
        <v>93000</v>
      </c>
      <c r="I283" s="4">
        <f>A283&amp;D283</f>
      </c>
      <c r="J283" s="4">
        <v>93000</v>
      </c>
      <c r="K283" s="4"/>
      <c r="L283" s="4"/>
      <c r="M283" s="4"/>
      <c r="N283" s="4"/>
      <c r="O283" s="4"/>
      <c r="P283" s="4"/>
      <c r="Q283" s="4"/>
      <c r="R283" s="4"/>
      <c r="S283" s="4"/>
    </row>
    <row r="284">
      <c r="A284" s="4">
        <v>144</v>
      </c>
      <c r="B284" s="4" t="str">
        <v>168 NVC</v>
      </c>
      <c r="C284" s="4" t="str">
        <v>DV_Cắt</v>
      </c>
      <c r="D284" s="4">
        <v>1052</v>
      </c>
      <c r="E284" s="4" t="str">
        <v>Combo 1 - First Class 1</v>
      </c>
      <c r="F284" s="21">
        <v>139000</v>
      </c>
      <c r="G284" s="21">
        <v>139000</v>
      </c>
      <c r="H284" s="21">
        <v>139000</v>
      </c>
      <c r="I284" s="4">
        <f>A284&amp;D284</f>
      </c>
      <c r="J284" s="4">
        <v>139000</v>
      </c>
      <c r="K284" s="4"/>
      <c r="L284" s="4"/>
      <c r="M284" s="4"/>
      <c r="N284" s="4"/>
      <c r="O284" s="4"/>
      <c r="P284" s="4"/>
      <c r="Q284" s="4"/>
      <c r="R284" s="4"/>
      <c r="S284" s="4"/>
    </row>
    <row r="285">
      <c r="A285" s="4">
        <v>144</v>
      </c>
      <c r="B285" s="4" t="str">
        <v>168 NVC</v>
      </c>
      <c r="C285" s="4" t="str">
        <v>DV_Cắt</v>
      </c>
      <c r="D285" s="4">
        <v>1070</v>
      </c>
      <c r="E285" s="4" t="str">
        <v>Combo Cắt gội Kid</v>
      </c>
      <c r="F285" s="21">
        <v>100000</v>
      </c>
      <c r="G285" s="21">
        <v>109000</v>
      </c>
      <c r="H285" s="21">
        <v>109000</v>
      </c>
      <c r="I285" s="4">
        <f>A285&amp;D285</f>
      </c>
      <c r="J285" s="4">
        <v>109000</v>
      </c>
      <c r="K285" s="4"/>
      <c r="L285" s="4"/>
      <c r="M285" s="4"/>
      <c r="N285" s="4"/>
      <c r="O285" s="4"/>
      <c r="P285" s="4"/>
      <c r="Q285" s="4"/>
      <c r="R285" s="4"/>
      <c r="S285" s="4"/>
    </row>
    <row r="286">
      <c r="A286" s="4">
        <v>144</v>
      </c>
      <c r="B286" s="4" t="str">
        <v>168 NVC</v>
      </c>
      <c r="C286" s="4" t="str">
        <v>DV_Cắt_Vip</v>
      </c>
      <c r="D286" s="4">
        <v>1046</v>
      </c>
      <c r="E286" s="4" t="str">
        <v>Shinecombo 2</v>
      </c>
      <c r="F286" s="21">
        <v>208000</v>
      </c>
      <c r="G286" s="21">
        <v>217000</v>
      </c>
      <c r="H286" s="21">
        <v>217000</v>
      </c>
      <c r="I286" s="4">
        <f>A286&amp;D286</f>
      </c>
      <c r="J286" s="4">
        <v>217000</v>
      </c>
      <c r="K286" s="4"/>
      <c r="L286" s="4"/>
      <c r="M286" s="4"/>
      <c r="N286" s="4"/>
      <c r="O286" s="4"/>
      <c r="P286" s="4"/>
      <c r="Q286" s="4"/>
      <c r="R286" s="4"/>
      <c r="S286" s="4"/>
    </row>
    <row r="287">
      <c r="A287" s="4">
        <v>144</v>
      </c>
      <c r="B287" s="4" t="str">
        <v>168 NVC</v>
      </c>
      <c r="C287" s="4" t="str">
        <v>DV_Cắt_Vip</v>
      </c>
      <c r="D287" s="4">
        <v>1047</v>
      </c>
      <c r="E287" s="4" t="str">
        <v>Cắt Gội Combo 3 - Chăm da</v>
      </c>
      <c r="F287" s="21">
        <v>308000</v>
      </c>
      <c r="G287" s="21">
        <v>317000</v>
      </c>
      <c r="H287" s="21">
        <v>317000</v>
      </c>
      <c r="I287" s="4">
        <f>A287&amp;D287</f>
      </c>
      <c r="J287" s="4">
        <v>317000</v>
      </c>
      <c r="K287" s="4"/>
      <c r="L287" s="4"/>
      <c r="M287" s="4"/>
      <c r="N287" s="4"/>
      <c r="O287" s="4"/>
      <c r="P287" s="4"/>
      <c r="Q287" s="4"/>
      <c r="R287" s="4"/>
      <c r="S287" s="4"/>
    </row>
    <row r="288">
      <c r="A288" s="4">
        <v>144</v>
      </c>
      <c r="B288" s="4" t="str">
        <v>168 NVC</v>
      </c>
      <c r="C288" s="4" t="str">
        <v>DV_Cắt_Vip</v>
      </c>
      <c r="D288" s="4">
        <v>1048</v>
      </c>
      <c r="E288" s="4" t="str">
        <v>Combo 4</v>
      </c>
      <c r="F288" s="21">
        <v>398000</v>
      </c>
      <c r="G288" s="21">
        <v>407000</v>
      </c>
      <c r="H288" s="21">
        <v>407000</v>
      </c>
      <c r="I288" s="4">
        <f>A288&amp;D288</f>
      </c>
      <c r="J288" s="4">
        <v>407000</v>
      </c>
      <c r="K288" s="4"/>
      <c r="L288" s="4"/>
      <c r="M288" s="4"/>
      <c r="N288" s="4"/>
      <c r="O288" s="4"/>
      <c r="P288" s="4"/>
      <c r="Q288" s="4"/>
      <c r="R288" s="4"/>
      <c r="S288" s="4"/>
    </row>
    <row r="289">
      <c r="A289" s="4">
        <v>144</v>
      </c>
      <c r="B289" s="4" t="str">
        <v>168 NVC</v>
      </c>
      <c r="C289" s="4" t="str">
        <v>DV_Cắt_Vip</v>
      </c>
      <c r="D289" s="4">
        <v>1053</v>
      </c>
      <c r="E289" s="4" t="str">
        <v>Combo 2 - First Class 2</v>
      </c>
      <c r="F289" s="21">
        <v>248000</v>
      </c>
      <c r="G289" s="21">
        <v>257000</v>
      </c>
      <c r="H289" s="21">
        <v>257000</v>
      </c>
      <c r="I289" s="4">
        <f>A289&amp;D289</f>
      </c>
      <c r="J289" s="4">
        <v>257000</v>
      </c>
      <c r="K289" s="4"/>
      <c r="L289" s="4"/>
      <c r="M289" s="4"/>
      <c r="N289" s="4"/>
      <c r="O289" s="4"/>
      <c r="P289" s="4"/>
      <c r="Q289" s="4"/>
      <c r="R289" s="4"/>
      <c r="S289" s="4"/>
    </row>
    <row r="290">
      <c r="A290" s="4">
        <v>144</v>
      </c>
      <c r="B290" s="4" t="str">
        <v>168 NVC</v>
      </c>
      <c r="C290" s="4" t="str">
        <v>DV_Cắt_Vip</v>
      </c>
      <c r="D290" s="4">
        <v>1054</v>
      </c>
      <c r="E290" s="4" t="str">
        <v>Combo 3 - First Class 3</v>
      </c>
      <c r="F290" s="21">
        <v>318000</v>
      </c>
      <c r="G290" s="21">
        <v>327000</v>
      </c>
      <c r="H290" s="21">
        <v>327000</v>
      </c>
      <c r="I290" s="4">
        <f>A290&amp;D290</f>
      </c>
      <c r="J290" s="4">
        <v>327000</v>
      </c>
      <c r="K290" s="4"/>
      <c r="L290" s="4"/>
      <c r="M290" s="4"/>
      <c r="N290" s="4"/>
      <c r="O290" s="4"/>
      <c r="P290" s="4"/>
      <c r="Q290" s="4"/>
      <c r="R290" s="4"/>
      <c r="S290" s="4"/>
    </row>
    <row r="291">
      <c r="A291" s="4">
        <v>144</v>
      </c>
      <c r="B291" s="4" t="str">
        <v>168 NVC</v>
      </c>
      <c r="C291" s="4" t="str">
        <v>DV_Cắt_Vip</v>
      </c>
      <c r="D291" s="4">
        <v>1055</v>
      </c>
      <c r="E291" s="4" t="str">
        <v>Combo 4- First Class 4</v>
      </c>
      <c r="F291" s="21">
        <v>418000</v>
      </c>
      <c r="G291" s="21">
        <v>427000</v>
      </c>
      <c r="H291" s="21">
        <v>427000</v>
      </c>
      <c r="I291" s="4">
        <f>A291&amp;D291</f>
      </c>
      <c r="J291" s="4">
        <v>427000</v>
      </c>
      <c r="K291" s="4"/>
      <c r="L291" s="4"/>
      <c r="M291" s="4"/>
      <c r="N291" s="4"/>
      <c r="O291" s="4"/>
      <c r="P291" s="4"/>
      <c r="Q291" s="4"/>
      <c r="R291" s="4"/>
      <c r="S291" s="4"/>
    </row>
    <row r="292">
      <c r="A292" s="4">
        <v>144</v>
      </c>
      <c r="B292" s="4" t="str">
        <v>168 NVC</v>
      </c>
      <c r="C292" s="4" t="str">
        <v>DV_Cắt_Vip</v>
      </c>
      <c r="D292" s="4">
        <v>1064</v>
      </c>
      <c r="E292" s="4" t="str">
        <v>Cắt Gội Combo 5 - Dưỡng sinh</v>
      </c>
      <c r="F292" s="21">
        <v>459000</v>
      </c>
      <c r="G292" s="21">
        <v>468000</v>
      </c>
      <c r="H292" s="21">
        <v>468000</v>
      </c>
      <c r="I292" s="4">
        <f>A292&amp;D292</f>
      </c>
      <c r="J292" s="4">
        <v>468000</v>
      </c>
      <c r="K292" s="4"/>
      <c r="L292" s="4"/>
      <c r="M292" s="4"/>
      <c r="N292" s="4"/>
      <c r="O292" s="4"/>
      <c r="P292" s="4"/>
      <c r="Q292" s="4"/>
      <c r="R292" s="4"/>
      <c r="S292" s="4"/>
    </row>
    <row r="293">
      <c r="A293" s="4">
        <v>144</v>
      </c>
      <c r="B293" s="4" t="str">
        <v>168 NVC</v>
      </c>
      <c r="C293" s="4" t="str">
        <v>DV_Cắt_Vip</v>
      </c>
      <c r="D293" s="4">
        <v>1065</v>
      </c>
      <c r="E293" s="4" t="str">
        <v>Cắt Gội Combo 3 - Dưỡng sinh</v>
      </c>
      <c r="F293" s="21">
        <v>308000</v>
      </c>
      <c r="G293" s="21">
        <v>317000</v>
      </c>
      <c r="H293" s="21">
        <v>317000</v>
      </c>
      <c r="I293" s="4">
        <f>A293&amp;D293</f>
      </c>
      <c r="J293" s="4">
        <v>317000</v>
      </c>
      <c r="K293" s="4"/>
      <c r="L293" s="4"/>
      <c r="M293" s="4"/>
      <c r="N293" s="4"/>
      <c r="O293" s="4"/>
      <c r="P293" s="4"/>
      <c r="Q293" s="4"/>
      <c r="R293" s="4"/>
      <c r="S293" s="4"/>
    </row>
    <row r="294">
      <c r="A294" s="4">
        <v>144</v>
      </c>
      <c r="B294" s="4" t="str">
        <v>168 NVC</v>
      </c>
      <c r="C294" s="4" t="str">
        <v>DV_Gội</v>
      </c>
      <c r="D294" s="4">
        <v>867</v>
      </c>
      <c r="E294" s="4" t="str">
        <v>Gội dưỡng sinh cổ vai gáy</v>
      </c>
      <c r="F294" s="21">
        <v>99000</v>
      </c>
      <c r="G294" s="21">
        <v>108000</v>
      </c>
      <c r="H294" s="21">
        <v>108000</v>
      </c>
      <c r="I294" s="4">
        <f>A294&amp;D294</f>
      </c>
      <c r="J294" s="4">
        <v>108000</v>
      </c>
      <c r="K294" s="4"/>
      <c r="L294" s="4"/>
      <c r="M294" s="4"/>
      <c r="N294" s="4"/>
      <c r="O294" s="4"/>
      <c r="P294" s="4"/>
      <c r="Q294" s="4"/>
      <c r="R294" s="4"/>
      <c r="S294" s="4"/>
    </row>
    <row r="295">
      <c r="A295" s="4">
        <v>144</v>
      </c>
      <c r="B295" s="4" t="str">
        <v>168 NVC</v>
      </c>
      <c r="C295" s="4" t="str">
        <v>DV_Gội</v>
      </c>
      <c r="D295" s="4">
        <v>930</v>
      </c>
      <c r="E295" s="4" t="str">
        <v>[NEW] Gội dưỡng sinh cổ vai gáy và chăm sóc da</v>
      </c>
      <c r="F295" s="21">
        <v>139000</v>
      </c>
      <c r="G295" s="21">
        <v>148000</v>
      </c>
      <c r="H295" s="21">
        <v>148000</v>
      </c>
      <c r="I295" s="4">
        <f>A295&amp;D295</f>
      </c>
      <c r="J295" s="4">
        <v>148000</v>
      </c>
      <c r="K295" s="4"/>
      <c r="L295" s="4"/>
      <c r="M295" s="4"/>
      <c r="N295" s="4"/>
      <c r="O295" s="4"/>
      <c r="P295" s="4"/>
      <c r="Q295" s="4"/>
      <c r="R295" s="4"/>
      <c r="S295" s="4"/>
    </row>
    <row r="296">
      <c r="A296" s="4">
        <v>144</v>
      </c>
      <c r="B296" s="4" t="str">
        <v>168 NVC</v>
      </c>
      <c r="C296" s="4" t="str">
        <v>DV_Gội</v>
      </c>
      <c r="D296" s="4">
        <v>934</v>
      </c>
      <c r="E296" s="4" t="str">
        <v>Gội combo 3 - Dưỡng sinh</v>
      </c>
      <c r="F296" s="21">
        <v>229000</v>
      </c>
      <c r="G296" s="21">
        <v>238000</v>
      </c>
      <c r="H296" s="21">
        <v>238000</v>
      </c>
      <c r="I296" s="4">
        <f>A296&amp;D296</f>
      </c>
      <c r="J296" s="4">
        <v>238000</v>
      </c>
      <c r="K296" s="4"/>
      <c r="L296" s="4"/>
      <c r="M296" s="4"/>
      <c r="N296" s="4"/>
      <c r="O296" s="4"/>
      <c r="P296" s="4"/>
      <c r="Q296" s="4"/>
      <c r="R296" s="4"/>
      <c r="S296" s="4"/>
    </row>
    <row r="297">
      <c r="A297" s="4">
        <v>144</v>
      </c>
      <c r="B297" s="4" t="str">
        <v>168 NVC</v>
      </c>
      <c r="C297" s="4" t="str">
        <v>DV_Gội</v>
      </c>
      <c r="D297" s="4">
        <v>940</v>
      </c>
      <c r="E297" s="4" t="str">
        <v>[NEW] Gội dưỡng sinh</v>
      </c>
      <c r="F297" s="21">
        <v>59000</v>
      </c>
      <c r="G297" s="21">
        <v>68000</v>
      </c>
      <c r="H297" s="21">
        <v>68000</v>
      </c>
      <c r="I297" s="4">
        <f>A297&amp;D297</f>
      </c>
      <c r="J297" s="4">
        <v>68000</v>
      </c>
      <c r="K297" s="4"/>
      <c r="L297" s="4"/>
      <c r="M297" s="4"/>
      <c r="N297" s="4"/>
      <c r="O297" s="4"/>
      <c r="P297" s="4"/>
      <c r="Q297" s="4"/>
      <c r="R297" s="4"/>
      <c r="S297" s="4"/>
    </row>
    <row r="298">
      <c r="A298" s="4">
        <v>144</v>
      </c>
      <c r="B298" s="4" t="str">
        <v>168 NVC</v>
      </c>
      <c r="C298" s="4" t="str">
        <v>DV_Gội</v>
      </c>
      <c r="D298" s="4">
        <v>1058</v>
      </c>
      <c r="E298" s="4" t="str">
        <v>Gội Combo 2</v>
      </c>
      <c r="F298" s="21">
        <v>159000</v>
      </c>
      <c r="G298" s="21">
        <v>168000</v>
      </c>
      <c r="H298" s="21">
        <v>168000</v>
      </c>
      <c r="I298" s="4">
        <f>A298&amp;D298</f>
      </c>
      <c r="J298" s="4">
        <v>168000</v>
      </c>
      <c r="K298" s="4"/>
      <c r="L298" s="4"/>
      <c r="M298" s="4"/>
      <c r="N298" s="4"/>
      <c r="O298" s="4"/>
      <c r="P298" s="4"/>
      <c r="Q298" s="4"/>
      <c r="R298" s="4"/>
      <c r="S298" s="4"/>
    </row>
    <row r="299">
      <c r="A299" s="4">
        <v>144</v>
      </c>
      <c r="B299" s="4" t="str">
        <v>168 NVC</v>
      </c>
      <c r="C299" s="4" t="str">
        <v>DV_Gội</v>
      </c>
      <c r="D299" s="4">
        <v>1059</v>
      </c>
      <c r="E299" s="4" t="str">
        <v>Gội Combo 3 - Chăm da</v>
      </c>
      <c r="F299" s="21">
        <v>239000</v>
      </c>
      <c r="G299" s="21">
        <v>248000</v>
      </c>
      <c r="H299" s="21">
        <v>248000</v>
      </c>
      <c r="I299" s="4">
        <f>A299&amp;D299</f>
      </c>
      <c r="J299" s="4">
        <v>248000</v>
      </c>
      <c r="K299" s="4"/>
      <c r="L299" s="4"/>
      <c r="M299" s="4"/>
      <c r="N299" s="4"/>
      <c r="O299" s="4"/>
      <c r="P299" s="4"/>
      <c r="Q299" s="4"/>
      <c r="R299" s="4"/>
      <c r="S299" s="4"/>
    </row>
    <row r="300">
      <c r="A300" s="4">
        <v>144</v>
      </c>
      <c r="B300" s="4" t="str">
        <v>168 NVC</v>
      </c>
      <c r="C300" s="4" t="str">
        <v>DV_Gội</v>
      </c>
      <c r="D300" s="4">
        <v>1060</v>
      </c>
      <c r="E300" s="4" t="str">
        <v>Gội Combo 4</v>
      </c>
      <c r="F300" s="21">
        <v>329000</v>
      </c>
      <c r="G300" s="21">
        <v>338000</v>
      </c>
      <c r="H300" s="21">
        <v>338000</v>
      </c>
      <c r="I300" s="4">
        <f>A300&amp;D300</f>
      </c>
      <c r="J300" s="4">
        <v>338000</v>
      </c>
      <c r="K300" s="4"/>
      <c r="L300" s="4"/>
      <c r="M300" s="4"/>
      <c r="N300" s="4"/>
      <c r="O300" s="4"/>
      <c r="P300" s="4"/>
      <c r="Q300" s="4"/>
      <c r="R300" s="4"/>
      <c r="S300" s="4"/>
    </row>
    <row r="301">
      <c r="A301" s="4">
        <v>144</v>
      </c>
      <c r="B301" s="4" t="str">
        <v>168 NVC</v>
      </c>
      <c r="C301" s="4" t="str">
        <v>DV_Gội</v>
      </c>
      <c r="D301" s="4">
        <v>1066</v>
      </c>
      <c r="E301" s="4" t="str">
        <v>Gội trải nghiệm 75p</v>
      </c>
      <c r="F301" s="21">
        <v>589000</v>
      </c>
      <c r="G301" s="21">
        <v>598000</v>
      </c>
      <c r="H301" s="21">
        <v>598000</v>
      </c>
      <c r="I301" s="4">
        <f>A301&amp;D301</f>
      </c>
      <c r="J301" s="4">
        <v>598000</v>
      </c>
      <c r="K301" s="4"/>
      <c r="L301" s="4"/>
      <c r="M301" s="4"/>
      <c r="N301" s="4"/>
      <c r="O301" s="4"/>
      <c r="P301" s="4"/>
      <c r="Q301" s="4"/>
      <c r="R301" s="4"/>
      <c r="S301" s="4"/>
    </row>
    <row r="302">
      <c r="A302" s="4">
        <v>144</v>
      </c>
      <c r="B302" s="4" t="str">
        <v>168 NVC</v>
      </c>
      <c r="C302" s="4" t="str">
        <v>DV_Gội</v>
      </c>
      <c r="D302" s="4">
        <v>1067</v>
      </c>
      <c r="E302" s="4" t="str">
        <v>Gội trải nghiệm 90p</v>
      </c>
      <c r="F302" s="21">
        <v>789000</v>
      </c>
      <c r="G302" s="21">
        <v>798000</v>
      </c>
      <c r="H302" s="21">
        <v>798000</v>
      </c>
      <c r="I302" s="4">
        <f>A302&amp;D302</f>
      </c>
      <c r="J302" s="4">
        <v>798000</v>
      </c>
      <c r="K302" s="4"/>
      <c r="L302" s="4"/>
      <c r="M302" s="4"/>
      <c r="N302" s="4"/>
      <c r="O302" s="4"/>
      <c r="P302" s="4"/>
      <c r="Q302" s="4"/>
      <c r="R302" s="4"/>
      <c r="S302" s="4"/>
    </row>
    <row r="303">
      <c r="A303" s="4">
        <v>144</v>
      </c>
      <c r="B303" s="4" t="str">
        <v>168 NVC</v>
      </c>
      <c r="C303" s="4" t="str">
        <v>DV_Gội</v>
      </c>
      <c r="D303" s="4">
        <v>1068</v>
      </c>
      <c r="E303" s="4" t="str">
        <v>Gội trải nghiệm 115p</v>
      </c>
      <c r="F303" s="21">
        <v>999000</v>
      </c>
      <c r="G303" s="21">
        <v>1008000</v>
      </c>
      <c r="H303" s="21">
        <v>1008000</v>
      </c>
      <c r="I303" s="4">
        <f>A303&amp;D303</f>
      </c>
      <c r="J303" s="4">
        <v>1008000</v>
      </c>
      <c r="K303" s="4"/>
      <c r="L303" s="4"/>
      <c r="M303" s="4"/>
      <c r="N303" s="4"/>
      <c r="O303" s="4"/>
      <c r="P303" s="4"/>
      <c r="Q303" s="4"/>
      <c r="R303" s="4"/>
      <c r="S303" s="4"/>
    </row>
    <row r="304">
      <c r="A304" s="4">
        <v>250</v>
      </c>
      <c r="B304" s="4" t="str">
        <v>173 TN</v>
      </c>
      <c r="C304" s="4" t="str">
        <v>DV_Cắt</v>
      </c>
      <c r="D304" s="4">
        <v>513</v>
      </c>
      <c r="E304" s="4" t="str">
        <v>[DV] ShineCombo 10 bước Ultra Care 2023</v>
      </c>
      <c r="F304" s="21">
        <v>122000</v>
      </c>
      <c r="G304" s="21">
        <v>122000</v>
      </c>
      <c r="H304" s="21">
        <v>122000</v>
      </c>
      <c r="I304" s="4">
        <f>A304&amp;D304</f>
      </c>
      <c r="J304" s="4">
        <v>122000</v>
      </c>
      <c r="K304" s="4"/>
      <c r="L304" s="4"/>
      <c r="M304" s="4"/>
      <c r="N304" s="4"/>
      <c r="O304" s="4"/>
      <c r="P304" s="4"/>
      <c r="Q304" s="4"/>
      <c r="R304" s="4"/>
      <c r="S304" s="4"/>
    </row>
    <row r="305">
      <c r="A305" s="4">
        <v>250</v>
      </c>
      <c r="B305" s="4" t="str">
        <v>173 TN</v>
      </c>
      <c r="C305" s="4" t="str">
        <v>DV_Cắt</v>
      </c>
      <c r="D305" s="4">
        <v>891</v>
      </c>
      <c r="E305" s="4" t="str">
        <v>Cắt xả tạo kiểu</v>
      </c>
      <c r="F305" s="21">
        <v>100000</v>
      </c>
      <c r="G305" s="21">
        <v>102000</v>
      </c>
      <c r="H305" s="21">
        <v>102000</v>
      </c>
      <c r="I305" s="4">
        <f>A305&amp;D305</f>
      </c>
      <c r="J305" s="4">
        <v>102000</v>
      </c>
      <c r="K305" s="4"/>
      <c r="L305" s="4"/>
      <c r="M305" s="4"/>
      <c r="N305" s="4"/>
      <c r="O305" s="4"/>
      <c r="P305" s="4"/>
      <c r="Q305" s="4"/>
      <c r="R305" s="4"/>
      <c r="S305" s="4"/>
    </row>
    <row r="306">
      <c r="A306" s="4">
        <v>250</v>
      </c>
      <c r="B306" s="4" t="str">
        <v>173 TN</v>
      </c>
      <c r="C306" s="4" t="str">
        <v>DV_Cắt</v>
      </c>
      <c r="D306" s="4">
        <v>1002</v>
      </c>
      <c r="E306" s="4" t="str">
        <v>Kid Cắt</v>
      </c>
      <c r="F306" s="21">
        <v>81000</v>
      </c>
      <c r="G306" s="21">
        <v>83000</v>
      </c>
      <c r="H306" s="21">
        <v>83000</v>
      </c>
      <c r="I306" s="4">
        <f>A306&amp;D306</f>
      </c>
      <c r="J306" s="4">
        <v>83000</v>
      </c>
      <c r="K306" s="4"/>
      <c r="L306" s="4"/>
      <c r="M306" s="4"/>
      <c r="N306" s="4"/>
      <c r="O306" s="4"/>
      <c r="P306" s="4"/>
      <c r="Q306" s="4"/>
      <c r="R306" s="4"/>
      <c r="S306" s="4"/>
    </row>
    <row r="307">
      <c r="A307" s="4">
        <v>250</v>
      </c>
      <c r="B307" s="4" t="str">
        <v>173 TN</v>
      </c>
      <c r="C307" s="4" t="str">
        <v>DV_Cắt</v>
      </c>
      <c r="D307" s="4">
        <v>1070</v>
      </c>
      <c r="E307" s="4" t="str">
        <v>Combo Cắt gội Kid</v>
      </c>
      <c r="F307" s="21">
        <v>100000</v>
      </c>
      <c r="G307" s="21">
        <v>102000</v>
      </c>
      <c r="H307" s="21">
        <v>102000</v>
      </c>
      <c r="I307" s="4">
        <f>A307&amp;D307</f>
      </c>
      <c r="J307" s="4">
        <v>102000</v>
      </c>
      <c r="K307" s="4"/>
      <c r="L307" s="4"/>
      <c r="M307" s="4"/>
      <c r="N307" s="4"/>
      <c r="O307" s="4"/>
      <c r="P307" s="4"/>
      <c r="Q307" s="4"/>
      <c r="R307" s="4"/>
      <c r="S307" s="4"/>
    </row>
    <row r="308">
      <c r="A308" s="4">
        <v>250</v>
      </c>
      <c r="B308" s="4" t="str">
        <v>173 TN</v>
      </c>
      <c r="C308" s="4" t="str">
        <v>DV_Cắt_Vip</v>
      </c>
      <c r="D308" s="4">
        <v>1046</v>
      </c>
      <c r="E308" s="4" t="str">
        <v>Shinecombo 2</v>
      </c>
      <c r="F308" s="21">
        <v>205000</v>
      </c>
      <c r="G308" s="21">
        <v>209000</v>
      </c>
      <c r="H308" s="21">
        <v>209000</v>
      </c>
      <c r="I308" s="4">
        <f>A308&amp;D308</f>
      </c>
      <c r="J308" s="4">
        <v>209000</v>
      </c>
      <c r="K308" s="4"/>
      <c r="L308" s="4"/>
      <c r="M308" s="4"/>
      <c r="N308" s="4"/>
      <c r="O308" s="4"/>
      <c r="P308" s="4"/>
      <c r="Q308" s="4"/>
      <c r="R308" s="4"/>
      <c r="S308" s="4"/>
    </row>
    <row r="309">
      <c r="A309" s="4">
        <v>250</v>
      </c>
      <c r="B309" s="4" t="str">
        <v>173 TN</v>
      </c>
      <c r="C309" s="4" t="str">
        <v>DV_Cắt_Vip</v>
      </c>
      <c r="D309" s="4">
        <v>1047</v>
      </c>
      <c r="E309" s="4" t="str">
        <v>Cắt Gội Combo 3 - Chăm da</v>
      </c>
      <c r="F309" s="21">
        <v>305000</v>
      </c>
      <c r="G309" s="21">
        <v>311000</v>
      </c>
      <c r="H309" s="21">
        <v>311000</v>
      </c>
      <c r="I309" s="4">
        <f>A309&amp;D309</f>
      </c>
      <c r="J309" s="4">
        <v>311000</v>
      </c>
      <c r="K309" s="4"/>
      <c r="L309" s="4"/>
      <c r="M309" s="4"/>
      <c r="N309" s="4"/>
      <c r="O309" s="4"/>
      <c r="P309" s="4"/>
      <c r="Q309" s="4"/>
      <c r="R309" s="4"/>
      <c r="S309" s="4"/>
    </row>
    <row r="310">
      <c r="A310" s="4">
        <v>250</v>
      </c>
      <c r="B310" s="4" t="str">
        <v>173 TN</v>
      </c>
      <c r="C310" s="4" t="str">
        <v>DV_Cắt_Vip</v>
      </c>
      <c r="D310" s="4">
        <v>1048</v>
      </c>
      <c r="E310" s="4" t="str">
        <v>Combo 4</v>
      </c>
      <c r="F310" s="21">
        <v>395000</v>
      </c>
      <c r="G310" s="21">
        <v>403000</v>
      </c>
      <c r="H310" s="21">
        <v>403000</v>
      </c>
      <c r="I310" s="4">
        <f>A310&amp;D310</f>
      </c>
      <c r="J310" s="4">
        <v>403000</v>
      </c>
      <c r="K310" s="4"/>
      <c r="L310" s="4"/>
      <c r="M310" s="4"/>
      <c r="N310" s="4"/>
      <c r="O310" s="4"/>
      <c r="P310" s="4"/>
      <c r="Q310" s="4"/>
      <c r="R310" s="4"/>
      <c r="S310" s="4"/>
    </row>
    <row r="311">
      <c r="A311" s="4">
        <v>250</v>
      </c>
      <c r="B311" s="4" t="str">
        <v>173 TN</v>
      </c>
      <c r="C311" s="4" t="str">
        <v>DV_Cắt_Vip</v>
      </c>
      <c r="D311" s="4">
        <v>1064</v>
      </c>
      <c r="E311" s="4" t="str">
        <v>Cắt Gội Combo 5 - Dưỡng sinh</v>
      </c>
      <c r="F311" s="21">
        <v>459000</v>
      </c>
      <c r="G311" s="21">
        <v>468000</v>
      </c>
      <c r="H311" s="21">
        <v>468000</v>
      </c>
      <c r="I311" s="4">
        <f>A311&amp;D311</f>
      </c>
      <c r="J311" s="4">
        <v>468000</v>
      </c>
      <c r="K311" s="4"/>
      <c r="L311" s="4"/>
      <c r="M311" s="4"/>
      <c r="N311" s="4"/>
      <c r="O311" s="4"/>
      <c r="P311" s="4"/>
      <c r="Q311" s="4"/>
      <c r="R311" s="4"/>
      <c r="S311" s="4"/>
    </row>
    <row r="312">
      <c r="A312" s="4">
        <v>250</v>
      </c>
      <c r="B312" s="4" t="str">
        <v>173 TN</v>
      </c>
      <c r="C312" s="4" t="str">
        <v>DV_Gội</v>
      </c>
      <c r="D312" s="4">
        <v>867</v>
      </c>
      <c r="E312" s="4" t="str">
        <v>Gội dưỡng sinh cổ vai gáy</v>
      </c>
      <c r="F312" s="21">
        <v>99000</v>
      </c>
      <c r="G312" s="21">
        <v>101000</v>
      </c>
      <c r="H312" s="21">
        <v>101000</v>
      </c>
      <c r="I312" s="4">
        <f>A312&amp;D312</f>
      </c>
      <c r="J312" s="4">
        <v>101000</v>
      </c>
      <c r="K312" s="4"/>
      <c r="L312" s="4"/>
      <c r="M312" s="4"/>
      <c r="N312" s="4"/>
      <c r="O312" s="4"/>
      <c r="P312" s="4"/>
      <c r="Q312" s="4"/>
      <c r="R312" s="4"/>
      <c r="S312" s="4"/>
    </row>
    <row r="313">
      <c r="A313" s="4">
        <v>250</v>
      </c>
      <c r="B313" s="4" t="str">
        <v>173 TN</v>
      </c>
      <c r="C313" s="4" t="str">
        <v>DV_Gội</v>
      </c>
      <c r="D313" s="4">
        <v>930</v>
      </c>
      <c r="E313" s="4" t="str">
        <v>[NEW] Gội dưỡng sinh cổ vai gáy và chăm sóc da</v>
      </c>
      <c r="F313" s="21">
        <v>139000</v>
      </c>
      <c r="G313" s="21">
        <v>142000</v>
      </c>
      <c r="H313" s="21">
        <v>142000</v>
      </c>
      <c r="I313" s="4">
        <f>A313&amp;D313</f>
      </c>
      <c r="J313" s="4">
        <v>142000</v>
      </c>
      <c r="K313" s="4"/>
      <c r="L313" s="4"/>
      <c r="M313" s="4"/>
      <c r="N313" s="4"/>
      <c r="O313" s="4"/>
      <c r="P313" s="4"/>
      <c r="Q313" s="4"/>
      <c r="R313" s="4"/>
      <c r="S313" s="4"/>
    </row>
    <row r="314">
      <c r="A314" s="4">
        <v>250</v>
      </c>
      <c r="B314" s="4" t="str">
        <v>173 TN</v>
      </c>
      <c r="C314" s="4" t="str">
        <v>DV_Gội</v>
      </c>
      <c r="D314" s="4">
        <v>934</v>
      </c>
      <c r="E314" s="4" t="str">
        <v>Gội combo 3 - Dưỡng sinh</v>
      </c>
      <c r="F314" s="21">
        <v>229000</v>
      </c>
      <c r="G314" s="21">
        <v>234000</v>
      </c>
      <c r="H314" s="21">
        <v>234000</v>
      </c>
      <c r="I314" s="4">
        <f>A314&amp;D314</f>
      </c>
      <c r="J314" s="4">
        <v>234000</v>
      </c>
      <c r="K314" s="4"/>
      <c r="L314" s="4"/>
      <c r="M314" s="4"/>
      <c r="N314" s="4"/>
      <c r="O314" s="4"/>
      <c r="P314" s="4"/>
      <c r="Q314" s="4"/>
      <c r="R314" s="4"/>
      <c r="S314" s="4"/>
    </row>
    <row r="315">
      <c r="A315" s="4">
        <v>250</v>
      </c>
      <c r="B315" s="4" t="str">
        <v>173 TN</v>
      </c>
      <c r="C315" s="4" t="str">
        <v>DV_Gội</v>
      </c>
      <c r="D315" s="4">
        <v>940</v>
      </c>
      <c r="E315" s="4" t="str">
        <v>[NEW] Gội dưỡng sinh</v>
      </c>
      <c r="F315" s="21">
        <v>59000</v>
      </c>
      <c r="G315" s="21">
        <v>60000</v>
      </c>
      <c r="H315" s="21">
        <v>60000</v>
      </c>
      <c r="I315" s="4">
        <f>A315&amp;D315</f>
      </c>
      <c r="J315" s="4">
        <v>60000</v>
      </c>
      <c r="K315" s="4"/>
      <c r="L315" s="4"/>
      <c r="M315" s="4"/>
      <c r="N315" s="4"/>
      <c r="O315" s="4"/>
      <c r="P315" s="4"/>
      <c r="Q315" s="4"/>
      <c r="R315" s="4"/>
      <c r="S315" s="4"/>
    </row>
    <row r="316">
      <c r="A316" s="4">
        <v>250</v>
      </c>
      <c r="B316" s="4" t="str">
        <v>173 TN</v>
      </c>
      <c r="C316" s="4" t="str">
        <v>DV_Gội</v>
      </c>
      <c r="D316" s="4">
        <v>1058</v>
      </c>
      <c r="E316" s="4" t="str">
        <v>Gội Combo 2</v>
      </c>
      <c r="F316" s="21">
        <v>159000</v>
      </c>
      <c r="G316" s="21">
        <v>162000</v>
      </c>
      <c r="H316" s="21">
        <v>162000</v>
      </c>
      <c r="I316" s="4">
        <f>A316&amp;D316</f>
      </c>
      <c r="J316" s="4">
        <v>162000</v>
      </c>
      <c r="K316" s="4"/>
      <c r="L316" s="4"/>
      <c r="M316" s="4"/>
      <c r="N316" s="4"/>
      <c r="O316" s="4"/>
      <c r="P316" s="4"/>
      <c r="Q316" s="4"/>
      <c r="R316" s="4"/>
      <c r="S316" s="4"/>
    </row>
    <row r="317">
      <c r="A317" s="4">
        <v>250</v>
      </c>
      <c r="B317" s="4" t="str">
        <v>173 TN</v>
      </c>
      <c r="C317" s="4" t="str">
        <v>DV_Gội</v>
      </c>
      <c r="D317" s="4">
        <v>1059</v>
      </c>
      <c r="E317" s="4" t="str">
        <v>Gội Combo 3 - Chăm da</v>
      </c>
      <c r="F317" s="21">
        <v>239000</v>
      </c>
      <c r="G317" s="21">
        <v>244000</v>
      </c>
      <c r="H317" s="21">
        <v>244000</v>
      </c>
      <c r="I317" s="4">
        <f>A317&amp;D317</f>
      </c>
      <c r="J317" s="4">
        <v>244000</v>
      </c>
      <c r="K317" s="4"/>
      <c r="L317" s="4"/>
      <c r="M317" s="4"/>
      <c r="N317" s="4"/>
      <c r="O317" s="4"/>
      <c r="P317" s="4"/>
      <c r="Q317" s="4"/>
      <c r="R317" s="4"/>
      <c r="S317" s="4"/>
    </row>
    <row r="318">
      <c r="A318" s="4">
        <v>250</v>
      </c>
      <c r="B318" s="4" t="str">
        <v>173 TN</v>
      </c>
      <c r="C318" s="4" t="str">
        <v>DV_Gội</v>
      </c>
      <c r="D318" s="4">
        <v>1060</v>
      </c>
      <c r="E318" s="4" t="str">
        <v>Gội Combo 4</v>
      </c>
      <c r="F318" s="21">
        <v>289000</v>
      </c>
      <c r="G318" s="21">
        <v>295000</v>
      </c>
      <c r="H318" s="21">
        <v>295000</v>
      </c>
      <c r="I318" s="4">
        <f>A318&amp;D318</f>
      </c>
      <c r="J318" s="4">
        <v>295000</v>
      </c>
      <c r="K318" s="4"/>
      <c r="L318" s="4"/>
      <c r="M318" s="4"/>
      <c r="N318" s="4"/>
      <c r="O318" s="4"/>
      <c r="P318" s="4"/>
      <c r="Q318" s="4"/>
      <c r="R318" s="4"/>
      <c r="S318" s="4"/>
    </row>
    <row r="319">
      <c r="A319" s="4">
        <v>250</v>
      </c>
      <c r="B319" s="4" t="str">
        <v>173 TN</v>
      </c>
      <c r="C319" s="4" t="str">
        <v>DV_Gội</v>
      </c>
      <c r="D319" s="4">
        <v>1066</v>
      </c>
      <c r="E319" s="4" t="str">
        <v>Gội trải nghiệm 75p</v>
      </c>
      <c r="F319" s="21">
        <v>589000</v>
      </c>
      <c r="G319" s="21">
        <v>601000</v>
      </c>
      <c r="H319" s="21">
        <v>601000</v>
      </c>
      <c r="I319" s="4">
        <f>A319&amp;D319</f>
      </c>
      <c r="J319" s="4">
        <v>601000</v>
      </c>
      <c r="K319" s="4"/>
      <c r="L319" s="4"/>
      <c r="M319" s="4"/>
      <c r="N319" s="4"/>
      <c r="O319" s="4"/>
      <c r="P319" s="4"/>
      <c r="Q319" s="4"/>
      <c r="R319" s="4"/>
      <c r="S319" s="4"/>
    </row>
    <row r="320">
      <c r="A320" s="4">
        <v>250</v>
      </c>
      <c r="B320" s="4" t="str">
        <v>173 TN</v>
      </c>
      <c r="C320" s="4" t="str">
        <v>DV_Gội</v>
      </c>
      <c r="D320" s="4">
        <v>1067</v>
      </c>
      <c r="E320" s="4" t="str">
        <v>Gội trải nghiệm 90p</v>
      </c>
      <c r="F320" s="21">
        <v>789000</v>
      </c>
      <c r="G320" s="21">
        <v>805000</v>
      </c>
      <c r="H320" s="21">
        <v>805000</v>
      </c>
      <c r="I320" s="4">
        <f>A320&amp;D320</f>
      </c>
      <c r="J320" s="4">
        <v>805000</v>
      </c>
      <c r="K320" s="4"/>
      <c r="L320" s="4"/>
      <c r="M320" s="4"/>
      <c r="N320" s="4"/>
      <c r="O320" s="4"/>
      <c r="P320" s="4"/>
      <c r="Q320" s="4"/>
      <c r="R320" s="4"/>
      <c r="S320" s="4"/>
    </row>
    <row r="321">
      <c r="A321" s="4">
        <v>250</v>
      </c>
      <c r="B321" s="4" t="str">
        <v>173 TN</v>
      </c>
      <c r="C321" s="4" t="str">
        <v>DV_Gội</v>
      </c>
      <c r="D321" s="4">
        <v>1068</v>
      </c>
      <c r="E321" s="4" t="str">
        <v>Gội trải nghiệm 115p</v>
      </c>
      <c r="F321" s="21">
        <v>999000</v>
      </c>
      <c r="G321" s="21">
        <v>1019000</v>
      </c>
      <c r="H321" s="21">
        <v>1019000</v>
      </c>
      <c r="I321" s="4">
        <f>A321&amp;D321</f>
      </c>
      <c r="J321" s="4">
        <v>1019000</v>
      </c>
      <c r="K321" s="4"/>
      <c r="L321" s="4"/>
      <c r="M321" s="4"/>
      <c r="N321" s="4"/>
      <c r="O321" s="4"/>
      <c r="P321" s="4"/>
      <c r="Q321" s="4"/>
      <c r="R321" s="4"/>
      <c r="S321" s="4"/>
    </row>
    <row r="322">
      <c r="A322" s="4">
        <v>182</v>
      </c>
      <c r="B322" s="4" t="str">
        <v>186 DTH</v>
      </c>
      <c r="C322" s="4" t="str">
        <v>DV_Cắt</v>
      </c>
      <c r="D322" s="4">
        <v>513</v>
      </c>
      <c r="E322" s="4" t="str">
        <v>[DV] ShineCombo 10 bước Ultra Care 2023</v>
      </c>
      <c r="F322" s="21">
        <v>122000</v>
      </c>
      <c r="G322" s="21">
        <v>122000</v>
      </c>
      <c r="H322" s="21">
        <v>122000</v>
      </c>
      <c r="I322" s="4">
        <f>A322&amp;D322</f>
      </c>
      <c r="J322" s="4">
        <v>122000</v>
      </c>
      <c r="K322" s="4"/>
      <c r="L322" s="4"/>
      <c r="M322" s="4"/>
      <c r="N322" s="4"/>
      <c r="O322" s="4"/>
      <c r="P322" s="4"/>
      <c r="Q322" s="4"/>
      <c r="R322" s="4"/>
      <c r="S322" s="4"/>
    </row>
    <row r="323">
      <c r="A323" s="4">
        <v>182</v>
      </c>
      <c r="B323" s="4" t="str">
        <v>186 DTH</v>
      </c>
      <c r="C323" s="4" t="str">
        <v>DV_Cắt</v>
      </c>
      <c r="D323" s="4">
        <v>891</v>
      </c>
      <c r="E323" s="4" t="str">
        <v>Cắt xả tạo kiểu</v>
      </c>
      <c r="F323" s="21">
        <v>94000</v>
      </c>
      <c r="G323" s="21">
        <v>95000</v>
      </c>
      <c r="H323" s="21">
        <v>95000</v>
      </c>
      <c r="I323" s="4">
        <f>A323&amp;D323</f>
      </c>
      <c r="J323" s="4">
        <v>95000</v>
      </c>
      <c r="K323" s="4"/>
      <c r="L323" s="4"/>
      <c r="M323" s="4"/>
      <c r="N323" s="4"/>
      <c r="O323" s="4"/>
      <c r="P323" s="4"/>
      <c r="Q323" s="4"/>
      <c r="R323" s="4"/>
      <c r="S323" s="4"/>
    </row>
    <row r="324">
      <c r="A324" s="4">
        <v>182</v>
      </c>
      <c r="B324" s="4" t="str">
        <v>186 DTH</v>
      </c>
      <c r="C324" s="4" t="str">
        <v>DV_Cắt</v>
      </c>
      <c r="D324" s="4">
        <v>1002</v>
      </c>
      <c r="E324" s="4" t="str">
        <v>Kid Cắt</v>
      </c>
      <c r="F324" s="21">
        <v>75000</v>
      </c>
      <c r="G324" s="21">
        <v>76000</v>
      </c>
      <c r="H324" s="21">
        <v>76000</v>
      </c>
      <c r="I324" s="4">
        <f>A324&amp;D324</f>
      </c>
      <c r="J324" s="4">
        <v>76000</v>
      </c>
      <c r="K324" s="4"/>
      <c r="L324" s="4"/>
      <c r="M324" s="4"/>
      <c r="N324" s="4"/>
      <c r="O324" s="4"/>
      <c r="P324" s="4"/>
      <c r="Q324" s="4"/>
      <c r="R324" s="4"/>
      <c r="S324" s="4"/>
    </row>
    <row r="325">
      <c r="A325" s="4">
        <v>182</v>
      </c>
      <c r="B325" s="4" t="str">
        <v>186 DTH</v>
      </c>
      <c r="C325" s="4" t="str">
        <v>DV_Cắt</v>
      </c>
      <c r="D325" s="4">
        <v>1070</v>
      </c>
      <c r="E325" s="4" t="str">
        <v>Combo Cắt gội Kid</v>
      </c>
      <c r="F325" s="21">
        <v>100000</v>
      </c>
      <c r="G325" s="21">
        <v>101000</v>
      </c>
      <c r="H325" s="21">
        <v>101000</v>
      </c>
      <c r="I325" s="4">
        <f>A325&amp;D325</f>
      </c>
      <c r="J325" s="4">
        <v>101000</v>
      </c>
      <c r="K325" s="4"/>
      <c r="L325" s="4"/>
      <c r="M325" s="4"/>
      <c r="N325" s="4"/>
      <c r="O325" s="4"/>
      <c r="P325" s="4"/>
      <c r="Q325" s="4"/>
      <c r="R325" s="4"/>
      <c r="S325" s="4"/>
    </row>
    <row r="326">
      <c r="A326" s="4">
        <v>182</v>
      </c>
      <c r="B326" s="4" t="str">
        <v>186 DTH</v>
      </c>
      <c r="C326" s="4" t="str">
        <v>DV_Cắt</v>
      </c>
      <c r="D326" s="4">
        <v>1242</v>
      </c>
      <c r="E326" s="4" t="str">
        <v>combo cắt gội tiện lợi</v>
      </c>
      <c r="F326" s="21">
        <v>199000</v>
      </c>
      <c r="G326" s="21">
        <v>201000</v>
      </c>
      <c r="H326" s="21">
        <v>201000</v>
      </c>
      <c r="I326" s="4">
        <f>A326&amp;D326</f>
      </c>
      <c r="J326" s="4">
        <v>201000</v>
      </c>
      <c r="K326" s="4"/>
      <c r="L326" s="4"/>
      <c r="M326" s="4"/>
      <c r="N326" s="4"/>
      <c r="O326" s="4"/>
      <c r="P326" s="4"/>
      <c r="Q326" s="4"/>
      <c r="R326" s="4"/>
      <c r="S326" s="4"/>
    </row>
    <row r="327">
      <c r="A327" s="4">
        <v>182</v>
      </c>
      <c r="B327" s="4" t="str">
        <v>186 DTH</v>
      </c>
      <c r="C327" s="4" t="str">
        <v>DV_Cắt_Vip</v>
      </c>
      <c r="D327" s="4">
        <v>1046</v>
      </c>
      <c r="E327" s="4" t="str">
        <v>Shinecombo 2</v>
      </c>
      <c r="F327" s="21">
        <v>199000</v>
      </c>
      <c r="G327" s="21">
        <v>201000</v>
      </c>
      <c r="H327" s="21">
        <v>201000</v>
      </c>
      <c r="I327" s="4">
        <f>A327&amp;D327</f>
      </c>
      <c r="J327" s="4">
        <v>201000</v>
      </c>
      <c r="K327" s="4"/>
      <c r="L327" s="4"/>
      <c r="M327" s="4"/>
      <c r="N327" s="4"/>
      <c r="O327" s="4"/>
      <c r="P327" s="4"/>
      <c r="Q327" s="4"/>
      <c r="R327" s="4"/>
      <c r="S327" s="4"/>
    </row>
    <row r="328">
      <c r="A328" s="4">
        <v>182</v>
      </c>
      <c r="B328" s="4" t="str">
        <v>186 DTH</v>
      </c>
      <c r="C328" s="4" t="str">
        <v>DV_Cắt_Vip</v>
      </c>
      <c r="D328" s="4">
        <v>1047</v>
      </c>
      <c r="E328" s="4" t="str">
        <v>Cắt Gội Combo 3 - Chăm da</v>
      </c>
      <c r="F328" s="21">
        <v>299000</v>
      </c>
      <c r="G328" s="21">
        <v>302000</v>
      </c>
      <c r="H328" s="21">
        <v>302000</v>
      </c>
      <c r="I328" s="4">
        <f>A328&amp;D328</f>
      </c>
      <c r="J328" s="4">
        <v>302000</v>
      </c>
      <c r="K328" s="4"/>
      <c r="L328" s="4"/>
      <c r="M328" s="4"/>
      <c r="N328" s="4"/>
      <c r="O328" s="4"/>
      <c r="P328" s="4"/>
      <c r="Q328" s="4"/>
      <c r="R328" s="4"/>
      <c r="S328" s="4"/>
    </row>
    <row r="329">
      <c r="A329" s="4">
        <v>182</v>
      </c>
      <c r="B329" s="4" t="str">
        <v>186 DTH</v>
      </c>
      <c r="C329" s="4" t="str">
        <v>DV_Cắt_Vip</v>
      </c>
      <c r="D329" s="4">
        <v>1048</v>
      </c>
      <c r="E329" s="4" t="str">
        <v>Combo 4</v>
      </c>
      <c r="F329" s="21">
        <v>389000</v>
      </c>
      <c r="G329" s="21">
        <v>393000</v>
      </c>
      <c r="H329" s="21">
        <v>393000</v>
      </c>
      <c r="I329" s="4">
        <f>A329&amp;D329</f>
      </c>
      <c r="J329" s="4">
        <v>393000</v>
      </c>
      <c r="K329" s="4"/>
      <c r="L329" s="4"/>
      <c r="M329" s="4"/>
      <c r="N329" s="4"/>
      <c r="O329" s="4"/>
      <c r="P329" s="4"/>
      <c r="Q329" s="4"/>
      <c r="R329" s="4"/>
      <c r="S329" s="4"/>
    </row>
    <row r="330">
      <c r="A330" s="4">
        <v>182</v>
      </c>
      <c r="B330" s="4" t="str">
        <v>186 DTH</v>
      </c>
      <c r="C330" s="4" t="str">
        <v>DV_Cắt_Vip</v>
      </c>
      <c r="D330" s="4">
        <v>1064</v>
      </c>
      <c r="E330" s="4" t="str">
        <v>Cắt Gội Combo 5 - Dưỡng sinh</v>
      </c>
      <c r="F330" s="21">
        <v>459000</v>
      </c>
      <c r="G330" s="21">
        <v>464000</v>
      </c>
      <c r="H330" s="21">
        <v>464000</v>
      </c>
      <c r="I330" s="4">
        <f>A330&amp;D330</f>
      </c>
      <c r="J330" s="4">
        <v>464000</v>
      </c>
      <c r="K330" s="4"/>
      <c r="L330" s="4"/>
      <c r="M330" s="4"/>
      <c r="N330" s="4"/>
      <c r="O330" s="4"/>
      <c r="P330" s="4"/>
      <c r="Q330" s="4"/>
      <c r="R330" s="4"/>
      <c r="S330" s="4"/>
    </row>
    <row r="331">
      <c r="A331" s="4">
        <v>182</v>
      </c>
      <c r="B331" s="4" t="str">
        <v>186 DTH</v>
      </c>
      <c r="C331" s="4" t="str">
        <v>DV_Cắt_Vip</v>
      </c>
      <c r="D331" s="4">
        <v>1065</v>
      </c>
      <c r="E331" s="4" t="str">
        <v>Cắt Gội Combo 3 - Dưỡng sinh</v>
      </c>
      <c r="F331" s="21">
        <v>299000</v>
      </c>
      <c r="G331" s="21">
        <v>302000</v>
      </c>
      <c r="H331" s="21">
        <v>302000</v>
      </c>
      <c r="I331" s="4">
        <f>A331&amp;D331</f>
      </c>
      <c r="J331" s="4">
        <v>302000</v>
      </c>
      <c r="K331" s="4"/>
      <c r="L331" s="4"/>
      <c r="M331" s="4"/>
      <c r="N331" s="4"/>
      <c r="O331" s="4"/>
      <c r="P331" s="4"/>
      <c r="Q331" s="4"/>
      <c r="R331" s="4"/>
      <c r="S331" s="4"/>
    </row>
    <row r="332">
      <c r="A332" s="4">
        <v>182</v>
      </c>
      <c r="B332" s="4" t="str">
        <v>186 DTH</v>
      </c>
      <c r="C332" s="4" t="str">
        <v>DV_Gội</v>
      </c>
      <c r="D332" s="4">
        <v>867</v>
      </c>
      <c r="E332" s="4" t="str">
        <v>Gội dưỡng sinh cổ vai gáy</v>
      </c>
      <c r="F332" s="21">
        <v>99000</v>
      </c>
      <c r="G332" s="21">
        <v>100000</v>
      </c>
      <c r="H332" s="21">
        <v>100000</v>
      </c>
      <c r="I332" s="4">
        <f>A332&amp;D332</f>
      </c>
      <c r="J332" s="4">
        <v>100000</v>
      </c>
      <c r="K332" s="4"/>
      <c r="L332" s="4"/>
      <c r="M332" s="4"/>
      <c r="N332" s="4"/>
      <c r="O332" s="4"/>
      <c r="P332" s="4"/>
      <c r="Q332" s="4"/>
      <c r="R332" s="4"/>
      <c r="S332" s="4"/>
    </row>
    <row r="333">
      <c r="A333" s="4">
        <v>182</v>
      </c>
      <c r="B333" s="4" t="str">
        <v>186 DTH</v>
      </c>
      <c r="C333" s="4" t="str">
        <v>DV_Gội</v>
      </c>
      <c r="D333" s="4">
        <v>930</v>
      </c>
      <c r="E333" s="4" t="str">
        <v>[NEW] Gội dưỡng sinh cổ vai gáy và chăm sóc da</v>
      </c>
      <c r="F333" s="21">
        <v>139000</v>
      </c>
      <c r="G333" s="21">
        <v>140000</v>
      </c>
      <c r="H333" s="21">
        <v>140000</v>
      </c>
      <c r="I333" s="4">
        <f>A333&amp;D333</f>
      </c>
      <c r="J333" s="4">
        <v>140000</v>
      </c>
      <c r="K333" s="4"/>
      <c r="L333" s="4"/>
      <c r="M333" s="4"/>
      <c r="N333" s="4"/>
      <c r="O333" s="4"/>
      <c r="P333" s="4"/>
      <c r="Q333" s="4"/>
      <c r="R333" s="4"/>
      <c r="S333" s="4"/>
    </row>
    <row r="334">
      <c r="A334" s="4">
        <v>182</v>
      </c>
      <c r="B334" s="4" t="str">
        <v>186 DTH</v>
      </c>
      <c r="C334" s="4" t="str">
        <v>DV_Gội</v>
      </c>
      <c r="D334" s="4">
        <v>934</v>
      </c>
      <c r="E334" s="4" t="str">
        <v>Gội combo 3 - Dưỡng sinh</v>
      </c>
      <c r="F334" s="21">
        <v>229000</v>
      </c>
      <c r="G334" s="21">
        <v>231000</v>
      </c>
      <c r="H334" s="21">
        <v>231000</v>
      </c>
      <c r="I334" s="4">
        <f>A334&amp;D334</f>
      </c>
      <c r="J334" s="4">
        <v>231000</v>
      </c>
      <c r="K334" s="4"/>
      <c r="L334" s="4"/>
      <c r="M334" s="4"/>
      <c r="N334" s="4"/>
      <c r="O334" s="4"/>
      <c r="P334" s="4"/>
      <c r="Q334" s="4"/>
      <c r="R334" s="4"/>
      <c r="S334" s="4"/>
    </row>
    <row r="335">
      <c r="A335" s="4">
        <v>182</v>
      </c>
      <c r="B335" s="4" t="str">
        <v>186 DTH</v>
      </c>
      <c r="C335" s="4" t="str">
        <v>DV_Gội</v>
      </c>
      <c r="D335" s="4">
        <v>940</v>
      </c>
      <c r="E335" s="4" t="str">
        <v>[NEW] Gội dưỡng sinh</v>
      </c>
      <c r="F335" s="21">
        <v>59000</v>
      </c>
      <c r="G335" s="21">
        <v>60000</v>
      </c>
      <c r="H335" s="21">
        <v>60000</v>
      </c>
      <c r="I335" s="4">
        <f>A335&amp;D335</f>
      </c>
      <c r="J335" s="4">
        <v>60000</v>
      </c>
      <c r="K335" s="4"/>
      <c r="L335" s="4"/>
      <c r="M335" s="4"/>
      <c r="N335" s="4"/>
      <c r="O335" s="4"/>
      <c r="P335" s="4"/>
      <c r="Q335" s="4"/>
      <c r="R335" s="4"/>
      <c r="S335" s="4"/>
    </row>
    <row r="336">
      <c r="A336" s="4">
        <v>182</v>
      </c>
      <c r="B336" s="4" t="str">
        <v>186 DTH</v>
      </c>
      <c r="C336" s="4" t="str">
        <v>DV_Gội</v>
      </c>
      <c r="D336" s="4">
        <v>1058</v>
      </c>
      <c r="E336" s="4" t="str">
        <v>Gội Combo 2</v>
      </c>
      <c r="F336" s="21">
        <v>159000</v>
      </c>
      <c r="G336" s="21">
        <v>161000</v>
      </c>
      <c r="H336" s="21">
        <v>161000</v>
      </c>
      <c r="I336" s="4">
        <f>A336&amp;D336</f>
      </c>
      <c r="J336" s="4">
        <v>161000</v>
      </c>
      <c r="K336" s="4"/>
      <c r="L336" s="4"/>
      <c r="M336" s="4"/>
      <c r="N336" s="4"/>
      <c r="O336" s="4"/>
      <c r="P336" s="4"/>
      <c r="Q336" s="4"/>
      <c r="R336" s="4"/>
      <c r="S336" s="4"/>
    </row>
    <row r="337">
      <c r="A337" s="4">
        <v>182</v>
      </c>
      <c r="B337" s="4" t="str">
        <v>186 DTH</v>
      </c>
      <c r="C337" s="4" t="str">
        <v>DV_Gội</v>
      </c>
      <c r="D337" s="4">
        <v>1059</v>
      </c>
      <c r="E337" s="4" t="str">
        <v>Gội Combo 3 - Chăm da</v>
      </c>
      <c r="F337" s="21">
        <v>239000</v>
      </c>
      <c r="G337" s="21">
        <v>242000</v>
      </c>
      <c r="H337" s="21">
        <v>242000</v>
      </c>
      <c r="I337" s="4">
        <f>A337&amp;D337</f>
      </c>
      <c r="J337" s="4">
        <v>242000</v>
      </c>
      <c r="K337" s="4"/>
      <c r="L337" s="4"/>
      <c r="M337" s="4"/>
      <c r="N337" s="4"/>
      <c r="O337" s="4"/>
      <c r="P337" s="4"/>
      <c r="Q337" s="4"/>
      <c r="R337" s="4"/>
      <c r="S337" s="4"/>
    </row>
    <row r="338">
      <c r="A338" s="4">
        <v>182</v>
      </c>
      <c r="B338" s="4" t="str">
        <v>186 DTH</v>
      </c>
      <c r="C338" s="4" t="str">
        <v>DV_Gội</v>
      </c>
      <c r="D338" s="4">
        <v>1060</v>
      </c>
      <c r="E338" s="4" t="str">
        <v>Gội Combo 4</v>
      </c>
      <c r="F338" s="21">
        <v>289000</v>
      </c>
      <c r="G338" s="21">
        <v>292000</v>
      </c>
      <c r="H338" s="21">
        <v>292000</v>
      </c>
      <c r="I338" s="4">
        <f>A338&amp;D338</f>
      </c>
      <c r="J338" s="4">
        <v>292000</v>
      </c>
      <c r="K338" s="4"/>
      <c r="L338" s="4"/>
      <c r="M338" s="4"/>
      <c r="N338" s="4"/>
      <c r="O338" s="4"/>
      <c r="P338" s="4"/>
      <c r="Q338" s="4"/>
      <c r="R338" s="4"/>
      <c r="S338" s="4"/>
    </row>
    <row r="339">
      <c r="A339" s="4">
        <v>182</v>
      </c>
      <c r="B339" s="4" t="str">
        <v>186 DTH</v>
      </c>
      <c r="C339" s="4" t="str">
        <v>DV_Gội</v>
      </c>
      <c r="D339" s="4">
        <v>1066</v>
      </c>
      <c r="E339" s="4" t="str">
        <v>Gội trải nghiệm 75p</v>
      </c>
      <c r="F339" s="21">
        <v>589000</v>
      </c>
      <c r="G339" s="21">
        <v>595000</v>
      </c>
      <c r="H339" s="21">
        <v>595000</v>
      </c>
      <c r="I339" s="4">
        <f>A339&amp;D339</f>
      </c>
      <c r="J339" s="4">
        <v>595000</v>
      </c>
      <c r="K339" s="4"/>
      <c r="L339" s="4"/>
      <c r="M339" s="4"/>
      <c r="N339" s="4"/>
      <c r="O339" s="4"/>
      <c r="P339" s="4"/>
      <c r="Q339" s="4"/>
      <c r="R339" s="4"/>
      <c r="S339" s="4"/>
    </row>
    <row r="340">
      <c r="A340" s="4">
        <v>182</v>
      </c>
      <c r="B340" s="4" t="str">
        <v>186 DTH</v>
      </c>
      <c r="C340" s="4" t="str">
        <v>DV_Gội</v>
      </c>
      <c r="D340" s="4">
        <v>1067</v>
      </c>
      <c r="E340" s="4" t="str">
        <v>Gội trải nghiệm 90p</v>
      </c>
      <c r="F340" s="21">
        <v>789000</v>
      </c>
      <c r="G340" s="21">
        <v>797000</v>
      </c>
      <c r="H340" s="21">
        <v>797000</v>
      </c>
      <c r="I340" s="4">
        <f>A340&amp;D340</f>
      </c>
      <c r="J340" s="4">
        <v>797000</v>
      </c>
      <c r="K340" s="4"/>
      <c r="L340" s="4"/>
      <c r="M340" s="4"/>
      <c r="N340" s="4"/>
      <c r="O340" s="4"/>
      <c r="P340" s="4"/>
      <c r="Q340" s="4"/>
      <c r="R340" s="4"/>
      <c r="S340" s="4"/>
    </row>
    <row r="341">
      <c r="A341" s="4">
        <v>182</v>
      </c>
      <c r="B341" s="4" t="str">
        <v>186 DTH</v>
      </c>
      <c r="C341" s="4" t="str">
        <v>DV_Gội</v>
      </c>
      <c r="D341" s="4">
        <v>1068</v>
      </c>
      <c r="E341" s="4" t="str">
        <v>Gội trải nghiệm 115p</v>
      </c>
      <c r="F341" s="21">
        <v>999000</v>
      </c>
      <c r="G341" s="21">
        <v>1010000</v>
      </c>
      <c r="H341" s="21">
        <v>1010000</v>
      </c>
      <c r="I341" s="4">
        <f>A341&amp;D341</f>
      </c>
      <c r="J341" s="4">
        <v>1010000</v>
      </c>
      <c r="K341" s="4"/>
      <c r="L341" s="4"/>
      <c r="M341" s="4"/>
      <c r="N341" s="4"/>
      <c r="O341" s="4"/>
      <c r="P341" s="4"/>
      <c r="Q341" s="4"/>
      <c r="R341" s="4"/>
      <c r="S341" s="4"/>
    </row>
    <row r="342">
      <c r="A342" s="4">
        <v>239</v>
      </c>
      <c r="B342" s="4" t="str">
        <v>186 QT</v>
      </c>
      <c r="C342" s="4" t="str">
        <v>DV_Cắt</v>
      </c>
      <c r="D342" s="4">
        <v>513</v>
      </c>
      <c r="E342" s="4" t="str">
        <v>[DV] ShineCombo 10 bước Ultra Care 2023</v>
      </c>
      <c r="F342" s="21">
        <v>122000</v>
      </c>
      <c r="G342" s="21">
        <v>122000</v>
      </c>
      <c r="H342" s="21">
        <v>122000</v>
      </c>
      <c r="I342" s="4">
        <f>A342&amp;D342</f>
      </c>
      <c r="J342" s="4">
        <v>122000</v>
      </c>
      <c r="K342" s="4"/>
      <c r="L342" s="4"/>
      <c r="M342" s="4"/>
      <c r="N342" s="4"/>
      <c r="O342" s="4"/>
      <c r="P342" s="4"/>
      <c r="Q342" s="4"/>
      <c r="R342" s="4"/>
      <c r="S342" s="4"/>
    </row>
    <row r="343">
      <c r="A343" s="4">
        <v>239</v>
      </c>
      <c r="B343" s="4" t="str">
        <v>186 QT</v>
      </c>
      <c r="C343" s="4" t="str">
        <v>DV_Cắt</v>
      </c>
      <c r="D343" s="4">
        <v>891</v>
      </c>
      <c r="E343" s="4" t="str">
        <v>Cắt xả tạo kiểu</v>
      </c>
      <c r="F343" s="21">
        <v>103000</v>
      </c>
      <c r="G343" s="21">
        <v>105000</v>
      </c>
      <c r="H343" s="21">
        <v>105000</v>
      </c>
      <c r="I343" s="4">
        <f>A343&amp;D343</f>
      </c>
      <c r="J343" s="4">
        <v>105000</v>
      </c>
      <c r="K343" s="4"/>
      <c r="L343" s="4"/>
      <c r="M343" s="4"/>
      <c r="N343" s="4"/>
      <c r="O343" s="4"/>
      <c r="P343" s="4"/>
      <c r="Q343" s="4"/>
      <c r="R343" s="4"/>
      <c r="S343" s="4"/>
    </row>
    <row r="344">
      <c r="A344" s="4">
        <v>239</v>
      </c>
      <c r="B344" s="4" t="str">
        <v>186 QT</v>
      </c>
      <c r="C344" s="4" t="str">
        <v>DV_Cắt</v>
      </c>
      <c r="D344" s="4">
        <v>1002</v>
      </c>
      <c r="E344" s="4" t="str">
        <v>Kid Cắt</v>
      </c>
      <c r="F344" s="21">
        <v>84000</v>
      </c>
      <c r="G344" s="21">
        <v>86000</v>
      </c>
      <c r="H344" s="21">
        <v>86000</v>
      </c>
      <c r="I344" s="4">
        <f>A344&amp;D344</f>
      </c>
      <c r="J344" s="4">
        <v>86000</v>
      </c>
      <c r="K344" s="4"/>
      <c r="L344" s="4"/>
      <c r="M344" s="4"/>
      <c r="N344" s="4"/>
      <c r="O344" s="4"/>
      <c r="P344" s="4"/>
      <c r="Q344" s="4"/>
      <c r="R344" s="4"/>
      <c r="S344" s="4"/>
    </row>
    <row r="345">
      <c r="A345" s="4">
        <v>239</v>
      </c>
      <c r="B345" s="4" t="str">
        <v>186 QT</v>
      </c>
      <c r="C345" s="4" t="str">
        <v>DV_Cắt</v>
      </c>
      <c r="D345" s="4">
        <v>1070</v>
      </c>
      <c r="E345" s="4" t="str">
        <v>Combo Cắt gội Kid</v>
      </c>
      <c r="F345" s="21">
        <v>100000</v>
      </c>
      <c r="G345" s="21">
        <v>102000</v>
      </c>
      <c r="H345" s="21">
        <v>102000</v>
      </c>
      <c r="I345" s="4">
        <f>A345&amp;D345</f>
      </c>
      <c r="J345" s="4">
        <v>102000</v>
      </c>
      <c r="K345" s="4"/>
      <c r="L345" s="4"/>
      <c r="M345" s="4"/>
      <c r="N345" s="4"/>
      <c r="O345" s="4"/>
      <c r="P345" s="4"/>
      <c r="Q345" s="4"/>
      <c r="R345" s="4"/>
      <c r="S345" s="4"/>
    </row>
    <row r="346">
      <c r="A346" s="4">
        <v>239</v>
      </c>
      <c r="B346" s="4" t="str">
        <v>186 QT</v>
      </c>
      <c r="C346" s="4" t="str">
        <v>DV_Cắt_Vip</v>
      </c>
      <c r="D346" s="4">
        <v>1046</v>
      </c>
      <c r="E346" s="4" t="str">
        <v>Shinecombo 2</v>
      </c>
      <c r="F346" s="21">
        <v>208000</v>
      </c>
      <c r="G346" s="21">
        <v>212000</v>
      </c>
      <c r="H346" s="21">
        <v>212000</v>
      </c>
      <c r="I346" s="4">
        <f>A346&amp;D346</f>
      </c>
      <c r="J346" s="4">
        <v>212000</v>
      </c>
      <c r="K346" s="4"/>
      <c r="L346" s="4"/>
      <c r="M346" s="4"/>
      <c r="N346" s="4"/>
      <c r="O346" s="4"/>
      <c r="P346" s="4"/>
      <c r="Q346" s="4"/>
      <c r="R346" s="4"/>
      <c r="S346" s="4"/>
    </row>
    <row r="347">
      <c r="A347" s="4">
        <v>239</v>
      </c>
      <c r="B347" s="4" t="str">
        <v>186 QT</v>
      </c>
      <c r="C347" s="4" t="str">
        <v>DV_Cắt_Vip</v>
      </c>
      <c r="D347" s="4">
        <v>1047</v>
      </c>
      <c r="E347" s="4" t="str">
        <v>Cắt Gội Combo 3 - Chăm da</v>
      </c>
      <c r="F347" s="21">
        <v>308000</v>
      </c>
      <c r="G347" s="21">
        <v>314000</v>
      </c>
      <c r="H347" s="21">
        <v>314000</v>
      </c>
      <c r="I347" s="4">
        <f>A347&amp;D347</f>
      </c>
      <c r="J347" s="4">
        <v>314000</v>
      </c>
      <c r="K347" s="4"/>
      <c r="L347" s="4"/>
      <c r="M347" s="4"/>
      <c r="N347" s="4"/>
      <c r="O347" s="4"/>
      <c r="P347" s="4"/>
      <c r="Q347" s="4"/>
      <c r="R347" s="4"/>
      <c r="S347" s="4"/>
    </row>
    <row r="348">
      <c r="A348" s="4">
        <v>239</v>
      </c>
      <c r="B348" s="4" t="str">
        <v>186 QT</v>
      </c>
      <c r="C348" s="4" t="str">
        <v>DV_Cắt_Vip</v>
      </c>
      <c r="D348" s="4">
        <v>1048</v>
      </c>
      <c r="E348" s="4" t="str">
        <v>Combo 4</v>
      </c>
      <c r="F348" s="21">
        <v>398000</v>
      </c>
      <c r="G348" s="21">
        <v>406000</v>
      </c>
      <c r="H348" s="21">
        <v>406000</v>
      </c>
      <c r="I348" s="4">
        <f>A348&amp;D348</f>
      </c>
      <c r="J348" s="4">
        <v>406000</v>
      </c>
      <c r="K348" s="4"/>
      <c r="L348" s="4"/>
      <c r="M348" s="4"/>
      <c r="N348" s="4"/>
      <c r="O348" s="4"/>
      <c r="P348" s="4"/>
      <c r="Q348" s="4"/>
      <c r="R348" s="4"/>
      <c r="S348" s="4"/>
    </row>
    <row r="349">
      <c r="A349" s="4">
        <v>239</v>
      </c>
      <c r="B349" s="4" t="str">
        <v>186 QT</v>
      </c>
      <c r="C349" s="4" t="str">
        <v>DV_Cắt_Vip</v>
      </c>
      <c r="D349" s="4">
        <v>1064</v>
      </c>
      <c r="E349" s="4" t="str">
        <v>Cắt Gội Combo 5 - Dưỡng sinh</v>
      </c>
      <c r="F349" s="21">
        <v>459000</v>
      </c>
      <c r="G349" s="21">
        <v>468000</v>
      </c>
      <c r="H349" s="21">
        <v>468000</v>
      </c>
      <c r="I349" s="4">
        <f>A349&amp;D349</f>
      </c>
      <c r="J349" s="4">
        <v>468000</v>
      </c>
      <c r="K349" s="4"/>
      <c r="L349" s="4"/>
      <c r="M349" s="4"/>
      <c r="N349" s="4"/>
      <c r="O349" s="4"/>
      <c r="P349" s="4"/>
      <c r="Q349" s="4"/>
      <c r="R349" s="4"/>
      <c r="S349" s="4"/>
    </row>
    <row r="350">
      <c r="A350" s="4">
        <v>239</v>
      </c>
      <c r="B350" s="4" t="str">
        <v>186 QT</v>
      </c>
      <c r="C350" s="4" t="str">
        <v>DV_Gội</v>
      </c>
      <c r="D350" s="4">
        <v>867</v>
      </c>
      <c r="E350" s="4" t="str">
        <v>Gội dưỡng sinh cổ vai gáy</v>
      </c>
      <c r="F350" s="21">
        <v>99000</v>
      </c>
      <c r="G350" s="21">
        <v>101000</v>
      </c>
      <c r="H350" s="21">
        <v>101000</v>
      </c>
      <c r="I350" s="4">
        <f>A350&amp;D350</f>
      </c>
      <c r="J350" s="4">
        <v>101000</v>
      </c>
      <c r="K350" s="4"/>
      <c r="L350" s="4"/>
      <c r="M350" s="4"/>
      <c r="N350" s="4"/>
      <c r="O350" s="4"/>
      <c r="P350" s="4"/>
      <c r="Q350" s="4"/>
      <c r="R350" s="4"/>
      <c r="S350" s="4"/>
    </row>
    <row r="351">
      <c r="A351" s="4">
        <v>239</v>
      </c>
      <c r="B351" s="4" t="str">
        <v>186 QT</v>
      </c>
      <c r="C351" s="4" t="str">
        <v>DV_Gội</v>
      </c>
      <c r="D351" s="4">
        <v>930</v>
      </c>
      <c r="E351" s="4" t="str">
        <v>[NEW] Gội dưỡng sinh cổ vai gáy và chăm sóc da</v>
      </c>
      <c r="F351" s="21">
        <v>139000</v>
      </c>
      <c r="G351" s="21">
        <v>142000</v>
      </c>
      <c r="H351" s="21">
        <v>142000</v>
      </c>
      <c r="I351" s="4">
        <f>A351&amp;D351</f>
      </c>
      <c r="J351" s="4">
        <v>142000</v>
      </c>
      <c r="K351" s="4"/>
      <c r="L351" s="4"/>
      <c r="M351" s="4"/>
      <c r="N351" s="4"/>
      <c r="O351" s="4"/>
      <c r="P351" s="4"/>
      <c r="Q351" s="4"/>
      <c r="R351" s="4"/>
      <c r="S351" s="4"/>
    </row>
    <row r="352">
      <c r="A352" s="4">
        <v>239</v>
      </c>
      <c r="B352" s="4" t="str">
        <v>186 QT</v>
      </c>
      <c r="C352" s="4" t="str">
        <v>DV_Gội</v>
      </c>
      <c r="D352" s="4">
        <v>934</v>
      </c>
      <c r="E352" s="4" t="str">
        <v>Gội combo 3 - Dưỡng sinh</v>
      </c>
      <c r="F352" s="21">
        <v>229000</v>
      </c>
      <c r="G352" s="21">
        <v>233000</v>
      </c>
      <c r="H352" s="21">
        <v>233000</v>
      </c>
      <c r="I352" s="4">
        <f>A352&amp;D352</f>
      </c>
      <c r="J352" s="4">
        <v>233000</v>
      </c>
      <c r="K352" s="4"/>
      <c r="L352" s="4"/>
      <c r="M352" s="4"/>
      <c r="N352" s="4"/>
      <c r="O352" s="4"/>
      <c r="P352" s="4"/>
      <c r="Q352" s="4"/>
      <c r="R352" s="4"/>
      <c r="S352" s="4"/>
    </row>
    <row r="353">
      <c r="A353" s="4">
        <v>239</v>
      </c>
      <c r="B353" s="4" t="str">
        <v>186 QT</v>
      </c>
      <c r="C353" s="4" t="str">
        <v>DV_Gội</v>
      </c>
      <c r="D353" s="4">
        <v>940</v>
      </c>
      <c r="E353" s="4" t="str">
        <v>[NEW] Gội dưỡng sinh</v>
      </c>
      <c r="F353" s="21">
        <v>59000</v>
      </c>
      <c r="G353" s="21">
        <v>60000</v>
      </c>
      <c r="H353" s="21">
        <v>60000</v>
      </c>
      <c r="I353" s="4">
        <f>A353&amp;D353</f>
      </c>
      <c r="J353" s="4">
        <v>60000</v>
      </c>
      <c r="K353" s="4"/>
      <c r="L353" s="4"/>
      <c r="M353" s="4"/>
      <c r="N353" s="4"/>
      <c r="O353" s="4"/>
      <c r="P353" s="4"/>
      <c r="Q353" s="4"/>
      <c r="R353" s="4"/>
      <c r="S353" s="4"/>
    </row>
    <row r="354">
      <c r="A354" s="4">
        <v>239</v>
      </c>
      <c r="B354" s="4" t="str">
        <v>186 QT</v>
      </c>
      <c r="C354" s="4" t="str">
        <v>DV_Gội</v>
      </c>
      <c r="D354" s="4">
        <v>1058</v>
      </c>
      <c r="E354" s="4" t="str">
        <v>Gội Combo 2</v>
      </c>
      <c r="F354" s="21">
        <v>159000</v>
      </c>
      <c r="G354" s="21">
        <v>162000</v>
      </c>
      <c r="H354" s="21">
        <v>162000</v>
      </c>
      <c r="I354" s="4">
        <f>A354&amp;D354</f>
      </c>
      <c r="J354" s="4">
        <v>162000</v>
      </c>
      <c r="K354" s="4"/>
      <c r="L354" s="4"/>
      <c r="M354" s="4"/>
      <c r="N354" s="4"/>
      <c r="O354" s="4"/>
      <c r="P354" s="4"/>
      <c r="Q354" s="4"/>
      <c r="R354" s="4"/>
      <c r="S354" s="4"/>
    </row>
    <row r="355">
      <c r="A355" s="4">
        <v>239</v>
      </c>
      <c r="B355" s="4" t="str">
        <v>186 QT</v>
      </c>
      <c r="C355" s="4" t="str">
        <v>DV_Gội</v>
      </c>
      <c r="D355" s="4">
        <v>1059</v>
      </c>
      <c r="E355" s="4" t="str">
        <v>Gội Combo 3 - Chăm da</v>
      </c>
      <c r="F355" s="21">
        <v>239000</v>
      </c>
      <c r="G355" s="21">
        <v>244000</v>
      </c>
      <c r="H355" s="21">
        <v>244000</v>
      </c>
      <c r="I355" s="4">
        <f>A355&amp;D355</f>
      </c>
      <c r="J355" s="4">
        <v>244000</v>
      </c>
      <c r="K355" s="4"/>
      <c r="L355" s="4"/>
      <c r="M355" s="4"/>
      <c r="N355" s="4"/>
      <c r="O355" s="4"/>
      <c r="P355" s="4"/>
      <c r="Q355" s="4"/>
      <c r="R355" s="4"/>
      <c r="S355" s="4"/>
    </row>
    <row r="356">
      <c r="A356" s="4">
        <v>239</v>
      </c>
      <c r="B356" s="4" t="str">
        <v>186 QT</v>
      </c>
      <c r="C356" s="4" t="str">
        <v>DV_Gội</v>
      </c>
      <c r="D356" s="4">
        <v>1060</v>
      </c>
      <c r="E356" s="4" t="str">
        <v>Gội Combo 4</v>
      </c>
      <c r="F356" s="21">
        <v>289000</v>
      </c>
      <c r="G356" s="21">
        <v>295000</v>
      </c>
      <c r="H356" s="21">
        <v>295000</v>
      </c>
      <c r="I356" s="4">
        <f>A356&amp;D356</f>
      </c>
      <c r="J356" s="4">
        <v>295000</v>
      </c>
      <c r="K356" s="4"/>
      <c r="L356" s="4"/>
      <c r="M356" s="4"/>
      <c r="N356" s="4"/>
      <c r="O356" s="4"/>
      <c r="P356" s="4"/>
      <c r="Q356" s="4"/>
      <c r="R356" s="4"/>
      <c r="S356" s="4"/>
    </row>
    <row r="357">
      <c r="A357" s="4">
        <v>239</v>
      </c>
      <c r="B357" s="4" t="str">
        <v>186 QT</v>
      </c>
      <c r="C357" s="4" t="str">
        <v>DV_Gội</v>
      </c>
      <c r="D357" s="4">
        <v>1066</v>
      </c>
      <c r="E357" s="4" t="str">
        <v>Gội trải nghiệm 75p</v>
      </c>
      <c r="F357" s="21">
        <v>589000</v>
      </c>
      <c r="G357" s="21">
        <v>600000</v>
      </c>
      <c r="H357" s="21">
        <v>600000</v>
      </c>
      <c r="I357" s="4">
        <f>A357&amp;D357</f>
      </c>
      <c r="J357" s="4">
        <v>600000</v>
      </c>
      <c r="K357" s="4"/>
      <c r="L357" s="4"/>
      <c r="M357" s="4"/>
      <c r="N357" s="4"/>
      <c r="O357" s="4"/>
      <c r="P357" s="4"/>
      <c r="Q357" s="4"/>
      <c r="R357" s="4"/>
      <c r="S357" s="4"/>
    </row>
    <row r="358">
      <c r="A358" s="4">
        <v>239</v>
      </c>
      <c r="B358" s="4" t="str">
        <v>186 QT</v>
      </c>
      <c r="C358" s="4" t="str">
        <v>DV_Gội</v>
      </c>
      <c r="D358" s="4">
        <v>1067</v>
      </c>
      <c r="E358" s="4" t="str">
        <v>Gội trải nghiệm 90p</v>
      </c>
      <c r="F358" s="21">
        <v>789000</v>
      </c>
      <c r="G358" s="21">
        <v>804000</v>
      </c>
      <c r="H358" s="21">
        <v>804000</v>
      </c>
      <c r="I358" s="4">
        <f>A358&amp;D358</f>
      </c>
      <c r="J358" s="4">
        <v>804000</v>
      </c>
      <c r="K358" s="4"/>
      <c r="L358" s="4"/>
      <c r="M358" s="4"/>
      <c r="N358" s="4"/>
      <c r="O358" s="4"/>
      <c r="P358" s="4"/>
      <c r="Q358" s="4"/>
      <c r="R358" s="4"/>
      <c r="S358" s="4"/>
    </row>
    <row r="359">
      <c r="A359" s="4">
        <v>239</v>
      </c>
      <c r="B359" s="4" t="str">
        <v>186 QT</v>
      </c>
      <c r="C359" s="4" t="str">
        <v>DV_Gội</v>
      </c>
      <c r="D359" s="4">
        <v>1068</v>
      </c>
      <c r="E359" s="4" t="str">
        <v>Gội trải nghiệm 115p</v>
      </c>
      <c r="F359" s="21">
        <v>999000</v>
      </c>
      <c r="G359" s="21">
        <v>1018000</v>
      </c>
      <c r="H359" s="21">
        <v>1018000</v>
      </c>
      <c r="I359" s="4">
        <f>A359&amp;D359</f>
      </c>
      <c r="J359" s="4">
        <v>1018000</v>
      </c>
      <c r="K359" s="4"/>
      <c r="L359" s="4"/>
      <c r="M359" s="4"/>
      <c r="N359" s="4"/>
      <c r="O359" s="4"/>
      <c r="P359" s="4"/>
      <c r="Q359" s="4"/>
      <c r="R359" s="4"/>
      <c r="S359" s="4"/>
    </row>
    <row r="360">
      <c r="A360" s="4">
        <v>239</v>
      </c>
      <c r="B360" s="4" t="str">
        <v>186 QT</v>
      </c>
      <c r="C360" s="4" t="str">
        <v>DV_Gội</v>
      </c>
      <c r="D360" s="4">
        <v>1069</v>
      </c>
      <c r="E360" s="4" t="str">
        <v>Gội trải nghiệm 140p</v>
      </c>
      <c r="F360" s="21">
        <v>1199000</v>
      </c>
      <c r="G360" s="21">
        <v>1222000</v>
      </c>
      <c r="H360" s="21">
        <v>1222000</v>
      </c>
      <c r="I360" s="4">
        <f>A360&amp;D360</f>
      </c>
      <c r="J360" s="4">
        <v>1222000</v>
      </c>
      <c r="K360" s="4"/>
      <c r="L360" s="4"/>
      <c r="M360" s="4"/>
      <c r="N360" s="4"/>
      <c r="O360" s="4"/>
      <c r="P360" s="4"/>
      <c r="Q360" s="4"/>
      <c r="R360" s="4"/>
      <c r="S360" s="4"/>
    </row>
    <row r="361">
      <c r="A361" s="4">
        <v>188</v>
      </c>
      <c r="B361" s="4" t="str">
        <v>190 HB</v>
      </c>
      <c r="C361" s="4" t="str">
        <v>DV_Cắt</v>
      </c>
      <c r="D361" s="4">
        <v>513</v>
      </c>
      <c r="E361" s="4" t="str">
        <v>[DV] ShineCombo 10 bước Ultra Care 2023</v>
      </c>
      <c r="F361" s="21">
        <v>122000</v>
      </c>
      <c r="G361" s="21">
        <v>122000</v>
      </c>
      <c r="H361" s="21">
        <v>122000</v>
      </c>
      <c r="I361" s="4">
        <f>A361&amp;D361</f>
      </c>
      <c r="J361" s="4">
        <v>122000</v>
      </c>
      <c r="K361" s="4"/>
      <c r="L361" s="4"/>
      <c r="M361" s="4"/>
      <c r="N361" s="4"/>
      <c r="O361" s="4"/>
      <c r="P361" s="4"/>
      <c r="Q361" s="4"/>
      <c r="R361" s="4"/>
      <c r="S361" s="4"/>
    </row>
    <row r="362">
      <c r="A362" s="4">
        <v>188</v>
      </c>
      <c r="B362" s="4" t="str">
        <v>190 HB</v>
      </c>
      <c r="C362" s="4" t="str">
        <v>DV_Cắt</v>
      </c>
      <c r="D362" s="4">
        <v>891</v>
      </c>
      <c r="E362" s="4" t="str">
        <v>Cắt xả tạo kiểu</v>
      </c>
      <c r="F362" s="21">
        <v>100000</v>
      </c>
      <c r="G362" s="21">
        <v>100000</v>
      </c>
      <c r="H362" s="21">
        <v>100000</v>
      </c>
      <c r="I362" s="4">
        <f>A362&amp;D362</f>
      </c>
      <c r="J362" s="4">
        <v>100000</v>
      </c>
      <c r="K362" s="4"/>
      <c r="L362" s="4"/>
      <c r="M362" s="4"/>
      <c r="N362" s="4"/>
      <c r="O362" s="4"/>
      <c r="P362" s="4"/>
      <c r="Q362" s="4"/>
      <c r="R362" s="4"/>
      <c r="S362" s="4"/>
    </row>
    <row r="363">
      <c r="A363" s="4">
        <v>188</v>
      </c>
      <c r="B363" s="4" t="str">
        <v>190 HB</v>
      </c>
      <c r="C363" s="4" t="str">
        <v>DV_Cắt</v>
      </c>
      <c r="D363" s="4">
        <v>1002</v>
      </c>
      <c r="E363" s="4" t="str">
        <v>Kid Cắt</v>
      </c>
      <c r="F363" s="21">
        <v>81000</v>
      </c>
      <c r="G363" s="21">
        <v>81000</v>
      </c>
      <c r="H363" s="21">
        <v>81000</v>
      </c>
      <c r="I363" s="4">
        <f>A363&amp;D363</f>
      </c>
      <c r="J363" s="4">
        <v>81000</v>
      </c>
      <c r="K363" s="4"/>
      <c r="L363" s="4"/>
      <c r="M363" s="4"/>
      <c r="N363" s="4"/>
      <c r="O363" s="4"/>
      <c r="P363" s="4"/>
      <c r="Q363" s="4"/>
      <c r="R363" s="4"/>
      <c r="S363" s="4"/>
    </row>
    <row r="364">
      <c r="A364" s="4">
        <v>188</v>
      </c>
      <c r="B364" s="4" t="str">
        <v>190 HB</v>
      </c>
      <c r="C364" s="4" t="str">
        <v>DV_Cắt</v>
      </c>
      <c r="D364" s="4">
        <v>1070</v>
      </c>
      <c r="E364" s="4" t="str">
        <v>Combo Cắt gội Kid</v>
      </c>
      <c r="F364" s="21">
        <v>100000</v>
      </c>
      <c r="G364" s="21">
        <v>100000</v>
      </c>
      <c r="H364" s="21">
        <v>100000</v>
      </c>
      <c r="I364" s="4">
        <f>A364&amp;D364</f>
      </c>
      <c r="J364" s="4">
        <v>100000</v>
      </c>
      <c r="K364" s="4"/>
      <c r="L364" s="4"/>
      <c r="M364" s="4"/>
      <c r="N364" s="4"/>
      <c r="O364" s="4"/>
      <c r="P364" s="4"/>
      <c r="Q364" s="4"/>
      <c r="R364" s="4"/>
      <c r="S364" s="4"/>
    </row>
    <row r="365">
      <c r="A365" s="4">
        <v>188</v>
      </c>
      <c r="B365" s="4" t="str">
        <v>190 HB</v>
      </c>
      <c r="C365" s="4" t="str">
        <v>DV_Cắt_Vip</v>
      </c>
      <c r="D365" s="4">
        <v>1046</v>
      </c>
      <c r="E365" s="4" t="str">
        <v>Shinecombo 2</v>
      </c>
      <c r="F365" s="21">
        <v>205000</v>
      </c>
      <c r="G365" s="21">
        <v>205000</v>
      </c>
      <c r="H365" s="21">
        <v>205000</v>
      </c>
      <c r="I365" s="4">
        <f>A365&amp;D365</f>
      </c>
      <c r="J365" s="4">
        <v>205000</v>
      </c>
      <c r="K365" s="4"/>
      <c r="L365" s="4"/>
      <c r="M365" s="4"/>
      <c r="N365" s="4"/>
      <c r="O365" s="4"/>
      <c r="P365" s="4"/>
      <c r="Q365" s="4"/>
      <c r="R365" s="4"/>
      <c r="S365" s="4"/>
    </row>
    <row r="366">
      <c r="A366" s="4">
        <v>188</v>
      </c>
      <c r="B366" s="4" t="str">
        <v>190 HB</v>
      </c>
      <c r="C366" s="4" t="str">
        <v>DV_Cắt_Vip</v>
      </c>
      <c r="D366" s="4">
        <v>1047</v>
      </c>
      <c r="E366" s="4" t="str">
        <v>Cắt Gội Combo 3 - Chăm da</v>
      </c>
      <c r="F366" s="21">
        <v>305000</v>
      </c>
      <c r="G366" s="21">
        <v>305000</v>
      </c>
      <c r="H366" s="21">
        <v>305000</v>
      </c>
      <c r="I366" s="4">
        <f>A366&amp;D366</f>
      </c>
      <c r="J366" s="4">
        <v>305000</v>
      </c>
      <c r="K366" s="4"/>
      <c r="L366" s="4"/>
      <c r="M366" s="4"/>
      <c r="N366" s="4"/>
      <c r="O366" s="4"/>
      <c r="P366" s="4"/>
      <c r="Q366" s="4"/>
      <c r="R366" s="4"/>
      <c r="S366" s="4"/>
    </row>
    <row r="367">
      <c r="A367" s="4">
        <v>188</v>
      </c>
      <c r="B367" s="4" t="str">
        <v>190 HB</v>
      </c>
      <c r="C367" s="4" t="str">
        <v>DV_Cắt_Vip</v>
      </c>
      <c r="D367" s="4">
        <v>1048</v>
      </c>
      <c r="E367" s="4" t="str">
        <v>Combo 4</v>
      </c>
      <c r="F367" s="21">
        <v>395000</v>
      </c>
      <c r="G367" s="21">
        <v>395000</v>
      </c>
      <c r="H367" s="21">
        <v>395000</v>
      </c>
      <c r="I367" s="4">
        <f>A367&amp;D367</f>
      </c>
      <c r="J367" s="4">
        <v>395000</v>
      </c>
      <c r="K367" s="4"/>
      <c r="L367" s="4"/>
      <c r="M367" s="4"/>
      <c r="N367" s="4"/>
      <c r="O367" s="4"/>
      <c r="P367" s="4"/>
      <c r="Q367" s="4"/>
      <c r="R367" s="4"/>
      <c r="S367" s="4"/>
    </row>
    <row r="368">
      <c r="A368" s="4">
        <v>188</v>
      </c>
      <c r="B368" s="4" t="str">
        <v>190 HB</v>
      </c>
      <c r="C368" s="4" t="str">
        <v>DV_Cắt_Vip</v>
      </c>
      <c r="D368" s="4">
        <v>1049</v>
      </c>
      <c r="E368" s="4" t="str">
        <v>Cắt Gội Combo 5 - Chăm da</v>
      </c>
      <c r="F368" s="21">
        <v>399000</v>
      </c>
      <c r="G368" s="21">
        <v>399000</v>
      </c>
      <c r="H368" s="21">
        <v>399000</v>
      </c>
      <c r="I368" s="4">
        <f>A368&amp;D368</f>
      </c>
      <c r="J368" s="4">
        <v>399000</v>
      </c>
      <c r="K368" s="4"/>
      <c r="L368" s="4"/>
      <c r="M368" s="4"/>
      <c r="N368" s="4"/>
      <c r="O368" s="4"/>
      <c r="P368" s="4"/>
      <c r="Q368" s="4"/>
      <c r="R368" s="4"/>
      <c r="S368" s="4"/>
    </row>
    <row r="369">
      <c r="A369" s="4">
        <v>188</v>
      </c>
      <c r="B369" s="4" t="str">
        <v>190 HB</v>
      </c>
      <c r="C369" s="4" t="str">
        <v>DV_Cắt_Vip</v>
      </c>
      <c r="D369" s="4">
        <v>1064</v>
      </c>
      <c r="E369" s="4" t="str">
        <v>Cắt Gội Combo 5 - Dưỡng sinh</v>
      </c>
      <c r="F369" s="21">
        <v>459000</v>
      </c>
      <c r="G369" s="21">
        <v>459000</v>
      </c>
      <c r="H369" s="21">
        <v>459000</v>
      </c>
      <c r="I369" s="4">
        <f>A369&amp;D369</f>
      </c>
      <c r="J369" s="4">
        <v>459000</v>
      </c>
      <c r="K369" s="4"/>
      <c r="L369" s="4"/>
      <c r="M369" s="4"/>
      <c r="N369" s="4"/>
      <c r="O369" s="4"/>
      <c r="P369" s="4"/>
      <c r="Q369" s="4"/>
      <c r="R369" s="4"/>
      <c r="S369" s="4"/>
    </row>
    <row r="370">
      <c r="A370" s="4">
        <v>188</v>
      </c>
      <c r="B370" s="4" t="str">
        <v>190 HB</v>
      </c>
      <c r="C370" s="4" t="str">
        <v>DV_Cắt_Vip</v>
      </c>
      <c r="D370" s="4">
        <v>1065</v>
      </c>
      <c r="E370" s="4" t="str">
        <v>Cắt Gội Combo 3 - Dưỡng sinh</v>
      </c>
      <c r="F370" s="21">
        <v>299000</v>
      </c>
      <c r="G370" s="21">
        <v>299000</v>
      </c>
      <c r="H370" s="21">
        <v>299000</v>
      </c>
      <c r="I370" s="4">
        <f>A370&amp;D370</f>
      </c>
      <c r="J370" s="4">
        <v>299000</v>
      </c>
      <c r="K370" s="4"/>
      <c r="L370" s="4"/>
      <c r="M370" s="4"/>
      <c r="N370" s="4"/>
      <c r="O370" s="4"/>
      <c r="P370" s="4"/>
      <c r="Q370" s="4"/>
      <c r="R370" s="4"/>
      <c r="S370" s="4"/>
    </row>
    <row r="371">
      <c r="A371" s="4">
        <v>188</v>
      </c>
      <c r="B371" s="4" t="str">
        <v>190 HB</v>
      </c>
      <c r="C371" s="4" t="str">
        <v>DV_Cắt_Vip</v>
      </c>
      <c r="D371" s="4">
        <v>1194</v>
      </c>
      <c r="E371" s="4" t="str">
        <v>Combo Best choice</v>
      </c>
      <c r="F371" s="21">
        <v>305000</v>
      </c>
      <c r="G371" s="21">
        <v>305000</v>
      </c>
      <c r="H371" s="21">
        <v>305000</v>
      </c>
      <c r="I371" s="4">
        <f>A371&amp;D371</f>
      </c>
      <c r="J371" s="4">
        <v>305000</v>
      </c>
      <c r="K371" s="4"/>
      <c r="L371" s="4"/>
      <c r="M371" s="4"/>
      <c r="N371" s="4"/>
      <c r="O371" s="4"/>
      <c r="P371" s="4"/>
      <c r="Q371" s="4"/>
      <c r="R371" s="4"/>
      <c r="S371" s="4"/>
    </row>
    <row r="372">
      <c r="A372" s="4">
        <v>188</v>
      </c>
      <c r="B372" s="4" t="str">
        <v>190 HB</v>
      </c>
      <c r="C372" s="4" t="str">
        <v>DV_Gội</v>
      </c>
      <c r="D372" s="4">
        <v>867</v>
      </c>
      <c r="E372" s="4" t="str">
        <v>Gội dưỡng sinh cổ vai gáy</v>
      </c>
      <c r="F372" s="21">
        <v>100000</v>
      </c>
      <c r="G372" s="21">
        <v>100000</v>
      </c>
      <c r="H372" s="21">
        <v>100000</v>
      </c>
      <c r="I372" s="4">
        <f>A372&amp;D372</f>
      </c>
      <c r="J372" s="4">
        <v>100000</v>
      </c>
      <c r="K372" s="4"/>
      <c r="L372" s="4"/>
      <c r="M372" s="4"/>
      <c r="N372" s="4"/>
      <c r="O372" s="4"/>
      <c r="P372" s="4"/>
      <c r="Q372" s="4"/>
      <c r="R372" s="4"/>
      <c r="S372" s="4"/>
    </row>
    <row r="373">
      <c r="A373" s="4">
        <v>188</v>
      </c>
      <c r="B373" s="4" t="str">
        <v>190 HB</v>
      </c>
      <c r="C373" s="4" t="str">
        <v>DV_Gội</v>
      </c>
      <c r="D373" s="4">
        <v>930</v>
      </c>
      <c r="E373" s="4" t="str">
        <v>[NEW] Gội dưỡng sinh cổ vai gáy và chăm sóc da</v>
      </c>
      <c r="F373" s="21">
        <v>139000</v>
      </c>
      <c r="G373" s="21">
        <v>139000</v>
      </c>
      <c r="H373" s="21">
        <v>139000</v>
      </c>
      <c r="I373" s="4">
        <f>A373&amp;D373</f>
      </c>
      <c r="J373" s="4">
        <v>139000</v>
      </c>
      <c r="K373" s="4"/>
      <c r="L373" s="4"/>
      <c r="M373" s="4"/>
      <c r="N373" s="4"/>
      <c r="O373" s="4"/>
      <c r="P373" s="4"/>
      <c r="Q373" s="4"/>
      <c r="R373" s="4"/>
      <c r="S373" s="4"/>
    </row>
    <row r="374">
      <c r="A374" s="4">
        <v>188</v>
      </c>
      <c r="B374" s="4" t="str">
        <v>190 HB</v>
      </c>
      <c r="C374" s="4" t="str">
        <v>DV_Gội</v>
      </c>
      <c r="D374" s="4">
        <v>932</v>
      </c>
      <c r="E374" s="4" t="str">
        <v>Gội combo 5 dưỡng sinh</v>
      </c>
      <c r="F374" s="21">
        <v>399000</v>
      </c>
      <c r="G374" s="21">
        <v>399000</v>
      </c>
      <c r="H374" s="21">
        <v>399000</v>
      </c>
      <c r="I374" s="4">
        <f>A374&amp;D374</f>
      </c>
      <c r="J374" s="4">
        <v>399000</v>
      </c>
      <c r="K374" s="4"/>
      <c r="L374" s="4"/>
      <c r="M374" s="4"/>
      <c r="N374" s="4"/>
      <c r="O374" s="4"/>
      <c r="P374" s="4"/>
      <c r="Q374" s="4"/>
      <c r="R374" s="4"/>
      <c r="S374" s="4"/>
    </row>
    <row r="375">
      <c r="A375" s="4">
        <v>188</v>
      </c>
      <c r="B375" s="4" t="str">
        <v>190 HB</v>
      </c>
      <c r="C375" s="4" t="str">
        <v>DV_Gội</v>
      </c>
      <c r="D375" s="4">
        <v>934</v>
      </c>
      <c r="E375" s="4" t="str">
        <v>Gội combo 3 - Dưỡng sinh</v>
      </c>
      <c r="F375" s="21">
        <v>229000</v>
      </c>
      <c r="G375" s="21">
        <v>229000</v>
      </c>
      <c r="H375" s="21">
        <v>229000</v>
      </c>
      <c r="I375" s="4">
        <f>A375&amp;D375</f>
      </c>
      <c r="J375" s="4">
        <v>229000</v>
      </c>
      <c r="K375" s="4"/>
      <c r="L375" s="4"/>
      <c r="M375" s="4"/>
      <c r="N375" s="4"/>
      <c r="O375" s="4"/>
      <c r="P375" s="4"/>
      <c r="Q375" s="4"/>
      <c r="R375" s="4"/>
      <c r="S375" s="4"/>
    </row>
    <row r="376">
      <c r="A376" s="4">
        <v>188</v>
      </c>
      <c r="B376" s="4" t="str">
        <v>190 HB</v>
      </c>
      <c r="C376" s="4" t="str">
        <v>DV_Gội</v>
      </c>
      <c r="D376" s="4">
        <v>940</v>
      </c>
      <c r="E376" s="4" t="str">
        <v>[NEW] Gội dưỡng sinh</v>
      </c>
      <c r="F376" s="21">
        <v>59000</v>
      </c>
      <c r="G376" s="21">
        <v>59000</v>
      </c>
      <c r="H376" s="21">
        <v>59000</v>
      </c>
      <c r="I376" s="4">
        <f>A376&amp;D376</f>
      </c>
      <c r="J376" s="4">
        <v>59000</v>
      </c>
      <c r="K376" s="4"/>
      <c r="L376" s="4"/>
      <c r="M376" s="4"/>
      <c r="N376" s="4"/>
      <c r="O376" s="4"/>
      <c r="P376" s="4"/>
      <c r="Q376" s="4"/>
      <c r="R376" s="4"/>
      <c r="S376" s="4"/>
    </row>
    <row r="377">
      <c r="A377" s="4">
        <v>188</v>
      </c>
      <c r="B377" s="4" t="str">
        <v>190 HB</v>
      </c>
      <c r="C377" s="4" t="str">
        <v>DV_Gội</v>
      </c>
      <c r="D377" s="4">
        <v>1058</v>
      </c>
      <c r="E377" s="4" t="str">
        <v>Gội Combo 2</v>
      </c>
      <c r="F377" s="21">
        <v>159000</v>
      </c>
      <c r="G377" s="21">
        <v>159000</v>
      </c>
      <c r="H377" s="21">
        <v>159000</v>
      </c>
      <c r="I377" s="4">
        <f>A377&amp;D377</f>
      </c>
      <c r="J377" s="4">
        <v>159000</v>
      </c>
      <c r="K377" s="4"/>
      <c r="L377" s="4"/>
      <c r="M377" s="4"/>
      <c r="N377" s="4"/>
      <c r="O377" s="4"/>
      <c r="P377" s="4"/>
      <c r="Q377" s="4"/>
      <c r="R377" s="4"/>
      <c r="S377" s="4"/>
    </row>
    <row r="378">
      <c r="A378" s="4">
        <v>188</v>
      </c>
      <c r="B378" s="4" t="str">
        <v>190 HB</v>
      </c>
      <c r="C378" s="4" t="str">
        <v>DV_Gội</v>
      </c>
      <c r="D378" s="4">
        <v>1059</v>
      </c>
      <c r="E378" s="4" t="str">
        <v>Gội Combo 3 - Chăm da</v>
      </c>
      <c r="F378" s="21">
        <v>239000</v>
      </c>
      <c r="G378" s="21">
        <v>239000</v>
      </c>
      <c r="H378" s="21">
        <v>239000</v>
      </c>
      <c r="I378" s="4">
        <f>A378&amp;D378</f>
      </c>
      <c r="J378" s="4">
        <v>239000</v>
      </c>
      <c r="K378" s="4"/>
      <c r="L378" s="4"/>
      <c r="M378" s="4"/>
      <c r="N378" s="4"/>
      <c r="O378" s="4"/>
      <c r="P378" s="4"/>
      <c r="Q378" s="4"/>
      <c r="R378" s="4"/>
      <c r="S378" s="4"/>
    </row>
    <row r="379">
      <c r="A379" s="4">
        <v>188</v>
      </c>
      <c r="B379" s="4" t="str">
        <v>190 HB</v>
      </c>
      <c r="C379" s="4" t="str">
        <v>DV_Gội</v>
      </c>
      <c r="D379" s="4">
        <v>1060</v>
      </c>
      <c r="E379" s="4" t="str">
        <v>Gội Combo 4</v>
      </c>
      <c r="F379" s="21">
        <v>289000</v>
      </c>
      <c r="G379" s="21">
        <v>289000</v>
      </c>
      <c r="H379" s="21">
        <v>289000</v>
      </c>
      <c r="I379" s="4">
        <f>A379&amp;D379</f>
      </c>
      <c r="J379" s="4">
        <v>289000</v>
      </c>
      <c r="K379" s="4"/>
      <c r="L379" s="4"/>
      <c r="M379" s="4"/>
      <c r="N379" s="4"/>
      <c r="O379" s="4"/>
      <c r="P379" s="4"/>
      <c r="Q379" s="4"/>
      <c r="R379" s="4"/>
      <c r="S379" s="4"/>
    </row>
    <row r="380">
      <c r="A380" s="4">
        <v>188</v>
      </c>
      <c r="B380" s="4" t="str">
        <v>190 HB</v>
      </c>
      <c r="C380" s="4" t="str">
        <v>DV_Gội</v>
      </c>
      <c r="D380" s="4">
        <v>1061</v>
      </c>
      <c r="E380" s="4" t="str">
        <v>Gội Combo 5 - Chăm da</v>
      </c>
      <c r="F380" s="21">
        <v>359000</v>
      </c>
      <c r="G380" s="21">
        <v>359000</v>
      </c>
      <c r="H380" s="21">
        <v>359000</v>
      </c>
      <c r="I380" s="4">
        <f>A380&amp;D380</f>
      </c>
      <c r="J380" s="4">
        <v>359000</v>
      </c>
      <c r="K380" s="4"/>
      <c r="L380" s="4"/>
      <c r="M380" s="4"/>
      <c r="N380" s="4"/>
      <c r="O380" s="4"/>
      <c r="P380" s="4"/>
      <c r="Q380" s="4"/>
      <c r="R380" s="4"/>
      <c r="S380" s="4"/>
    </row>
    <row r="381">
      <c r="A381" s="4">
        <v>188</v>
      </c>
      <c r="B381" s="4" t="str">
        <v>190 HB</v>
      </c>
      <c r="C381" s="4" t="str">
        <v>DV_Gội</v>
      </c>
      <c r="D381" s="4">
        <v>1066</v>
      </c>
      <c r="E381" s="4" t="str">
        <v>Gội trải nghiệm 75p</v>
      </c>
      <c r="F381" s="21">
        <v>589000</v>
      </c>
      <c r="G381" s="21">
        <v>589000</v>
      </c>
      <c r="H381" s="21">
        <v>589000</v>
      </c>
      <c r="I381" s="4">
        <f>A381&amp;D381</f>
      </c>
      <c r="J381" s="4">
        <v>589000</v>
      </c>
      <c r="K381" s="4"/>
      <c r="L381" s="4"/>
      <c r="M381" s="4"/>
      <c r="N381" s="4"/>
      <c r="O381" s="4"/>
      <c r="P381" s="4"/>
      <c r="Q381" s="4"/>
      <c r="R381" s="4"/>
      <c r="S381" s="4"/>
    </row>
    <row r="382">
      <c r="A382" s="4">
        <v>188</v>
      </c>
      <c r="B382" s="4" t="str">
        <v>190 HB</v>
      </c>
      <c r="C382" s="4" t="str">
        <v>DV_Gội</v>
      </c>
      <c r="D382" s="4">
        <v>1067</v>
      </c>
      <c r="E382" s="4" t="str">
        <v>Gội trải nghiệm 90p</v>
      </c>
      <c r="F382" s="21">
        <v>789000</v>
      </c>
      <c r="G382" s="21">
        <v>789000</v>
      </c>
      <c r="H382" s="21">
        <v>789000</v>
      </c>
      <c r="I382" s="4">
        <f>A382&amp;D382</f>
      </c>
      <c r="J382" s="4">
        <v>789000</v>
      </c>
      <c r="K382" s="4"/>
      <c r="L382" s="4"/>
      <c r="M382" s="4"/>
      <c r="N382" s="4"/>
      <c r="O382" s="4"/>
      <c r="P382" s="4"/>
      <c r="Q382" s="4"/>
      <c r="R382" s="4"/>
      <c r="S382" s="4"/>
    </row>
    <row r="383">
      <c r="A383" s="4">
        <v>188</v>
      </c>
      <c r="B383" s="4" t="str">
        <v>190 HB</v>
      </c>
      <c r="C383" s="4" t="str">
        <v>DV_Gội</v>
      </c>
      <c r="D383" s="4">
        <v>1068</v>
      </c>
      <c r="E383" s="4" t="str">
        <v>Gội trải nghiệm 115p</v>
      </c>
      <c r="F383" s="21">
        <v>999000</v>
      </c>
      <c r="G383" s="21">
        <v>999000</v>
      </c>
      <c r="H383" s="21">
        <v>999000</v>
      </c>
      <c r="I383" s="4">
        <f>A383&amp;D383</f>
      </c>
      <c r="J383" s="4">
        <v>999000</v>
      </c>
      <c r="K383" s="4"/>
      <c r="L383" s="4"/>
      <c r="M383" s="4"/>
      <c r="N383" s="4"/>
      <c r="O383" s="4"/>
      <c r="P383" s="4"/>
      <c r="Q383" s="4"/>
      <c r="R383" s="4"/>
      <c r="S383" s="4"/>
    </row>
    <row r="384">
      <c r="A384" s="4">
        <v>196</v>
      </c>
      <c r="B384" s="4" t="str">
        <v>202 DC</v>
      </c>
      <c r="C384" s="4" t="str">
        <v>DV_Cắt</v>
      </c>
      <c r="D384" s="4">
        <v>513</v>
      </c>
      <c r="E384" s="4" t="str">
        <v>[DV] ShineCombo 10 bước Ultra Care 2023</v>
      </c>
      <c r="F384" s="21">
        <v>122000</v>
      </c>
      <c r="G384" s="21">
        <v>122000</v>
      </c>
      <c r="H384" s="21">
        <v>122000</v>
      </c>
      <c r="I384" s="4">
        <f>A384&amp;D384</f>
      </c>
      <c r="J384" s="4">
        <v>122000</v>
      </c>
      <c r="K384" s="4"/>
      <c r="L384" s="4"/>
      <c r="M384" s="4"/>
      <c r="N384" s="4"/>
      <c r="O384" s="4"/>
      <c r="P384" s="4"/>
      <c r="Q384" s="4"/>
      <c r="R384" s="4"/>
      <c r="S384" s="4"/>
    </row>
    <row r="385">
      <c r="A385" s="4">
        <v>196</v>
      </c>
      <c r="B385" s="4" t="str">
        <v>202 DC</v>
      </c>
      <c r="C385" s="4" t="str">
        <v>DV_Cắt</v>
      </c>
      <c r="D385" s="4">
        <v>891</v>
      </c>
      <c r="E385" s="4" t="str">
        <v>Cắt xả tạo kiểu</v>
      </c>
      <c r="F385" s="21">
        <v>103000</v>
      </c>
      <c r="G385" s="21">
        <v>110000</v>
      </c>
      <c r="H385" s="21">
        <v>110000</v>
      </c>
      <c r="I385" s="4">
        <f>A385&amp;D385</f>
      </c>
      <c r="J385" s="4">
        <v>110000</v>
      </c>
      <c r="K385" s="4"/>
      <c r="L385" s="4"/>
      <c r="M385" s="4"/>
      <c r="N385" s="4"/>
      <c r="O385" s="4"/>
      <c r="P385" s="4"/>
      <c r="Q385" s="4"/>
      <c r="R385" s="4"/>
      <c r="S385" s="4"/>
    </row>
    <row r="386">
      <c r="A386" s="4">
        <v>196</v>
      </c>
      <c r="B386" s="4" t="str">
        <v>202 DC</v>
      </c>
      <c r="C386" s="4" t="str">
        <v>DV_Cắt</v>
      </c>
      <c r="D386" s="4">
        <v>1002</v>
      </c>
      <c r="E386" s="4" t="str">
        <v>Kid Cắt</v>
      </c>
      <c r="F386" s="21">
        <v>84000</v>
      </c>
      <c r="G386" s="21">
        <v>90000</v>
      </c>
      <c r="H386" s="21">
        <v>90000</v>
      </c>
      <c r="I386" s="4">
        <f>A386&amp;D386</f>
      </c>
      <c r="J386" s="4">
        <v>90000</v>
      </c>
      <c r="K386" s="4"/>
      <c r="L386" s="4"/>
      <c r="M386" s="4"/>
      <c r="N386" s="4"/>
      <c r="O386" s="4"/>
      <c r="P386" s="4"/>
      <c r="Q386" s="4"/>
      <c r="R386" s="4"/>
      <c r="S386" s="4"/>
    </row>
    <row r="387">
      <c r="A387" s="4">
        <v>196</v>
      </c>
      <c r="B387" s="4" t="str">
        <v>202 DC</v>
      </c>
      <c r="C387" s="4" t="str">
        <v>DV_Cắt</v>
      </c>
      <c r="D387" s="4">
        <v>1070</v>
      </c>
      <c r="E387" s="4" t="str">
        <v>Combo Cắt gội Kid</v>
      </c>
      <c r="F387" s="21">
        <v>100000</v>
      </c>
      <c r="G387" s="21">
        <v>107000</v>
      </c>
      <c r="H387" s="21">
        <v>107000</v>
      </c>
      <c r="I387" s="4">
        <f>A387&amp;D387</f>
      </c>
      <c r="J387" s="4">
        <v>107000</v>
      </c>
      <c r="K387" s="4"/>
      <c r="L387" s="4"/>
      <c r="M387" s="4"/>
      <c r="N387" s="4"/>
      <c r="O387" s="4"/>
      <c r="P387" s="4"/>
      <c r="Q387" s="4"/>
      <c r="R387" s="4"/>
      <c r="S387" s="4"/>
    </row>
    <row r="388">
      <c r="A388" s="4">
        <v>196</v>
      </c>
      <c r="B388" s="4" t="str">
        <v>202 DC</v>
      </c>
      <c r="C388" s="4" t="str">
        <v>DV_Cắt_Vip</v>
      </c>
      <c r="D388" s="4">
        <v>1046</v>
      </c>
      <c r="E388" s="4" t="str">
        <v>Shinecombo 2</v>
      </c>
      <c r="F388" s="21">
        <v>208000</v>
      </c>
      <c r="G388" s="21">
        <v>222000</v>
      </c>
      <c r="H388" s="21">
        <v>222000</v>
      </c>
      <c r="I388" s="4">
        <f>A388&amp;D388</f>
      </c>
      <c r="J388" s="4">
        <v>222000</v>
      </c>
      <c r="K388" s="4"/>
      <c r="L388" s="4"/>
      <c r="M388" s="4"/>
      <c r="N388" s="4"/>
      <c r="O388" s="4"/>
      <c r="P388" s="4"/>
      <c r="Q388" s="4"/>
      <c r="R388" s="4"/>
      <c r="S388" s="4"/>
    </row>
    <row r="389">
      <c r="A389" s="4">
        <v>196</v>
      </c>
      <c r="B389" s="4" t="str">
        <v>202 DC</v>
      </c>
      <c r="C389" s="4" t="str">
        <v>DV_Cắt_Vip</v>
      </c>
      <c r="D389" s="4">
        <v>1047</v>
      </c>
      <c r="E389" s="4" t="str">
        <v>Cắt Gội Combo 3 - Chăm da</v>
      </c>
      <c r="F389" s="21">
        <v>308000</v>
      </c>
      <c r="G389" s="21">
        <v>329000</v>
      </c>
      <c r="H389" s="21">
        <v>329000</v>
      </c>
      <c r="I389" s="4">
        <f>A389&amp;D389</f>
      </c>
      <c r="J389" s="4">
        <v>329000</v>
      </c>
      <c r="K389" s="4"/>
      <c r="L389" s="4"/>
      <c r="M389" s="4"/>
      <c r="N389" s="4"/>
      <c r="O389" s="4"/>
      <c r="P389" s="4"/>
      <c r="Q389" s="4"/>
      <c r="R389" s="4"/>
      <c r="S389" s="4"/>
    </row>
    <row r="390">
      <c r="A390" s="4">
        <v>196</v>
      </c>
      <c r="B390" s="4" t="str">
        <v>202 DC</v>
      </c>
      <c r="C390" s="4" t="str">
        <v>DV_Cắt_Vip</v>
      </c>
      <c r="D390" s="4">
        <v>1048</v>
      </c>
      <c r="E390" s="4" t="str">
        <v>Combo 4</v>
      </c>
      <c r="F390" s="21">
        <v>398000</v>
      </c>
      <c r="G390" s="21">
        <v>425000</v>
      </c>
      <c r="H390" s="21">
        <v>425000</v>
      </c>
      <c r="I390" s="4">
        <f>A390&amp;D390</f>
      </c>
      <c r="J390" s="4">
        <v>425000</v>
      </c>
      <c r="K390" s="4"/>
      <c r="L390" s="4"/>
      <c r="M390" s="4"/>
      <c r="N390" s="4"/>
      <c r="O390" s="4"/>
      <c r="P390" s="4"/>
      <c r="Q390" s="4"/>
      <c r="R390" s="4"/>
      <c r="S390" s="4"/>
    </row>
    <row r="391">
      <c r="A391" s="4">
        <v>196</v>
      </c>
      <c r="B391" s="4" t="str">
        <v>202 DC</v>
      </c>
      <c r="C391" s="4" t="str">
        <v>DV_Cắt_Vip</v>
      </c>
      <c r="D391" s="4">
        <v>1064</v>
      </c>
      <c r="E391" s="4" t="str">
        <v>Cắt Gội Combo 5 - Dưỡng sinh</v>
      </c>
      <c r="F391" s="21">
        <v>459000</v>
      </c>
      <c r="G391" s="21">
        <v>490000</v>
      </c>
      <c r="H391" s="21">
        <v>490000</v>
      </c>
      <c r="I391" s="4">
        <f>A391&amp;D391</f>
      </c>
      <c r="J391" s="4">
        <v>490000</v>
      </c>
      <c r="K391" s="4"/>
      <c r="L391" s="4"/>
      <c r="M391" s="4"/>
      <c r="N391" s="4"/>
      <c r="O391" s="4"/>
      <c r="P391" s="4"/>
      <c r="Q391" s="4"/>
      <c r="R391" s="4"/>
      <c r="S391" s="4"/>
    </row>
    <row r="392">
      <c r="A392" s="4">
        <v>196</v>
      </c>
      <c r="B392" s="4" t="str">
        <v>202 DC</v>
      </c>
      <c r="C392" s="4" t="str">
        <v>DV_Cắt_Vip</v>
      </c>
      <c r="D392" s="4">
        <v>1065</v>
      </c>
      <c r="E392" s="4" t="str">
        <v>Cắt Gội Combo 3 - Dưỡng sinh</v>
      </c>
      <c r="F392" s="21">
        <v>308000</v>
      </c>
      <c r="G392" s="21">
        <v>329000</v>
      </c>
      <c r="H392" s="21">
        <v>329000</v>
      </c>
      <c r="I392" s="4">
        <f>A392&amp;D392</f>
      </c>
      <c r="J392" s="4">
        <v>329000</v>
      </c>
      <c r="K392" s="4"/>
      <c r="L392" s="4"/>
      <c r="M392" s="4"/>
      <c r="N392" s="4"/>
      <c r="O392" s="4"/>
      <c r="P392" s="4"/>
      <c r="Q392" s="4"/>
      <c r="R392" s="4"/>
      <c r="S392" s="4"/>
    </row>
    <row r="393">
      <c r="A393" s="4">
        <v>196</v>
      </c>
      <c r="B393" s="4" t="str">
        <v>202 DC</v>
      </c>
      <c r="C393" s="4" t="str">
        <v>DV_Gội</v>
      </c>
      <c r="D393" s="4">
        <v>867</v>
      </c>
      <c r="E393" s="4" t="str">
        <v>Gội dưỡng sinh cổ vai gáy</v>
      </c>
      <c r="F393" s="21">
        <v>129000</v>
      </c>
      <c r="G393" s="21">
        <v>138000</v>
      </c>
      <c r="H393" s="21">
        <v>138000</v>
      </c>
      <c r="I393" s="4">
        <f>A393&amp;D393</f>
      </c>
      <c r="J393" s="4">
        <v>138000</v>
      </c>
      <c r="K393" s="4"/>
      <c r="L393" s="4"/>
      <c r="M393" s="4"/>
      <c r="N393" s="4"/>
      <c r="O393" s="4"/>
      <c r="P393" s="4"/>
      <c r="Q393" s="4"/>
      <c r="R393" s="4"/>
      <c r="S393" s="4"/>
    </row>
    <row r="394">
      <c r="A394" s="4">
        <v>196</v>
      </c>
      <c r="B394" s="4" t="str">
        <v>202 DC</v>
      </c>
      <c r="C394" s="4" t="str">
        <v>DV_Gội</v>
      </c>
      <c r="D394" s="4">
        <v>930</v>
      </c>
      <c r="E394" s="4" t="str">
        <v>[NEW] Gội dưỡng sinh cổ vai gáy và chăm sóc da</v>
      </c>
      <c r="F394" s="21">
        <v>139000</v>
      </c>
      <c r="G394" s="21">
        <v>148000</v>
      </c>
      <c r="H394" s="21">
        <v>148000</v>
      </c>
      <c r="I394" s="4">
        <f>A394&amp;D394</f>
      </c>
      <c r="J394" s="4">
        <v>148000</v>
      </c>
      <c r="K394" s="4"/>
      <c r="L394" s="4"/>
      <c r="M394" s="4"/>
      <c r="N394" s="4"/>
      <c r="O394" s="4"/>
      <c r="P394" s="4"/>
      <c r="Q394" s="4"/>
      <c r="R394" s="4"/>
      <c r="S394" s="4"/>
    </row>
    <row r="395">
      <c r="A395" s="4">
        <v>196</v>
      </c>
      <c r="B395" s="4" t="str">
        <v>202 DC</v>
      </c>
      <c r="C395" s="4" t="str">
        <v>DV_Gội</v>
      </c>
      <c r="D395" s="4">
        <v>934</v>
      </c>
      <c r="E395" s="4" t="str">
        <v>Gội combo 3 - Dưỡng sinh</v>
      </c>
      <c r="F395" s="21">
        <v>229000</v>
      </c>
      <c r="G395" s="21">
        <v>245000</v>
      </c>
      <c r="H395" s="21">
        <v>245000</v>
      </c>
      <c r="I395" s="4">
        <f>A395&amp;D395</f>
      </c>
      <c r="J395" s="4">
        <v>245000</v>
      </c>
      <c r="K395" s="4"/>
      <c r="L395" s="4"/>
      <c r="M395" s="4"/>
      <c r="N395" s="4"/>
      <c r="O395" s="4"/>
      <c r="P395" s="4"/>
      <c r="Q395" s="4"/>
      <c r="R395" s="4"/>
      <c r="S395" s="4"/>
    </row>
    <row r="396">
      <c r="A396" s="4">
        <v>196</v>
      </c>
      <c r="B396" s="4" t="str">
        <v>202 DC</v>
      </c>
      <c r="C396" s="4" t="str">
        <v>DV_Gội</v>
      </c>
      <c r="D396" s="4">
        <v>940</v>
      </c>
      <c r="E396" s="4" t="str">
        <v>[NEW] Gội dưỡng sinh</v>
      </c>
      <c r="F396" s="21">
        <v>59000</v>
      </c>
      <c r="G396" s="21">
        <v>63000</v>
      </c>
      <c r="H396" s="21">
        <v>63000</v>
      </c>
      <c r="I396" s="4">
        <f>A396&amp;D396</f>
      </c>
      <c r="J396" s="4">
        <v>63000</v>
      </c>
      <c r="K396" s="4"/>
      <c r="L396" s="4"/>
      <c r="M396" s="4"/>
      <c r="N396" s="4"/>
      <c r="O396" s="4"/>
      <c r="P396" s="4"/>
      <c r="Q396" s="4"/>
      <c r="R396" s="4"/>
      <c r="S396" s="4"/>
    </row>
    <row r="397">
      <c r="A397" s="4">
        <v>196</v>
      </c>
      <c r="B397" s="4" t="str">
        <v>202 DC</v>
      </c>
      <c r="C397" s="4" t="str">
        <v>DV_Gội</v>
      </c>
      <c r="D397" s="4">
        <v>1058</v>
      </c>
      <c r="E397" s="4" t="str">
        <v>Gội Combo 2</v>
      </c>
      <c r="F397" s="21">
        <v>159000</v>
      </c>
      <c r="G397" s="21">
        <v>170000</v>
      </c>
      <c r="H397" s="21">
        <v>170000</v>
      </c>
      <c r="I397" s="4">
        <f>A397&amp;D397</f>
      </c>
      <c r="J397" s="4">
        <v>170000</v>
      </c>
      <c r="K397" s="4"/>
      <c r="L397" s="4"/>
      <c r="M397" s="4"/>
      <c r="N397" s="4"/>
      <c r="O397" s="4"/>
      <c r="P397" s="4"/>
      <c r="Q397" s="4"/>
      <c r="R397" s="4"/>
      <c r="S397" s="4"/>
    </row>
    <row r="398">
      <c r="A398" s="4">
        <v>196</v>
      </c>
      <c r="B398" s="4" t="str">
        <v>202 DC</v>
      </c>
      <c r="C398" s="4" t="str">
        <v>DV_Gội</v>
      </c>
      <c r="D398" s="4">
        <v>1059</v>
      </c>
      <c r="E398" s="4" t="str">
        <v>Gội Combo 3 - Chăm da</v>
      </c>
      <c r="F398" s="21">
        <v>239000</v>
      </c>
      <c r="G398" s="21">
        <v>255000</v>
      </c>
      <c r="H398" s="21">
        <v>255000</v>
      </c>
      <c r="I398" s="4">
        <f>A398&amp;D398</f>
      </c>
      <c r="J398" s="4">
        <v>255000</v>
      </c>
      <c r="K398" s="4"/>
      <c r="L398" s="4"/>
      <c r="M398" s="4"/>
      <c r="N398" s="4"/>
      <c r="O398" s="4"/>
      <c r="P398" s="4"/>
      <c r="Q398" s="4"/>
      <c r="R398" s="4"/>
      <c r="S398" s="4"/>
    </row>
    <row r="399">
      <c r="A399" s="4">
        <v>196</v>
      </c>
      <c r="B399" s="4" t="str">
        <v>202 DC</v>
      </c>
      <c r="C399" s="4" t="str">
        <v>DV_Gội</v>
      </c>
      <c r="D399" s="4">
        <v>1060</v>
      </c>
      <c r="E399" s="4" t="str">
        <v>Gội Combo 4</v>
      </c>
      <c r="F399" s="21">
        <v>289000</v>
      </c>
      <c r="G399" s="21">
        <v>311000</v>
      </c>
      <c r="H399" s="21">
        <v>311000</v>
      </c>
      <c r="I399" s="4">
        <f>A399&amp;D399</f>
      </c>
      <c r="J399" s="4">
        <v>311000</v>
      </c>
      <c r="K399" s="4"/>
      <c r="L399" s="4"/>
      <c r="M399" s="4"/>
      <c r="N399" s="4"/>
      <c r="O399" s="4"/>
      <c r="P399" s="4"/>
      <c r="Q399" s="4"/>
      <c r="R399" s="4"/>
      <c r="S399" s="4"/>
    </row>
    <row r="400">
      <c r="A400" s="4">
        <v>196</v>
      </c>
      <c r="B400" s="4" t="str">
        <v>202 DC</v>
      </c>
      <c r="C400" s="4" t="str">
        <v>DV_Gội</v>
      </c>
      <c r="D400" s="4">
        <v>1066</v>
      </c>
      <c r="E400" s="4" t="str">
        <v>Gội trải nghiệm 75p</v>
      </c>
      <c r="F400" s="21">
        <v>589000</v>
      </c>
      <c r="G400" s="21">
        <v>629000</v>
      </c>
      <c r="H400" s="21">
        <v>629000</v>
      </c>
      <c r="I400" s="4">
        <f>A400&amp;D400</f>
      </c>
      <c r="J400" s="4">
        <v>629000</v>
      </c>
      <c r="K400" s="4"/>
      <c r="L400" s="4"/>
      <c r="M400" s="4"/>
      <c r="N400" s="4"/>
      <c r="O400" s="4"/>
      <c r="P400" s="4"/>
      <c r="Q400" s="4"/>
      <c r="R400" s="4"/>
      <c r="S400" s="4"/>
    </row>
    <row r="401">
      <c r="A401" s="4">
        <v>196</v>
      </c>
      <c r="B401" s="4" t="str">
        <v>202 DC</v>
      </c>
      <c r="C401" s="4" t="str">
        <v>DV_Gội</v>
      </c>
      <c r="D401" s="4">
        <v>1067</v>
      </c>
      <c r="E401" s="4" t="str">
        <v>Gội trải nghiệm 90p</v>
      </c>
      <c r="F401" s="21">
        <v>789000</v>
      </c>
      <c r="G401" s="21">
        <v>843000</v>
      </c>
      <c r="H401" s="21">
        <v>843000</v>
      </c>
      <c r="I401" s="4">
        <f>A401&amp;D401</f>
      </c>
      <c r="J401" s="4">
        <v>843000</v>
      </c>
      <c r="K401" s="4"/>
      <c r="L401" s="4"/>
      <c r="M401" s="4"/>
      <c r="N401" s="4"/>
      <c r="O401" s="4"/>
      <c r="P401" s="4"/>
      <c r="Q401" s="4"/>
      <c r="R401" s="4"/>
      <c r="S401" s="4"/>
    </row>
    <row r="402">
      <c r="A402" s="4">
        <v>196</v>
      </c>
      <c r="B402" s="4" t="str">
        <v>202 DC</v>
      </c>
      <c r="C402" s="4" t="str">
        <v>DV_Gội</v>
      </c>
      <c r="D402" s="4">
        <v>1068</v>
      </c>
      <c r="E402" s="4" t="str">
        <v>Gội trải nghiệm 115p</v>
      </c>
      <c r="F402" s="21">
        <v>999000</v>
      </c>
      <c r="G402" s="21">
        <v>1067000</v>
      </c>
      <c r="H402" s="21">
        <v>1067000</v>
      </c>
      <c r="I402" s="4">
        <f>A402&amp;D402</f>
      </c>
      <c r="J402" s="4">
        <v>1067000</v>
      </c>
      <c r="K402" s="4"/>
      <c r="L402" s="4"/>
      <c r="M402" s="4"/>
      <c r="N402" s="4"/>
      <c r="O402" s="4"/>
      <c r="P402" s="4"/>
      <c r="Q402" s="4"/>
      <c r="R402" s="4"/>
      <c r="S402" s="4"/>
    </row>
    <row r="403">
      <c r="A403" s="4">
        <v>141</v>
      </c>
      <c r="B403" s="4" t="str">
        <v>236 DBT</v>
      </c>
      <c r="C403" s="4" t="str">
        <v>DV_Cắt</v>
      </c>
      <c r="D403" s="4">
        <v>513</v>
      </c>
      <c r="E403" s="4" t="str">
        <v>[DV] ShineCombo 10 bước Ultra Care 2023</v>
      </c>
      <c r="F403" s="21">
        <v>122000</v>
      </c>
      <c r="G403" s="21">
        <v>122000</v>
      </c>
      <c r="H403" s="21">
        <v>122000</v>
      </c>
      <c r="I403" s="4">
        <f>A403&amp;D403</f>
      </c>
      <c r="J403" s="4">
        <v>122000</v>
      </c>
      <c r="K403" s="4"/>
      <c r="L403" s="4"/>
      <c r="M403" s="4"/>
      <c r="N403" s="4"/>
      <c r="O403" s="4"/>
      <c r="P403" s="4"/>
      <c r="Q403" s="4"/>
      <c r="R403" s="4"/>
      <c r="S403" s="4"/>
    </row>
    <row r="404">
      <c r="A404" s="4">
        <v>141</v>
      </c>
      <c r="B404" s="4" t="str">
        <v>236 DBT</v>
      </c>
      <c r="C404" s="4" t="str">
        <v>DV_Cắt</v>
      </c>
      <c r="D404" s="4">
        <v>891</v>
      </c>
      <c r="E404" s="4" t="str">
        <v>Cắt xả tạo kiểu</v>
      </c>
      <c r="F404" s="21">
        <v>101000</v>
      </c>
      <c r="G404" s="21">
        <v>104000</v>
      </c>
      <c r="H404" s="21">
        <v>104000</v>
      </c>
      <c r="I404" s="4">
        <f>A404&amp;D404</f>
      </c>
      <c r="J404" s="4">
        <v>104000</v>
      </c>
      <c r="K404" s="4"/>
      <c r="L404" s="4"/>
      <c r="M404" s="4"/>
      <c r="N404" s="4"/>
      <c r="O404" s="4"/>
      <c r="P404" s="4"/>
      <c r="Q404" s="4"/>
      <c r="R404" s="4"/>
      <c r="S404" s="4"/>
    </row>
    <row r="405">
      <c r="A405" s="4">
        <v>141</v>
      </c>
      <c r="B405" s="4" t="str">
        <v>236 DBT</v>
      </c>
      <c r="C405" s="4" t="str">
        <v>DV_Cắt</v>
      </c>
      <c r="D405" s="4">
        <v>1002</v>
      </c>
      <c r="E405" s="4" t="str">
        <v>Kid Cắt</v>
      </c>
      <c r="F405" s="21">
        <v>82000</v>
      </c>
      <c r="G405" s="21">
        <v>84000</v>
      </c>
      <c r="H405" s="21">
        <v>84000</v>
      </c>
      <c r="I405" s="4">
        <f>A405&amp;D405</f>
      </c>
      <c r="J405" s="4">
        <v>84000</v>
      </c>
      <c r="K405" s="4"/>
      <c r="L405" s="4"/>
      <c r="M405" s="4"/>
      <c r="N405" s="4"/>
      <c r="O405" s="4"/>
      <c r="P405" s="4"/>
      <c r="Q405" s="4"/>
      <c r="R405" s="4"/>
      <c r="S405" s="4"/>
    </row>
    <row r="406">
      <c r="A406" s="4">
        <v>141</v>
      </c>
      <c r="B406" s="4" t="str">
        <v>236 DBT</v>
      </c>
      <c r="C406" s="4" t="str">
        <v>DV_Cắt</v>
      </c>
      <c r="D406" s="4">
        <v>1070</v>
      </c>
      <c r="E406" s="4" t="str">
        <v>Combo Cắt gội Kid</v>
      </c>
      <c r="F406" s="21">
        <v>100000</v>
      </c>
      <c r="G406" s="21">
        <v>103000</v>
      </c>
      <c r="H406" s="21">
        <v>103000</v>
      </c>
      <c r="I406" s="4">
        <f>A406&amp;D406</f>
      </c>
      <c r="J406" s="4">
        <v>103000</v>
      </c>
      <c r="K406" s="4"/>
      <c r="L406" s="4"/>
      <c r="M406" s="4"/>
      <c r="N406" s="4"/>
      <c r="O406" s="4"/>
      <c r="P406" s="4"/>
      <c r="Q406" s="4"/>
      <c r="R406" s="4"/>
      <c r="S406" s="4"/>
    </row>
    <row r="407">
      <c r="A407" s="4">
        <v>141</v>
      </c>
      <c r="B407" s="4" t="str">
        <v>236 DBT</v>
      </c>
      <c r="C407" s="4" t="str">
        <v>DV_Cắt_Vip</v>
      </c>
      <c r="D407" s="4">
        <v>1046</v>
      </c>
      <c r="E407" s="4" t="str">
        <v>Shinecombo 2</v>
      </c>
      <c r="F407" s="21">
        <v>206000</v>
      </c>
      <c r="G407" s="21">
        <v>212000</v>
      </c>
      <c r="H407" s="21">
        <v>212000</v>
      </c>
      <c r="I407" s="4">
        <f>A407&amp;D407</f>
      </c>
      <c r="J407" s="4">
        <v>212000</v>
      </c>
      <c r="K407" s="4"/>
      <c r="L407" s="4"/>
      <c r="M407" s="4"/>
      <c r="N407" s="4"/>
      <c r="O407" s="4"/>
      <c r="P407" s="4"/>
      <c r="Q407" s="4"/>
      <c r="R407" s="4"/>
      <c r="S407" s="4"/>
    </row>
    <row r="408">
      <c r="A408" s="4">
        <v>141</v>
      </c>
      <c r="B408" s="4" t="str">
        <v>236 DBT</v>
      </c>
      <c r="C408" s="4" t="str">
        <v>DV_Cắt_Vip</v>
      </c>
      <c r="D408" s="4">
        <v>1047</v>
      </c>
      <c r="E408" s="4" t="str">
        <v>Cắt Gội Combo 3 - Chăm da</v>
      </c>
      <c r="F408" s="21">
        <v>306000</v>
      </c>
      <c r="G408" s="21">
        <v>315000</v>
      </c>
      <c r="H408" s="21">
        <v>315000</v>
      </c>
      <c r="I408" s="4">
        <f>A408&amp;D408</f>
      </c>
      <c r="J408" s="4">
        <v>315000</v>
      </c>
      <c r="K408" s="4"/>
      <c r="L408" s="4"/>
      <c r="M408" s="4"/>
      <c r="N408" s="4"/>
      <c r="O408" s="4"/>
      <c r="P408" s="4"/>
      <c r="Q408" s="4"/>
      <c r="R408" s="4"/>
      <c r="S408" s="4"/>
    </row>
    <row r="409">
      <c r="A409" s="4">
        <v>141</v>
      </c>
      <c r="B409" s="4" t="str">
        <v>236 DBT</v>
      </c>
      <c r="C409" s="4" t="str">
        <v>DV_Cắt_Vip</v>
      </c>
      <c r="D409" s="4">
        <v>1048</v>
      </c>
      <c r="E409" s="4" t="str">
        <v>Combo 4</v>
      </c>
      <c r="F409" s="21">
        <v>396000</v>
      </c>
      <c r="G409" s="21">
        <v>408000</v>
      </c>
      <c r="H409" s="21">
        <v>408000</v>
      </c>
      <c r="I409" s="4">
        <f>A409&amp;D409</f>
      </c>
      <c r="J409" s="4">
        <v>408000</v>
      </c>
      <c r="K409" s="4"/>
      <c r="L409" s="4"/>
      <c r="M409" s="4"/>
      <c r="N409" s="4"/>
      <c r="O409" s="4"/>
      <c r="P409" s="4"/>
      <c r="Q409" s="4"/>
      <c r="R409" s="4"/>
      <c r="S409" s="4"/>
    </row>
    <row r="410">
      <c r="A410" s="4">
        <v>141</v>
      </c>
      <c r="B410" s="4" t="str">
        <v>236 DBT</v>
      </c>
      <c r="C410" s="4" t="str">
        <v>DV_Cắt_Vip</v>
      </c>
      <c r="D410" s="4">
        <v>1064</v>
      </c>
      <c r="E410" s="4" t="str">
        <v>Cắt Gội Combo 5 - Dưỡng sinh</v>
      </c>
      <c r="F410" s="21">
        <v>466000</v>
      </c>
      <c r="G410" s="21">
        <v>480000</v>
      </c>
      <c r="H410" s="21">
        <v>480000</v>
      </c>
      <c r="I410" s="4">
        <f>A410&amp;D410</f>
      </c>
      <c r="J410" s="4">
        <v>480000</v>
      </c>
      <c r="K410" s="4"/>
      <c r="L410" s="4"/>
      <c r="M410" s="4"/>
      <c r="N410" s="4"/>
      <c r="O410" s="4"/>
      <c r="P410" s="4"/>
      <c r="Q410" s="4"/>
      <c r="R410" s="4"/>
      <c r="S410" s="4"/>
    </row>
    <row r="411">
      <c r="A411" s="4">
        <v>141</v>
      </c>
      <c r="B411" s="4" t="str">
        <v>236 DBT</v>
      </c>
      <c r="C411" s="4" t="str">
        <v>DV_Cắt_Vip</v>
      </c>
      <c r="D411" s="4">
        <v>1065</v>
      </c>
      <c r="E411" s="4" t="str">
        <v>Cắt Gội Combo 3 - Dưỡng sinh</v>
      </c>
      <c r="F411" s="21">
        <v>306000</v>
      </c>
      <c r="G411" s="21">
        <v>315000</v>
      </c>
      <c r="H411" s="21">
        <v>315000</v>
      </c>
      <c r="I411" s="4">
        <f>A411&amp;D411</f>
      </c>
      <c r="J411" s="4">
        <v>315000</v>
      </c>
      <c r="K411" s="4"/>
      <c r="L411" s="4"/>
      <c r="M411" s="4"/>
      <c r="N411" s="4"/>
      <c r="O411" s="4"/>
      <c r="P411" s="4"/>
      <c r="Q411" s="4"/>
      <c r="R411" s="4"/>
      <c r="S411" s="4"/>
    </row>
    <row r="412">
      <c r="A412" s="4">
        <v>141</v>
      </c>
      <c r="B412" s="4" t="str">
        <v>236 DBT</v>
      </c>
      <c r="C412" s="4" t="str">
        <v>DV_Gội</v>
      </c>
      <c r="D412" s="4">
        <v>867</v>
      </c>
      <c r="E412" s="4" t="str">
        <v>Gội dưỡng sinh cổ vai gáy</v>
      </c>
      <c r="F412" s="21">
        <v>99000</v>
      </c>
      <c r="G412" s="21">
        <v>102000</v>
      </c>
      <c r="H412" s="21">
        <v>102000</v>
      </c>
      <c r="I412" s="4">
        <f>A412&amp;D412</f>
      </c>
      <c r="J412" s="4">
        <v>102000</v>
      </c>
      <c r="K412" s="4"/>
      <c r="L412" s="4"/>
      <c r="M412" s="4"/>
      <c r="N412" s="4"/>
      <c r="O412" s="4"/>
      <c r="P412" s="4"/>
      <c r="Q412" s="4"/>
      <c r="R412" s="4"/>
      <c r="S412" s="4"/>
    </row>
    <row r="413">
      <c r="A413" s="4">
        <v>141</v>
      </c>
      <c r="B413" s="4" t="str">
        <v>236 DBT</v>
      </c>
      <c r="C413" s="4" t="str">
        <v>DV_Gội</v>
      </c>
      <c r="D413" s="4">
        <v>930</v>
      </c>
      <c r="E413" s="4" t="str">
        <v>[NEW] Gội dưỡng sinh cổ vai gáy và chăm sóc da</v>
      </c>
      <c r="F413" s="21">
        <v>139000</v>
      </c>
      <c r="G413" s="21">
        <v>143000</v>
      </c>
      <c r="H413" s="21">
        <v>143000</v>
      </c>
      <c r="I413" s="4">
        <f>A413&amp;D413</f>
      </c>
      <c r="J413" s="4">
        <v>143000</v>
      </c>
      <c r="K413" s="4"/>
      <c r="L413" s="4"/>
      <c r="M413" s="4"/>
      <c r="N413" s="4"/>
      <c r="O413" s="4"/>
      <c r="P413" s="4"/>
      <c r="Q413" s="4"/>
      <c r="R413" s="4"/>
      <c r="S413" s="4"/>
    </row>
    <row r="414">
      <c r="A414" s="4">
        <v>141</v>
      </c>
      <c r="B414" s="4" t="str">
        <v>236 DBT</v>
      </c>
      <c r="C414" s="4" t="str">
        <v>DV_Gội</v>
      </c>
      <c r="D414" s="4">
        <v>932</v>
      </c>
      <c r="E414" s="4" t="str">
        <v>Gội combo 5 dưỡng sinh</v>
      </c>
      <c r="F414" s="21">
        <v>399000</v>
      </c>
      <c r="G414" s="21">
        <v>411000</v>
      </c>
      <c r="H414" s="21">
        <v>411000</v>
      </c>
      <c r="I414" s="4">
        <f>A414&amp;D414</f>
      </c>
      <c r="J414" s="4">
        <v>411000</v>
      </c>
      <c r="K414" s="4"/>
      <c r="L414" s="4"/>
      <c r="M414" s="4"/>
      <c r="N414" s="4"/>
      <c r="O414" s="4"/>
      <c r="P414" s="4"/>
      <c r="Q414" s="4"/>
      <c r="R414" s="4"/>
      <c r="S414" s="4"/>
    </row>
    <row r="415">
      <c r="A415" s="4">
        <v>141</v>
      </c>
      <c r="B415" s="4" t="str">
        <v>236 DBT</v>
      </c>
      <c r="C415" s="4" t="str">
        <v>DV_Gội</v>
      </c>
      <c r="D415" s="4">
        <v>934</v>
      </c>
      <c r="E415" s="4" t="str">
        <v>Gội combo 3 - Dưỡng sinh</v>
      </c>
      <c r="F415" s="21">
        <v>229000</v>
      </c>
      <c r="G415" s="21">
        <v>236000</v>
      </c>
      <c r="H415" s="21">
        <v>236000</v>
      </c>
      <c r="I415" s="4">
        <f>A415&amp;D415</f>
      </c>
      <c r="J415" s="4">
        <v>236000</v>
      </c>
      <c r="K415" s="4"/>
      <c r="L415" s="4"/>
      <c r="M415" s="4"/>
      <c r="N415" s="4"/>
      <c r="O415" s="4"/>
      <c r="P415" s="4"/>
      <c r="Q415" s="4"/>
      <c r="R415" s="4"/>
      <c r="S415" s="4"/>
    </row>
    <row r="416">
      <c r="A416" s="4">
        <v>141</v>
      </c>
      <c r="B416" s="4" t="str">
        <v>236 DBT</v>
      </c>
      <c r="C416" s="4" t="str">
        <v>DV_Gội</v>
      </c>
      <c r="D416" s="4">
        <v>940</v>
      </c>
      <c r="E416" s="4" t="str">
        <v>[NEW] Gội dưỡng sinh</v>
      </c>
      <c r="F416" s="21">
        <v>59000</v>
      </c>
      <c r="G416" s="21">
        <v>61000</v>
      </c>
      <c r="H416" s="21">
        <v>61000</v>
      </c>
      <c r="I416" s="4">
        <f>A416&amp;D416</f>
      </c>
      <c r="J416" s="4">
        <v>61000</v>
      </c>
      <c r="K416" s="4"/>
      <c r="L416" s="4"/>
      <c r="M416" s="4"/>
      <c r="N416" s="4"/>
      <c r="O416" s="4"/>
      <c r="P416" s="4"/>
      <c r="Q416" s="4"/>
      <c r="R416" s="4"/>
      <c r="S416" s="4"/>
    </row>
    <row r="417">
      <c r="A417" s="4">
        <v>141</v>
      </c>
      <c r="B417" s="4" t="str">
        <v>236 DBT</v>
      </c>
      <c r="C417" s="4" t="str">
        <v>DV_Gội</v>
      </c>
      <c r="D417" s="4">
        <v>1058</v>
      </c>
      <c r="E417" s="4" t="str">
        <v>Gội Combo 2</v>
      </c>
      <c r="F417" s="21">
        <v>159000</v>
      </c>
      <c r="G417" s="21">
        <v>164000</v>
      </c>
      <c r="H417" s="21">
        <v>164000</v>
      </c>
      <c r="I417" s="4">
        <f>A417&amp;D417</f>
      </c>
      <c r="J417" s="4">
        <v>164000</v>
      </c>
      <c r="K417" s="4"/>
      <c r="L417" s="4"/>
      <c r="M417" s="4"/>
      <c r="N417" s="4"/>
      <c r="O417" s="4"/>
      <c r="P417" s="4"/>
      <c r="Q417" s="4"/>
      <c r="R417" s="4"/>
      <c r="S417" s="4"/>
    </row>
    <row r="418">
      <c r="A418" s="4">
        <v>141</v>
      </c>
      <c r="B418" s="4" t="str">
        <v>236 DBT</v>
      </c>
      <c r="C418" s="4" t="str">
        <v>DV_Gội</v>
      </c>
      <c r="D418" s="4">
        <v>1059</v>
      </c>
      <c r="E418" s="4" t="str">
        <v>Gội Combo 3 - Chăm da</v>
      </c>
      <c r="F418" s="21">
        <v>239000</v>
      </c>
      <c r="G418" s="21">
        <v>246000</v>
      </c>
      <c r="H418" s="21">
        <v>246000</v>
      </c>
      <c r="I418" s="4">
        <f>A418&amp;D418</f>
      </c>
      <c r="J418" s="4">
        <v>246000</v>
      </c>
      <c r="K418" s="4"/>
      <c r="L418" s="4"/>
      <c r="M418" s="4"/>
      <c r="N418" s="4"/>
      <c r="O418" s="4"/>
      <c r="P418" s="4"/>
      <c r="Q418" s="4"/>
      <c r="R418" s="4"/>
      <c r="S418" s="4"/>
    </row>
    <row r="419">
      <c r="A419" s="4">
        <v>141</v>
      </c>
      <c r="B419" s="4" t="str">
        <v>236 DBT</v>
      </c>
      <c r="C419" s="4" t="str">
        <v>DV_Gội</v>
      </c>
      <c r="D419" s="4">
        <v>1060</v>
      </c>
      <c r="E419" s="4" t="str">
        <v>Gội Combo 4</v>
      </c>
      <c r="F419" s="21">
        <v>289000</v>
      </c>
      <c r="G419" s="21">
        <v>298000</v>
      </c>
      <c r="H419" s="21">
        <v>298000</v>
      </c>
      <c r="I419" s="4">
        <f>A419&amp;D419</f>
      </c>
      <c r="J419" s="4">
        <v>298000</v>
      </c>
      <c r="K419" s="4"/>
      <c r="L419" s="4"/>
      <c r="M419" s="4"/>
      <c r="N419" s="4"/>
      <c r="O419" s="4"/>
      <c r="P419" s="4"/>
      <c r="Q419" s="4"/>
      <c r="R419" s="4"/>
      <c r="S419" s="4"/>
    </row>
    <row r="420">
      <c r="A420" s="4">
        <v>141</v>
      </c>
      <c r="B420" s="4" t="str">
        <v>236 DBT</v>
      </c>
      <c r="C420" s="4" t="str">
        <v>DV_Gội</v>
      </c>
      <c r="D420" s="4">
        <v>1066</v>
      </c>
      <c r="E420" s="4" t="str">
        <v>Gội trải nghiệm 75p</v>
      </c>
      <c r="F420" s="21">
        <v>589000</v>
      </c>
      <c r="G420" s="21">
        <v>606000</v>
      </c>
      <c r="H420" s="21">
        <v>606000</v>
      </c>
      <c r="I420" s="4">
        <f>A420&amp;D420</f>
      </c>
      <c r="J420" s="4">
        <v>606000</v>
      </c>
      <c r="K420" s="4"/>
      <c r="L420" s="4"/>
      <c r="M420" s="4"/>
      <c r="N420" s="4"/>
      <c r="O420" s="4"/>
      <c r="P420" s="4"/>
      <c r="Q420" s="4"/>
      <c r="R420" s="4"/>
      <c r="S420" s="4"/>
    </row>
    <row r="421">
      <c r="A421" s="4">
        <v>141</v>
      </c>
      <c r="B421" s="4" t="str">
        <v>236 DBT</v>
      </c>
      <c r="C421" s="4" t="str">
        <v>DV_Gội</v>
      </c>
      <c r="D421" s="4">
        <v>1067</v>
      </c>
      <c r="E421" s="4" t="str">
        <v>Gội trải nghiệm 90p</v>
      </c>
      <c r="F421" s="21">
        <v>789000</v>
      </c>
      <c r="G421" s="21">
        <v>812000</v>
      </c>
      <c r="H421" s="21">
        <v>812000</v>
      </c>
      <c r="I421" s="4">
        <f>A421&amp;D421</f>
      </c>
      <c r="J421" s="4">
        <v>812000</v>
      </c>
      <c r="K421" s="4"/>
      <c r="L421" s="4"/>
      <c r="M421" s="4"/>
      <c r="N421" s="4"/>
      <c r="O421" s="4"/>
      <c r="P421" s="4"/>
      <c r="Q421" s="4"/>
      <c r="R421" s="4"/>
      <c r="S421" s="4"/>
    </row>
    <row r="422">
      <c r="A422" s="4">
        <v>141</v>
      </c>
      <c r="B422" s="4" t="str">
        <v>236 DBT</v>
      </c>
      <c r="C422" s="4" t="str">
        <v>DV_Gội</v>
      </c>
      <c r="D422" s="4">
        <v>1068</v>
      </c>
      <c r="E422" s="4" t="str">
        <v>Gội trải nghiệm 115p</v>
      </c>
      <c r="F422" s="21">
        <v>999000</v>
      </c>
      <c r="G422" s="21">
        <v>1029000</v>
      </c>
      <c r="H422" s="21">
        <v>1029000</v>
      </c>
      <c r="I422" s="4">
        <f>A422&amp;D422</f>
      </c>
      <c r="J422" s="4">
        <v>1029000</v>
      </c>
      <c r="K422" s="4"/>
      <c r="L422" s="4"/>
      <c r="M422" s="4"/>
      <c r="N422" s="4"/>
      <c r="O422" s="4"/>
      <c r="P422" s="4"/>
      <c r="Q422" s="4"/>
      <c r="R422" s="4"/>
      <c r="S422" s="4"/>
    </row>
    <row r="423">
      <c r="A423" s="4">
        <v>145</v>
      </c>
      <c r="B423" s="4" t="str">
        <v>237 NTT</v>
      </c>
      <c r="C423" s="4" t="str">
        <v>DV_Cắt</v>
      </c>
      <c r="D423" s="4">
        <v>513</v>
      </c>
      <c r="E423" s="4" t="str">
        <v>[DV] ShineCombo 10 bước Ultra Care 2023</v>
      </c>
      <c r="F423" s="21">
        <v>122000</v>
      </c>
      <c r="G423" s="21">
        <v>122000</v>
      </c>
      <c r="H423" s="21">
        <v>122000</v>
      </c>
      <c r="I423" s="4">
        <f>A423&amp;D423</f>
      </c>
      <c r="J423" s="4">
        <v>122000</v>
      </c>
      <c r="K423" s="4"/>
      <c r="L423" s="4"/>
      <c r="M423" s="4"/>
      <c r="N423" s="4"/>
      <c r="O423" s="4"/>
      <c r="P423" s="4"/>
      <c r="Q423" s="4"/>
      <c r="R423" s="4"/>
      <c r="S423" s="4"/>
    </row>
    <row r="424">
      <c r="A424" s="4">
        <v>145</v>
      </c>
      <c r="B424" s="4" t="str">
        <v>237 NTT</v>
      </c>
      <c r="C424" s="4" t="str">
        <v>DV_Cắt</v>
      </c>
      <c r="D424" s="4">
        <v>891</v>
      </c>
      <c r="E424" s="4" t="str">
        <v>Cắt xả tạo kiểu</v>
      </c>
      <c r="F424" s="21">
        <v>94000</v>
      </c>
      <c r="G424" s="21">
        <v>94000</v>
      </c>
      <c r="H424" s="21">
        <v>94000</v>
      </c>
      <c r="I424" s="4">
        <f>A424&amp;D424</f>
      </c>
      <c r="J424" s="4">
        <v>94000</v>
      </c>
      <c r="K424" s="4"/>
      <c r="L424" s="4"/>
      <c r="M424" s="4"/>
      <c r="N424" s="4"/>
      <c r="O424" s="4"/>
      <c r="P424" s="4"/>
      <c r="Q424" s="4"/>
      <c r="R424" s="4"/>
      <c r="S424" s="4"/>
    </row>
    <row r="425">
      <c r="A425" s="4">
        <v>145</v>
      </c>
      <c r="B425" s="4" t="str">
        <v>237 NTT</v>
      </c>
      <c r="C425" s="4" t="str">
        <v>DV_Cắt</v>
      </c>
      <c r="D425" s="4">
        <v>1002</v>
      </c>
      <c r="E425" s="4" t="str">
        <v>Kid Cắt</v>
      </c>
      <c r="F425" s="21">
        <v>75000</v>
      </c>
      <c r="G425" s="21">
        <v>75000</v>
      </c>
      <c r="H425" s="21">
        <v>75000</v>
      </c>
      <c r="I425" s="4">
        <f>A425&amp;D425</f>
      </c>
      <c r="J425" s="4">
        <v>75000</v>
      </c>
      <c r="K425" s="4"/>
      <c r="L425" s="4"/>
      <c r="M425" s="4"/>
      <c r="N425" s="4"/>
      <c r="O425" s="4"/>
      <c r="P425" s="4"/>
      <c r="Q425" s="4"/>
      <c r="R425" s="4"/>
      <c r="S425" s="4"/>
    </row>
    <row r="426">
      <c r="A426" s="4">
        <v>145</v>
      </c>
      <c r="B426" s="4" t="str">
        <v>237 NTT</v>
      </c>
      <c r="C426" s="4" t="str">
        <v>DV_Cắt</v>
      </c>
      <c r="D426" s="4">
        <v>1052</v>
      </c>
      <c r="E426" s="4" t="str">
        <v>Combo 1 - First Class 1</v>
      </c>
      <c r="F426" s="21">
        <v>139000</v>
      </c>
      <c r="G426" s="21">
        <v>139000</v>
      </c>
      <c r="H426" s="21">
        <v>139000</v>
      </c>
      <c r="I426" s="4">
        <f>A426&amp;D426</f>
      </c>
      <c r="J426" s="4">
        <v>139000</v>
      </c>
      <c r="K426" s="4"/>
      <c r="L426" s="4"/>
      <c r="M426" s="4"/>
      <c r="N426" s="4"/>
      <c r="O426" s="4"/>
      <c r="P426" s="4"/>
      <c r="Q426" s="4"/>
      <c r="R426" s="4"/>
      <c r="S426" s="4"/>
    </row>
    <row r="427">
      <c r="A427" s="4">
        <v>145</v>
      </c>
      <c r="B427" s="4" t="str">
        <v>237 NTT</v>
      </c>
      <c r="C427" s="4" t="str">
        <v>DV_Cắt</v>
      </c>
      <c r="D427" s="4">
        <v>1070</v>
      </c>
      <c r="E427" s="4" t="str">
        <v>Combo Cắt gội Kid</v>
      </c>
      <c r="F427" s="21">
        <v>100000</v>
      </c>
      <c r="G427" s="21">
        <v>100000</v>
      </c>
      <c r="H427" s="21">
        <v>100000</v>
      </c>
      <c r="I427" s="4">
        <f>A427&amp;D427</f>
      </c>
      <c r="J427" s="4">
        <v>100000</v>
      </c>
      <c r="K427" s="4"/>
      <c r="L427" s="4"/>
      <c r="M427" s="4"/>
      <c r="N427" s="4"/>
      <c r="O427" s="4"/>
      <c r="P427" s="4"/>
      <c r="Q427" s="4"/>
      <c r="R427" s="4"/>
      <c r="S427" s="4"/>
    </row>
    <row r="428">
      <c r="A428" s="4">
        <v>145</v>
      </c>
      <c r="B428" s="4" t="str">
        <v>237 NTT</v>
      </c>
      <c r="C428" s="4" t="str">
        <v>DV_Cắt_Vip</v>
      </c>
      <c r="D428" s="4">
        <v>1046</v>
      </c>
      <c r="E428" s="4" t="str">
        <v>Shinecombo 2</v>
      </c>
      <c r="F428" s="21">
        <v>199000</v>
      </c>
      <c r="G428" s="21">
        <v>199000</v>
      </c>
      <c r="H428" s="21">
        <v>199000</v>
      </c>
      <c r="I428" s="4">
        <f>A428&amp;D428</f>
      </c>
      <c r="J428" s="4">
        <v>199000</v>
      </c>
      <c r="K428" s="4"/>
      <c r="L428" s="4"/>
      <c r="M428" s="4"/>
      <c r="N428" s="4"/>
      <c r="O428" s="4"/>
      <c r="P428" s="4"/>
      <c r="Q428" s="4"/>
      <c r="R428" s="4"/>
      <c r="S428" s="4"/>
    </row>
    <row r="429">
      <c r="A429" s="4">
        <v>145</v>
      </c>
      <c r="B429" s="4" t="str">
        <v>237 NTT</v>
      </c>
      <c r="C429" s="4" t="str">
        <v>DV_Cắt_Vip</v>
      </c>
      <c r="D429" s="4">
        <v>1047</v>
      </c>
      <c r="E429" s="4" t="str">
        <v>Cắt Gội Combo 3 - Chăm da</v>
      </c>
      <c r="F429" s="21">
        <v>299000</v>
      </c>
      <c r="G429" s="21">
        <v>299000</v>
      </c>
      <c r="H429" s="21">
        <v>299000</v>
      </c>
      <c r="I429" s="4">
        <f>A429&amp;D429</f>
      </c>
      <c r="J429" s="4">
        <v>299000</v>
      </c>
      <c r="K429" s="4"/>
      <c r="L429" s="4"/>
      <c r="M429" s="4"/>
      <c r="N429" s="4"/>
      <c r="O429" s="4"/>
      <c r="P429" s="4"/>
      <c r="Q429" s="4"/>
      <c r="R429" s="4"/>
      <c r="S429" s="4"/>
    </row>
    <row r="430">
      <c r="A430" s="4">
        <v>145</v>
      </c>
      <c r="B430" s="4" t="str">
        <v>237 NTT</v>
      </c>
      <c r="C430" s="4" t="str">
        <v>DV_Cắt_Vip</v>
      </c>
      <c r="D430" s="4">
        <v>1048</v>
      </c>
      <c r="E430" s="4" t="str">
        <v>Combo 4</v>
      </c>
      <c r="F430" s="21">
        <v>389000</v>
      </c>
      <c r="G430" s="21">
        <v>389000</v>
      </c>
      <c r="H430" s="21">
        <v>389000</v>
      </c>
      <c r="I430" s="4">
        <f>A430&amp;D430</f>
      </c>
      <c r="J430" s="4">
        <v>389000</v>
      </c>
      <c r="K430" s="4"/>
      <c r="L430" s="4"/>
      <c r="M430" s="4"/>
      <c r="N430" s="4"/>
      <c r="O430" s="4"/>
      <c r="P430" s="4"/>
      <c r="Q430" s="4"/>
      <c r="R430" s="4"/>
      <c r="S430" s="4"/>
    </row>
    <row r="431">
      <c r="A431" s="4">
        <v>145</v>
      </c>
      <c r="B431" s="4" t="str">
        <v>237 NTT</v>
      </c>
      <c r="C431" s="4" t="str">
        <v>DV_Cắt_Vip</v>
      </c>
      <c r="D431" s="4">
        <v>1053</v>
      </c>
      <c r="E431" s="4" t="str">
        <v>Combo 2 - First Class 2</v>
      </c>
      <c r="F431" s="21">
        <v>239000</v>
      </c>
      <c r="G431" s="21">
        <v>239000</v>
      </c>
      <c r="H431" s="21">
        <v>239000</v>
      </c>
      <c r="I431" s="4">
        <f>A431&amp;D431</f>
      </c>
      <c r="J431" s="4">
        <v>239000</v>
      </c>
      <c r="K431" s="4"/>
      <c r="L431" s="4"/>
      <c r="M431" s="4"/>
      <c r="N431" s="4"/>
      <c r="O431" s="4"/>
      <c r="P431" s="4"/>
      <c r="Q431" s="4"/>
      <c r="R431" s="4"/>
      <c r="S431" s="4"/>
    </row>
    <row r="432">
      <c r="A432" s="4">
        <v>145</v>
      </c>
      <c r="B432" s="4" t="str">
        <v>237 NTT</v>
      </c>
      <c r="C432" s="4" t="str">
        <v>DV_Cắt_Vip</v>
      </c>
      <c r="D432" s="4">
        <v>1054</v>
      </c>
      <c r="E432" s="4" t="str">
        <v>Combo 3 - First Class 3</v>
      </c>
      <c r="F432" s="21">
        <v>309000</v>
      </c>
      <c r="G432" s="21">
        <v>309000</v>
      </c>
      <c r="H432" s="21">
        <v>309000</v>
      </c>
      <c r="I432" s="4">
        <f>A432&amp;D432</f>
      </c>
      <c r="J432" s="4">
        <v>309000</v>
      </c>
      <c r="K432" s="4"/>
      <c r="L432" s="4"/>
      <c r="M432" s="4"/>
      <c r="N432" s="4"/>
      <c r="O432" s="4"/>
      <c r="P432" s="4"/>
      <c r="Q432" s="4"/>
      <c r="R432" s="4"/>
      <c r="S432" s="4"/>
    </row>
    <row r="433">
      <c r="A433" s="4">
        <v>145</v>
      </c>
      <c r="B433" s="4" t="str">
        <v>237 NTT</v>
      </c>
      <c r="C433" s="4" t="str">
        <v>DV_Cắt_Vip</v>
      </c>
      <c r="D433" s="4">
        <v>1055</v>
      </c>
      <c r="E433" s="4" t="str">
        <v>Combo 4- First Class 4</v>
      </c>
      <c r="F433" s="21">
        <v>409000</v>
      </c>
      <c r="G433" s="21">
        <v>409000</v>
      </c>
      <c r="H433" s="21">
        <v>409000</v>
      </c>
      <c r="I433" s="4">
        <f>A433&amp;D433</f>
      </c>
      <c r="J433" s="4">
        <v>409000</v>
      </c>
      <c r="K433" s="4"/>
      <c r="L433" s="4"/>
      <c r="M433" s="4"/>
      <c r="N433" s="4"/>
      <c r="O433" s="4"/>
      <c r="P433" s="4"/>
      <c r="Q433" s="4"/>
      <c r="R433" s="4"/>
      <c r="S433" s="4"/>
    </row>
    <row r="434">
      <c r="A434" s="4">
        <v>145</v>
      </c>
      <c r="B434" s="4" t="str">
        <v>237 NTT</v>
      </c>
      <c r="C434" s="4" t="str">
        <v>DV_Cắt_Vip</v>
      </c>
      <c r="D434" s="4">
        <v>1064</v>
      </c>
      <c r="E434" s="4" t="str">
        <v>Cắt Gội Combo 5 - Dưỡng sinh</v>
      </c>
      <c r="F434" s="21">
        <v>459000</v>
      </c>
      <c r="G434" s="21">
        <v>459000</v>
      </c>
      <c r="H434" s="21">
        <v>459000</v>
      </c>
      <c r="I434" s="4">
        <f>A434&amp;D434</f>
      </c>
      <c r="J434" s="4">
        <v>459000</v>
      </c>
      <c r="K434" s="4"/>
      <c r="L434" s="4"/>
      <c r="M434" s="4"/>
      <c r="N434" s="4"/>
      <c r="O434" s="4"/>
      <c r="P434" s="4"/>
      <c r="Q434" s="4"/>
      <c r="R434" s="4"/>
      <c r="S434" s="4"/>
    </row>
    <row r="435">
      <c r="A435" s="4">
        <v>145</v>
      </c>
      <c r="B435" s="4" t="str">
        <v>237 NTT</v>
      </c>
      <c r="C435" s="4" t="str">
        <v>DV_Cắt_Vip</v>
      </c>
      <c r="D435" s="4">
        <v>1065</v>
      </c>
      <c r="E435" s="4" t="str">
        <v>Cắt Gội Combo 3 - Dưỡng sinh</v>
      </c>
      <c r="F435" s="21">
        <v>299000</v>
      </c>
      <c r="G435" s="21">
        <v>299000</v>
      </c>
      <c r="H435" s="21">
        <v>299000</v>
      </c>
      <c r="I435" s="4">
        <f>A435&amp;D435</f>
      </c>
      <c r="J435" s="4">
        <v>299000</v>
      </c>
      <c r="K435" s="4"/>
      <c r="L435" s="4"/>
      <c r="M435" s="4"/>
      <c r="N435" s="4"/>
      <c r="O435" s="4"/>
      <c r="P435" s="4"/>
      <c r="Q435" s="4"/>
      <c r="R435" s="4"/>
      <c r="S435" s="4"/>
    </row>
    <row r="436">
      <c r="A436" s="4">
        <v>145</v>
      </c>
      <c r="B436" s="4" t="str">
        <v>237 NTT</v>
      </c>
      <c r="C436" s="4" t="str">
        <v>DV_Gội</v>
      </c>
      <c r="D436" s="4">
        <v>867</v>
      </c>
      <c r="E436" s="4" t="str">
        <v>Gội dưỡng sinh cổ vai gáy</v>
      </c>
      <c r="F436" s="21">
        <v>99000</v>
      </c>
      <c r="G436" s="21">
        <v>99000</v>
      </c>
      <c r="H436" s="21">
        <v>99000</v>
      </c>
      <c r="I436" s="4">
        <f>A436&amp;D436</f>
      </c>
      <c r="J436" s="4">
        <v>99000</v>
      </c>
      <c r="K436" s="4"/>
      <c r="L436" s="4"/>
      <c r="M436" s="4"/>
      <c r="N436" s="4"/>
      <c r="O436" s="4"/>
      <c r="P436" s="4"/>
      <c r="Q436" s="4"/>
      <c r="R436" s="4"/>
      <c r="S436" s="4"/>
    </row>
    <row r="437">
      <c r="A437" s="4">
        <v>145</v>
      </c>
      <c r="B437" s="4" t="str">
        <v>237 NTT</v>
      </c>
      <c r="C437" s="4" t="str">
        <v>DV_Gội</v>
      </c>
      <c r="D437" s="4">
        <v>930</v>
      </c>
      <c r="E437" s="4" t="str">
        <v>[NEW] Gội dưỡng sinh cổ vai gáy và chăm sóc da</v>
      </c>
      <c r="F437" s="21">
        <v>139000</v>
      </c>
      <c r="G437" s="21">
        <v>139000</v>
      </c>
      <c r="H437" s="21">
        <v>139000</v>
      </c>
      <c r="I437" s="4">
        <f>A437&amp;D437</f>
      </c>
      <c r="J437" s="4">
        <v>139000</v>
      </c>
      <c r="K437" s="4"/>
      <c r="L437" s="4"/>
      <c r="M437" s="4"/>
      <c r="N437" s="4"/>
      <c r="O437" s="4"/>
      <c r="P437" s="4"/>
      <c r="Q437" s="4"/>
      <c r="R437" s="4"/>
      <c r="S437" s="4"/>
    </row>
    <row r="438">
      <c r="A438" s="4">
        <v>145</v>
      </c>
      <c r="B438" s="4" t="str">
        <v>237 NTT</v>
      </c>
      <c r="C438" s="4" t="str">
        <v>DV_Gội</v>
      </c>
      <c r="D438" s="4">
        <v>932</v>
      </c>
      <c r="E438" s="4" t="str">
        <v>Gội combo 5 dưỡng sinh</v>
      </c>
      <c r="F438" s="21">
        <v>399000</v>
      </c>
      <c r="G438" s="21">
        <v>399000</v>
      </c>
      <c r="H438" s="21">
        <v>399000</v>
      </c>
      <c r="I438" s="4">
        <f>A438&amp;D438</f>
      </c>
      <c r="J438" s="4">
        <v>399000</v>
      </c>
      <c r="K438" s="4"/>
      <c r="L438" s="4"/>
      <c r="M438" s="4"/>
      <c r="N438" s="4"/>
      <c r="O438" s="4"/>
      <c r="P438" s="4"/>
      <c r="Q438" s="4"/>
      <c r="R438" s="4"/>
      <c r="S438" s="4"/>
    </row>
    <row r="439">
      <c r="A439" s="4">
        <v>145</v>
      </c>
      <c r="B439" s="4" t="str">
        <v>237 NTT</v>
      </c>
      <c r="C439" s="4" t="str">
        <v>DV_Gội</v>
      </c>
      <c r="D439" s="4">
        <v>934</v>
      </c>
      <c r="E439" s="4" t="str">
        <v>Gội combo 3 - Dưỡng sinh</v>
      </c>
      <c r="F439" s="21">
        <v>229000</v>
      </c>
      <c r="G439" s="21">
        <v>229000</v>
      </c>
      <c r="H439" s="21">
        <v>229000</v>
      </c>
      <c r="I439" s="4">
        <f>A439&amp;D439</f>
      </c>
      <c r="J439" s="4">
        <v>229000</v>
      </c>
      <c r="K439" s="4"/>
      <c r="L439" s="4"/>
      <c r="M439" s="4"/>
      <c r="N439" s="4"/>
      <c r="O439" s="4"/>
      <c r="P439" s="4"/>
      <c r="Q439" s="4"/>
      <c r="R439" s="4"/>
      <c r="S439" s="4"/>
    </row>
    <row r="440">
      <c r="A440" s="4">
        <v>145</v>
      </c>
      <c r="B440" s="4" t="str">
        <v>237 NTT</v>
      </c>
      <c r="C440" s="4" t="str">
        <v>DV_Gội</v>
      </c>
      <c r="D440" s="4">
        <v>940</v>
      </c>
      <c r="E440" s="4" t="str">
        <v>[NEW] Gội dưỡng sinh</v>
      </c>
      <c r="F440" s="21">
        <v>59000</v>
      </c>
      <c r="G440" s="21">
        <v>59000</v>
      </c>
      <c r="H440" s="21">
        <v>59000</v>
      </c>
      <c r="I440" s="4">
        <f>A440&amp;D440</f>
      </c>
      <c r="J440" s="4">
        <v>59000</v>
      </c>
      <c r="K440" s="4"/>
      <c r="L440" s="4"/>
      <c r="M440" s="4"/>
      <c r="N440" s="4"/>
      <c r="O440" s="4"/>
      <c r="P440" s="4"/>
      <c r="Q440" s="4"/>
      <c r="R440" s="4"/>
      <c r="S440" s="4"/>
    </row>
    <row r="441">
      <c r="A441" s="4">
        <v>145</v>
      </c>
      <c r="B441" s="4" t="str">
        <v>237 NTT</v>
      </c>
      <c r="C441" s="4" t="str">
        <v>DV_Gội</v>
      </c>
      <c r="D441" s="4">
        <v>1058</v>
      </c>
      <c r="E441" s="4" t="str">
        <v>Gội Combo 2</v>
      </c>
      <c r="F441" s="21">
        <v>159000</v>
      </c>
      <c r="G441" s="21">
        <v>159000</v>
      </c>
      <c r="H441" s="21">
        <v>159000</v>
      </c>
      <c r="I441" s="4">
        <f>A441&amp;D441</f>
      </c>
      <c r="J441" s="4">
        <v>159000</v>
      </c>
      <c r="K441" s="4"/>
      <c r="L441" s="4"/>
      <c r="M441" s="4"/>
      <c r="N441" s="4"/>
      <c r="O441" s="4"/>
      <c r="P441" s="4"/>
      <c r="Q441" s="4"/>
      <c r="R441" s="4"/>
      <c r="S441" s="4"/>
    </row>
    <row r="442">
      <c r="A442" s="4">
        <v>145</v>
      </c>
      <c r="B442" s="4" t="str">
        <v>237 NTT</v>
      </c>
      <c r="C442" s="4" t="str">
        <v>DV_Gội</v>
      </c>
      <c r="D442" s="4">
        <v>1059</v>
      </c>
      <c r="E442" s="4" t="str">
        <v>Gội Combo 3 - Chăm da</v>
      </c>
      <c r="F442" s="21">
        <v>239000</v>
      </c>
      <c r="G442" s="21">
        <v>239000</v>
      </c>
      <c r="H442" s="21">
        <v>239000</v>
      </c>
      <c r="I442" s="4">
        <f>A442&amp;D442</f>
      </c>
      <c r="J442" s="4">
        <v>239000</v>
      </c>
      <c r="K442" s="4"/>
      <c r="L442" s="4"/>
      <c r="M442" s="4"/>
      <c r="N442" s="4"/>
      <c r="O442" s="4"/>
      <c r="P442" s="4"/>
      <c r="Q442" s="4"/>
      <c r="R442" s="4"/>
      <c r="S442" s="4"/>
    </row>
    <row r="443">
      <c r="A443" s="4">
        <v>145</v>
      </c>
      <c r="B443" s="4" t="str">
        <v>237 NTT</v>
      </c>
      <c r="C443" s="4" t="str">
        <v>DV_Gội</v>
      </c>
      <c r="D443" s="4">
        <v>1060</v>
      </c>
      <c r="E443" s="4" t="str">
        <v>Gội Combo 4</v>
      </c>
      <c r="F443" s="21">
        <v>329000</v>
      </c>
      <c r="G443" s="21">
        <v>329000</v>
      </c>
      <c r="H443" s="21">
        <v>329000</v>
      </c>
      <c r="I443" s="4">
        <f>A443&amp;D443</f>
      </c>
      <c r="J443" s="4">
        <v>329000</v>
      </c>
      <c r="K443" s="4"/>
      <c r="L443" s="4"/>
      <c r="M443" s="4"/>
      <c r="N443" s="4"/>
      <c r="O443" s="4"/>
      <c r="P443" s="4"/>
      <c r="Q443" s="4"/>
      <c r="R443" s="4"/>
      <c r="S443" s="4"/>
    </row>
    <row r="444">
      <c r="A444" s="4">
        <v>145</v>
      </c>
      <c r="B444" s="4" t="str">
        <v>237 NTT</v>
      </c>
      <c r="C444" s="4" t="str">
        <v>DV_Gội</v>
      </c>
      <c r="D444" s="4">
        <v>1066</v>
      </c>
      <c r="E444" s="4" t="str">
        <v>Gội trải nghiệm 75p</v>
      </c>
      <c r="F444" s="21">
        <v>589000</v>
      </c>
      <c r="G444" s="21">
        <v>589000</v>
      </c>
      <c r="H444" s="21">
        <v>589000</v>
      </c>
      <c r="I444" s="4">
        <f>A444&amp;D444</f>
      </c>
      <c r="J444" s="4">
        <v>589000</v>
      </c>
      <c r="K444" s="4"/>
      <c r="L444" s="4"/>
      <c r="M444" s="4"/>
      <c r="N444" s="4"/>
      <c r="O444" s="4"/>
      <c r="P444" s="4"/>
      <c r="Q444" s="4"/>
      <c r="R444" s="4"/>
      <c r="S444" s="4"/>
    </row>
    <row r="445">
      <c r="A445" s="4">
        <v>145</v>
      </c>
      <c r="B445" s="4" t="str">
        <v>237 NTT</v>
      </c>
      <c r="C445" s="4" t="str">
        <v>DV_Gội</v>
      </c>
      <c r="D445" s="4">
        <v>1067</v>
      </c>
      <c r="E445" s="4" t="str">
        <v>Gội trải nghiệm 90p</v>
      </c>
      <c r="F445" s="21">
        <v>789000</v>
      </c>
      <c r="G445" s="21">
        <v>789000</v>
      </c>
      <c r="H445" s="21">
        <v>789000</v>
      </c>
      <c r="I445" s="4">
        <f>A445&amp;D445</f>
      </c>
      <c r="J445" s="4">
        <v>789000</v>
      </c>
      <c r="K445" s="4"/>
      <c r="L445" s="4"/>
      <c r="M445" s="4"/>
      <c r="N445" s="4"/>
      <c r="O445" s="4"/>
      <c r="P445" s="4"/>
      <c r="Q445" s="4"/>
      <c r="R445" s="4"/>
      <c r="S445" s="4"/>
    </row>
    <row r="446">
      <c r="A446" s="4">
        <v>145</v>
      </c>
      <c r="B446" s="4" t="str">
        <v>237 NTT</v>
      </c>
      <c r="C446" s="4" t="str">
        <v>DV_Gội</v>
      </c>
      <c r="D446" s="4">
        <v>1068</v>
      </c>
      <c r="E446" s="4" t="str">
        <v>Gội trải nghiệm 115p</v>
      </c>
      <c r="F446" s="21">
        <v>999000</v>
      </c>
      <c r="G446" s="21">
        <v>999000</v>
      </c>
      <c r="H446" s="21">
        <v>999000</v>
      </c>
      <c r="I446" s="4">
        <f>A446&amp;D446</f>
      </c>
      <c r="J446" s="4">
        <v>999000</v>
      </c>
      <c r="K446" s="4"/>
      <c r="L446" s="4"/>
      <c r="M446" s="4"/>
      <c r="N446" s="4"/>
      <c r="O446" s="4"/>
      <c r="P446" s="4"/>
      <c r="Q446" s="4"/>
      <c r="R446" s="4"/>
      <c r="S446" s="4"/>
    </row>
    <row r="447">
      <c r="A447" s="4">
        <v>45</v>
      </c>
      <c r="B447" s="4" t="str">
        <v>25 TD</v>
      </c>
      <c r="C447" s="4" t="str">
        <v>DV_Cắt</v>
      </c>
      <c r="D447" s="4">
        <v>513</v>
      </c>
      <c r="E447" s="4" t="str">
        <v>[DV] ShineCombo 10 bước Ultra Care 2023</v>
      </c>
      <c r="F447" s="21">
        <v>122000</v>
      </c>
      <c r="G447" s="21">
        <v>122000</v>
      </c>
      <c r="H447" s="21">
        <v>122000</v>
      </c>
      <c r="I447" s="4">
        <f>A447&amp;D447</f>
      </c>
      <c r="J447" s="4">
        <v>122000</v>
      </c>
      <c r="K447" s="4"/>
      <c r="L447" s="4"/>
      <c r="M447" s="4"/>
      <c r="N447" s="4"/>
      <c r="O447" s="4"/>
      <c r="P447" s="4"/>
      <c r="Q447" s="4"/>
      <c r="R447" s="4"/>
      <c r="S447" s="4"/>
    </row>
    <row r="448">
      <c r="A448" s="4">
        <v>45</v>
      </c>
      <c r="B448" s="4" t="str">
        <v>25 TD</v>
      </c>
      <c r="C448" s="4" t="str">
        <v>DV_Cắt</v>
      </c>
      <c r="D448" s="4">
        <v>891</v>
      </c>
      <c r="E448" s="4" t="str">
        <v>Cắt xả tạo kiểu</v>
      </c>
      <c r="F448" s="21">
        <v>95000</v>
      </c>
      <c r="G448" s="21">
        <v>96000</v>
      </c>
      <c r="H448" s="21">
        <v>96000</v>
      </c>
      <c r="I448" s="4">
        <f>A448&amp;D448</f>
      </c>
      <c r="J448" s="4">
        <v>96000</v>
      </c>
      <c r="K448" s="4"/>
      <c r="L448" s="4"/>
      <c r="M448" s="4"/>
      <c r="N448" s="4"/>
      <c r="O448" s="4"/>
      <c r="P448" s="4"/>
      <c r="Q448" s="4"/>
      <c r="R448" s="4"/>
      <c r="S448" s="4"/>
    </row>
    <row r="449">
      <c r="A449" s="4">
        <v>45</v>
      </c>
      <c r="B449" s="4" t="str">
        <v>25 TD</v>
      </c>
      <c r="C449" s="4" t="str">
        <v>DV_Cắt</v>
      </c>
      <c r="D449" s="4">
        <v>1002</v>
      </c>
      <c r="E449" s="4" t="str">
        <v>Kid Cắt</v>
      </c>
      <c r="F449" s="21">
        <v>76000</v>
      </c>
      <c r="G449" s="21">
        <v>77000</v>
      </c>
      <c r="H449" s="21">
        <v>77000</v>
      </c>
      <c r="I449" s="4">
        <f>A449&amp;D449</f>
      </c>
      <c r="J449" s="4">
        <v>77000</v>
      </c>
      <c r="K449" s="4"/>
      <c r="L449" s="4"/>
      <c r="M449" s="4"/>
      <c r="N449" s="4"/>
      <c r="O449" s="4"/>
      <c r="P449" s="4"/>
      <c r="Q449" s="4"/>
      <c r="R449" s="4"/>
      <c r="S449" s="4"/>
    </row>
    <row r="450">
      <c r="A450" s="4">
        <v>45</v>
      </c>
      <c r="B450" s="4" t="str">
        <v>25 TD</v>
      </c>
      <c r="C450" s="4" t="str">
        <v>DV_Cắt</v>
      </c>
      <c r="D450" s="4">
        <v>1052</v>
      </c>
      <c r="E450" s="4" t="str">
        <v>Combo 1 - First Class 1</v>
      </c>
      <c r="F450" s="21">
        <v>139000</v>
      </c>
      <c r="G450" s="21">
        <v>139000</v>
      </c>
      <c r="H450" s="21">
        <v>139000</v>
      </c>
      <c r="I450" s="4">
        <f>A450&amp;D450</f>
      </c>
      <c r="J450" s="4">
        <v>139000</v>
      </c>
      <c r="K450" s="4"/>
      <c r="L450" s="4"/>
      <c r="M450" s="4"/>
      <c r="N450" s="4"/>
      <c r="O450" s="4"/>
      <c r="P450" s="4"/>
      <c r="Q450" s="4"/>
      <c r="R450" s="4"/>
      <c r="S450" s="4"/>
    </row>
    <row r="451">
      <c r="A451" s="4">
        <v>45</v>
      </c>
      <c r="B451" s="4" t="str">
        <v>25 TD</v>
      </c>
      <c r="C451" s="4" t="str">
        <v>DV_Cắt</v>
      </c>
      <c r="D451" s="4">
        <v>1070</v>
      </c>
      <c r="E451" s="4" t="str">
        <v>Combo Cắt gội Kid</v>
      </c>
      <c r="F451" s="21">
        <v>100000</v>
      </c>
      <c r="G451" s="21">
        <v>101000</v>
      </c>
      <c r="H451" s="21">
        <v>101000</v>
      </c>
      <c r="I451" s="4">
        <f>A451&amp;D451</f>
      </c>
      <c r="J451" s="4">
        <v>101000</v>
      </c>
      <c r="K451" s="4"/>
      <c r="L451" s="4"/>
      <c r="M451" s="4"/>
      <c r="N451" s="4"/>
      <c r="O451" s="4"/>
      <c r="P451" s="4"/>
      <c r="Q451" s="4"/>
      <c r="R451" s="4"/>
      <c r="S451" s="4"/>
    </row>
    <row r="452">
      <c r="A452" s="4">
        <v>45</v>
      </c>
      <c r="B452" s="4" t="str">
        <v>25 TD</v>
      </c>
      <c r="C452" s="4" t="str">
        <v>DV_Cắt_Vip</v>
      </c>
      <c r="D452" s="4">
        <v>1046</v>
      </c>
      <c r="E452" s="4" t="str">
        <v>Shinecombo 2</v>
      </c>
      <c r="F452" s="21">
        <v>200000</v>
      </c>
      <c r="G452" s="21">
        <v>202000</v>
      </c>
      <c r="H452" s="21">
        <v>202000</v>
      </c>
      <c r="I452" s="4">
        <f>A452&amp;D452</f>
      </c>
      <c r="J452" s="4">
        <v>202000</v>
      </c>
      <c r="K452" s="4"/>
      <c r="L452" s="4"/>
      <c r="M452" s="4"/>
      <c r="N452" s="4"/>
      <c r="O452" s="4"/>
      <c r="P452" s="4"/>
      <c r="Q452" s="4"/>
      <c r="R452" s="4"/>
      <c r="S452" s="4"/>
    </row>
    <row r="453">
      <c r="A453" s="4">
        <v>45</v>
      </c>
      <c r="B453" s="4" t="str">
        <v>25 TD</v>
      </c>
      <c r="C453" s="4" t="str">
        <v>DV_Cắt_Vip</v>
      </c>
      <c r="D453" s="4">
        <v>1047</v>
      </c>
      <c r="E453" s="4" t="str">
        <v>Cắt Gội Combo 3 - Chăm da</v>
      </c>
      <c r="F453" s="21">
        <v>300000</v>
      </c>
      <c r="G453" s="21">
        <v>303000</v>
      </c>
      <c r="H453" s="21">
        <v>303000</v>
      </c>
      <c r="I453" s="4">
        <f>A453&amp;D453</f>
      </c>
      <c r="J453" s="4">
        <v>303000</v>
      </c>
      <c r="K453" s="4"/>
      <c r="L453" s="4"/>
      <c r="M453" s="4"/>
      <c r="N453" s="4"/>
      <c r="O453" s="4"/>
      <c r="P453" s="4"/>
      <c r="Q453" s="4"/>
      <c r="R453" s="4"/>
      <c r="S453" s="4"/>
    </row>
    <row r="454">
      <c r="A454" s="4">
        <v>45</v>
      </c>
      <c r="B454" s="4" t="str">
        <v>25 TD</v>
      </c>
      <c r="C454" s="4" t="str">
        <v>DV_Cắt_Vip</v>
      </c>
      <c r="D454" s="4">
        <v>1048</v>
      </c>
      <c r="E454" s="4" t="str">
        <v>Combo 4</v>
      </c>
      <c r="F454" s="21">
        <v>390000</v>
      </c>
      <c r="G454" s="21">
        <v>394000</v>
      </c>
      <c r="H454" s="21">
        <v>394000</v>
      </c>
      <c r="I454" s="4">
        <f>A454&amp;D454</f>
      </c>
      <c r="J454" s="4">
        <v>394000</v>
      </c>
      <c r="K454" s="4"/>
      <c r="L454" s="4"/>
      <c r="M454" s="4"/>
      <c r="N454" s="4"/>
      <c r="O454" s="4"/>
      <c r="P454" s="4"/>
      <c r="Q454" s="4"/>
      <c r="R454" s="4"/>
      <c r="S454" s="4"/>
    </row>
    <row r="455">
      <c r="A455" s="4">
        <v>45</v>
      </c>
      <c r="B455" s="4" t="str">
        <v>25 TD</v>
      </c>
      <c r="C455" s="4" t="str">
        <v>DV_Cắt_Vip</v>
      </c>
      <c r="D455" s="4">
        <v>1053</v>
      </c>
      <c r="E455" s="4" t="str">
        <v>Combo 2 - First Class 2</v>
      </c>
      <c r="F455" s="21">
        <v>240000</v>
      </c>
      <c r="G455" s="21">
        <v>243000</v>
      </c>
      <c r="H455" s="21">
        <v>243000</v>
      </c>
      <c r="I455" s="4">
        <f>A455&amp;D455</f>
      </c>
      <c r="J455" s="4">
        <v>243000</v>
      </c>
      <c r="K455" s="4"/>
      <c r="L455" s="4"/>
      <c r="M455" s="4"/>
      <c r="N455" s="4"/>
      <c r="O455" s="4"/>
      <c r="P455" s="4"/>
      <c r="Q455" s="4"/>
      <c r="R455" s="4"/>
      <c r="S455" s="4"/>
    </row>
    <row r="456">
      <c r="A456" s="4">
        <v>45</v>
      </c>
      <c r="B456" s="4" t="str">
        <v>25 TD</v>
      </c>
      <c r="C456" s="4" t="str">
        <v>DV_Cắt_Vip</v>
      </c>
      <c r="D456" s="4">
        <v>1054</v>
      </c>
      <c r="E456" s="4" t="str">
        <v>Combo 3 - First Class 3</v>
      </c>
      <c r="F456" s="21">
        <v>310000</v>
      </c>
      <c r="G456" s="21">
        <v>313000</v>
      </c>
      <c r="H456" s="21">
        <v>313000</v>
      </c>
      <c r="I456" s="4">
        <f>A456&amp;D456</f>
      </c>
      <c r="J456" s="4">
        <v>313000</v>
      </c>
      <c r="K456" s="4"/>
      <c r="L456" s="4"/>
      <c r="M456" s="4"/>
      <c r="N456" s="4"/>
      <c r="O456" s="4"/>
      <c r="P456" s="4"/>
      <c r="Q456" s="4"/>
      <c r="R456" s="4"/>
      <c r="S456" s="4"/>
    </row>
    <row r="457">
      <c r="A457" s="4">
        <v>45</v>
      </c>
      <c r="B457" s="4" t="str">
        <v>25 TD</v>
      </c>
      <c r="C457" s="4" t="str">
        <v>DV_Cắt_Vip</v>
      </c>
      <c r="D457" s="4">
        <v>1055</v>
      </c>
      <c r="E457" s="4" t="str">
        <v>Combo 4- First Class 4</v>
      </c>
      <c r="F457" s="21">
        <v>410000</v>
      </c>
      <c r="G457" s="21">
        <v>414000</v>
      </c>
      <c r="H457" s="21">
        <v>414000</v>
      </c>
      <c r="I457" s="4">
        <f>A457&amp;D457</f>
      </c>
      <c r="J457" s="4">
        <v>414000</v>
      </c>
      <c r="K457" s="4"/>
      <c r="L457" s="4"/>
      <c r="M457" s="4"/>
      <c r="N457" s="4"/>
      <c r="O457" s="4"/>
      <c r="P457" s="4"/>
      <c r="Q457" s="4"/>
      <c r="R457" s="4"/>
      <c r="S457" s="4"/>
    </row>
    <row r="458">
      <c r="A458" s="4">
        <v>45</v>
      </c>
      <c r="B458" s="4" t="str">
        <v>25 TD</v>
      </c>
      <c r="C458" s="4" t="str">
        <v>DV_Cắt_Vip</v>
      </c>
      <c r="D458" s="4">
        <v>1064</v>
      </c>
      <c r="E458" s="4" t="str">
        <v>Cắt Gội Combo 5 - Dưỡng sinh</v>
      </c>
      <c r="F458" s="21">
        <v>459000</v>
      </c>
      <c r="G458" s="21">
        <v>464000</v>
      </c>
      <c r="H458" s="21">
        <v>464000</v>
      </c>
      <c r="I458" s="4">
        <f>A458&amp;D458</f>
      </c>
      <c r="J458" s="4">
        <v>464000</v>
      </c>
      <c r="K458" s="4"/>
      <c r="L458" s="4"/>
      <c r="M458" s="4"/>
      <c r="N458" s="4"/>
      <c r="O458" s="4"/>
      <c r="P458" s="4"/>
      <c r="Q458" s="4"/>
      <c r="R458" s="4"/>
      <c r="S458" s="4"/>
    </row>
    <row r="459">
      <c r="A459" s="4">
        <v>45</v>
      </c>
      <c r="B459" s="4" t="str">
        <v>25 TD</v>
      </c>
      <c r="C459" s="4" t="str">
        <v>DV_Gội</v>
      </c>
      <c r="D459" s="4">
        <v>867</v>
      </c>
      <c r="E459" s="4" t="str">
        <v>Gội dưỡng sinh cổ vai gáy</v>
      </c>
      <c r="F459" s="21">
        <v>99000</v>
      </c>
      <c r="G459" s="21">
        <v>100000</v>
      </c>
      <c r="H459" s="21">
        <v>100000</v>
      </c>
      <c r="I459" s="4">
        <f>A459&amp;D459</f>
      </c>
      <c r="J459" s="4">
        <v>100000</v>
      </c>
      <c r="K459" s="4"/>
      <c r="L459" s="4"/>
      <c r="M459" s="4"/>
      <c r="N459" s="4"/>
      <c r="O459" s="4"/>
      <c r="P459" s="4"/>
      <c r="Q459" s="4"/>
      <c r="R459" s="4"/>
      <c r="S459" s="4"/>
    </row>
    <row r="460">
      <c r="A460" s="4">
        <v>45</v>
      </c>
      <c r="B460" s="4" t="str">
        <v>25 TD</v>
      </c>
      <c r="C460" s="4" t="str">
        <v>DV_Gội</v>
      </c>
      <c r="D460" s="4">
        <v>930</v>
      </c>
      <c r="E460" s="4" t="str">
        <v>[NEW] Gội dưỡng sinh cổ vai gáy và chăm sóc da</v>
      </c>
      <c r="F460" s="21">
        <v>139000</v>
      </c>
      <c r="G460" s="21">
        <v>140000</v>
      </c>
      <c r="H460" s="21">
        <v>140000</v>
      </c>
      <c r="I460" s="4">
        <f>A460&amp;D460</f>
      </c>
      <c r="J460" s="4">
        <v>140000</v>
      </c>
      <c r="K460" s="4"/>
      <c r="L460" s="4"/>
      <c r="M460" s="4"/>
      <c r="N460" s="4"/>
      <c r="O460" s="4"/>
      <c r="P460" s="4"/>
      <c r="Q460" s="4"/>
      <c r="R460" s="4"/>
      <c r="S460" s="4"/>
    </row>
    <row r="461">
      <c r="A461" s="4">
        <v>45</v>
      </c>
      <c r="B461" s="4" t="str">
        <v>25 TD</v>
      </c>
      <c r="C461" s="4" t="str">
        <v>DV_Gội</v>
      </c>
      <c r="D461" s="4">
        <v>932</v>
      </c>
      <c r="E461" s="4" t="str">
        <v>Gội combo 5 dưỡng sinh</v>
      </c>
      <c r="F461" s="21">
        <v>399000</v>
      </c>
      <c r="G461" s="21">
        <v>403000</v>
      </c>
      <c r="H461" s="21">
        <v>403000</v>
      </c>
      <c r="I461" s="4">
        <f>A461&amp;D461</f>
      </c>
      <c r="J461" s="4">
        <v>403000</v>
      </c>
      <c r="K461" s="4"/>
      <c r="L461" s="4"/>
      <c r="M461" s="4"/>
      <c r="N461" s="4"/>
      <c r="O461" s="4"/>
      <c r="P461" s="4"/>
      <c r="Q461" s="4"/>
      <c r="R461" s="4"/>
      <c r="S461" s="4"/>
    </row>
    <row r="462">
      <c r="A462" s="4">
        <v>45</v>
      </c>
      <c r="B462" s="4" t="str">
        <v>25 TD</v>
      </c>
      <c r="C462" s="4" t="str">
        <v>DV_Gội</v>
      </c>
      <c r="D462" s="4">
        <v>934</v>
      </c>
      <c r="E462" s="4" t="str">
        <v>Gội combo 3 - Dưỡng sinh</v>
      </c>
      <c r="F462" s="21">
        <v>229000</v>
      </c>
      <c r="G462" s="21">
        <v>231000</v>
      </c>
      <c r="H462" s="21">
        <v>231000</v>
      </c>
      <c r="I462" s="4">
        <f>A462&amp;D462</f>
      </c>
      <c r="J462" s="4">
        <v>231000</v>
      </c>
      <c r="K462" s="4"/>
      <c r="L462" s="4"/>
      <c r="M462" s="4"/>
      <c r="N462" s="4"/>
      <c r="O462" s="4"/>
      <c r="P462" s="4"/>
      <c r="Q462" s="4"/>
      <c r="R462" s="4"/>
      <c r="S462" s="4"/>
    </row>
    <row r="463">
      <c r="A463" s="4">
        <v>45</v>
      </c>
      <c r="B463" s="4" t="str">
        <v>25 TD</v>
      </c>
      <c r="C463" s="4" t="str">
        <v>DV_Gội</v>
      </c>
      <c r="D463" s="4">
        <v>940</v>
      </c>
      <c r="E463" s="4" t="str">
        <v>[NEW] Gội dưỡng sinh</v>
      </c>
      <c r="F463" s="21">
        <v>59000</v>
      </c>
      <c r="G463" s="21">
        <v>60000</v>
      </c>
      <c r="H463" s="21">
        <v>60000</v>
      </c>
      <c r="I463" s="4">
        <f>A463&amp;D463</f>
      </c>
      <c r="J463" s="4">
        <v>60000</v>
      </c>
      <c r="K463" s="4"/>
      <c r="L463" s="4"/>
      <c r="M463" s="4"/>
      <c r="N463" s="4"/>
      <c r="O463" s="4"/>
      <c r="P463" s="4"/>
      <c r="Q463" s="4"/>
      <c r="R463" s="4"/>
      <c r="S463" s="4"/>
    </row>
    <row r="464">
      <c r="A464" s="4">
        <v>45</v>
      </c>
      <c r="B464" s="4" t="str">
        <v>25 TD</v>
      </c>
      <c r="C464" s="4" t="str">
        <v>DV_Gội</v>
      </c>
      <c r="D464" s="4">
        <v>1058</v>
      </c>
      <c r="E464" s="4" t="str">
        <v>Gội Combo 2</v>
      </c>
      <c r="F464" s="21">
        <v>159000</v>
      </c>
      <c r="G464" s="21">
        <v>161000</v>
      </c>
      <c r="H464" s="21">
        <v>161000</v>
      </c>
      <c r="I464" s="4">
        <f>A464&amp;D464</f>
      </c>
      <c r="J464" s="4">
        <v>161000</v>
      </c>
      <c r="K464" s="4"/>
      <c r="L464" s="4"/>
      <c r="M464" s="4"/>
      <c r="N464" s="4"/>
      <c r="O464" s="4"/>
      <c r="P464" s="4"/>
      <c r="Q464" s="4"/>
      <c r="R464" s="4"/>
      <c r="S464" s="4"/>
    </row>
    <row r="465">
      <c r="A465" s="4">
        <v>45</v>
      </c>
      <c r="B465" s="4" t="str">
        <v>25 TD</v>
      </c>
      <c r="C465" s="4" t="str">
        <v>DV_Gội</v>
      </c>
      <c r="D465" s="4">
        <v>1059</v>
      </c>
      <c r="E465" s="4" t="str">
        <v>Gội Combo 3 - Chăm da</v>
      </c>
      <c r="F465" s="21">
        <v>239000</v>
      </c>
      <c r="G465" s="21">
        <v>242000</v>
      </c>
      <c r="H465" s="21">
        <v>242000</v>
      </c>
      <c r="I465" s="4">
        <f>A465&amp;D465</f>
      </c>
      <c r="J465" s="4">
        <v>242000</v>
      </c>
      <c r="K465" s="4"/>
      <c r="L465" s="4"/>
      <c r="M465" s="4"/>
      <c r="N465" s="4"/>
      <c r="O465" s="4"/>
      <c r="P465" s="4"/>
      <c r="Q465" s="4"/>
      <c r="R465" s="4"/>
      <c r="S465" s="4"/>
    </row>
    <row r="466">
      <c r="A466" s="4">
        <v>45</v>
      </c>
      <c r="B466" s="4" t="str">
        <v>25 TD</v>
      </c>
      <c r="C466" s="4" t="str">
        <v>DV_Gội</v>
      </c>
      <c r="D466" s="4">
        <v>1060</v>
      </c>
      <c r="E466" s="4" t="str">
        <v>Gội Combo 4</v>
      </c>
      <c r="F466" s="21">
        <v>329000</v>
      </c>
      <c r="G466" s="21">
        <v>332000</v>
      </c>
      <c r="H466" s="21">
        <v>332000</v>
      </c>
      <c r="I466" s="4">
        <f>A466&amp;D466</f>
      </c>
      <c r="J466" s="4">
        <v>332000</v>
      </c>
      <c r="K466" s="4"/>
      <c r="L466" s="4"/>
      <c r="M466" s="4"/>
      <c r="N466" s="4"/>
      <c r="O466" s="4"/>
      <c r="P466" s="4"/>
      <c r="Q466" s="4"/>
      <c r="R466" s="4"/>
      <c r="S466" s="4"/>
    </row>
    <row r="467">
      <c r="A467" s="4">
        <v>45</v>
      </c>
      <c r="B467" s="4" t="str">
        <v>25 TD</v>
      </c>
      <c r="C467" s="4" t="str">
        <v>DV_Gội</v>
      </c>
      <c r="D467" s="4">
        <v>1066</v>
      </c>
      <c r="E467" s="4" t="str">
        <v>Gội trải nghiệm 75p</v>
      </c>
      <c r="F467" s="21">
        <v>589000</v>
      </c>
      <c r="G467" s="21">
        <v>595000</v>
      </c>
      <c r="H467" s="21">
        <v>595000</v>
      </c>
      <c r="I467" s="4">
        <f>A467&amp;D467</f>
      </c>
      <c r="J467" s="4">
        <v>595000</v>
      </c>
      <c r="K467" s="4"/>
      <c r="L467" s="4"/>
      <c r="M467" s="4"/>
      <c r="N467" s="4"/>
      <c r="O467" s="4"/>
      <c r="P467" s="4"/>
      <c r="Q467" s="4"/>
      <c r="R467" s="4"/>
      <c r="S467" s="4"/>
    </row>
    <row r="468">
      <c r="A468" s="4">
        <v>45</v>
      </c>
      <c r="B468" s="4" t="str">
        <v>25 TD</v>
      </c>
      <c r="C468" s="4" t="str">
        <v>DV_Gội</v>
      </c>
      <c r="D468" s="4">
        <v>1067</v>
      </c>
      <c r="E468" s="4" t="str">
        <v>Gội trải nghiệm 90p</v>
      </c>
      <c r="F468" s="21">
        <v>789000</v>
      </c>
      <c r="G468" s="21">
        <v>797000</v>
      </c>
      <c r="H468" s="21">
        <v>797000</v>
      </c>
      <c r="I468" s="4">
        <f>A468&amp;D468</f>
      </c>
      <c r="J468" s="4">
        <v>797000</v>
      </c>
      <c r="K468" s="4"/>
      <c r="L468" s="4"/>
      <c r="M468" s="4"/>
      <c r="N468" s="4"/>
      <c r="O468" s="4"/>
      <c r="P468" s="4"/>
      <c r="Q468" s="4"/>
      <c r="R468" s="4"/>
      <c r="S468" s="4"/>
    </row>
    <row r="469">
      <c r="A469" s="4">
        <v>45</v>
      </c>
      <c r="B469" s="4" t="str">
        <v>25 TD</v>
      </c>
      <c r="C469" s="4" t="str">
        <v>DV_Gội</v>
      </c>
      <c r="D469" s="4">
        <v>1068</v>
      </c>
      <c r="E469" s="4" t="str">
        <v>Gội trải nghiệm 115p</v>
      </c>
      <c r="F469" s="21">
        <v>999000</v>
      </c>
      <c r="G469" s="21">
        <v>1010000</v>
      </c>
      <c r="H469" s="21">
        <v>1010000</v>
      </c>
      <c r="I469" s="4">
        <f>A469&amp;D469</f>
      </c>
      <c r="J469" s="4">
        <v>1010000</v>
      </c>
      <c r="K469" s="4"/>
      <c r="L469" s="4"/>
      <c r="M469" s="4"/>
      <c r="N469" s="4"/>
      <c r="O469" s="4"/>
      <c r="P469" s="4"/>
      <c r="Q469" s="4"/>
      <c r="R469" s="4"/>
      <c r="S469" s="4"/>
    </row>
    <row r="470">
      <c r="A470" s="4">
        <v>65</v>
      </c>
      <c r="B470" s="4" t="str">
        <v>255 NAN</v>
      </c>
      <c r="C470" s="4" t="str">
        <v>DV_Cắt</v>
      </c>
      <c r="D470" s="4">
        <v>513</v>
      </c>
      <c r="E470" s="4" t="str">
        <v>[DV] ShineCombo 10 bước Ultra Care 2023</v>
      </c>
      <c r="F470" s="21">
        <v>122000</v>
      </c>
      <c r="G470" s="21">
        <v>122000</v>
      </c>
      <c r="H470" s="21">
        <v>122000</v>
      </c>
      <c r="I470" s="4">
        <f>A470&amp;D470</f>
      </c>
      <c r="J470" s="4">
        <v>122000</v>
      </c>
      <c r="K470" s="4"/>
      <c r="L470" s="4"/>
      <c r="M470" s="4"/>
      <c r="N470" s="4"/>
      <c r="O470" s="4"/>
      <c r="P470" s="4"/>
      <c r="Q470" s="4"/>
      <c r="R470" s="4"/>
      <c r="S470" s="4"/>
    </row>
    <row r="471">
      <c r="A471" s="4">
        <v>65</v>
      </c>
      <c r="B471" s="4" t="str">
        <v>255 NAN</v>
      </c>
      <c r="C471" s="4" t="str">
        <v>DV_Cắt</v>
      </c>
      <c r="D471" s="4">
        <v>891</v>
      </c>
      <c r="E471" s="4" t="str">
        <v>Cắt xả tạo kiểu</v>
      </c>
      <c r="F471" s="21">
        <v>103000</v>
      </c>
      <c r="G471" s="21">
        <v>103000</v>
      </c>
      <c r="H471" s="21">
        <v>103000</v>
      </c>
      <c r="I471" s="4">
        <f>A471&amp;D471</f>
      </c>
      <c r="J471" s="4">
        <v>103000</v>
      </c>
      <c r="K471" s="4"/>
      <c r="L471" s="4"/>
      <c r="M471" s="4"/>
      <c r="N471" s="4"/>
      <c r="O471" s="4"/>
      <c r="P471" s="4"/>
      <c r="Q471" s="4"/>
      <c r="R471" s="4"/>
      <c r="S471" s="4"/>
    </row>
    <row r="472">
      <c r="A472" s="4">
        <v>65</v>
      </c>
      <c r="B472" s="4" t="str">
        <v>255 NAN</v>
      </c>
      <c r="C472" s="4" t="str">
        <v>DV_Cắt</v>
      </c>
      <c r="D472" s="4">
        <v>1002</v>
      </c>
      <c r="E472" s="4" t="str">
        <v>Kid Cắt</v>
      </c>
      <c r="F472" s="21">
        <v>84000</v>
      </c>
      <c r="G472" s="21">
        <v>84000</v>
      </c>
      <c r="H472" s="21">
        <v>84000</v>
      </c>
      <c r="I472" s="4">
        <f>A472&amp;D472</f>
      </c>
      <c r="J472" s="4">
        <v>84000</v>
      </c>
      <c r="K472" s="4"/>
      <c r="L472" s="4"/>
      <c r="M472" s="4"/>
      <c r="N472" s="4"/>
      <c r="O472" s="4"/>
      <c r="P472" s="4"/>
      <c r="Q472" s="4"/>
      <c r="R472" s="4"/>
      <c r="S472" s="4"/>
    </row>
    <row r="473">
      <c r="A473" s="4">
        <v>65</v>
      </c>
      <c r="B473" s="4" t="str">
        <v>255 NAN</v>
      </c>
      <c r="C473" s="4" t="str">
        <v>DV_Cắt</v>
      </c>
      <c r="D473" s="4">
        <v>1070</v>
      </c>
      <c r="E473" s="4" t="str">
        <v>Combo Cắt gội Kid</v>
      </c>
      <c r="F473" s="21">
        <v>100000</v>
      </c>
      <c r="G473" s="21">
        <v>100000</v>
      </c>
      <c r="H473" s="21">
        <v>100000</v>
      </c>
      <c r="I473" s="4">
        <f>A473&amp;D473</f>
      </c>
      <c r="J473" s="4">
        <v>100000</v>
      </c>
      <c r="K473" s="4"/>
      <c r="L473" s="4"/>
      <c r="M473" s="4"/>
      <c r="N473" s="4"/>
      <c r="O473" s="4"/>
      <c r="P473" s="4"/>
      <c r="Q473" s="4"/>
      <c r="R473" s="4"/>
      <c r="S473" s="4"/>
    </row>
    <row r="474">
      <c r="A474" s="4">
        <v>65</v>
      </c>
      <c r="B474" s="4" t="str">
        <v>255 NAN</v>
      </c>
      <c r="C474" s="4" t="str">
        <v>DV_Cắt_Vip</v>
      </c>
      <c r="D474" s="4">
        <v>1046</v>
      </c>
      <c r="E474" s="4" t="str">
        <v>Shinecombo 2</v>
      </c>
      <c r="F474" s="21">
        <v>208000</v>
      </c>
      <c r="G474" s="21">
        <v>208000</v>
      </c>
      <c r="H474" s="21">
        <v>208000</v>
      </c>
      <c r="I474" s="4">
        <f>A474&amp;D474</f>
      </c>
      <c r="J474" s="4">
        <v>208000</v>
      </c>
      <c r="K474" s="4"/>
      <c r="L474" s="4"/>
      <c r="M474" s="4"/>
      <c r="N474" s="4"/>
      <c r="O474" s="4"/>
      <c r="P474" s="4"/>
      <c r="Q474" s="4"/>
      <c r="R474" s="4"/>
      <c r="S474" s="4"/>
    </row>
    <row r="475">
      <c r="A475" s="4">
        <v>65</v>
      </c>
      <c r="B475" s="4" t="str">
        <v>255 NAN</v>
      </c>
      <c r="C475" s="4" t="str">
        <v>DV_Cắt_Vip</v>
      </c>
      <c r="D475" s="4">
        <v>1047</v>
      </c>
      <c r="E475" s="4" t="str">
        <v>Cắt Gội Combo 3 - Chăm da</v>
      </c>
      <c r="F475" s="21">
        <v>308000</v>
      </c>
      <c r="G475" s="21">
        <v>308000</v>
      </c>
      <c r="H475" s="21">
        <v>308000</v>
      </c>
      <c r="I475" s="4">
        <f>A475&amp;D475</f>
      </c>
      <c r="J475" s="4">
        <v>308000</v>
      </c>
      <c r="K475" s="4"/>
      <c r="L475" s="4"/>
      <c r="M475" s="4"/>
      <c r="N475" s="4"/>
      <c r="O475" s="4"/>
      <c r="P475" s="4"/>
      <c r="Q475" s="4"/>
      <c r="R475" s="4"/>
      <c r="S475" s="4"/>
    </row>
    <row r="476">
      <c r="A476" s="4">
        <v>65</v>
      </c>
      <c r="B476" s="4" t="str">
        <v>255 NAN</v>
      </c>
      <c r="C476" s="4" t="str">
        <v>DV_Cắt_Vip</v>
      </c>
      <c r="D476" s="4">
        <v>1048</v>
      </c>
      <c r="E476" s="4" t="str">
        <v>Combo 4</v>
      </c>
      <c r="F476" s="21">
        <v>398000</v>
      </c>
      <c r="G476" s="21">
        <v>398000</v>
      </c>
      <c r="H476" s="21">
        <v>398000</v>
      </c>
      <c r="I476" s="4">
        <f>A476&amp;D476</f>
      </c>
      <c r="J476" s="4">
        <v>398000</v>
      </c>
      <c r="K476" s="4"/>
      <c r="L476" s="4"/>
      <c r="M476" s="4"/>
      <c r="N476" s="4"/>
      <c r="O476" s="4"/>
      <c r="P476" s="4"/>
      <c r="Q476" s="4"/>
      <c r="R476" s="4"/>
      <c r="S476" s="4"/>
    </row>
    <row r="477">
      <c r="A477" s="4">
        <v>65</v>
      </c>
      <c r="B477" s="4" t="str">
        <v>255 NAN</v>
      </c>
      <c r="C477" s="4" t="str">
        <v>DV_Cắt_Vip</v>
      </c>
      <c r="D477" s="4">
        <v>1064</v>
      </c>
      <c r="E477" s="4" t="str">
        <v>Cắt Gội Combo 5 - Dưỡng sinh</v>
      </c>
      <c r="F477" s="21">
        <v>459000</v>
      </c>
      <c r="G477" s="21">
        <v>459000</v>
      </c>
      <c r="H477" s="21">
        <v>459000</v>
      </c>
      <c r="I477" s="4">
        <f>A477&amp;D477</f>
      </c>
      <c r="J477" s="4">
        <v>459000</v>
      </c>
      <c r="K477" s="4"/>
      <c r="L477" s="4"/>
      <c r="M477" s="4"/>
      <c r="N477" s="4"/>
      <c r="O477" s="4"/>
      <c r="P477" s="4"/>
      <c r="Q477" s="4"/>
      <c r="R477" s="4"/>
      <c r="S477" s="4"/>
    </row>
    <row r="478">
      <c r="A478" s="4">
        <v>65</v>
      </c>
      <c r="B478" s="4" t="str">
        <v>255 NAN</v>
      </c>
      <c r="C478" s="4" t="str">
        <v>DV_Cắt_Vip</v>
      </c>
      <c r="D478" s="4">
        <v>1065</v>
      </c>
      <c r="E478" s="4" t="str">
        <v>Cắt Gội Combo 3 - Dưỡng sinh</v>
      </c>
      <c r="F478" s="21">
        <v>308000</v>
      </c>
      <c r="G478" s="21">
        <v>308000</v>
      </c>
      <c r="H478" s="21">
        <v>308000</v>
      </c>
      <c r="I478" s="4">
        <f>A478&amp;D478</f>
      </c>
      <c r="J478" s="4">
        <v>308000</v>
      </c>
      <c r="K478" s="4"/>
      <c r="L478" s="4"/>
      <c r="M478" s="4"/>
      <c r="N478" s="4"/>
      <c r="O478" s="4"/>
      <c r="P478" s="4"/>
      <c r="Q478" s="4"/>
      <c r="R478" s="4"/>
      <c r="S478" s="4"/>
    </row>
    <row r="479">
      <c r="A479" s="4">
        <v>65</v>
      </c>
      <c r="B479" s="4" t="str">
        <v>255 NAN</v>
      </c>
      <c r="C479" s="4" t="str">
        <v>DV_Cắt_Vip</v>
      </c>
      <c r="D479" s="4">
        <v>1150</v>
      </c>
      <c r="E479" s="4" t="str">
        <v>Combo cắt gội đỉnh cao thư giãn vip</v>
      </c>
      <c r="F479" s="21">
        <v>509000</v>
      </c>
      <c r="G479" s="21">
        <v>509000</v>
      </c>
      <c r="H479" s="21">
        <v>509000</v>
      </c>
      <c r="I479" s="4">
        <f>A479&amp;D479</f>
      </c>
      <c r="J479" s="4">
        <v>509000</v>
      </c>
      <c r="K479" s="4"/>
      <c r="L479" s="4"/>
      <c r="M479" s="4"/>
      <c r="N479" s="4"/>
      <c r="O479" s="4"/>
      <c r="P479" s="4"/>
      <c r="Q479" s="4"/>
      <c r="R479" s="4"/>
      <c r="S479" s="4"/>
    </row>
    <row r="480">
      <c r="A480" s="4">
        <v>65</v>
      </c>
      <c r="B480" s="4" t="str">
        <v>255 NAN</v>
      </c>
      <c r="C480" s="4" t="str">
        <v>DV_Gội</v>
      </c>
      <c r="D480" s="4">
        <v>867</v>
      </c>
      <c r="E480" s="4" t="str">
        <v>Gội dưỡng sinh cổ vai gáy</v>
      </c>
      <c r="F480" s="21">
        <v>95000</v>
      </c>
      <c r="G480" s="21">
        <v>95000</v>
      </c>
      <c r="H480" s="21">
        <v>95000</v>
      </c>
      <c r="I480" s="4">
        <f>A480&amp;D480</f>
      </c>
      <c r="J480" s="4">
        <v>95000</v>
      </c>
      <c r="K480" s="4"/>
      <c r="L480" s="4"/>
      <c r="M480" s="4"/>
      <c r="N480" s="4"/>
      <c r="O480" s="4"/>
      <c r="P480" s="4"/>
      <c r="Q480" s="4"/>
      <c r="R480" s="4"/>
      <c r="S480" s="4"/>
    </row>
    <row r="481">
      <c r="A481" s="4">
        <v>65</v>
      </c>
      <c r="B481" s="4" t="str">
        <v>255 NAN</v>
      </c>
      <c r="C481" s="4" t="str">
        <v>DV_Gội</v>
      </c>
      <c r="D481" s="4">
        <v>930</v>
      </c>
      <c r="E481" s="4" t="str">
        <v>[NEW] Gội dưỡng sinh cổ vai gáy và chăm sóc da</v>
      </c>
      <c r="F481" s="21">
        <v>139000</v>
      </c>
      <c r="G481" s="21">
        <v>139000</v>
      </c>
      <c r="H481" s="21">
        <v>139000</v>
      </c>
      <c r="I481" s="4">
        <f>A481&amp;D481</f>
      </c>
      <c r="J481" s="4">
        <v>139000</v>
      </c>
      <c r="K481" s="4"/>
      <c r="L481" s="4"/>
      <c r="M481" s="4"/>
      <c r="N481" s="4"/>
      <c r="O481" s="4"/>
      <c r="P481" s="4"/>
      <c r="Q481" s="4"/>
      <c r="R481" s="4"/>
      <c r="S481" s="4"/>
    </row>
    <row r="482">
      <c r="A482" s="4">
        <v>65</v>
      </c>
      <c r="B482" s="4" t="str">
        <v>255 NAN</v>
      </c>
      <c r="C482" s="4" t="str">
        <v>DV_Gội</v>
      </c>
      <c r="D482" s="4">
        <v>934</v>
      </c>
      <c r="E482" s="4" t="str">
        <v>Gội combo 3 - Dưỡng sinh</v>
      </c>
      <c r="F482" s="21">
        <v>229000</v>
      </c>
      <c r="G482" s="21">
        <v>229000</v>
      </c>
      <c r="H482" s="21">
        <v>229000</v>
      </c>
      <c r="I482" s="4">
        <f>A482&amp;D482</f>
      </c>
      <c r="J482" s="4">
        <v>229000</v>
      </c>
      <c r="K482" s="4"/>
      <c r="L482" s="4"/>
      <c r="M482" s="4"/>
      <c r="N482" s="4"/>
      <c r="O482" s="4"/>
      <c r="P482" s="4"/>
      <c r="Q482" s="4"/>
      <c r="R482" s="4"/>
      <c r="S482" s="4"/>
    </row>
    <row r="483">
      <c r="A483" s="4">
        <v>65</v>
      </c>
      <c r="B483" s="4" t="str">
        <v>255 NAN</v>
      </c>
      <c r="C483" s="4" t="str">
        <v>DV_Gội</v>
      </c>
      <c r="D483" s="4">
        <v>940</v>
      </c>
      <c r="E483" s="4" t="str">
        <v>[NEW] Gội dưỡng sinh</v>
      </c>
      <c r="F483" s="21">
        <v>59000</v>
      </c>
      <c r="G483" s="21">
        <v>59000</v>
      </c>
      <c r="H483" s="21">
        <v>59000</v>
      </c>
      <c r="I483" s="4">
        <f>A483&amp;D483</f>
      </c>
      <c r="J483" s="4">
        <v>59000</v>
      </c>
      <c r="K483" s="4"/>
      <c r="L483" s="4"/>
      <c r="M483" s="4"/>
      <c r="N483" s="4"/>
      <c r="O483" s="4"/>
      <c r="P483" s="4"/>
      <c r="Q483" s="4"/>
      <c r="R483" s="4"/>
      <c r="S483" s="4"/>
    </row>
    <row r="484">
      <c r="A484" s="4">
        <v>65</v>
      </c>
      <c r="B484" s="4" t="str">
        <v>255 NAN</v>
      </c>
      <c r="C484" s="4" t="str">
        <v>DV_Gội</v>
      </c>
      <c r="D484" s="4">
        <v>1058</v>
      </c>
      <c r="E484" s="4" t="str">
        <v>Gội Combo 2</v>
      </c>
      <c r="F484" s="21">
        <v>159000</v>
      </c>
      <c r="G484" s="21">
        <v>159000</v>
      </c>
      <c r="H484" s="21">
        <v>159000</v>
      </c>
      <c r="I484" s="4">
        <f>A484&amp;D484</f>
      </c>
      <c r="J484" s="4">
        <v>159000</v>
      </c>
      <c r="K484" s="4"/>
      <c r="L484" s="4"/>
      <c r="M484" s="4"/>
      <c r="N484" s="4"/>
      <c r="O484" s="4"/>
      <c r="P484" s="4"/>
      <c r="Q484" s="4"/>
      <c r="R484" s="4"/>
      <c r="S484" s="4"/>
    </row>
    <row r="485">
      <c r="A485" s="4">
        <v>65</v>
      </c>
      <c r="B485" s="4" t="str">
        <v>255 NAN</v>
      </c>
      <c r="C485" s="4" t="str">
        <v>DV_Gội</v>
      </c>
      <c r="D485" s="4">
        <v>1059</v>
      </c>
      <c r="E485" s="4" t="str">
        <v>Gội Combo 3 - Chăm da</v>
      </c>
      <c r="F485" s="21">
        <v>239000</v>
      </c>
      <c r="G485" s="21">
        <v>239000</v>
      </c>
      <c r="H485" s="21">
        <v>239000</v>
      </c>
      <c r="I485" s="4">
        <f>A485&amp;D485</f>
      </c>
      <c r="J485" s="4">
        <v>239000</v>
      </c>
      <c r="K485" s="4"/>
      <c r="L485" s="4"/>
      <c r="M485" s="4"/>
      <c r="N485" s="4"/>
      <c r="O485" s="4"/>
      <c r="P485" s="4"/>
      <c r="Q485" s="4"/>
      <c r="R485" s="4"/>
      <c r="S485" s="4"/>
    </row>
    <row r="486">
      <c r="A486" s="4">
        <v>65</v>
      </c>
      <c r="B486" s="4" t="str">
        <v>255 NAN</v>
      </c>
      <c r="C486" s="4" t="str">
        <v>DV_Gội</v>
      </c>
      <c r="D486" s="4">
        <v>1060</v>
      </c>
      <c r="E486" s="4" t="str">
        <v>Gội Combo 4</v>
      </c>
      <c r="F486" s="21">
        <v>289000</v>
      </c>
      <c r="G486" s="21">
        <v>311000</v>
      </c>
      <c r="H486" s="21">
        <f>G486-F486</f>
        <v>311000</v>
      </c>
      <c r="I486" s="4">
        <f>A486&amp;D486</f>
      </c>
      <c r="J486" s="4">
        <v>311000</v>
      </c>
      <c r="K486" s="4"/>
      <c r="L486" s="4"/>
      <c r="M486" s="4"/>
      <c r="N486" s="4"/>
      <c r="O486" s="4"/>
      <c r="P486" s="4"/>
      <c r="Q486" s="4"/>
      <c r="R486" s="4"/>
      <c r="S486" s="4"/>
    </row>
    <row r="487">
      <c r="A487" s="4">
        <v>65</v>
      </c>
      <c r="B487" s="4" t="str">
        <v>255 NAN</v>
      </c>
      <c r="C487" s="4" t="str">
        <v>DV_Gội</v>
      </c>
      <c r="D487" s="4">
        <v>1066</v>
      </c>
      <c r="E487" s="4" t="str">
        <v>Gội trải nghiệm 75p</v>
      </c>
      <c r="F487" s="21">
        <v>589000</v>
      </c>
      <c r="G487" s="21">
        <v>589000</v>
      </c>
      <c r="H487" s="21">
        <v>589000</v>
      </c>
      <c r="I487" s="4">
        <f>A487&amp;D487</f>
      </c>
      <c r="J487" s="4">
        <v>589000</v>
      </c>
      <c r="K487" s="4"/>
      <c r="L487" s="4"/>
      <c r="M487" s="4"/>
      <c r="N487" s="4"/>
      <c r="O487" s="4"/>
      <c r="P487" s="4"/>
      <c r="Q487" s="4"/>
      <c r="R487" s="4"/>
      <c r="S487" s="4"/>
    </row>
    <row r="488">
      <c r="A488" s="4">
        <v>65</v>
      </c>
      <c r="B488" s="4" t="str">
        <v>255 NAN</v>
      </c>
      <c r="C488" s="4" t="str">
        <v>DV_Gội</v>
      </c>
      <c r="D488" s="4">
        <v>1067</v>
      </c>
      <c r="E488" s="4" t="str">
        <v>Gội trải nghiệm 90p</v>
      </c>
      <c r="F488" s="21">
        <v>789000</v>
      </c>
      <c r="G488" s="21">
        <v>789000</v>
      </c>
      <c r="H488" s="21">
        <v>789000</v>
      </c>
      <c r="I488" s="4">
        <f>A488&amp;D488</f>
      </c>
      <c r="J488" s="4">
        <v>789000</v>
      </c>
      <c r="K488" s="4"/>
      <c r="L488" s="4"/>
      <c r="M488" s="4"/>
      <c r="N488" s="4"/>
      <c r="O488" s="4"/>
      <c r="P488" s="4"/>
      <c r="Q488" s="4"/>
      <c r="R488" s="4"/>
      <c r="S488" s="4"/>
    </row>
    <row r="489">
      <c r="A489" s="4">
        <v>65</v>
      </c>
      <c r="B489" s="4" t="str">
        <v>255 NAN</v>
      </c>
      <c r="C489" s="4" t="str">
        <v>DV_Gội</v>
      </c>
      <c r="D489" s="4">
        <v>1068</v>
      </c>
      <c r="E489" s="4" t="str">
        <v>Gội trải nghiệm 115p</v>
      </c>
      <c r="F489" s="21">
        <v>999000</v>
      </c>
      <c r="G489" s="21">
        <v>999000</v>
      </c>
      <c r="H489" s="21">
        <v>999000</v>
      </c>
      <c r="I489" s="4">
        <f>A489&amp;D489</f>
      </c>
      <c r="J489" s="4">
        <v>999000</v>
      </c>
      <c r="K489" s="4"/>
      <c r="L489" s="4"/>
      <c r="M489" s="4"/>
      <c r="N489" s="4"/>
      <c r="O489" s="4"/>
      <c r="P489" s="4"/>
      <c r="Q489" s="4"/>
      <c r="R489" s="4"/>
      <c r="S489" s="4"/>
    </row>
    <row r="490">
      <c r="A490" s="4">
        <v>192</v>
      </c>
      <c r="B490" s="4" t="str">
        <v>264 LLQ</v>
      </c>
      <c r="C490" s="4" t="str">
        <v>DV_Cắt</v>
      </c>
      <c r="D490" s="4">
        <v>513</v>
      </c>
      <c r="E490" s="4" t="str">
        <v>[DV] ShineCombo 10 bước Ultra Care 2023</v>
      </c>
      <c r="F490" s="21">
        <v>122000</v>
      </c>
      <c r="G490" s="21">
        <v>122000</v>
      </c>
      <c r="H490" s="21">
        <v>122000</v>
      </c>
      <c r="I490" s="4">
        <f>A490&amp;D490</f>
      </c>
      <c r="J490" s="4">
        <v>122000</v>
      </c>
      <c r="K490" s="4"/>
      <c r="L490" s="4"/>
      <c r="M490" s="4"/>
      <c r="N490" s="4"/>
      <c r="O490" s="4"/>
      <c r="P490" s="4"/>
      <c r="Q490" s="4"/>
      <c r="R490" s="4"/>
      <c r="S490" s="4"/>
    </row>
    <row r="491">
      <c r="A491" s="4">
        <v>192</v>
      </c>
      <c r="B491" s="4" t="str">
        <v>264 LLQ</v>
      </c>
      <c r="C491" s="4" t="str">
        <v>DV_Cắt</v>
      </c>
      <c r="D491" s="4">
        <v>891</v>
      </c>
      <c r="E491" s="4" t="str">
        <v>Cắt xả tạo kiểu</v>
      </c>
      <c r="F491" s="21">
        <v>94000</v>
      </c>
      <c r="G491" s="21">
        <v>112000</v>
      </c>
      <c r="H491" s="21">
        <v>103000</v>
      </c>
      <c r="I491" s="4">
        <f>A491&amp;D491</f>
      </c>
      <c r="J491" s="4">
        <f>VLOOKUP(I491,#REF!,2,0)</f>
      </c>
      <c r="K491" s="4"/>
      <c r="L491" s="4"/>
      <c r="M491" s="4"/>
      <c r="N491" s="4"/>
      <c r="O491" s="4"/>
      <c r="P491" s="4"/>
      <c r="Q491" s="4"/>
      <c r="R491" s="4"/>
      <c r="S491" s="4"/>
    </row>
    <row r="492">
      <c r="A492" s="4">
        <v>192</v>
      </c>
      <c r="B492" s="4" t="str">
        <v>264 LLQ</v>
      </c>
      <c r="C492" s="4" t="str">
        <v>DV_Cắt</v>
      </c>
      <c r="D492" s="4">
        <v>1002</v>
      </c>
      <c r="E492" s="4" t="str">
        <v>Kid Cắt</v>
      </c>
      <c r="F492" s="21">
        <v>75000</v>
      </c>
      <c r="G492" s="21">
        <v>93000</v>
      </c>
      <c r="H492" s="21">
        <v>84000</v>
      </c>
      <c r="I492" s="4">
        <f>A492&amp;D492</f>
      </c>
      <c r="J492" s="4">
        <f>VLOOKUP(I492,#REF!,2,0)</f>
      </c>
      <c r="K492" s="4"/>
      <c r="L492" s="4"/>
      <c r="M492" s="4"/>
      <c r="N492" s="4"/>
      <c r="O492" s="4"/>
      <c r="P492" s="4"/>
      <c r="Q492" s="4"/>
      <c r="R492" s="4"/>
      <c r="S492" s="4"/>
    </row>
    <row r="493">
      <c r="A493" s="4">
        <v>192</v>
      </c>
      <c r="B493" s="4" t="str">
        <v>264 LLQ</v>
      </c>
      <c r="C493" s="4" t="str">
        <v>DV_Cắt</v>
      </c>
      <c r="D493" s="4">
        <v>1070</v>
      </c>
      <c r="E493" s="4" t="str">
        <v>Combo Cắt gội Kid</v>
      </c>
      <c r="F493" s="21">
        <v>100000</v>
      </c>
      <c r="G493" s="21">
        <v>118000</v>
      </c>
      <c r="H493" s="21">
        <v>109000</v>
      </c>
      <c r="I493" s="4">
        <f>A493&amp;D493</f>
      </c>
      <c r="J493" s="4">
        <f>VLOOKUP(I493,#REF!,2,0)</f>
      </c>
      <c r="K493" s="4"/>
      <c r="L493" s="4"/>
      <c r="M493" s="4"/>
      <c r="N493" s="4"/>
      <c r="O493" s="4"/>
      <c r="P493" s="4"/>
      <c r="Q493" s="4"/>
      <c r="R493" s="4"/>
      <c r="S493" s="4"/>
    </row>
    <row r="494">
      <c r="A494" s="4">
        <v>192</v>
      </c>
      <c r="B494" s="4" t="str">
        <v>264 LLQ</v>
      </c>
      <c r="C494" s="4" t="str">
        <v>DV_Cắt_Vip</v>
      </c>
      <c r="D494" s="4">
        <v>1046</v>
      </c>
      <c r="E494" s="4" t="str">
        <v>Shinecombo 2</v>
      </c>
      <c r="F494" s="21">
        <v>199000</v>
      </c>
      <c r="G494" s="21">
        <v>217000</v>
      </c>
      <c r="H494" s="21">
        <v>208000</v>
      </c>
      <c r="I494" s="4">
        <f>A494&amp;D494</f>
      </c>
      <c r="J494" s="4">
        <f>VLOOKUP(I494,#REF!,2,0)</f>
      </c>
      <c r="K494" s="4"/>
      <c r="L494" s="4"/>
      <c r="M494" s="4"/>
      <c r="N494" s="4"/>
      <c r="O494" s="4"/>
      <c r="P494" s="4"/>
      <c r="Q494" s="4"/>
      <c r="R494" s="4"/>
      <c r="S494" s="4"/>
    </row>
    <row r="495">
      <c r="A495" s="4">
        <v>192</v>
      </c>
      <c r="B495" s="4" t="str">
        <v>264 LLQ</v>
      </c>
      <c r="C495" s="4" t="str">
        <v>DV_Cắt_Vip</v>
      </c>
      <c r="D495" s="4">
        <v>1047</v>
      </c>
      <c r="E495" s="4" t="str">
        <v>Cắt Gội Combo 3 - Chăm da</v>
      </c>
      <c r="F495" s="21">
        <v>299000</v>
      </c>
      <c r="G495" s="21">
        <v>317000</v>
      </c>
      <c r="H495" s="21">
        <v>308000</v>
      </c>
      <c r="I495" s="4">
        <f>A495&amp;D495</f>
      </c>
      <c r="J495" s="4">
        <f>VLOOKUP(I495,#REF!,2,0)</f>
      </c>
      <c r="K495" s="4"/>
      <c r="L495" s="4"/>
      <c r="M495" s="4"/>
      <c r="N495" s="4"/>
      <c r="O495" s="4"/>
      <c r="P495" s="4"/>
      <c r="Q495" s="4"/>
      <c r="R495" s="4"/>
      <c r="S495" s="4"/>
    </row>
    <row r="496">
      <c r="A496" s="4">
        <v>192</v>
      </c>
      <c r="B496" s="4" t="str">
        <v>264 LLQ</v>
      </c>
      <c r="C496" s="4" t="str">
        <v>DV_Cắt_Vip</v>
      </c>
      <c r="D496" s="4">
        <v>1048</v>
      </c>
      <c r="E496" s="4" t="str">
        <v>Combo 4</v>
      </c>
      <c r="F496" s="21">
        <v>389000</v>
      </c>
      <c r="G496" s="21">
        <v>407000</v>
      </c>
      <c r="H496" s="21">
        <v>398000</v>
      </c>
      <c r="I496" s="4">
        <f>A496&amp;D496</f>
      </c>
      <c r="J496" s="4">
        <f>VLOOKUP(I496,#REF!,2,0)</f>
      </c>
      <c r="K496" s="4"/>
      <c r="L496" s="4"/>
      <c r="M496" s="4"/>
      <c r="N496" s="4"/>
      <c r="O496" s="4"/>
      <c r="P496" s="4"/>
      <c r="Q496" s="4"/>
      <c r="R496" s="4"/>
      <c r="S496" s="4"/>
    </row>
    <row r="497">
      <c r="A497" s="4">
        <v>192</v>
      </c>
      <c r="B497" s="4" t="str">
        <v>264 LLQ</v>
      </c>
      <c r="C497" s="4" t="str">
        <v>DV_Cắt_Vip</v>
      </c>
      <c r="D497" s="4">
        <v>1064</v>
      </c>
      <c r="E497" s="4" t="str">
        <v>Cắt Gội Combo 5 - Dưỡng sinh</v>
      </c>
      <c r="F497" s="21">
        <v>459000</v>
      </c>
      <c r="G497" s="21">
        <v>477000</v>
      </c>
      <c r="H497" s="21">
        <v>468000</v>
      </c>
      <c r="I497" s="4">
        <f>A497&amp;D497</f>
      </c>
      <c r="J497" s="4">
        <f>VLOOKUP(I497,#REF!,2,0)</f>
      </c>
      <c r="K497" s="4"/>
      <c r="L497" s="4"/>
      <c r="M497" s="4"/>
      <c r="N497" s="4"/>
      <c r="O497" s="4"/>
      <c r="P497" s="4"/>
      <c r="Q497" s="4"/>
      <c r="R497" s="4"/>
      <c r="S497" s="4"/>
    </row>
    <row r="498">
      <c r="A498" s="4">
        <v>192</v>
      </c>
      <c r="B498" s="4" t="str">
        <v>264 LLQ</v>
      </c>
      <c r="C498" s="4" t="str">
        <v>DV_Gội</v>
      </c>
      <c r="D498" s="4">
        <v>867</v>
      </c>
      <c r="E498" s="4" t="str">
        <v>Gội dưỡng sinh cổ vai gáy</v>
      </c>
      <c r="F498" s="21">
        <v>99000</v>
      </c>
      <c r="G498" s="21">
        <v>117000</v>
      </c>
      <c r="H498" s="21">
        <v>108000</v>
      </c>
      <c r="I498" s="4">
        <f>A498&amp;D498</f>
      </c>
      <c r="J498" s="4">
        <f>VLOOKUP(I498,#REF!,2,0)</f>
      </c>
      <c r="K498" s="4"/>
      <c r="L498" s="4"/>
      <c r="M498" s="4"/>
      <c r="N498" s="4"/>
      <c r="O498" s="4"/>
      <c r="P498" s="4"/>
      <c r="Q498" s="4"/>
      <c r="R498" s="4"/>
      <c r="S498" s="4"/>
    </row>
    <row r="499">
      <c r="A499" s="4">
        <v>192</v>
      </c>
      <c r="B499" s="4" t="str">
        <v>264 LLQ</v>
      </c>
      <c r="C499" s="4" t="str">
        <v>DV_Gội</v>
      </c>
      <c r="D499" s="4">
        <v>930</v>
      </c>
      <c r="E499" s="4" t="str">
        <v>[NEW] Gội dưỡng sinh cổ vai gáy và chăm sóc da</v>
      </c>
      <c r="F499" s="21">
        <v>139000</v>
      </c>
      <c r="G499" s="21">
        <v>157000</v>
      </c>
      <c r="H499" s="21">
        <v>148000</v>
      </c>
      <c r="I499" s="4">
        <f>A499&amp;D499</f>
      </c>
      <c r="J499" s="4">
        <f>VLOOKUP(I499,#REF!,2,0)</f>
      </c>
      <c r="K499" s="4"/>
      <c r="L499" s="4"/>
      <c r="M499" s="4"/>
      <c r="N499" s="4"/>
      <c r="O499" s="4"/>
      <c r="P499" s="4"/>
      <c r="Q499" s="4"/>
      <c r="R499" s="4"/>
      <c r="S499" s="4"/>
    </row>
    <row r="500">
      <c r="A500" s="4">
        <v>192</v>
      </c>
      <c r="B500" s="4" t="str">
        <v>264 LLQ</v>
      </c>
      <c r="C500" s="4" t="str">
        <v>DV_Gội</v>
      </c>
      <c r="D500" s="4">
        <v>934</v>
      </c>
      <c r="E500" s="4" t="str">
        <v>Gội combo 3 - Dưỡng sinh</v>
      </c>
      <c r="F500" s="21">
        <v>229000</v>
      </c>
      <c r="G500" s="21">
        <v>247000</v>
      </c>
      <c r="H500" s="21">
        <v>238000</v>
      </c>
      <c r="I500" s="4">
        <f>A500&amp;D500</f>
      </c>
      <c r="J500" s="4">
        <f>VLOOKUP(I500,#REF!,2,0)</f>
      </c>
      <c r="K500" s="4"/>
      <c r="L500" s="4"/>
      <c r="M500" s="4"/>
      <c r="N500" s="4"/>
      <c r="O500" s="4"/>
      <c r="P500" s="4"/>
      <c r="Q500" s="4"/>
      <c r="R500" s="4"/>
      <c r="S500" s="4"/>
    </row>
    <row r="501">
      <c r="A501" s="4">
        <v>192</v>
      </c>
      <c r="B501" s="4" t="str">
        <v>264 LLQ</v>
      </c>
      <c r="C501" s="4" t="str">
        <v>DV_Gội</v>
      </c>
      <c r="D501" s="4">
        <v>940</v>
      </c>
      <c r="E501" s="4" t="str">
        <v>[NEW] Gội dưỡng sinh</v>
      </c>
      <c r="F501" s="21">
        <v>59000</v>
      </c>
      <c r="G501" s="21">
        <v>77000</v>
      </c>
      <c r="H501" s="21">
        <v>68000</v>
      </c>
      <c r="I501" s="4">
        <f>A501&amp;D501</f>
      </c>
      <c r="J501" s="4">
        <f>VLOOKUP(I501,#REF!,2,0)</f>
      </c>
      <c r="K501" s="4"/>
      <c r="L501" s="4"/>
      <c r="M501" s="4"/>
      <c r="N501" s="4"/>
      <c r="O501" s="4"/>
      <c r="P501" s="4"/>
      <c r="Q501" s="4"/>
      <c r="R501" s="4"/>
      <c r="S501" s="4"/>
    </row>
    <row r="502">
      <c r="A502" s="4">
        <v>192</v>
      </c>
      <c r="B502" s="4" t="str">
        <v>264 LLQ</v>
      </c>
      <c r="C502" s="4" t="str">
        <v>DV_Gội</v>
      </c>
      <c r="D502" s="4">
        <v>1058</v>
      </c>
      <c r="E502" s="4" t="str">
        <v>Gội Combo 2</v>
      </c>
      <c r="F502" s="21">
        <v>159000</v>
      </c>
      <c r="G502" s="21">
        <v>177000</v>
      </c>
      <c r="H502" s="21">
        <v>168000</v>
      </c>
      <c r="I502" s="4">
        <f>A502&amp;D502</f>
      </c>
      <c r="J502" s="4">
        <f>VLOOKUP(I502,#REF!,2,0)</f>
      </c>
      <c r="K502" s="4"/>
      <c r="L502" s="4"/>
      <c r="M502" s="4"/>
      <c r="N502" s="4"/>
      <c r="O502" s="4"/>
      <c r="P502" s="4"/>
      <c r="Q502" s="4"/>
      <c r="R502" s="4"/>
      <c r="S502" s="4"/>
    </row>
    <row r="503">
      <c r="A503" s="4">
        <v>192</v>
      </c>
      <c r="B503" s="4" t="str">
        <v>264 LLQ</v>
      </c>
      <c r="C503" s="4" t="str">
        <v>DV_Gội</v>
      </c>
      <c r="D503" s="4">
        <v>1059</v>
      </c>
      <c r="E503" s="4" t="str">
        <v>Gội Combo 3 - Chăm da</v>
      </c>
      <c r="F503" s="21">
        <v>239000</v>
      </c>
      <c r="G503" s="21">
        <v>257000</v>
      </c>
      <c r="H503" s="21">
        <v>248000</v>
      </c>
      <c r="I503" s="4">
        <f>A503&amp;D503</f>
      </c>
      <c r="J503" s="4">
        <f>VLOOKUP(I503,#REF!,2,0)</f>
      </c>
      <c r="K503" s="4"/>
      <c r="L503" s="4"/>
      <c r="M503" s="4"/>
      <c r="N503" s="4"/>
      <c r="O503" s="4"/>
      <c r="P503" s="4"/>
      <c r="Q503" s="4"/>
      <c r="R503" s="4"/>
      <c r="S503" s="4"/>
    </row>
    <row r="504">
      <c r="A504" s="4">
        <v>192</v>
      </c>
      <c r="B504" s="4" t="str">
        <v>264 LLQ</v>
      </c>
      <c r="C504" s="4" t="str">
        <v>DV_Gội</v>
      </c>
      <c r="D504" s="4">
        <v>1060</v>
      </c>
      <c r="E504" s="4" t="str">
        <v>Gội Combo 4</v>
      </c>
      <c r="F504" s="21">
        <v>319000</v>
      </c>
      <c r="G504" s="21">
        <v>337000</v>
      </c>
      <c r="H504" s="21">
        <v>318000</v>
      </c>
      <c r="I504" s="4">
        <f>A504&amp;D504</f>
      </c>
      <c r="J504" s="4">
        <f>VLOOKUP(I504,#REF!,2,0)</f>
      </c>
      <c r="K504" s="4"/>
      <c r="L504" s="4"/>
      <c r="M504" s="4"/>
      <c r="N504" s="4"/>
      <c r="O504" s="4"/>
      <c r="P504" s="4"/>
      <c r="Q504" s="4"/>
      <c r="R504" s="4"/>
      <c r="S504" s="4"/>
    </row>
    <row r="505">
      <c r="A505" s="4">
        <v>192</v>
      </c>
      <c r="B505" s="4" t="str">
        <v>264 LLQ</v>
      </c>
      <c r="C505" s="4" t="str">
        <v>DV_Gội</v>
      </c>
      <c r="D505" s="4">
        <v>1066</v>
      </c>
      <c r="E505" s="4" t="str">
        <v>Gội trải nghiệm 75p</v>
      </c>
      <c r="F505" s="21">
        <v>589000</v>
      </c>
      <c r="G505" s="21">
        <v>607000</v>
      </c>
      <c r="H505" s="21">
        <v>598000</v>
      </c>
      <c r="I505" s="4">
        <f>A505&amp;D505</f>
      </c>
      <c r="J505" s="4">
        <f>VLOOKUP(I505,#REF!,2,0)</f>
      </c>
      <c r="K505" s="4"/>
      <c r="L505" s="4"/>
      <c r="M505" s="4"/>
      <c r="N505" s="4"/>
      <c r="O505" s="4"/>
      <c r="P505" s="4"/>
      <c r="Q505" s="4"/>
      <c r="R505" s="4"/>
      <c r="S505" s="4"/>
    </row>
    <row r="506">
      <c r="A506" s="4">
        <v>192</v>
      </c>
      <c r="B506" s="4" t="str">
        <v>264 LLQ</v>
      </c>
      <c r="C506" s="4" t="str">
        <v>DV_Gội</v>
      </c>
      <c r="D506" s="4">
        <v>1067</v>
      </c>
      <c r="E506" s="4" t="str">
        <v>Gội trải nghiệm 90p</v>
      </c>
      <c r="F506" s="21">
        <v>789000</v>
      </c>
      <c r="G506" s="21">
        <v>807000</v>
      </c>
      <c r="H506" s="21">
        <v>798000</v>
      </c>
      <c r="I506" s="4">
        <f>A506&amp;D506</f>
      </c>
      <c r="J506" s="4">
        <f>VLOOKUP(I506,#REF!,2,0)</f>
      </c>
      <c r="K506" s="4"/>
      <c r="L506" s="4"/>
      <c r="M506" s="4"/>
      <c r="N506" s="4"/>
      <c r="O506" s="4"/>
      <c r="P506" s="4"/>
      <c r="Q506" s="4"/>
      <c r="R506" s="4"/>
      <c r="S506" s="4"/>
    </row>
    <row r="507">
      <c r="A507" s="4">
        <v>192</v>
      </c>
      <c r="B507" s="4" t="str">
        <v>264 LLQ</v>
      </c>
      <c r="C507" s="4" t="str">
        <v>DV_Gội</v>
      </c>
      <c r="D507" s="4">
        <v>1068</v>
      </c>
      <c r="E507" s="4" t="str">
        <v>Gội trải nghiệm 115p</v>
      </c>
      <c r="F507" s="21">
        <v>999000</v>
      </c>
      <c r="G507" s="21">
        <v>1017000</v>
      </c>
      <c r="H507" s="21">
        <v>1008000</v>
      </c>
      <c r="I507" s="4">
        <f>A507&amp;D507</f>
      </c>
      <c r="J507" s="4">
        <f>VLOOKUP(I507,#REF!,2,0)</f>
      </c>
      <c r="K507" s="4"/>
      <c r="L507" s="4"/>
      <c r="M507" s="4"/>
      <c r="N507" s="4"/>
      <c r="O507" s="4"/>
      <c r="P507" s="4"/>
      <c r="Q507" s="4"/>
      <c r="R507" s="4"/>
      <c r="S507" s="4"/>
    </row>
    <row r="508">
      <c r="A508" s="4">
        <v>192</v>
      </c>
      <c r="B508" s="4" t="str">
        <v>264 LLQ</v>
      </c>
      <c r="C508" s="4" t="str">
        <v>DV_Gội</v>
      </c>
      <c r="D508" s="4">
        <v>1069</v>
      </c>
      <c r="E508" s="4" t="str">
        <v>Gội trải nghiệm 140p</v>
      </c>
      <c r="F508" s="21">
        <v>1199000</v>
      </c>
      <c r="G508" s="21">
        <v>1217000</v>
      </c>
      <c r="H508" s="21">
        <v>1208000</v>
      </c>
      <c r="I508" s="4">
        <f>A508&amp;D508</f>
      </c>
      <c r="J508" s="4">
        <f>VLOOKUP(I508,#REF!,2,0)</f>
      </c>
      <c r="K508" s="4"/>
      <c r="L508" s="4"/>
      <c r="M508" s="4"/>
      <c r="N508" s="4"/>
      <c r="O508" s="4"/>
      <c r="P508" s="4"/>
      <c r="Q508" s="4"/>
      <c r="R508" s="4"/>
      <c r="S508" s="4"/>
    </row>
    <row r="509">
      <c r="A509" s="4">
        <v>63</v>
      </c>
      <c r="B509" s="4" t="str">
        <v>29 HB</v>
      </c>
      <c r="C509" s="4" t="str">
        <v>DV_Cắt</v>
      </c>
      <c r="D509" s="4">
        <v>513</v>
      </c>
      <c r="E509" s="4" t="str">
        <v>[DV] ShineCombo 10 bước Ultra Care 2023</v>
      </c>
      <c r="F509" s="21">
        <v>122000</v>
      </c>
      <c r="G509" s="21">
        <v>122000</v>
      </c>
      <c r="H509" s="21">
        <v>122000</v>
      </c>
      <c r="I509" s="4">
        <f>A509&amp;D509</f>
      </c>
      <c r="J509" s="4">
        <v>122000</v>
      </c>
      <c r="K509" s="4"/>
      <c r="L509" s="4"/>
      <c r="M509" s="4"/>
      <c r="N509" s="4"/>
      <c r="O509" s="4"/>
      <c r="P509" s="4"/>
      <c r="Q509" s="4"/>
      <c r="R509" s="4"/>
      <c r="S509" s="4"/>
    </row>
    <row r="510">
      <c r="A510" s="4">
        <v>63</v>
      </c>
      <c r="B510" s="4" t="str">
        <v>29 HB</v>
      </c>
      <c r="C510" s="4" t="str">
        <v>DV_Cắt</v>
      </c>
      <c r="D510" s="4">
        <v>891</v>
      </c>
      <c r="E510" s="4" t="str">
        <v>Cắt xả tạo kiểu</v>
      </c>
      <c r="F510" s="21">
        <v>94000</v>
      </c>
      <c r="G510" s="21">
        <v>94000</v>
      </c>
      <c r="H510" s="21">
        <v>94000</v>
      </c>
      <c r="I510" s="4">
        <f>A510&amp;D510</f>
      </c>
      <c r="J510" s="4">
        <v>94000</v>
      </c>
      <c r="K510" s="4"/>
      <c r="L510" s="4"/>
      <c r="M510" s="4"/>
      <c r="N510" s="4"/>
      <c r="O510" s="4"/>
      <c r="P510" s="4"/>
      <c r="Q510" s="4"/>
      <c r="R510" s="4"/>
      <c r="S510" s="4"/>
    </row>
    <row r="511">
      <c r="A511" s="4">
        <v>63</v>
      </c>
      <c r="B511" s="4" t="str">
        <v>29 HB</v>
      </c>
      <c r="C511" s="4" t="str">
        <v>DV_Cắt</v>
      </c>
      <c r="D511" s="4">
        <v>1002</v>
      </c>
      <c r="E511" s="4" t="str">
        <v>Kid Cắt</v>
      </c>
      <c r="F511" s="21">
        <v>75000</v>
      </c>
      <c r="G511" s="21">
        <v>75000</v>
      </c>
      <c r="H511" s="21">
        <v>75000</v>
      </c>
      <c r="I511" s="4">
        <f>A511&amp;D511</f>
      </c>
      <c r="J511" s="4">
        <v>75000</v>
      </c>
      <c r="K511" s="4"/>
      <c r="L511" s="4"/>
      <c r="M511" s="4"/>
      <c r="N511" s="4"/>
      <c r="O511" s="4"/>
      <c r="P511" s="4"/>
      <c r="Q511" s="4"/>
      <c r="R511" s="4"/>
      <c r="S511" s="4"/>
    </row>
    <row r="512">
      <c r="A512" s="4">
        <v>63</v>
      </c>
      <c r="B512" s="4" t="str">
        <v>29 HB</v>
      </c>
      <c r="C512" s="4" t="str">
        <v>DV_Cắt</v>
      </c>
      <c r="D512" s="4">
        <v>1070</v>
      </c>
      <c r="E512" s="4" t="str">
        <v>Combo Cắt gội Kid</v>
      </c>
      <c r="F512" s="21">
        <v>100000</v>
      </c>
      <c r="G512" s="21">
        <v>100000</v>
      </c>
      <c r="H512" s="21">
        <v>100000</v>
      </c>
      <c r="I512" s="4">
        <f>A512&amp;D512</f>
      </c>
      <c r="J512" s="4">
        <v>100000</v>
      </c>
      <c r="K512" s="4"/>
      <c r="L512" s="4"/>
      <c r="M512" s="4"/>
      <c r="N512" s="4"/>
      <c r="O512" s="4"/>
      <c r="P512" s="4"/>
      <c r="Q512" s="4"/>
      <c r="R512" s="4"/>
      <c r="S512" s="4"/>
    </row>
    <row r="513">
      <c r="A513" s="4">
        <v>63</v>
      </c>
      <c r="B513" s="4" t="str">
        <v>29 HB</v>
      </c>
      <c r="C513" s="4" t="str">
        <v>DV_Cắt_Vip</v>
      </c>
      <c r="D513" s="4">
        <v>1046</v>
      </c>
      <c r="E513" s="4" t="str">
        <v>Shinecombo 2</v>
      </c>
      <c r="F513" s="21">
        <v>199000</v>
      </c>
      <c r="G513" s="21">
        <v>199000</v>
      </c>
      <c r="H513" s="21">
        <v>199000</v>
      </c>
      <c r="I513" s="4">
        <f>A513&amp;D513</f>
      </c>
      <c r="J513" s="4">
        <v>199000</v>
      </c>
      <c r="K513" s="4"/>
      <c r="L513" s="4"/>
      <c r="M513" s="4"/>
      <c r="N513" s="4"/>
      <c r="O513" s="4"/>
      <c r="P513" s="4"/>
      <c r="Q513" s="4"/>
      <c r="R513" s="4"/>
      <c r="S513" s="4"/>
    </row>
    <row r="514">
      <c r="A514" s="4">
        <v>63</v>
      </c>
      <c r="B514" s="4" t="str">
        <v>29 HB</v>
      </c>
      <c r="C514" s="4" t="str">
        <v>DV_Cắt_Vip</v>
      </c>
      <c r="D514" s="4">
        <v>1047</v>
      </c>
      <c r="E514" s="4" t="str">
        <v>Cắt Gội Combo 3 - Chăm da</v>
      </c>
      <c r="F514" s="21">
        <v>299000</v>
      </c>
      <c r="G514" s="21">
        <v>299000</v>
      </c>
      <c r="H514" s="21">
        <v>299000</v>
      </c>
      <c r="I514" s="4">
        <f>A514&amp;D514</f>
      </c>
      <c r="J514" s="4">
        <v>299000</v>
      </c>
      <c r="K514" s="4"/>
      <c r="L514" s="4"/>
      <c r="M514" s="4"/>
      <c r="N514" s="4"/>
      <c r="O514" s="4"/>
      <c r="P514" s="4"/>
      <c r="Q514" s="4"/>
      <c r="R514" s="4"/>
      <c r="S514" s="4"/>
    </row>
    <row r="515">
      <c r="A515" s="4">
        <v>63</v>
      </c>
      <c r="B515" s="4" t="str">
        <v>29 HB</v>
      </c>
      <c r="C515" s="4" t="str">
        <v>DV_Cắt_Vip</v>
      </c>
      <c r="D515" s="4">
        <v>1048</v>
      </c>
      <c r="E515" s="4" t="str">
        <v>Combo 4</v>
      </c>
      <c r="F515" s="21">
        <v>389000</v>
      </c>
      <c r="G515" s="21">
        <v>389000</v>
      </c>
      <c r="H515" s="21">
        <v>389000</v>
      </c>
      <c r="I515" s="4">
        <f>A515&amp;D515</f>
      </c>
      <c r="J515" s="4">
        <v>389000</v>
      </c>
      <c r="K515" s="4"/>
      <c r="L515" s="4"/>
      <c r="M515" s="4"/>
      <c r="N515" s="4"/>
      <c r="O515" s="4"/>
      <c r="P515" s="4"/>
      <c r="Q515" s="4"/>
      <c r="R515" s="4"/>
      <c r="S515" s="4"/>
    </row>
    <row r="516">
      <c r="A516" s="4">
        <v>63</v>
      </c>
      <c r="B516" s="4" t="str">
        <v>29 HB</v>
      </c>
      <c r="C516" s="4" t="str">
        <v>DV_Cắt_Vip</v>
      </c>
      <c r="D516" s="4">
        <v>1064</v>
      </c>
      <c r="E516" s="4" t="str">
        <v>Cắt Gội Combo 5 - Dưỡng sinh</v>
      </c>
      <c r="F516" s="21">
        <v>459000</v>
      </c>
      <c r="G516" s="21">
        <v>459000</v>
      </c>
      <c r="H516" s="21">
        <v>459000</v>
      </c>
      <c r="I516" s="4">
        <f>A516&amp;D516</f>
      </c>
      <c r="J516" s="4">
        <v>459000</v>
      </c>
      <c r="K516" s="4"/>
      <c r="L516" s="4"/>
      <c r="M516" s="4"/>
      <c r="N516" s="4"/>
      <c r="O516" s="4"/>
      <c r="P516" s="4"/>
      <c r="Q516" s="4"/>
      <c r="R516" s="4"/>
      <c r="S516" s="4"/>
    </row>
    <row r="517">
      <c r="A517" s="4">
        <v>63</v>
      </c>
      <c r="B517" s="4" t="str">
        <v>29 HB</v>
      </c>
      <c r="C517" s="4" t="str">
        <v>DV_Cắt_Vip</v>
      </c>
      <c r="D517" s="4">
        <v>1065</v>
      </c>
      <c r="E517" s="4" t="str">
        <v>Cắt Gội Combo 3 - Dưỡng sinh</v>
      </c>
      <c r="F517" s="21">
        <v>299000</v>
      </c>
      <c r="G517" s="21">
        <v>299000</v>
      </c>
      <c r="H517" s="21">
        <v>299000</v>
      </c>
      <c r="I517" s="4">
        <f>A517&amp;D517</f>
      </c>
      <c r="J517" s="4">
        <v>299000</v>
      </c>
      <c r="K517" s="4"/>
      <c r="L517" s="4"/>
      <c r="M517" s="4"/>
      <c r="N517" s="4"/>
      <c r="O517" s="4"/>
      <c r="P517" s="4"/>
      <c r="Q517" s="4"/>
      <c r="R517" s="4"/>
      <c r="S517" s="4"/>
    </row>
    <row r="518">
      <c r="A518" s="4">
        <v>63</v>
      </c>
      <c r="B518" s="4" t="str">
        <v>29 HB</v>
      </c>
      <c r="C518" s="4" t="str">
        <v>DV_Cắt_Vip</v>
      </c>
      <c r="D518" s="4">
        <v>1150</v>
      </c>
      <c r="E518" s="4" t="str">
        <v>Combo cắt gội đỉnh cao thư giãn vip</v>
      </c>
      <c r="F518" s="21">
        <v>500000</v>
      </c>
      <c r="G518" s="21">
        <v>500000</v>
      </c>
      <c r="H518" s="21">
        <v>500000</v>
      </c>
      <c r="I518" s="4">
        <f>A518&amp;D518</f>
      </c>
      <c r="J518" s="4">
        <v>500000</v>
      </c>
      <c r="K518" s="4"/>
      <c r="L518" s="4"/>
      <c r="M518" s="4"/>
      <c r="N518" s="4"/>
      <c r="O518" s="4"/>
      <c r="P518" s="4"/>
      <c r="Q518" s="4"/>
      <c r="R518" s="4"/>
      <c r="S518" s="4"/>
    </row>
    <row r="519">
      <c r="A519" s="4">
        <v>63</v>
      </c>
      <c r="B519" s="4" t="str">
        <v>29 HB</v>
      </c>
      <c r="C519" s="4" t="str">
        <v>DV_Gội</v>
      </c>
      <c r="D519" s="4">
        <v>867</v>
      </c>
      <c r="E519" s="4" t="str">
        <v>Gội dưỡng sinh cổ vai gáy</v>
      </c>
      <c r="F519" s="21">
        <v>99000</v>
      </c>
      <c r="G519" s="21">
        <v>99000</v>
      </c>
      <c r="H519" s="21">
        <v>99000</v>
      </c>
      <c r="I519" s="4">
        <f>A519&amp;D519</f>
      </c>
      <c r="J519" s="4">
        <v>99000</v>
      </c>
      <c r="K519" s="4"/>
      <c r="L519" s="4"/>
      <c r="M519" s="4"/>
      <c r="N519" s="4"/>
      <c r="O519" s="4"/>
      <c r="P519" s="4"/>
      <c r="Q519" s="4"/>
      <c r="R519" s="4"/>
      <c r="S519" s="4"/>
    </row>
    <row r="520">
      <c r="A520" s="4">
        <v>63</v>
      </c>
      <c r="B520" s="4" t="str">
        <v>29 HB</v>
      </c>
      <c r="C520" s="4" t="str">
        <v>DV_Gội</v>
      </c>
      <c r="D520" s="4">
        <v>930</v>
      </c>
      <c r="E520" s="4" t="str">
        <v>[NEW] Gội dưỡng sinh cổ vai gáy và chăm sóc da</v>
      </c>
      <c r="F520" s="21">
        <v>139000</v>
      </c>
      <c r="G520" s="21">
        <v>139000</v>
      </c>
      <c r="H520" s="21">
        <v>139000</v>
      </c>
      <c r="I520" s="4">
        <f>A520&amp;D520</f>
      </c>
      <c r="J520" s="4">
        <v>139000</v>
      </c>
      <c r="K520" s="4"/>
      <c r="L520" s="4"/>
      <c r="M520" s="4"/>
      <c r="N520" s="4"/>
      <c r="O520" s="4"/>
      <c r="P520" s="4"/>
      <c r="Q520" s="4"/>
      <c r="R520" s="4"/>
      <c r="S520" s="4"/>
    </row>
    <row r="521">
      <c r="A521" s="4">
        <v>63</v>
      </c>
      <c r="B521" s="4" t="str">
        <v>29 HB</v>
      </c>
      <c r="C521" s="4" t="str">
        <v>DV_Gội</v>
      </c>
      <c r="D521" s="4">
        <v>934</v>
      </c>
      <c r="E521" s="4" t="str">
        <v>Gội combo 3 - Dưỡng sinh</v>
      </c>
      <c r="F521" s="21">
        <v>229000</v>
      </c>
      <c r="G521" s="21">
        <v>229000</v>
      </c>
      <c r="H521" s="21">
        <v>229000</v>
      </c>
      <c r="I521" s="4">
        <f>A521&amp;D521</f>
      </c>
      <c r="J521" s="4">
        <v>229000</v>
      </c>
      <c r="K521" s="4"/>
      <c r="L521" s="4"/>
      <c r="M521" s="4"/>
      <c r="N521" s="4"/>
      <c r="O521" s="4"/>
      <c r="P521" s="4"/>
      <c r="Q521" s="4"/>
      <c r="R521" s="4"/>
      <c r="S521" s="4"/>
    </row>
    <row r="522">
      <c r="A522" s="4">
        <v>63</v>
      </c>
      <c r="B522" s="4" t="str">
        <v>29 HB</v>
      </c>
      <c r="C522" s="4" t="str">
        <v>DV_Gội</v>
      </c>
      <c r="D522" s="4">
        <v>940</v>
      </c>
      <c r="E522" s="4" t="str">
        <v>[NEW] Gội dưỡng sinh</v>
      </c>
      <c r="F522" s="21">
        <v>59000</v>
      </c>
      <c r="G522" s="21">
        <v>59000</v>
      </c>
      <c r="H522" s="21">
        <v>59000</v>
      </c>
      <c r="I522" s="4">
        <f>A522&amp;D522</f>
      </c>
      <c r="J522" s="4">
        <v>59000</v>
      </c>
      <c r="K522" s="4"/>
      <c r="L522" s="4"/>
      <c r="M522" s="4"/>
      <c r="N522" s="4"/>
      <c r="O522" s="4"/>
      <c r="P522" s="4"/>
      <c r="Q522" s="4"/>
      <c r="R522" s="4"/>
      <c r="S522" s="4"/>
    </row>
    <row r="523">
      <c r="A523" s="4">
        <v>63</v>
      </c>
      <c r="B523" s="4" t="str">
        <v>29 HB</v>
      </c>
      <c r="C523" s="4" t="str">
        <v>DV_Gội</v>
      </c>
      <c r="D523" s="4">
        <v>1058</v>
      </c>
      <c r="E523" s="4" t="str">
        <v>Gội Combo 2</v>
      </c>
      <c r="F523" s="21">
        <v>159000</v>
      </c>
      <c r="G523" s="21">
        <v>159000</v>
      </c>
      <c r="H523" s="21">
        <v>159000</v>
      </c>
      <c r="I523" s="4">
        <f>A523&amp;D523</f>
      </c>
      <c r="J523" s="4">
        <v>159000</v>
      </c>
      <c r="K523" s="4"/>
      <c r="L523" s="4"/>
      <c r="M523" s="4"/>
      <c r="N523" s="4"/>
      <c r="O523" s="4"/>
      <c r="P523" s="4"/>
      <c r="Q523" s="4"/>
      <c r="R523" s="4"/>
      <c r="S523" s="4"/>
    </row>
    <row r="524">
      <c r="A524" s="4">
        <v>63</v>
      </c>
      <c r="B524" s="4" t="str">
        <v>29 HB</v>
      </c>
      <c r="C524" s="4" t="str">
        <v>DV_Gội</v>
      </c>
      <c r="D524" s="4">
        <v>1059</v>
      </c>
      <c r="E524" s="4" t="str">
        <v>Gội Combo 3 - Chăm da</v>
      </c>
      <c r="F524" s="21">
        <v>239000</v>
      </c>
      <c r="G524" s="21">
        <v>239000</v>
      </c>
      <c r="H524" s="21">
        <v>239000</v>
      </c>
      <c r="I524" s="4">
        <f>A524&amp;D524</f>
      </c>
      <c r="J524" s="4">
        <v>239000</v>
      </c>
      <c r="K524" s="4"/>
      <c r="L524" s="4"/>
      <c r="M524" s="4"/>
      <c r="N524" s="4"/>
      <c r="O524" s="4"/>
      <c r="P524" s="4"/>
      <c r="Q524" s="4"/>
      <c r="R524" s="4"/>
      <c r="S524" s="4"/>
    </row>
    <row r="525">
      <c r="A525" s="4">
        <v>63</v>
      </c>
      <c r="B525" s="4" t="str">
        <v>29 HB</v>
      </c>
      <c r="C525" s="4" t="str">
        <v>DV_Gội</v>
      </c>
      <c r="D525" s="4">
        <v>1060</v>
      </c>
      <c r="E525" s="4" t="str">
        <v>Gội Combo 4</v>
      </c>
      <c r="F525" s="21">
        <v>289000</v>
      </c>
      <c r="G525" s="21">
        <v>289000</v>
      </c>
      <c r="H525" s="21">
        <v>289000</v>
      </c>
      <c r="I525" s="4">
        <f>A525&amp;D525</f>
      </c>
      <c r="J525" s="4">
        <v>289000</v>
      </c>
      <c r="K525" s="4"/>
      <c r="L525" s="4"/>
      <c r="M525" s="4"/>
      <c r="N525" s="4"/>
      <c r="O525" s="4"/>
      <c r="P525" s="4"/>
      <c r="Q525" s="4"/>
      <c r="R525" s="4"/>
      <c r="S525" s="4"/>
    </row>
    <row r="526">
      <c r="A526" s="4">
        <v>63</v>
      </c>
      <c r="B526" s="4" t="str">
        <v>29 HB</v>
      </c>
      <c r="C526" s="4" t="str">
        <v>DV_Gội</v>
      </c>
      <c r="D526" s="4">
        <v>1066</v>
      </c>
      <c r="E526" s="4" t="str">
        <v>Gội trải nghiệm 75p</v>
      </c>
      <c r="F526" s="21">
        <v>589000</v>
      </c>
      <c r="G526" s="21">
        <v>589000</v>
      </c>
      <c r="H526" s="21">
        <v>589000</v>
      </c>
      <c r="I526" s="4">
        <f>A526&amp;D526</f>
      </c>
      <c r="J526" s="4">
        <v>589000</v>
      </c>
      <c r="K526" s="4"/>
      <c r="L526" s="4"/>
      <c r="M526" s="4"/>
      <c r="N526" s="4"/>
      <c r="O526" s="4"/>
      <c r="P526" s="4"/>
      <c r="Q526" s="4"/>
      <c r="R526" s="4"/>
      <c r="S526" s="4"/>
    </row>
    <row r="527">
      <c r="A527" s="4">
        <v>63</v>
      </c>
      <c r="B527" s="4" t="str">
        <v>29 HB</v>
      </c>
      <c r="C527" s="4" t="str">
        <v>DV_Gội</v>
      </c>
      <c r="D527" s="4">
        <v>1067</v>
      </c>
      <c r="E527" s="4" t="str">
        <v>Gội trải nghiệm 90p</v>
      </c>
      <c r="F527" s="21">
        <v>789000</v>
      </c>
      <c r="G527" s="21">
        <v>789000</v>
      </c>
      <c r="H527" s="21">
        <v>789000</v>
      </c>
      <c r="I527" s="4">
        <f>A527&amp;D527</f>
      </c>
      <c r="J527" s="4">
        <v>789000</v>
      </c>
      <c r="K527" s="4"/>
      <c r="L527" s="4"/>
      <c r="M527" s="4"/>
      <c r="N527" s="4"/>
      <c r="O527" s="4"/>
      <c r="P527" s="4"/>
      <c r="Q527" s="4"/>
      <c r="R527" s="4"/>
      <c r="S527" s="4"/>
    </row>
    <row r="528">
      <c r="A528" s="4">
        <v>63</v>
      </c>
      <c r="B528" s="4" t="str">
        <v>29 HB</v>
      </c>
      <c r="C528" s="4" t="str">
        <v>DV_Gội</v>
      </c>
      <c r="D528" s="4">
        <v>1068</v>
      </c>
      <c r="E528" s="4" t="str">
        <v>Gội trải nghiệm 115p</v>
      </c>
      <c r="F528" s="21">
        <v>999000</v>
      </c>
      <c r="G528" s="21">
        <v>999000</v>
      </c>
      <c r="H528" s="21">
        <v>999000</v>
      </c>
      <c r="I528" s="4">
        <f>A528&amp;D528</f>
      </c>
      <c r="J528" s="4">
        <v>999000</v>
      </c>
      <c r="K528" s="4"/>
      <c r="L528" s="4"/>
      <c r="M528" s="4"/>
      <c r="N528" s="4"/>
      <c r="O528" s="4"/>
      <c r="P528" s="4"/>
      <c r="Q528" s="4"/>
      <c r="R528" s="4"/>
      <c r="S528" s="4"/>
    </row>
    <row r="529">
      <c r="A529" s="4">
        <v>63</v>
      </c>
      <c r="B529" s="4" t="str">
        <v>29 HB</v>
      </c>
      <c r="C529" s="4" t="str">
        <v>DV_Gội</v>
      </c>
      <c r="D529" s="4">
        <v>1240</v>
      </c>
      <c r="E529" s="4" t="str">
        <v>Gội Detox Scalp Pro</v>
      </c>
      <c r="F529" s="21">
        <v>179000</v>
      </c>
      <c r="G529" s="21">
        <v>179000</v>
      </c>
      <c r="H529" s="21">
        <v>179000</v>
      </c>
      <c r="I529" s="4">
        <f>A529&amp;D529</f>
      </c>
      <c r="J529" s="4">
        <v>179000</v>
      </c>
      <c r="K529" s="4"/>
      <c r="L529" s="4"/>
      <c r="M529" s="4"/>
      <c r="N529" s="4"/>
      <c r="O529" s="4"/>
      <c r="P529" s="4"/>
      <c r="Q529" s="4"/>
      <c r="R529" s="4"/>
      <c r="S529" s="4"/>
    </row>
    <row r="530">
      <c r="A530" s="4">
        <v>230</v>
      </c>
      <c r="B530" s="4" t="str">
        <v>290 QT TH</v>
      </c>
      <c r="C530" s="4" t="str">
        <v>DV_Cắt</v>
      </c>
      <c r="D530" s="4">
        <v>513</v>
      </c>
      <c r="E530" s="4" t="str">
        <v>[DV] ShineCombo 10 bước Ultra Care 2023</v>
      </c>
      <c r="F530" s="21">
        <v>122000</v>
      </c>
      <c r="G530" s="21">
        <v>122000</v>
      </c>
      <c r="H530" s="21">
        <v>122000</v>
      </c>
      <c r="I530" s="4">
        <f>A530&amp;D530</f>
      </c>
      <c r="J530" s="4">
        <v>122000</v>
      </c>
      <c r="K530" s="4"/>
      <c r="L530" s="4"/>
      <c r="M530" s="4"/>
      <c r="N530" s="4"/>
      <c r="O530" s="4"/>
      <c r="P530" s="4"/>
      <c r="Q530" s="4"/>
      <c r="R530" s="4"/>
      <c r="S530" s="4"/>
    </row>
    <row r="531">
      <c r="A531" s="4">
        <v>230</v>
      </c>
      <c r="B531" s="4" t="str">
        <v>290 QT TH</v>
      </c>
      <c r="C531" s="4" t="str">
        <v>DV_Cắt</v>
      </c>
      <c r="D531" s="4">
        <v>891</v>
      </c>
      <c r="E531" s="4" t="str">
        <v>Cắt xả tạo kiểu</v>
      </c>
      <c r="F531" s="21">
        <v>95000</v>
      </c>
      <c r="G531" s="21">
        <v>97000</v>
      </c>
      <c r="H531" s="21">
        <v>97000</v>
      </c>
      <c r="I531" s="4">
        <f>A531&amp;D531</f>
      </c>
      <c r="J531" s="4">
        <v>97000</v>
      </c>
      <c r="K531" s="4"/>
      <c r="L531" s="4"/>
      <c r="M531" s="4"/>
      <c r="N531" s="4"/>
      <c r="O531" s="4"/>
      <c r="P531" s="4"/>
      <c r="Q531" s="4"/>
      <c r="R531" s="4"/>
      <c r="S531" s="4"/>
    </row>
    <row r="532">
      <c r="A532" s="4">
        <v>230</v>
      </c>
      <c r="B532" s="4" t="str">
        <v>290 QT TH</v>
      </c>
      <c r="C532" s="4" t="str">
        <v>DV_Cắt</v>
      </c>
      <c r="D532" s="4">
        <v>1002</v>
      </c>
      <c r="E532" s="4" t="str">
        <v>Kid Cắt</v>
      </c>
      <c r="F532" s="21">
        <v>76000</v>
      </c>
      <c r="G532" s="21">
        <v>78000</v>
      </c>
      <c r="H532" s="21">
        <v>78000</v>
      </c>
      <c r="I532" s="4">
        <f>A532&amp;D532</f>
      </c>
      <c r="J532" s="4">
        <v>78000</v>
      </c>
      <c r="K532" s="4"/>
      <c r="L532" s="4"/>
      <c r="M532" s="4"/>
      <c r="N532" s="4"/>
      <c r="O532" s="4"/>
      <c r="P532" s="4"/>
      <c r="Q532" s="4"/>
      <c r="R532" s="4"/>
      <c r="S532" s="4"/>
    </row>
    <row r="533">
      <c r="A533" s="4">
        <v>230</v>
      </c>
      <c r="B533" s="4" t="str">
        <v>290 QT TH</v>
      </c>
      <c r="C533" s="4" t="str">
        <v>DV_Cắt</v>
      </c>
      <c r="D533" s="4">
        <v>1070</v>
      </c>
      <c r="E533" s="4" t="str">
        <v>Combo Cắt gội Kid</v>
      </c>
      <c r="F533" s="21">
        <v>100000</v>
      </c>
      <c r="G533" s="21">
        <v>102000</v>
      </c>
      <c r="H533" s="21">
        <v>102000</v>
      </c>
      <c r="I533" s="4">
        <f>A533&amp;D533</f>
      </c>
      <c r="J533" s="4">
        <v>102000</v>
      </c>
      <c r="K533" s="4"/>
      <c r="L533" s="4"/>
      <c r="M533" s="4"/>
      <c r="N533" s="4"/>
      <c r="O533" s="4"/>
      <c r="P533" s="4"/>
      <c r="Q533" s="4"/>
      <c r="R533" s="4"/>
      <c r="S533" s="4"/>
    </row>
    <row r="534">
      <c r="A534" s="4">
        <v>230</v>
      </c>
      <c r="B534" s="4" t="str">
        <v>290 QT TH</v>
      </c>
      <c r="C534" s="4" t="str">
        <v>DV_Cắt</v>
      </c>
      <c r="D534" s="4">
        <v>1255</v>
      </c>
      <c r="E534" s="4" t="str">
        <v>VH Cắt gội dưỡng sinh Vip</v>
      </c>
      <c r="F534" s="21">
        <v>250000</v>
      </c>
      <c r="G534" s="21">
        <v>255000</v>
      </c>
      <c r="H534" s="21">
        <v>255000</v>
      </c>
      <c r="I534" s="4">
        <f>A534&amp;D534</f>
      </c>
      <c r="J534" s="4">
        <v>255000</v>
      </c>
      <c r="K534" s="4"/>
      <c r="L534" s="4"/>
      <c r="M534" s="4"/>
      <c r="N534" s="4"/>
      <c r="O534" s="4"/>
      <c r="P534" s="4"/>
      <c r="Q534" s="4"/>
      <c r="R534" s="4"/>
      <c r="S534" s="4"/>
    </row>
    <row r="535">
      <c r="A535" s="4">
        <v>230</v>
      </c>
      <c r="B535" s="4" t="str">
        <v>290 QT TH</v>
      </c>
      <c r="C535" s="4" t="str">
        <v>DV_Cắt_Vip</v>
      </c>
      <c r="D535" s="4">
        <v>1046</v>
      </c>
      <c r="E535" s="4" t="str">
        <v>Shinecombo 2</v>
      </c>
      <c r="F535" s="21">
        <v>200000</v>
      </c>
      <c r="G535" s="21">
        <v>204000</v>
      </c>
      <c r="H535" s="21">
        <v>204000</v>
      </c>
      <c r="I535" s="4">
        <f>A535&amp;D535</f>
      </c>
      <c r="J535" s="4">
        <v>204000</v>
      </c>
      <c r="K535" s="4"/>
      <c r="L535" s="4"/>
      <c r="M535" s="4"/>
      <c r="N535" s="4"/>
      <c r="O535" s="4"/>
      <c r="P535" s="4"/>
      <c r="Q535" s="4"/>
      <c r="R535" s="4"/>
      <c r="S535" s="4"/>
    </row>
    <row r="536">
      <c r="A536" s="4">
        <v>230</v>
      </c>
      <c r="B536" s="4" t="str">
        <v>290 QT TH</v>
      </c>
      <c r="C536" s="4" t="str">
        <v>DV_Cắt_Vip</v>
      </c>
      <c r="D536" s="4">
        <v>1047</v>
      </c>
      <c r="E536" s="4" t="str">
        <v>Cắt Gội Combo 3 - Chăm da</v>
      </c>
      <c r="F536" s="21">
        <v>300000</v>
      </c>
      <c r="G536" s="21">
        <v>306000</v>
      </c>
      <c r="H536" s="21">
        <v>306000</v>
      </c>
      <c r="I536" s="4">
        <f>A536&amp;D536</f>
      </c>
      <c r="J536" s="4">
        <v>306000</v>
      </c>
      <c r="K536" s="4"/>
      <c r="L536" s="4"/>
      <c r="M536" s="4"/>
      <c r="N536" s="4"/>
      <c r="O536" s="4"/>
      <c r="P536" s="4"/>
      <c r="Q536" s="4"/>
      <c r="R536" s="4"/>
      <c r="S536" s="4"/>
    </row>
    <row r="537">
      <c r="A537" s="4">
        <v>230</v>
      </c>
      <c r="B537" s="4" t="str">
        <v>290 QT TH</v>
      </c>
      <c r="C537" s="4" t="str">
        <v>DV_Cắt_Vip</v>
      </c>
      <c r="D537" s="4">
        <v>1048</v>
      </c>
      <c r="E537" s="4" t="str">
        <v>Combo 4</v>
      </c>
      <c r="F537" s="21">
        <v>390000</v>
      </c>
      <c r="G537" s="21">
        <v>398000</v>
      </c>
      <c r="H537" s="21">
        <v>398000</v>
      </c>
      <c r="I537" s="4">
        <f>A537&amp;D537</f>
      </c>
      <c r="J537" s="4">
        <v>398000</v>
      </c>
      <c r="K537" s="4"/>
      <c r="L537" s="4"/>
      <c r="M537" s="4"/>
      <c r="N537" s="4"/>
      <c r="O537" s="4"/>
      <c r="P537" s="4"/>
      <c r="Q537" s="4"/>
      <c r="R537" s="4"/>
      <c r="S537" s="4"/>
    </row>
    <row r="538">
      <c r="A538" s="4">
        <v>230</v>
      </c>
      <c r="B538" s="4" t="str">
        <v>290 QT TH</v>
      </c>
      <c r="C538" s="4" t="str">
        <v>DV_Cắt_Vip</v>
      </c>
      <c r="D538" s="4">
        <v>1064</v>
      </c>
      <c r="E538" s="4" t="str">
        <v>Cắt Gội Combo 5 - Dưỡng sinh</v>
      </c>
      <c r="F538" s="21">
        <v>459000</v>
      </c>
      <c r="G538" s="21">
        <v>469000</v>
      </c>
      <c r="H538" s="21">
        <v>469000</v>
      </c>
      <c r="I538" s="4">
        <f>A538&amp;D538</f>
      </c>
      <c r="J538" s="4">
        <v>469000</v>
      </c>
      <c r="K538" s="4"/>
      <c r="L538" s="4"/>
      <c r="M538" s="4"/>
      <c r="N538" s="4"/>
      <c r="O538" s="4"/>
      <c r="P538" s="4"/>
      <c r="Q538" s="4"/>
      <c r="R538" s="4"/>
      <c r="S538" s="4"/>
    </row>
    <row r="539">
      <c r="A539" s="4">
        <v>230</v>
      </c>
      <c r="B539" s="4" t="str">
        <v>290 QT TH</v>
      </c>
      <c r="C539" s="4" t="str">
        <v>DV_Cắt_Vip</v>
      </c>
      <c r="D539" s="4">
        <v>1065</v>
      </c>
      <c r="E539" s="4" t="str">
        <v>Cắt Gội Combo 3 - Dưỡng sinh</v>
      </c>
      <c r="F539" s="21">
        <v>300000</v>
      </c>
      <c r="G539" s="21">
        <v>306000</v>
      </c>
      <c r="H539" s="21">
        <v>306000</v>
      </c>
      <c r="I539" s="4">
        <f>A539&amp;D539</f>
      </c>
      <c r="J539" s="4">
        <v>306000</v>
      </c>
      <c r="K539" s="4"/>
      <c r="L539" s="4"/>
      <c r="M539" s="4"/>
      <c r="N539" s="4"/>
      <c r="O539" s="4"/>
      <c r="P539" s="4"/>
      <c r="Q539" s="4"/>
      <c r="R539" s="4"/>
      <c r="S539" s="4"/>
    </row>
    <row r="540">
      <c r="A540" s="4">
        <v>230</v>
      </c>
      <c r="B540" s="4" t="str">
        <v>290 QT TH</v>
      </c>
      <c r="C540" s="4" t="str">
        <v>DV_Cắt_Vip</v>
      </c>
      <c r="D540" s="4">
        <v>1256</v>
      </c>
      <c r="E540" s="4" t="str">
        <v>VH Cắt gội dưỡng sinh Vip LRT</v>
      </c>
      <c r="F540" s="21">
        <v>300000</v>
      </c>
      <c r="G540" s="21">
        <v>306000</v>
      </c>
      <c r="H540" s="21">
        <v>306000</v>
      </c>
      <c r="I540" s="4">
        <f>A540&amp;D540</f>
      </c>
      <c r="J540" s="4">
        <v>306000</v>
      </c>
      <c r="K540" s="4"/>
      <c r="L540" s="4"/>
      <c r="M540" s="4"/>
      <c r="N540" s="4"/>
      <c r="O540" s="4"/>
      <c r="P540" s="4"/>
      <c r="Q540" s="4"/>
      <c r="R540" s="4"/>
      <c r="S540" s="4"/>
    </row>
    <row r="541">
      <c r="A541" s="4">
        <v>230</v>
      </c>
      <c r="B541" s="4" t="str">
        <v>290 QT TH</v>
      </c>
      <c r="C541" s="4" t="str">
        <v>DV_Cắt_Vip</v>
      </c>
      <c r="D541" s="4">
        <v>1257</v>
      </c>
      <c r="E541" s="4" t="str">
        <v>VH Cắt gội thư giãn phục hồi</v>
      </c>
      <c r="F541" s="21">
        <v>450000</v>
      </c>
      <c r="G541" s="21">
        <v>459000</v>
      </c>
      <c r="H541" s="21">
        <v>459000</v>
      </c>
      <c r="I541" s="4">
        <f>A541&amp;D541</f>
      </c>
      <c r="J541" s="4">
        <v>459000</v>
      </c>
      <c r="K541" s="4"/>
      <c r="L541" s="4"/>
      <c r="M541" s="4"/>
      <c r="N541" s="4"/>
      <c r="O541" s="4"/>
      <c r="P541" s="4"/>
      <c r="Q541" s="4"/>
      <c r="R541" s="4"/>
      <c r="S541" s="4"/>
    </row>
    <row r="542">
      <c r="A542" s="4">
        <v>230</v>
      </c>
      <c r="B542" s="4" t="str">
        <v>290 QT TH</v>
      </c>
      <c r="C542" s="4" t="str">
        <v>DV_Gội</v>
      </c>
      <c r="D542" s="4">
        <v>867</v>
      </c>
      <c r="E542" s="4" t="str">
        <v>Gội dưỡng sinh cổ vai gáy</v>
      </c>
      <c r="F542" s="21">
        <v>99000</v>
      </c>
      <c r="G542" s="21">
        <v>101000</v>
      </c>
      <c r="H542" s="21">
        <v>101000</v>
      </c>
      <c r="I542" s="4">
        <f>A542&amp;D542</f>
      </c>
      <c r="J542" s="4">
        <v>101000</v>
      </c>
      <c r="K542" s="4"/>
      <c r="L542" s="4"/>
      <c r="M542" s="4"/>
      <c r="N542" s="4"/>
      <c r="O542" s="4"/>
      <c r="P542" s="4"/>
      <c r="Q542" s="4"/>
      <c r="R542" s="4"/>
      <c r="S542" s="4"/>
    </row>
    <row r="543">
      <c r="A543" s="4">
        <v>230</v>
      </c>
      <c r="B543" s="4" t="str">
        <v>290 QT TH</v>
      </c>
      <c r="C543" s="4" t="str">
        <v>DV_Gội</v>
      </c>
      <c r="D543" s="4">
        <v>930</v>
      </c>
      <c r="E543" s="4" t="str">
        <v>[NEW] Gội dưỡng sinh cổ vai gáy và chăm sóc da</v>
      </c>
      <c r="F543" s="21">
        <v>139000</v>
      </c>
      <c r="G543" s="21">
        <v>142000</v>
      </c>
      <c r="H543" s="21">
        <v>142000</v>
      </c>
      <c r="I543" s="4">
        <f>A543&amp;D543</f>
      </c>
      <c r="J543" s="4">
        <v>142000</v>
      </c>
      <c r="K543" s="4"/>
      <c r="L543" s="4"/>
      <c r="M543" s="4"/>
      <c r="N543" s="4"/>
      <c r="O543" s="4"/>
      <c r="P543" s="4"/>
      <c r="Q543" s="4"/>
      <c r="R543" s="4"/>
      <c r="S543" s="4"/>
    </row>
    <row r="544">
      <c r="A544" s="4">
        <v>230</v>
      </c>
      <c r="B544" s="4" t="str">
        <v>290 QT TH</v>
      </c>
      <c r="C544" s="4" t="str">
        <v>DV_Gội</v>
      </c>
      <c r="D544" s="4">
        <v>934</v>
      </c>
      <c r="E544" s="4" t="str">
        <v>Gội combo 3 - Dưỡng sinh</v>
      </c>
      <c r="F544" s="21">
        <v>229000</v>
      </c>
      <c r="G544" s="21">
        <v>234000</v>
      </c>
      <c r="H544" s="21">
        <v>234000</v>
      </c>
      <c r="I544" s="4">
        <f>A544&amp;D544</f>
      </c>
      <c r="J544" s="4">
        <v>234000</v>
      </c>
      <c r="K544" s="4"/>
      <c r="L544" s="4"/>
      <c r="M544" s="4"/>
      <c r="N544" s="4"/>
      <c r="O544" s="4"/>
      <c r="P544" s="4"/>
      <c r="Q544" s="4"/>
      <c r="R544" s="4"/>
      <c r="S544" s="4"/>
    </row>
    <row r="545">
      <c r="A545" s="4">
        <v>230</v>
      </c>
      <c r="B545" s="4" t="str">
        <v>290 QT TH</v>
      </c>
      <c r="C545" s="4" t="str">
        <v>DV_Gội</v>
      </c>
      <c r="D545" s="4">
        <v>940</v>
      </c>
      <c r="E545" s="4" t="str">
        <v>[NEW] Gội dưỡng sinh</v>
      </c>
      <c r="F545" s="21">
        <v>59000</v>
      </c>
      <c r="G545" s="21">
        <v>60000</v>
      </c>
      <c r="H545" s="21">
        <v>60000</v>
      </c>
      <c r="I545" s="4">
        <f>A545&amp;D545</f>
      </c>
      <c r="J545" s="4">
        <v>60000</v>
      </c>
      <c r="K545" s="4"/>
      <c r="L545" s="4"/>
      <c r="M545" s="4"/>
      <c r="N545" s="4"/>
      <c r="O545" s="4"/>
      <c r="P545" s="4"/>
      <c r="Q545" s="4"/>
      <c r="R545" s="4"/>
      <c r="S545" s="4"/>
    </row>
    <row r="546">
      <c r="A546" s="4">
        <v>230</v>
      </c>
      <c r="B546" s="4" t="str">
        <v>290 QT TH</v>
      </c>
      <c r="C546" s="4" t="str">
        <v>DV_Gội</v>
      </c>
      <c r="D546" s="4">
        <v>1058</v>
      </c>
      <c r="E546" s="4" t="str">
        <v>Gội Combo 2</v>
      </c>
      <c r="F546" s="21">
        <v>159000</v>
      </c>
      <c r="G546" s="21">
        <v>162000</v>
      </c>
      <c r="H546" s="21">
        <v>162000</v>
      </c>
      <c r="I546" s="4">
        <f>A546&amp;D546</f>
      </c>
      <c r="J546" s="4">
        <v>162000</v>
      </c>
      <c r="K546" s="4"/>
      <c r="L546" s="4"/>
      <c r="M546" s="4"/>
      <c r="N546" s="4"/>
      <c r="O546" s="4"/>
      <c r="P546" s="4"/>
      <c r="Q546" s="4"/>
      <c r="R546" s="4"/>
      <c r="S546" s="4"/>
    </row>
    <row r="547">
      <c r="A547" s="4">
        <v>230</v>
      </c>
      <c r="B547" s="4" t="str">
        <v>290 QT TH</v>
      </c>
      <c r="C547" s="4" t="str">
        <v>DV_Gội</v>
      </c>
      <c r="D547" s="4">
        <v>1059</v>
      </c>
      <c r="E547" s="4" t="str">
        <v>Gội Combo 3 - Chăm da</v>
      </c>
      <c r="F547" s="21">
        <v>219000</v>
      </c>
      <c r="G547" s="21">
        <v>224000</v>
      </c>
      <c r="H547" s="21">
        <v>224000</v>
      </c>
      <c r="I547" s="4">
        <f>A547&amp;D547</f>
      </c>
      <c r="J547" s="4">
        <v>224000</v>
      </c>
      <c r="K547" s="4"/>
      <c r="L547" s="4"/>
      <c r="M547" s="4"/>
      <c r="N547" s="4"/>
      <c r="O547" s="4"/>
      <c r="P547" s="4"/>
      <c r="Q547" s="4"/>
      <c r="R547" s="4"/>
      <c r="S547" s="4"/>
    </row>
    <row r="548">
      <c r="A548" s="4">
        <v>230</v>
      </c>
      <c r="B548" s="4" t="str">
        <v>290 QT TH</v>
      </c>
      <c r="C548" s="4" t="str">
        <v>DV_Gội</v>
      </c>
      <c r="D548" s="4">
        <v>1060</v>
      </c>
      <c r="E548" s="4" t="str">
        <v>Gội Combo 4</v>
      </c>
      <c r="F548" s="21">
        <v>289000</v>
      </c>
      <c r="G548" s="21">
        <v>295000</v>
      </c>
      <c r="H548" s="21">
        <v>295000</v>
      </c>
      <c r="I548" s="4">
        <f>A548&amp;D548</f>
      </c>
      <c r="J548" s="4">
        <v>295000</v>
      </c>
      <c r="K548" s="4"/>
      <c r="L548" s="4"/>
      <c r="M548" s="4"/>
      <c r="N548" s="4"/>
      <c r="O548" s="4"/>
      <c r="P548" s="4"/>
      <c r="Q548" s="4"/>
      <c r="R548" s="4"/>
      <c r="S548" s="4"/>
    </row>
    <row r="549">
      <c r="A549" s="4">
        <v>230</v>
      </c>
      <c r="B549" s="4" t="str">
        <v>290 QT TH</v>
      </c>
      <c r="C549" s="4" t="str">
        <v>DV_Gội</v>
      </c>
      <c r="D549" s="4">
        <v>1066</v>
      </c>
      <c r="E549" s="4" t="str">
        <v>Gội trải nghiệm 75p</v>
      </c>
      <c r="F549" s="21">
        <v>589000</v>
      </c>
      <c r="G549" s="21">
        <v>601000</v>
      </c>
      <c r="H549" s="21">
        <v>601000</v>
      </c>
      <c r="I549" s="4">
        <f>A549&amp;D549</f>
      </c>
      <c r="J549" s="4">
        <v>601000</v>
      </c>
      <c r="K549" s="4"/>
      <c r="L549" s="4"/>
      <c r="M549" s="4"/>
      <c r="N549" s="4"/>
      <c r="O549" s="4"/>
      <c r="P549" s="4"/>
      <c r="Q549" s="4"/>
      <c r="R549" s="4"/>
      <c r="S549" s="4"/>
    </row>
    <row r="550">
      <c r="A550" s="4">
        <v>230</v>
      </c>
      <c r="B550" s="4" t="str">
        <v>290 QT TH</v>
      </c>
      <c r="C550" s="4" t="str">
        <v>DV_Gội</v>
      </c>
      <c r="D550" s="4">
        <v>1067</v>
      </c>
      <c r="E550" s="4" t="str">
        <v>Gội trải nghiệm 90p</v>
      </c>
      <c r="F550" s="21">
        <v>789000</v>
      </c>
      <c r="G550" s="21">
        <v>806000</v>
      </c>
      <c r="H550" s="21">
        <v>806000</v>
      </c>
      <c r="I550" s="4">
        <f>A550&amp;D550</f>
      </c>
      <c r="J550" s="4">
        <v>806000</v>
      </c>
      <c r="K550" s="4"/>
      <c r="L550" s="4"/>
      <c r="M550" s="4"/>
      <c r="N550" s="4"/>
      <c r="O550" s="4"/>
      <c r="P550" s="4"/>
      <c r="Q550" s="4"/>
      <c r="R550" s="4"/>
      <c r="S550" s="4"/>
    </row>
    <row r="551">
      <c r="A551" s="4">
        <v>230</v>
      </c>
      <c r="B551" s="4" t="str">
        <v>290 QT TH</v>
      </c>
      <c r="C551" s="4" t="str">
        <v>DV_Gội</v>
      </c>
      <c r="D551" s="4">
        <v>1068</v>
      </c>
      <c r="E551" s="4" t="str">
        <v>Gội trải nghiệm 115p</v>
      </c>
      <c r="F551" s="21">
        <v>999000</v>
      </c>
      <c r="G551" s="21">
        <v>1020000</v>
      </c>
      <c r="H551" s="21">
        <v>1020000</v>
      </c>
      <c r="I551" s="4">
        <f>A551&amp;D551</f>
      </c>
      <c r="J551" s="4">
        <v>1020000</v>
      </c>
      <c r="K551" s="4"/>
      <c r="L551" s="4"/>
      <c r="M551" s="4"/>
      <c r="N551" s="4"/>
      <c r="O551" s="4"/>
      <c r="P551" s="4"/>
      <c r="Q551" s="4"/>
      <c r="R551" s="4"/>
      <c r="S551" s="4"/>
    </row>
    <row r="552">
      <c r="A552" s="4">
        <v>230</v>
      </c>
      <c r="B552" s="4" t="str">
        <v>290 QT TH</v>
      </c>
      <c r="C552" s="4" t="str">
        <v>DV_Gội</v>
      </c>
      <c r="D552" s="4">
        <v>1258</v>
      </c>
      <c r="E552" s="4" t="str">
        <v>VH Gội Vip Dưỡng Sinh</v>
      </c>
      <c r="F552" s="21">
        <v>199000</v>
      </c>
      <c r="G552" s="21">
        <v>203000</v>
      </c>
      <c r="H552" s="21">
        <v>203000</v>
      </c>
      <c r="I552" s="4">
        <f>A552&amp;D552</f>
      </c>
      <c r="J552" s="4">
        <v>203000</v>
      </c>
      <c r="K552" s="4"/>
      <c r="L552" s="4"/>
      <c r="M552" s="4"/>
      <c r="N552" s="4"/>
      <c r="O552" s="4"/>
      <c r="P552" s="4"/>
      <c r="Q552" s="4"/>
      <c r="R552" s="4"/>
      <c r="S552" s="4"/>
    </row>
    <row r="553">
      <c r="A553" s="4">
        <v>230</v>
      </c>
      <c r="B553" s="4" t="str">
        <v>290 QT TH</v>
      </c>
      <c r="C553" s="4" t="str">
        <v>DV_Gội</v>
      </c>
      <c r="D553" s="4">
        <v>1259</v>
      </c>
      <c r="E553" s="4" t="str">
        <v>VH Gội Vip Dưỡng Sinh LRT</v>
      </c>
      <c r="F553" s="21">
        <v>259000</v>
      </c>
      <c r="G553" s="21">
        <v>264000</v>
      </c>
      <c r="H553" s="21">
        <v>264000</v>
      </c>
      <c r="I553" s="4">
        <f>A553&amp;D553</f>
      </c>
      <c r="J553" s="4">
        <v>264000</v>
      </c>
      <c r="K553" s="4"/>
      <c r="L553" s="4"/>
      <c r="M553" s="4"/>
      <c r="N553" s="4"/>
      <c r="O553" s="4"/>
      <c r="P553" s="4"/>
      <c r="Q553" s="4"/>
      <c r="R553" s="4"/>
      <c r="S553" s="4"/>
    </row>
    <row r="554">
      <c r="A554" s="4">
        <v>230</v>
      </c>
      <c r="B554" s="4" t="str">
        <v>290 QT TH</v>
      </c>
      <c r="C554" s="4" t="str">
        <v>DV_Gội</v>
      </c>
      <c r="D554" s="4">
        <v>1260</v>
      </c>
      <c r="E554" s="4" t="str">
        <v>VH Combo Gội Dưỡng Sinh Phục Hồi</v>
      </c>
      <c r="F554" s="21">
        <v>399000</v>
      </c>
      <c r="G554" s="21">
        <v>407000</v>
      </c>
      <c r="H554" s="21">
        <v>407000</v>
      </c>
      <c r="I554" s="4">
        <f>A554&amp;D554</f>
      </c>
      <c r="J554" s="4">
        <v>407000</v>
      </c>
      <c r="K554" s="4"/>
      <c r="L554" s="4"/>
      <c r="M554" s="4"/>
      <c r="N554" s="4"/>
      <c r="O554" s="4"/>
      <c r="P554" s="4"/>
      <c r="Q554" s="4"/>
      <c r="R554" s="4"/>
      <c r="S554" s="4"/>
    </row>
    <row r="555">
      <c r="A555" s="4">
        <v>231</v>
      </c>
      <c r="B555" s="4" t="str">
        <v>304 NT TH</v>
      </c>
      <c r="C555" s="4" t="str">
        <v>DV_Cắt</v>
      </c>
      <c r="D555" s="4">
        <v>513</v>
      </c>
      <c r="E555" s="4" t="str">
        <v>[DV] ShineCombo 10 bước Ultra Care 2023</v>
      </c>
      <c r="F555" s="21">
        <v>122000</v>
      </c>
      <c r="G555" s="21">
        <v>122000</v>
      </c>
      <c r="H555" s="21">
        <v>122000</v>
      </c>
      <c r="I555" s="4">
        <f>A555&amp;D555</f>
      </c>
      <c r="J555" s="4">
        <v>122000</v>
      </c>
      <c r="K555" s="4"/>
      <c r="L555" s="4"/>
      <c r="M555" s="4"/>
      <c r="N555" s="4"/>
      <c r="O555" s="4"/>
      <c r="P555" s="4"/>
      <c r="Q555" s="4"/>
      <c r="R555" s="4"/>
      <c r="S555" s="4"/>
    </row>
    <row r="556">
      <c r="A556" s="4">
        <v>231</v>
      </c>
      <c r="B556" s="4" t="str">
        <v>304 NT TH</v>
      </c>
      <c r="C556" s="4" t="str">
        <v>DV_Cắt</v>
      </c>
      <c r="D556" s="4">
        <v>891</v>
      </c>
      <c r="E556" s="4" t="str">
        <v>Cắt xả tạo kiểu</v>
      </c>
      <c r="F556" s="21">
        <v>103000</v>
      </c>
      <c r="G556" s="21">
        <v>110000</v>
      </c>
      <c r="H556" s="21">
        <v>110000</v>
      </c>
      <c r="I556" s="4">
        <f>A556&amp;D556</f>
      </c>
      <c r="J556" s="4">
        <v>110000</v>
      </c>
      <c r="K556" s="4"/>
      <c r="L556" s="4"/>
      <c r="M556" s="4"/>
      <c r="N556" s="4"/>
      <c r="O556" s="4"/>
      <c r="P556" s="4"/>
      <c r="Q556" s="4"/>
      <c r="R556" s="4"/>
      <c r="S556" s="4"/>
    </row>
    <row r="557">
      <c r="A557" s="4">
        <v>231</v>
      </c>
      <c r="B557" s="4" t="str">
        <v>304 NT TH</v>
      </c>
      <c r="C557" s="4" t="str">
        <v>DV_Cắt</v>
      </c>
      <c r="D557" s="4">
        <v>1002</v>
      </c>
      <c r="E557" s="4" t="str">
        <v>Kid Cắt</v>
      </c>
      <c r="F557" s="21">
        <v>84000</v>
      </c>
      <c r="G557" s="21">
        <v>90000</v>
      </c>
      <c r="H557" s="21">
        <v>90000</v>
      </c>
      <c r="I557" s="4">
        <f>A557&amp;D557</f>
      </c>
      <c r="J557" s="4">
        <v>90000</v>
      </c>
      <c r="K557" s="4"/>
      <c r="L557" s="4"/>
      <c r="M557" s="4"/>
      <c r="N557" s="4"/>
      <c r="O557" s="4"/>
      <c r="P557" s="4"/>
      <c r="Q557" s="4"/>
      <c r="R557" s="4"/>
      <c r="S557" s="4"/>
    </row>
    <row r="558">
      <c r="A558" s="4">
        <v>231</v>
      </c>
      <c r="B558" s="4" t="str">
        <v>304 NT TH</v>
      </c>
      <c r="C558" s="4" t="str">
        <v>DV_Cắt</v>
      </c>
      <c r="D558" s="4">
        <v>1070</v>
      </c>
      <c r="E558" s="4" t="str">
        <v>Combo Cắt gội Kid</v>
      </c>
      <c r="F558" s="21">
        <v>100000</v>
      </c>
      <c r="G558" s="21">
        <v>107000</v>
      </c>
      <c r="H558" s="21">
        <v>107000</v>
      </c>
      <c r="I558" s="4">
        <f>A558&amp;D558</f>
      </c>
      <c r="J558" s="4">
        <v>107000</v>
      </c>
      <c r="K558" s="4"/>
      <c r="L558" s="4"/>
      <c r="M558" s="4"/>
      <c r="N558" s="4"/>
      <c r="O558" s="4"/>
      <c r="P558" s="4"/>
      <c r="Q558" s="4"/>
      <c r="R558" s="4"/>
      <c r="S558" s="4"/>
    </row>
    <row r="559">
      <c r="A559" s="4">
        <v>231</v>
      </c>
      <c r="B559" s="4" t="str">
        <v>304 NT TH</v>
      </c>
      <c r="C559" s="4" t="str">
        <v>DV_Cắt</v>
      </c>
      <c r="D559" s="4">
        <v>1255</v>
      </c>
      <c r="E559" s="4" t="str">
        <v>VH Cắt gội dưỡng sinh Vip</v>
      </c>
      <c r="F559" s="21">
        <v>258000</v>
      </c>
      <c r="G559" s="21">
        <v>276000</v>
      </c>
      <c r="H559" s="21">
        <v>276000</v>
      </c>
      <c r="I559" s="4">
        <f>A559&amp;D559</f>
      </c>
      <c r="J559" s="4">
        <v>276000</v>
      </c>
      <c r="K559" s="4"/>
      <c r="L559" s="4"/>
      <c r="M559" s="4"/>
      <c r="N559" s="4"/>
      <c r="O559" s="4"/>
      <c r="P559" s="4"/>
      <c r="Q559" s="4"/>
      <c r="R559" s="4"/>
      <c r="S559" s="4"/>
    </row>
    <row r="560">
      <c r="A560" s="4">
        <v>231</v>
      </c>
      <c r="B560" s="4" t="str">
        <v>304 NT TH</v>
      </c>
      <c r="C560" s="4" t="str">
        <v>DV_Cắt_Vip</v>
      </c>
      <c r="D560" s="4">
        <v>1046</v>
      </c>
      <c r="E560" s="4" t="str">
        <v>Shinecombo 2</v>
      </c>
      <c r="F560" s="21">
        <v>208000</v>
      </c>
      <c r="G560" s="21">
        <v>222000</v>
      </c>
      <c r="H560" s="21">
        <v>222000</v>
      </c>
      <c r="I560" s="4">
        <f>A560&amp;D560</f>
      </c>
      <c r="J560" s="4">
        <v>222000</v>
      </c>
      <c r="K560" s="4"/>
      <c r="L560" s="4"/>
      <c r="M560" s="4"/>
      <c r="N560" s="4"/>
      <c r="O560" s="4"/>
      <c r="P560" s="4"/>
      <c r="Q560" s="4"/>
      <c r="R560" s="4"/>
      <c r="S560" s="4"/>
    </row>
    <row r="561">
      <c r="A561" s="4">
        <v>231</v>
      </c>
      <c r="B561" s="4" t="str">
        <v>304 NT TH</v>
      </c>
      <c r="C561" s="4" t="str">
        <v>DV_Cắt_Vip</v>
      </c>
      <c r="D561" s="4">
        <v>1047</v>
      </c>
      <c r="E561" s="4" t="str">
        <v>Cắt Gội Combo 3 - Chăm da</v>
      </c>
      <c r="F561" s="21">
        <v>308000</v>
      </c>
      <c r="G561" s="21">
        <v>329000</v>
      </c>
      <c r="H561" s="21">
        <v>329000</v>
      </c>
      <c r="I561" s="4">
        <f>A561&amp;D561</f>
      </c>
      <c r="J561" s="4">
        <v>329000</v>
      </c>
      <c r="K561" s="4"/>
      <c r="L561" s="4"/>
      <c r="M561" s="4"/>
      <c r="N561" s="4"/>
      <c r="O561" s="4"/>
      <c r="P561" s="4"/>
      <c r="Q561" s="4"/>
      <c r="R561" s="4"/>
      <c r="S561" s="4"/>
    </row>
    <row r="562">
      <c r="A562" s="4">
        <v>231</v>
      </c>
      <c r="B562" s="4" t="str">
        <v>304 NT TH</v>
      </c>
      <c r="C562" s="4" t="str">
        <v>DV_Cắt_Vip</v>
      </c>
      <c r="D562" s="4">
        <v>1048</v>
      </c>
      <c r="E562" s="4" t="str">
        <v>Combo 4</v>
      </c>
      <c r="F562" s="21">
        <v>398000</v>
      </c>
      <c r="G562" s="21">
        <v>425000</v>
      </c>
      <c r="H562" s="21">
        <v>425000</v>
      </c>
      <c r="I562" s="4">
        <f>A562&amp;D562</f>
      </c>
      <c r="J562" s="4">
        <v>425000</v>
      </c>
      <c r="K562" s="4"/>
      <c r="L562" s="4"/>
      <c r="M562" s="4"/>
      <c r="N562" s="4"/>
      <c r="O562" s="4"/>
      <c r="P562" s="4"/>
      <c r="Q562" s="4"/>
      <c r="R562" s="4"/>
      <c r="S562" s="4"/>
    </row>
    <row r="563">
      <c r="A563" s="4">
        <v>231</v>
      </c>
      <c r="B563" s="4" t="str">
        <v>304 NT TH</v>
      </c>
      <c r="C563" s="4" t="str">
        <v>DV_Cắt_Vip</v>
      </c>
      <c r="D563" s="4">
        <v>1064</v>
      </c>
      <c r="E563" s="4" t="str">
        <v>Cắt Gội Combo 5 - Dưỡng sinh</v>
      </c>
      <c r="F563" s="21">
        <v>459000</v>
      </c>
      <c r="G563" s="21">
        <v>490000</v>
      </c>
      <c r="H563" s="21">
        <v>490000</v>
      </c>
      <c r="I563" s="4">
        <f>A563&amp;D563</f>
      </c>
      <c r="J563" s="4">
        <v>490000</v>
      </c>
      <c r="K563" s="4"/>
      <c r="L563" s="4"/>
      <c r="M563" s="4"/>
      <c r="N563" s="4"/>
      <c r="O563" s="4"/>
      <c r="P563" s="4"/>
      <c r="Q563" s="4"/>
      <c r="R563" s="4"/>
      <c r="S563" s="4"/>
    </row>
    <row r="564">
      <c r="A564" s="4">
        <v>231</v>
      </c>
      <c r="B564" s="4" t="str">
        <v>304 NT TH</v>
      </c>
      <c r="C564" s="4" t="str">
        <v>DV_Cắt_Vip</v>
      </c>
      <c r="D564" s="4">
        <v>1065</v>
      </c>
      <c r="E564" s="4" t="str">
        <v>Cắt Gội Combo 3 - Dưỡng sinh</v>
      </c>
      <c r="F564" s="21">
        <v>308000</v>
      </c>
      <c r="G564" s="21">
        <v>329000</v>
      </c>
      <c r="H564" s="21">
        <v>329000</v>
      </c>
      <c r="I564" s="4">
        <f>A564&amp;D564</f>
      </c>
      <c r="J564" s="4">
        <v>329000</v>
      </c>
      <c r="K564" s="4"/>
      <c r="L564" s="4"/>
      <c r="M564" s="4"/>
      <c r="N564" s="4"/>
      <c r="O564" s="4"/>
      <c r="P564" s="4"/>
      <c r="Q564" s="4"/>
      <c r="R564" s="4"/>
      <c r="S564" s="4"/>
    </row>
    <row r="565">
      <c r="A565" s="4">
        <v>231</v>
      </c>
      <c r="B565" s="4" t="str">
        <v>304 NT TH</v>
      </c>
      <c r="C565" s="4" t="str">
        <v>DV_Cắt_Vip</v>
      </c>
      <c r="D565" s="4">
        <v>1256</v>
      </c>
      <c r="E565" s="4" t="str">
        <v>VH Cắt gội dưỡng sinh Vip LRT</v>
      </c>
      <c r="F565" s="21">
        <v>308000</v>
      </c>
      <c r="G565" s="21">
        <v>329000</v>
      </c>
      <c r="H565" s="21">
        <v>329000</v>
      </c>
      <c r="I565" s="4">
        <f>A565&amp;D565</f>
      </c>
      <c r="J565" s="4">
        <v>329000</v>
      </c>
      <c r="K565" s="4"/>
      <c r="L565" s="4"/>
      <c r="M565" s="4"/>
      <c r="N565" s="4"/>
      <c r="O565" s="4"/>
      <c r="P565" s="4"/>
      <c r="Q565" s="4"/>
      <c r="R565" s="4"/>
      <c r="S565" s="4"/>
    </row>
    <row r="566">
      <c r="A566" s="4">
        <v>231</v>
      </c>
      <c r="B566" s="4" t="str">
        <v>304 NT TH</v>
      </c>
      <c r="C566" s="4" t="str">
        <v>DV_Cắt_Vip</v>
      </c>
      <c r="D566" s="4">
        <v>1257</v>
      </c>
      <c r="E566" s="4" t="str">
        <v>VH Cắt gội thư giãn phục hồi</v>
      </c>
      <c r="F566" s="21">
        <v>458000</v>
      </c>
      <c r="G566" s="21">
        <v>489000</v>
      </c>
      <c r="H566" s="21">
        <v>489000</v>
      </c>
      <c r="I566" s="4">
        <f>A566&amp;D566</f>
      </c>
      <c r="J566" s="4">
        <v>489000</v>
      </c>
      <c r="K566" s="4"/>
      <c r="L566" s="4"/>
      <c r="M566" s="4"/>
      <c r="N566" s="4"/>
      <c r="O566" s="4"/>
      <c r="P566" s="4"/>
      <c r="Q566" s="4"/>
      <c r="R566" s="4"/>
      <c r="S566" s="4"/>
    </row>
    <row r="567">
      <c r="A567" s="4">
        <v>231</v>
      </c>
      <c r="B567" s="4" t="str">
        <v>304 NT TH</v>
      </c>
      <c r="C567" s="4" t="str">
        <v>DV_Gội</v>
      </c>
      <c r="D567" s="4">
        <v>867</v>
      </c>
      <c r="E567" s="4" t="str">
        <v>Gội dưỡng sinh cổ vai gáy</v>
      </c>
      <c r="F567" s="21">
        <v>99000</v>
      </c>
      <c r="G567" s="21">
        <v>106000</v>
      </c>
      <c r="H567" s="21">
        <v>106000</v>
      </c>
      <c r="I567" s="4">
        <f>A567&amp;D567</f>
      </c>
      <c r="J567" s="4">
        <v>106000</v>
      </c>
      <c r="K567" s="4"/>
      <c r="L567" s="4"/>
      <c r="M567" s="4"/>
      <c r="N567" s="4"/>
      <c r="O567" s="4"/>
      <c r="P567" s="4"/>
      <c r="Q567" s="4"/>
      <c r="R567" s="4"/>
      <c r="S567" s="4"/>
    </row>
    <row r="568">
      <c r="A568" s="4">
        <v>231</v>
      </c>
      <c r="B568" s="4" t="str">
        <v>304 NT TH</v>
      </c>
      <c r="C568" s="4" t="str">
        <v>DV_Gội</v>
      </c>
      <c r="D568" s="4">
        <v>930</v>
      </c>
      <c r="E568" s="4" t="str">
        <v>[NEW] Gội dưỡng sinh cổ vai gáy và chăm sóc da</v>
      </c>
      <c r="F568" s="21">
        <v>139000</v>
      </c>
      <c r="G568" s="21">
        <v>148000</v>
      </c>
      <c r="H568" s="21">
        <v>148000</v>
      </c>
      <c r="I568" s="4">
        <f>A568&amp;D568</f>
      </c>
      <c r="J568" s="4">
        <v>148000</v>
      </c>
      <c r="K568" s="4"/>
      <c r="L568" s="4"/>
      <c r="M568" s="4"/>
      <c r="N568" s="4"/>
      <c r="O568" s="4"/>
      <c r="P568" s="4"/>
      <c r="Q568" s="4"/>
      <c r="R568" s="4"/>
      <c r="S568" s="4"/>
    </row>
    <row r="569">
      <c r="A569" s="4">
        <v>231</v>
      </c>
      <c r="B569" s="4" t="str">
        <v>304 NT TH</v>
      </c>
      <c r="C569" s="4" t="str">
        <v>DV_Gội</v>
      </c>
      <c r="D569" s="4">
        <v>934</v>
      </c>
      <c r="E569" s="4" t="str">
        <v>Gội combo 3 - Dưỡng sinh</v>
      </c>
      <c r="F569" s="21">
        <v>229000</v>
      </c>
      <c r="G569" s="21">
        <v>245000</v>
      </c>
      <c r="H569" s="21">
        <v>245000</v>
      </c>
      <c r="I569" s="4">
        <f>A569&amp;D569</f>
      </c>
      <c r="J569" s="4">
        <v>245000</v>
      </c>
      <c r="K569" s="4"/>
      <c r="L569" s="4"/>
      <c r="M569" s="4"/>
      <c r="N569" s="4"/>
      <c r="O569" s="4"/>
      <c r="P569" s="4"/>
      <c r="Q569" s="4"/>
      <c r="R569" s="4"/>
      <c r="S569" s="4"/>
    </row>
    <row r="570">
      <c r="A570" s="4">
        <v>231</v>
      </c>
      <c r="B570" s="4" t="str">
        <v>304 NT TH</v>
      </c>
      <c r="C570" s="4" t="str">
        <v>DV_Gội</v>
      </c>
      <c r="D570" s="4">
        <v>940</v>
      </c>
      <c r="E570" s="4" t="str">
        <v>[NEW] Gội dưỡng sinh</v>
      </c>
      <c r="F570" s="21">
        <v>59000</v>
      </c>
      <c r="G570" s="21">
        <v>63000</v>
      </c>
      <c r="H570" s="21">
        <v>63000</v>
      </c>
      <c r="I570" s="4">
        <f>A570&amp;D570</f>
      </c>
      <c r="J570" s="4">
        <v>63000</v>
      </c>
      <c r="K570" s="4"/>
      <c r="L570" s="4"/>
      <c r="M570" s="4"/>
      <c r="N570" s="4"/>
      <c r="O570" s="4"/>
      <c r="P570" s="4"/>
      <c r="Q570" s="4"/>
      <c r="R570" s="4"/>
      <c r="S570" s="4"/>
    </row>
    <row r="571">
      <c r="A571" s="4">
        <v>231</v>
      </c>
      <c r="B571" s="4" t="str">
        <v>304 NT TH</v>
      </c>
      <c r="C571" s="4" t="str">
        <v>DV_Gội</v>
      </c>
      <c r="D571" s="4">
        <v>1058</v>
      </c>
      <c r="E571" s="4" t="str">
        <v>Gội Combo 2</v>
      </c>
      <c r="F571" s="21">
        <v>159000</v>
      </c>
      <c r="G571" s="21">
        <v>170000</v>
      </c>
      <c r="H571" s="21">
        <v>170000</v>
      </c>
      <c r="I571" s="4">
        <f>A571&amp;D571</f>
      </c>
      <c r="J571" s="4">
        <v>170000</v>
      </c>
      <c r="K571" s="4"/>
      <c r="L571" s="4"/>
      <c r="M571" s="4"/>
      <c r="N571" s="4"/>
      <c r="O571" s="4"/>
      <c r="P571" s="4"/>
      <c r="Q571" s="4"/>
      <c r="R571" s="4"/>
      <c r="S571" s="4"/>
    </row>
    <row r="572">
      <c r="A572" s="4">
        <v>231</v>
      </c>
      <c r="B572" s="4" t="str">
        <v>304 NT TH</v>
      </c>
      <c r="C572" s="4" t="str">
        <v>DV_Gội</v>
      </c>
      <c r="D572" s="4">
        <v>1059</v>
      </c>
      <c r="E572" s="4" t="str">
        <v>Gội Combo 3 - Chăm da</v>
      </c>
      <c r="F572" s="21">
        <v>219000</v>
      </c>
      <c r="G572" s="21">
        <v>234000</v>
      </c>
      <c r="H572" s="21">
        <v>234000</v>
      </c>
      <c r="I572" s="4">
        <f>A572&amp;D572</f>
      </c>
      <c r="J572" s="4">
        <v>234000</v>
      </c>
      <c r="K572" s="4"/>
      <c r="L572" s="4"/>
      <c r="M572" s="4"/>
      <c r="N572" s="4"/>
      <c r="O572" s="4"/>
      <c r="P572" s="4"/>
      <c r="Q572" s="4"/>
      <c r="R572" s="4"/>
      <c r="S572" s="4"/>
    </row>
    <row r="573">
      <c r="A573" s="4">
        <v>231</v>
      </c>
      <c r="B573" s="4" t="str">
        <v>304 NT TH</v>
      </c>
      <c r="C573" s="4" t="str">
        <v>DV_Gội</v>
      </c>
      <c r="D573" s="4">
        <v>1060</v>
      </c>
      <c r="E573" s="4" t="str">
        <v>Gội Combo 4</v>
      </c>
      <c r="F573" s="21">
        <v>289000</v>
      </c>
      <c r="G573" s="21">
        <v>309000</v>
      </c>
      <c r="H573" s="21">
        <v>309000</v>
      </c>
      <c r="I573" s="4">
        <f>A573&amp;D573</f>
      </c>
      <c r="J573" s="4">
        <v>309000</v>
      </c>
      <c r="K573" s="4"/>
      <c r="L573" s="4"/>
      <c r="M573" s="4"/>
      <c r="N573" s="4"/>
      <c r="O573" s="4"/>
      <c r="P573" s="4"/>
      <c r="Q573" s="4"/>
      <c r="R573" s="4"/>
      <c r="S573" s="4"/>
    </row>
    <row r="574">
      <c r="A574" s="4">
        <v>231</v>
      </c>
      <c r="B574" s="4" t="str">
        <v>304 NT TH</v>
      </c>
      <c r="C574" s="4" t="str">
        <v>DV_Gội</v>
      </c>
      <c r="D574" s="4">
        <v>1066</v>
      </c>
      <c r="E574" s="4" t="str">
        <v>Gội trải nghiệm 75p</v>
      </c>
      <c r="F574" s="21">
        <v>589000</v>
      </c>
      <c r="G574" s="21">
        <v>629000</v>
      </c>
      <c r="H574" s="21">
        <v>629000</v>
      </c>
      <c r="I574" s="4">
        <f>A574&amp;D574</f>
      </c>
      <c r="J574" s="4">
        <v>629000</v>
      </c>
      <c r="K574" s="4"/>
      <c r="L574" s="4"/>
      <c r="M574" s="4"/>
      <c r="N574" s="4"/>
      <c r="O574" s="4"/>
      <c r="P574" s="4"/>
      <c r="Q574" s="4"/>
      <c r="R574" s="4"/>
      <c r="S574" s="4"/>
    </row>
    <row r="575">
      <c r="A575" s="4">
        <v>231</v>
      </c>
      <c r="B575" s="4" t="str">
        <v>304 NT TH</v>
      </c>
      <c r="C575" s="4" t="str">
        <v>DV_Gội</v>
      </c>
      <c r="D575" s="4">
        <v>1067</v>
      </c>
      <c r="E575" s="4" t="str">
        <v>Gội trải nghiệm 90p</v>
      </c>
      <c r="F575" s="21">
        <v>789000</v>
      </c>
      <c r="G575" s="21">
        <v>843000</v>
      </c>
      <c r="H575" s="21">
        <v>843000</v>
      </c>
      <c r="I575" s="4">
        <f>A575&amp;D575</f>
      </c>
      <c r="J575" s="4">
        <v>843000</v>
      </c>
      <c r="K575" s="4"/>
      <c r="L575" s="4"/>
      <c r="M575" s="4"/>
      <c r="N575" s="4"/>
      <c r="O575" s="4"/>
      <c r="P575" s="4"/>
      <c r="Q575" s="4"/>
      <c r="R575" s="4"/>
      <c r="S575" s="4"/>
    </row>
    <row r="576">
      <c r="A576" s="4">
        <v>231</v>
      </c>
      <c r="B576" s="4" t="str">
        <v>304 NT TH</v>
      </c>
      <c r="C576" s="4" t="str">
        <v>DV_Gội</v>
      </c>
      <c r="D576" s="4">
        <v>1068</v>
      </c>
      <c r="E576" s="4" t="str">
        <v>Gội trải nghiệm 115p</v>
      </c>
      <c r="F576" s="21">
        <v>999000</v>
      </c>
      <c r="G576" s="21">
        <v>1067000</v>
      </c>
      <c r="H576" s="21">
        <v>1067000</v>
      </c>
      <c r="I576" s="4">
        <f>A576&amp;D576</f>
      </c>
      <c r="J576" s="4">
        <v>1067000</v>
      </c>
      <c r="K576" s="4"/>
      <c r="L576" s="4"/>
      <c r="M576" s="4"/>
      <c r="N576" s="4"/>
      <c r="O576" s="4"/>
      <c r="P576" s="4"/>
      <c r="Q576" s="4"/>
      <c r="R576" s="4"/>
      <c r="S576" s="4"/>
    </row>
    <row r="577">
      <c r="A577" s="4">
        <v>231</v>
      </c>
      <c r="B577" s="4" t="str">
        <v>304 NT TH</v>
      </c>
      <c r="C577" s="4" t="str">
        <v>DV_Gội</v>
      </c>
      <c r="D577" s="4">
        <v>1258</v>
      </c>
      <c r="E577" s="4" t="str">
        <v>VH Gội Vip Dưỡng Sinh</v>
      </c>
      <c r="F577" s="21">
        <v>199000</v>
      </c>
      <c r="G577" s="21">
        <v>213000</v>
      </c>
      <c r="H577" s="21">
        <v>213000</v>
      </c>
      <c r="I577" s="4">
        <f>A577&amp;D577</f>
      </c>
      <c r="J577" s="4">
        <v>213000</v>
      </c>
      <c r="K577" s="4"/>
      <c r="L577" s="4"/>
      <c r="M577" s="4"/>
      <c r="N577" s="4"/>
      <c r="O577" s="4"/>
      <c r="P577" s="4"/>
      <c r="Q577" s="4"/>
      <c r="R577" s="4"/>
      <c r="S577" s="4"/>
    </row>
    <row r="578">
      <c r="A578" s="4">
        <v>69</v>
      </c>
      <c r="B578" s="4" t="str">
        <v>312 LVS</v>
      </c>
      <c r="C578" s="4" t="str">
        <v>DV_Cắt</v>
      </c>
      <c r="D578" s="4">
        <v>513</v>
      </c>
      <c r="E578" s="4" t="str">
        <v>[DV] ShineCombo 10 bước Ultra Care 2023</v>
      </c>
      <c r="F578" s="21">
        <v>122000</v>
      </c>
      <c r="G578" s="21">
        <v>122000</v>
      </c>
      <c r="H578" s="21">
        <v>122000</v>
      </c>
      <c r="I578" s="4">
        <f>A578&amp;D578</f>
      </c>
      <c r="J578" s="4">
        <v>122000</v>
      </c>
      <c r="K578" s="4"/>
      <c r="L578" s="4"/>
      <c r="M578" s="4"/>
      <c r="N578" s="4"/>
      <c r="O578" s="4"/>
      <c r="P578" s="4"/>
      <c r="Q578" s="4"/>
      <c r="R578" s="4"/>
      <c r="S578" s="4"/>
    </row>
    <row r="579">
      <c r="A579" s="4">
        <v>69</v>
      </c>
      <c r="B579" s="4" t="str">
        <v>312 LVS</v>
      </c>
      <c r="C579" s="4" t="str">
        <v>DV_Cắt</v>
      </c>
      <c r="D579" s="4">
        <v>891</v>
      </c>
      <c r="E579" s="4" t="str">
        <v>Cắt xả tạo kiểu</v>
      </c>
      <c r="F579" s="21">
        <v>97000</v>
      </c>
      <c r="G579" s="21">
        <v>99000</v>
      </c>
      <c r="H579" s="21">
        <v>99000</v>
      </c>
      <c r="I579" s="4">
        <f>A579&amp;D579</f>
      </c>
      <c r="J579" s="4">
        <v>99000</v>
      </c>
      <c r="K579" s="4"/>
      <c r="L579" s="4"/>
      <c r="M579" s="4"/>
      <c r="N579" s="4"/>
      <c r="O579" s="4"/>
      <c r="P579" s="4"/>
      <c r="Q579" s="4"/>
      <c r="R579" s="4"/>
      <c r="S579" s="4"/>
    </row>
    <row r="580">
      <c r="A580" s="4">
        <v>69</v>
      </c>
      <c r="B580" s="4" t="str">
        <v>312 LVS</v>
      </c>
      <c r="C580" s="4" t="str">
        <v>DV_Cắt</v>
      </c>
      <c r="D580" s="4">
        <v>1002</v>
      </c>
      <c r="E580" s="4" t="str">
        <v>Kid Cắt</v>
      </c>
      <c r="F580" s="21">
        <v>78000</v>
      </c>
      <c r="G580" s="21">
        <v>80000</v>
      </c>
      <c r="H580" s="21">
        <v>80000</v>
      </c>
      <c r="I580" s="4">
        <f>A580&amp;D580</f>
      </c>
      <c r="J580" s="4">
        <v>80000</v>
      </c>
      <c r="K580" s="4"/>
      <c r="L580" s="4"/>
      <c r="M580" s="4"/>
      <c r="N580" s="4"/>
      <c r="O580" s="4"/>
      <c r="P580" s="4"/>
      <c r="Q580" s="4"/>
      <c r="R580" s="4"/>
      <c r="S580" s="4"/>
    </row>
    <row r="581">
      <c r="A581" s="4">
        <v>69</v>
      </c>
      <c r="B581" s="4" t="str">
        <v>312 LVS</v>
      </c>
      <c r="C581" s="4" t="str">
        <v>DV_Cắt</v>
      </c>
      <c r="D581" s="4">
        <v>1070</v>
      </c>
      <c r="E581" s="4" t="str">
        <v>Combo Cắt gội Kid</v>
      </c>
      <c r="F581" s="21">
        <v>100000</v>
      </c>
      <c r="G581" s="21">
        <v>102000</v>
      </c>
      <c r="H581" s="21">
        <v>102000</v>
      </c>
      <c r="I581" s="4">
        <f>A581&amp;D581</f>
      </c>
      <c r="J581" s="4">
        <v>102000</v>
      </c>
      <c r="K581" s="4"/>
      <c r="L581" s="4"/>
      <c r="M581" s="4"/>
      <c r="N581" s="4"/>
      <c r="O581" s="4"/>
      <c r="P581" s="4"/>
      <c r="Q581" s="4"/>
      <c r="R581" s="4"/>
      <c r="S581" s="4"/>
    </row>
    <row r="582">
      <c r="A582" s="4">
        <v>69</v>
      </c>
      <c r="B582" s="4" t="str">
        <v>312 LVS</v>
      </c>
      <c r="C582" s="4" t="str">
        <v>DV_Cắt_Vip</v>
      </c>
      <c r="D582" s="4">
        <v>1046</v>
      </c>
      <c r="E582" s="4" t="str">
        <v>Shinecombo 2</v>
      </c>
      <c r="F582" s="21">
        <v>202000</v>
      </c>
      <c r="G582" s="21">
        <v>206000</v>
      </c>
      <c r="H582" s="21">
        <v>206000</v>
      </c>
      <c r="I582" s="4">
        <f>A582&amp;D582</f>
      </c>
      <c r="J582" s="4">
        <v>206000</v>
      </c>
      <c r="K582" s="4"/>
      <c r="L582" s="4"/>
      <c r="M582" s="4"/>
      <c r="N582" s="4"/>
      <c r="O582" s="4"/>
      <c r="P582" s="4"/>
      <c r="Q582" s="4"/>
      <c r="R582" s="4"/>
      <c r="S582" s="4"/>
    </row>
    <row r="583">
      <c r="A583" s="4">
        <v>69</v>
      </c>
      <c r="B583" s="4" t="str">
        <v>312 LVS</v>
      </c>
      <c r="C583" s="4" t="str">
        <v>DV_Cắt_Vip</v>
      </c>
      <c r="D583" s="4">
        <v>1047</v>
      </c>
      <c r="E583" s="4" t="str">
        <v>Cắt Gội Combo 3 - Chăm da</v>
      </c>
      <c r="F583" s="21">
        <v>302000</v>
      </c>
      <c r="G583" s="21">
        <v>308000</v>
      </c>
      <c r="H583" s="21">
        <v>308000</v>
      </c>
      <c r="I583" s="4">
        <f>A583&amp;D583</f>
      </c>
      <c r="J583" s="4">
        <v>308000</v>
      </c>
      <c r="K583" s="4"/>
      <c r="L583" s="4"/>
      <c r="M583" s="4"/>
      <c r="N583" s="4"/>
      <c r="O583" s="4"/>
      <c r="P583" s="4"/>
      <c r="Q583" s="4"/>
      <c r="R583" s="4"/>
      <c r="S583" s="4"/>
    </row>
    <row r="584">
      <c r="A584" s="4">
        <v>69</v>
      </c>
      <c r="B584" s="4" t="str">
        <v>312 LVS</v>
      </c>
      <c r="C584" s="4" t="str">
        <v>DV_Cắt_Vip</v>
      </c>
      <c r="D584" s="4">
        <v>1048</v>
      </c>
      <c r="E584" s="4" t="str">
        <v>Combo 4</v>
      </c>
      <c r="F584" s="21">
        <v>392000</v>
      </c>
      <c r="G584" s="21">
        <v>400000</v>
      </c>
      <c r="H584" s="21">
        <v>400000</v>
      </c>
      <c r="I584" s="4">
        <f>A584&amp;D584</f>
      </c>
      <c r="J584" s="4">
        <v>400000</v>
      </c>
      <c r="K584" s="4"/>
      <c r="L584" s="4"/>
      <c r="M584" s="4"/>
      <c r="N584" s="4"/>
      <c r="O584" s="4"/>
      <c r="P584" s="4"/>
      <c r="Q584" s="4"/>
      <c r="R584" s="4"/>
      <c r="S584" s="4"/>
    </row>
    <row r="585">
      <c r="A585" s="4">
        <v>69</v>
      </c>
      <c r="B585" s="4" t="str">
        <v>312 LVS</v>
      </c>
      <c r="C585" s="4" t="str">
        <v>DV_Cắt_Vip</v>
      </c>
      <c r="D585" s="4">
        <v>1049</v>
      </c>
      <c r="E585" s="4" t="str">
        <v>Cắt Gội Combo 5 - Chăm da</v>
      </c>
      <c r="F585" s="21">
        <v>399000</v>
      </c>
      <c r="G585" s="21">
        <v>407000</v>
      </c>
      <c r="H585" s="21">
        <v>407000</v>
      </c>
      <c r="I585" s="4">
        <f>A585&amp;D585</f>
      </c>
      <c r="J585" s="4">
        <v>407000</v>
      </c>
      <c r="K585" s="4"/>
      <c r="L585" s="4"/>
      <c r="M585" s="4"/>
      <c r="N585" s="4"/>
      <c r="O585" s="4"/>
      <c r="P585" s="4"/>
      <c r="Q585" s="4"/>
      <c r="R585" s="4"/>
      <c r="S585" s="4"/>
    </row>
    <row r="586">
      <c r="A586" s="4">
        <v>69</v>
      </c>
      <c r="B586" s="4" t="str">
        <v>312 LVS</v>
      </c>
      <c r="C586" s="4" t="str">
        <v>DV_Cắt_Vip</v>
      </c>
      <c r="D586" s="4">
        <v>1064</v>
      </c>
      <c r="E586" s="4" t="str">
        <v>Cắt Gội Combo 5 - Dưỡng sinh</v>
      </c>
      <c r="F586" s="21">
        <v>462000</v>
      </c>
      <c r="G586" s="21">
        <v>472000</v>
      </c>
      <c r="H586" s="21">
        <v>472000</v>
      </c>
      <c r="I586" s="4">
        <f>A586&amp;D586</f>
      </c>
      <c r="J586" s="4">
        <v>472000</v>
      </c>
      <c r="K586" s="4"/>
      <c r="L586" s="4"/>
      <c r="M586" s="4"/>
      <c r="N586" s="4"/>
      <c r="O586" s="4"/>
      <c r="P586" s="4"/>
      <c r="Q586" s="4"/>
      <c r="R586" s="4"/>
      <c r="S586" s="4"/>
    </row>
    <row r="587">
      <c r="A587" s="4">
        <v>69</v>
      </c>
      <c r="B587" s="4" t="str">
        <v>312 LVS</v>
      </c>
      <c r="C587" s="4" t="str">
        <v>DV_Cắt_Vip</v>
      </c>
      <c r="D587" s="4">
        <v>1065</v>
      </c>
      <c r="E587" s="4" t="str">
        <v>Cắt Gội Combo 3 - Dưỡng sinh</v>
      </c>
      <c r="F587" s="21">
        <v>302000</v>
      </c>
      <c r="G587" s="21">
        <v>308000</v>
      </c>
      <c r="H587" s="21">
        <v>308000</v>
      </c>
      <c r="I587" s="4">
        <f>A587&amp;D587</f>
      </c>
      <c r="J587" s="4">
        <v>308000</v>
      </c>
      <c r="K587" s="4"/>
      <c r="L587" s="4"/>
      <c r="M587" s="4"/>
      <c r="N587" s="4"/>
      <c r="O587" s="4"/>
      <c r="P587" s="4"/>
      <c r="Q587" s="4"/>
      <c r="R587" s="4"/>
      <c r="S587" s="4"/>
    </row>
    <row r="588">
      <c r="A588" s="4">
        <v>69</v>
      </c>
      <c r="B588" s="4" t="str">
        <v>312 LVS</v>
      </c>
      <c r="C588" s="4" t="str">
        <v>DV_Gội</v>
      </c>
      <c r="D588" s="4">
        <v>867</v>
      </c>
      <c r="E588" s="4" t="str">
        <v>Gội dưỡng sinh cổ vai gáy</v>
      </c>
      <c r="F588" s="21">
        <v>100000</v>
      </c>
      <c r="G588" s="21">
        <v>102000</v>
      </c>
      <c r="H588" s="21">
        <v>102000</v>
      </c>
      <c r="I588" s="4">
        <f>A588&amp;D588</f>
      </c>
      <c r="J588" s="4">
        <v>102000</v>
      </c>
      <c r="K588" s="4"/>
      <c r="L588" s="4"/>
      <c r="M588" s="4"/>
      <c r="N588" s="4"/>
      <c r="O588" s="4"/>
      <c r="P588" s="4"/>
      <c r="Q588" s="4"/>
      <c r="R588" s="4"/>
      <c r="S588" s="4"/>
    </row>
    <row r="589">
      <c r="A589" s="4">
        <v>69</v>
      </c>
      <c r="B589" s="4" t="str">
        <v>312 LVS</v>
      </c>
      <c r="C589" s="4" t="str">
        <v>DV_Gội</v>
      </c>
      <c r="D589" s="4">
        <v>930</v>
      </c>
      <c r="E589" s="4" t="str">
        <v>[NEW] Gội dưỡng sinh cổ vai gáy và chăm sóc da</v>
      </c>
      <c r="F589" s="21">
        <v>139000</v>
      </c>
      <c r="G589" s="21">
        <v>142000</v>
      </c>
      <c r="H589" s="21">
        <v>142000</v>
      </c>
      <c r="I589" s="4">
        <f>A589&amp;D589</f>
      </c>
      <c r="J589" s="4">
        <v>142000</v>
      </c>
      <c r="K589" s="4"/>
      <c r="L589" s="4"/>
      <c r="M589" s="4"/>
      <c r="N589" s="4"/>
      <c r="O589" s="4"/>
      <c r="P589" s="4"/>
      <c r="Q589" s="4"/>
      <c r="R589" s="4"/>
      <c r="S589" s="4"/>
    </row>
    <row r="590">
      <c r="A590" s="4">
        <v>69</v>
      </c>
      <c r="B590" s="4" t="str">
        <v>312 LVS</v>
      </c>
      <c r="C590" s="4" t="str">
        <v>DV_Gội</v>
      </c>
      <c r="D590" s="4">
        <v>932</v>
      </c>
      <c r="E590" s="4" t="str">
        <v>Gội combo 5 dưỡng sinh</v>
      </c>
      <c r="F590" s="21">
        <v>399000</v>
      </c>
      <c r="G590" s="21">
        <v>407000</v>
      </c>
      <c r="H590" s="21">
        <v>407000</v>
      </c>
      <c r="I590" s="4">
        <f>A590&amp;D590</f>
      </c>
      <c r="J590" s="4">
        <v>407000</v>
      </c>
      <c r="K590" s="4"/>
      <c r="L590" s="4"/>
      <c r="M590" s="4"/>
      <c r="N590" s="4"/>
      <c r="O590" s="4"/>
      <c r="P590" s="4"/>
      <c r="Q590" s="4"/>
      <c r="R590" s="4"/>
      <c r="S590" s="4"/>
    </row>
    <row r="591">
      <c r="A591" s="4">
        <v>69</v>
      </c>
      <c r="B591" s="4" t="str">
        <v>312 LVS</v>
      </c>
      <c r="C591" s="4" t="str">
        <v>DV_Gội</v>
      </c>
      <c r="D591" s="4">
        <v>934</v>
      </c>
      <c r="E591" s="4" t="str">
        <v>Gội combo 3 - Dưỡng sinh</v>
      </c>
      <c r="F591" s="21">
        <v>229000</v>
      </c>
      <c r="G591" s="21">
        <v>234000</v>
      </c>
      <c r="H591" s="21">
        <v>234000</v>
      </c>
      <c r="I591" s="4">
        <f>A591&amp;D591</f>
      </c>
      <c r="J591" s="4">
        <v>234000</v>
      </c>
      <c r="K591" s="4"/>
      <c r="L591" s="4"/>
      <c r="M591" s="4"/>
      <c r="N591" s="4"/>
      <c r="O591" s="4"/>
      <c r="P591" s="4"/>
      <c r="Q591" s="4"/>
      <c r="R591" s="4"/>
      <c r="S591" s="4"/>
    </row>
    <row r="592">
      <c r="A592" s="4">
        <v>69</v>
      </c>
      <c r="B592" s="4" t="str">
        <v>312 LVS</v>
      </c>
      <c r="C592" s="4" t="str">
        <v>DV_Gội</v>
      </c>
      <c r="D592" s="4">
        <v>940</v>
      </c>
      <c r="E592" s="4" t="str">
        <v>[NEW] Gội dưỡng sinh</v>
      </c>
      <c r="F592" s="21">
        <v>59000</v>
      </c>
      <c r="G592" s="21">
        <v>60000</v>
      </c>
      <c r="H592" s="21">
        <v>60000</v>
      </c>
      <c r="I592" s="4">
        <f>A592&amp;D592</f>
      </c>
      <c r="J592" s="4">
        <v>60000</v>
      </c>
      <c r="K592" s="4"/>
      <c r="L592" s="4"/>
      <c r="M592" s="4"/>
      <c r="N592" s="4"/>
      <c r="O592" s="4"/>
      <c r="P592" s="4"/>
      <c r="Q592" s="4"/>
      <c r="R592" s="4"/>
      <c r="S592" s="4"/>
    </row>
    <row r="593">
      <c r="A593" s="4">
        <v>69</v>
      </c>
      <c r="B593" s="4" t="str">
        <v>312 LVS</v>
      </c>
      <c r="C593" s="4" t="str">
        <v>DV_Gội</v>
      </c>
      <c r="D593" s="4">
        <v>1058</v>
      </c>
      <c r="E593" s="4" t="str">
        <v>Gội Combo 2</v>
      </c>
      <c r="F593" s="21">
        <v>159000</v>
      </c>
      <c r="G593" s="21">
        <v>162000</v>
      </c>
      <c r="H593" s="21">
        <v>162000</v>
      </c>
      <c r="I593" s="4">
        <f>A593&amp;D593</f>
      </c>
      <c r="J593" s="4">
        <v>162000</v>
      </c>
      <c r="K593" s="4"/>
      <c r="L593" s="4"/>
      <c r="M593" s="4"/>
      <c r="N593" s="4"/>
      <c r="O593" s="4"/>
      <c r="P593" s="4"/>
      <c r="Q593" s="4"/>
      <c r="R593" s="4"/>
      <c r="S593" s="4"/>
    </row>
    <row r="594">
      <c r="A594" s="4">
        <v>69</v>
      </c>
      <c r="B594" s="4" t="str">
        <v>312 LVS</v>
      </c>
      <c r="C594" s="4" t="str">
        <v>DV_Gội</v>
      </c>
      <c r="D594" s="4">
        <v>1059</v>
      </c>
      <c r="E594" s="4" t="str">
        <v>Gội Combo 3 - Chăm da</v>
      </c>
      <c r="F594" s="21">
        <v>239000</v>
      </c>
      <c r="G594" s="21">
        <v>244000</v>
      </c>
      <c r="H594" s="21">
        <v>244000</v>
      </c>
      <c r="I594" s="4">
        <f>A594&amp;D594</f>
      </c>
      <c r="J594" s="4">
        <v>244000</v>
      </c>
      <c r="K594" s="4"/>
      <c r="L594" s="4"/>
      <c r="M594" s="4"/>
      <c r="N594" s="4"/>
      <c r="O594" s="4"/>
      <c r="P594" s="4"/>
      <c r="Q594" s="4"/>
      <c r="R594" s="4"/>
      <c r="S594" s="4"/>
    </row>
    <row r="595">
      <c r="A595" s="4">
        <v>69</v>
      </c>
      <c r="B595" s="4" t="str">
        <v>312 LVS</v>
      </c>
      <c r="C595" s="4" t="str">
        <v>DV_Gội</v>
      </c>
      <c r="D595" s="4">
        <v>1060</v>
      </c>
      <c r="E595" s="4" t="str">
        <v>Gội Combo 4</v>
      </c>
      <c r="F595" s="21">
        <v>289000</v>
      </c>
      <c r="G595" s="21">
        <v>296000</v>
      </c>
      <c r="H595" s="21">
        <v>296000</v>
      </c>
      <c r="I595" s="4">
        <f>A595&amp;D595</f>
      </c>
      <c r="J595" s="4">
        <v>296000</v>
      </c>
      <c r="K595" s="4"/>
      <c r="L595" s="4"/>
      <c r="M595" s="4"/>
      <c r="N595" s="4"/>
      <c r="O595" s="4"/>
      <c r="P595" s="4"/>
      <c r="Q595" s="4"/>
      <c r="R595" s="4"/>
      <c r="S595" s="4"/>
    </row>
    <row r="596">
      <c r="A596" s="4">
        <v>69</v>
      </c>
      <c r="B596" s="4" t="str">
        <v>312 LVS</v>
      </c>
      <c r="C596" s="4" t="str">
        <v>DV_Gội</v>
      </c>
      <c r="D596" s="4">
        <v>1061</v>
      </c>
      <c r="E596" s="4" t="str">
        <v>Gội Combo 5 - Chăm da</v>
      </c>
      <c r="F596" s="21">
        <v>359000</v>
      </c>
      <c r="G596" s="21">
        <v>366000</v>
      </c>
      <c r="H596" s="21">
        <v>366000</v>
      </c>
      <c r="I596" s="4">
        <f>A596&amp;D596</f>
      </c>
      <c r="J596" s="4">
        <v>366000</v>
      </c>
      <c r="K596" s="4"/>
      <c r="L596" s="4"/>
      <c r="M596" s="4"/>
      <c r="N596" s="4"/>
      <c r="O596" s="4"/>
      <c r="P596" s="4"/>
      <c r="Q596" s="4"/>
      <c r="R596" s="4"/>
      <c r="S596" s="4"/>
    </row>
    <row r="597">
      <c r="A597" s="4">
        <v>69</v>
      </c>
      <c r="B597" s="4" t="str">
        <v>312 LVS</v>
      </c>
      <c r="C597" s="4" t="str">
        <v>DV_Gội</v>
      </c>
      <c r="D597" s="4">
        <v>1066</v>
      </c>
      <c r="E597" s="4" t="str">
        <v>Gội trải nghiệm 75p</v>
      </c>
      <c r="F597" s="21">
        <v>589000</v>
      </c>
      <c r="G597" s="21">
        <v>601000</v>
      </c>
      <c r="H597" s="21">
        <v>601000</v>
      </c>
      <c r="I597" s="4">
        <f>A597&amp;D597</f>
      </c>
      <c r="J597" s="4">
        <v>601000</v>
      </c>
      <c r="K597" s="4"/>
      <c r="L597" s="4"/>
      <c r="M597" s="4"/>
      <c r="N597" s="4"/>
      <c r="O597" s="4"/>
      <c r="P597" s="4"/>
      <c r="Q597" s="4"/>
      <c r="R597" s="4"/>
      <c r="S597" s="4"/>
    </row>
    <row r="598">
      <c r="A598" s="4">
        <v>69</v>
      </c>
      <c r="B598" s="4" t="str">
        <v>312 LVS</v>
      </c>
      <c r="C598" s="4" t="str">
        <v>DV_Gội</v>
      </c>
      <c r="D598" s="4">
        <v>1067</v>
      </c>
      <c r="E598" s="4" t="str">
        <v>Gội trải nghiệm 90p</v>
      </c>
      <c r="F598" s="21">
        <v>789000</v>
      </c>
      <c r="G598" s="21">
        <v>805000</v>
      </c>
      <c r="H598" s="21">
        <v>805000</v>
      </c>
      <c r="I598" s="4">
        <f>A598&amp;D598</f>
      </c>
      <c r="J598" s="4">
        <v>805000</v>
      </c>
      <c r="K598" s="4"/>
      <c r="L598" s="4"/>
      <c r="M598" s="4"/>
      <c r="N598" s="4"/>
      <c r="O598" s="4"/>
      <c r="P598" s="4"/>
      <c r="Q598" s="4"/>
      <c r="R598" s="4"/>
      <c r="S598" s="4"/>
    </row>
    <row r="599">
      <c r="A599" s="4">
        <v>69</v>
      </c>
      <c r="B599" s="4" t="str">
        <v>312 LVS</v>
      </c>
      <c r="C599" s="4" t="str">
        <v>DV_Gội</v>
      </c>
      <c r="D599" s="4">
        <v>1068</v>
      </c>
      <c r="E599" s="4" t="str">
        <v>Gội trải nghiệm 115p</v>
      </c>
      <c r="F599" s="21">
        <v>999000</v>
      </c>
      <c r="G599" s="21">
        <v>1020000</v>
      </c>
      <c r="H599" s="21">
        <v>1020000</v>
      </c>
      <c r="I599" s="4">
        <f>A599&amp;D599</f>
      </c>
      <c r="J599" s="4">
        <v>1020000</v>
      </c>
      <c r="K599" s="4"/>
      <c r="L599" s="4"/>
      <c r="M599" s="4"/>
      <c r="N599" s="4"/>
      <c r="O599" s="4"/>
      <c r="P599" s="4"/>
      <c r="Q599" s="4"/>
      <c r="R599" s="4"/>
      <c r="S599" s="4"/>
    </row>
    <row r="600">
      <c r="A600" s="4">
        <v>274</v>
      </c>
      <c r="B600" s="4" t="str">
        <v>32 NAT</v>
      </c>
      <c r="C600" s="4" t="str">
        <v>DV_Cắt</v>
      </c>
      <c r="D600" s="4">
        <v>513</v>
      </c>
      <c r="E600" s="4" t="str">
        <v>[DV] ShineCombo 10 bước Ultra Care 2023</v>
      </c>
      <c r="F600" s="21">
        <v>122000</v>
      </c>
      <c r="G600" s="21">
        <v>122000</v>
      </c>
      <c r="H600" s="21">
        <v>122000</v>
      </c>
      <c r="I600" s="4">
        <f>A600&amp;D600</f>
      </c>
      <c r="J600" s="4">
        <v>122000</v>
      </c>
      <c r="K600" s="4"/>
      <c r="L600" s="4"/>
      <c r="M600" s="4"/>
      <c r="N600" s="4"/>
      <c r="O600" s="4"/>
      <c r="P600" s="4"/>
      <c r="Q600" s="4"/>
      <c r="R600" s="4"/>
      <c r="S600" s="4"/>
    </row>
    <row r="601">
      <c r="A601" s="4">
        <v>274</v>
      </c>
      <c r="B601" s="4" t="str">
        <v>32 NAT</v>
      </c>
      <c r="C601" s="4" t="str">
        <v>DV_Cắt</v>
      </c>
      <c r="D601" s="4">
        <v>891</v>
      </c>
      <c r="E601" s="4" t="str">
        <v>Cắt xả tạo kiểu</v>
      </c>
      <c r="F601" s="21">
        <v>103000</v>
      </c>
      <c r="G601" s="21">
        <v>108000</v>
      </c>
      <c r="H601" s="21">
        <v>108000</v>
      </c>
      <c r="I601" s="4">
        <f>A601&amp;D601</f>
      </c>
      <c r="J601" s="4">
        <v>108000</v>
      </c>
      <c r="K601" s="4"/>
      <c r="L601" s="4"/>
      <c r="M601" s="4"/>
      <c r="N601" s="4"/>
      <c r="O601" s="4"/>
      <c r="P601" s="4"/>
      <c r="Q601" s="4"/>
      <c r="R601" s="4"/>
      <c r="S601" s="4"/>
    </row>
    <row r="602">
      <c r="A602" s="4">
        <v>274</v>
      </c>
      <c r="B602" s="4" t="str">
        <v>32 NAT</v>
      </c>
      <c r="C602" s="4" t="str">
        <v>DV_Cắt</v>
      </c>
      <c r="D602" s="4">
        <v>1002</v>
      </c>
      <c r="E602" s="4" t="str">
        <v>Kid Cắt</v>
      </c>
      <c r="F602" s="21">
        <v>84000</v>
      </c>
      <c r="G602" s="21">
        <v>88000</v>
      </c>
      <c r="H602" s="21">
        <v>88000</v>
      </c>
      <c r="I602" s="4">
        <f>A602&amp;D602</f>
      </c>
      <c r="J602" s="4">
        <v>88000</v>
      </c>
      <c r="K602" s="4"/>
      <c r="L602" s="4"/>
      <c r="M602" s="4"/>
      <c r="N602" s="4"/>
      <c r="O602" s="4"/>
      <c r="P602" s="4"/>
      <c r="Q602" s="4"/>
      <c r="R602" s="4"/>
      <c r="S602" s="4"/>
    </row>
    <row r="603">
      <c r="A603" s="4">
        <v>274</v>
      </c>
      <c r="B603" s="4" t="str">
        <v>32 NAT</v>
      </c>
      <c r="C603" s="4" t="str">
        <v>DV_Cắt</v>
      </c>
      <c r="D603" s="4">
        <v>1070</v>
      </c>
      <c r="E603" s="4" t="str">
        <v>Combo Cắt gội Kid</v>
      </c>
      <c r="F603" s="21">
        <v>100000</v>
      </c>
      <c r="G603" s="21">
        <v>105000</v>
      </c>
      <c r="H603" s="21">
        <v>105000</v>
      </c>
      <c r="I603" s="4">
        <f>A603&amp;D603</f>
      </c>
      <c r="J603" s="4">
        <v>105000</v>
      </c>
      <c r="K603" s="4"/>
      <c r="L603" s="4"/>
      <c r="M603" s="4"/>
      <c r="N603" s="4"/>
      <c r="O603" s="4"/>
      <c r="P603" s="4"/>
      <c r="Q603" s="4"/>
      <c r="R603" s="4"/>
      <c r="S603" s="4"/>
    </row>
    <row r="604">
      <c r="A604" s="4">
        <v>274</v>
      </c>
      <c r="B604" s="4" t="str">
        <v>32 NAT</v>
      </c>
      <c r="C604" s="4" t="str">
        <v>DV_Cắt_Vip</v>
      </c>
      <c r="D604" s="4">
        <v>1046</v>
      </c>
      <c r="E604" s="4" t="str">
        <v>Shinecombo 2</v>
      </c>
      <c r="F604" s="21">
        <v>208000</v>
      </c>
      <c r="G604" s="21">
        <v>218000</v>
      </c>
      <c r="H604" s="21">
        <v>218000</v>
      </c>
      <c r="I604" s="4">
        <f>A604&amp;D604</f>
      </c>
      <c r="J604" s="4">
        <v>218000</v>
      </c>
      <c r="K604" s="4"/>
      <c r="L604" s="4"/>
      <c r="M604" s="4"/>
      <c r="N604" s="4"/>
      <c r="O604" s="4"/>
      <c r="P604" s="4"/>
      <c r="Q604" s="4"/>
      <c r="R604" s="4"/>
      <c r="S604" s="4"/>
    </row>
    <row r="605">
      <c r="A605" s="4">
        <v>274</v>
      </c>
      <c r="B605" s="4" t="str">
        <v>32 NAT</v>
      </c>
      <c r="C605" s="4" t="str">
        <v>DV_Cắt_Vip</v>
      </c>
      <c r="D605" s="4">
        <v>1047</v>
      </c>
      <c r="E605" s="4" t="str">
        <v>Cắt Gội Combo 3 - Chăm da</v>
      </c>
      <c r="F605" s="21">
        <v>308000</v>
      </c>
      <c r="G605" s="21">
        <v>323000</v>
      </c>
      <c r="H605" s="21">
        <v>323000</v>
      </c>
      <c r="I605" s="4">
        <f>A605&amp;D605</f>
      </c>
      <c r="J605" s="4">
        <v>323000</v>
      </c>
      <c r="K605" s="4"/>
      <c r="L605" s="4"/>
      <c r="M605" s="4"/>
      <c r="N605" s="4"/>
      <c r="O605" s="4"/>
      <c r="P605" s="4"/>
      <c r="Q605" s="4"/>
      <c r="R605" s="4"/>
      <c r="S605" s="4"/>
    </row>
    <row r="606">
      <c r="A606" s="4">
        <v>274</v>
      </c>
      <c r="B606" s="4" t="str">
        <v>32 NAT</v>
      </c>
      <c r="C606" s="4" t="str">
        <v>DV_Cắt_Vip</v>
      </c>
      <c r="D606" s="4">
        <v>1048</v>
      </c>
      <c r="E606" s="4" t="str">
        <v>Combo 4</v>
      </c>
      <c r="F606" s="21">
        <v>398000</v>
      </c>
      <c r="G606" s="21">
        <v>417000</v>
      </c>
      <c r="H606" s="21">
        <v>417000</v>
      </c>
      <c r="I606" s="4">
        <f>A606&amp;D606</f>
      </c>
      <c r="J606" s="4">
        <v>417000</v>
      </c>
      <c r="K606" s="4"/>
      <c r="L606" s="4"/>
      <c r="M606" s="4"/>
      <c r="N606" s="4"/>
      <c r="O606" s="4"/>
      <c r="P606" s="4"/>
      <c r="Q606" s="4"/>
      <c r="R606" s="4"/>
      <c r="S606" s="4"/>
    </row>
    <row r="607">
      <c r="A607" s="4">
        <v>274</v>
      </c>
      <c r="B607" s="4" t="str">
        <v>32 NAT</v>
      </c>
      <c r="C607" s="4" t="str">
        <v>DV_Cắt_Vip</v>
      </c>
      <c r="D607" s="4">
        <v>1064</v>
      </c>
      <c r="E607" s="4" t="str">
        <v>Cắt Gội Combo 5 - Dưỡng sinh</v>
      </c>
      <c r="F607" s="21">
        <v>459000</v>
      </c>
      <c r="G607" s="21">
        <v>481000</v>
      </c>
      <c r="H607" s="21">
        <v>481000</v>
      </c>
      <c r="I607" s="4">
        <f>A607&amp;D607</f>
      </c>
      <c r="J607" s="4">
        <v>481000</v>
      </c>
      <c r="K607" s="4"/>
      <c r="L607" s="4"/>
      <c r="M607" s="4"/>
      <c r="N607" s="4"/>
      <c r="O607" s="4"/>
      <c r="P607" s="4"/>
      <c r="Q607" s="4"/>
      <c r="R607" s="4"/>
      <c r="S607" s="4"/>
    </row>
    <row r="608">
      <c r="A608" s="4">
        <v>274</v>
      </c>
      <c r="B608" s="4" t="str">
        <v>32 NAT</v>
      </c>
      <c r="C608" s="4" t="str">
        <v>DV_Cắt_Vip</v>
      </c>
      <c r="D608" s="4">
        <v>1065</v>
      </c>
      <c r="E608" s="4" t="str">
        <v>Cắt Gội Combo 3 - Dưỡng sinh</v>
      </c>
      <c r="F608" s="21">
        <v>308000</v>
      </c>
      <c r="G608" s="21">
        <v>323000</v>
      </c>
      <c r="H608" s="21">
        <v>323000</v>
      </c>
      <c r="I608" s="4">
        <f>A608&amp;D608</f>
      </c>
      <c r="J608" s="4">
        <v>323000</v>
      </c>
      <c r="K608" s="4"/>
      <c r="L608" s="4"/>
      <c r="M608" s="4"/>
      <c r="N608" s="4"/>
      <c r="O608" s="4"/>
      <c r="P608" s="4"/>
      <c r="Q608" s="4"/>
      <c r="R608" s="4"/>
      <c r="S608" s="4"/>
    </row>
    <row r="609">
      <c r="A609" s="4">
        <v>274</v>
      </c>
      <c r="B609" s="4" t="str">
        <v>32 NAT</v>
      </c>
      <c r="C609" s="4" t="str">
        <v>DV_Gội</v>
      </c>
      <c r="D609" s="4">
        <v>867</v>
      </c>
      <c r="E609" s="4" t="str">
        <v>Gội dưỡng sinh cổ vai gáy</v>
      </c>
      <c r="F609" s="21">
        <v>99000</v>
      </c>
      <c r="G609" s="21">
        <v>104000</v>
      </c>
      <c r="H609" s="21">
        <v>104000</v>
      </c>
      <c r="I609" s="4">
        <f>A609&amp;D609</f>
      </c>
      <c r="J609" s="4">
        <v>104000</v>
      </c>
      <c r="K609" s="4"/>
      <c r="L609" s="4"/>
      <c r="M609" s="4"/>
      <c r="N609" s="4"/>
      <c r="O609" s="4"/>
      <c r="P609" s="4"/>
      <c r="Q609" s="4"/>
      <c r="R609" s="4"/>
      <c r="S609" s="4"/>
    </row>
    <row r="610">
      <c r="A610" s="4">
        <v>274</v>
      </c>
      <c r="B610" s="4" t="str">
        <v>32 NAT</v>
      </c>
      <c r="C610" s="4" t="str">
        <v>DV_Gội</v>
      </c>
      <c r="D610" s="4">
        <v>930</v>
      </c>
      <c r="E610" s="4" t="str">
        <v>[NEW] Gội dưỡng sinh cổ vai gáy và chăm sóc da</v>
      </c>
      <c r="F610" s="21">
        <v>139000</v>
      </c>
      <c r="G610" s="21">
        <v>146000</v>
      </c>
      <c r="H610" s="21">
        <v>146000</v>
      </c>
      <c r="I610" s="4">
        <f>A610&amp;D610</f>
      </c>
      <c r="J610" s="4">
        <v>146000</v>
      </c>
      <c r="K610" s="4"/>
      <c r="L610" s="4"/>
      <c r="M610" s="4"/>
      <c r="N610" s="4"/>
      <c r="O610" s="4"/>
      <c r="P610" s="4"/>
      <c r="Q610" s="4"/>
      <c r="R610" s="4"/>
      <c r="S610" s="4"/>
    </row>
    <row r="611">
      <c r="A611" s="4">
        <v>274</v>
      </c>
      <c r="B611" s="4" t="str">
        <v>32 NAT</v>
      </c>
      <c r="C611" s="4" t="str">
        <v>DV_Gội</v>
      </c>
      <c r="D611" s="4">
        <v>934</v>
      </c>
      <c r="E611" s="4" t="str">
        <v>Gội combo 3 - Dưỡng sinh</v>
      </c>
      <c r="F611" s="21">
        <v>229000</v>
      </c>
      <c r="G611" s="21">
        <v>240000</v>
      </c>
      <c r="H611" s="21">
        <v>240000</v>
      </c>
      <c r="I611" s="4">
        <f>A611&amp;D611</f>
      </c>
      <c r="J611" s="4">
        <v>240000</v>
      </c>
      <c r="K611" s="4"/>
      <c r="L611" s="4"/>
      <c r="M611" s="4"/>
      <c r="N611" s="4"/>
      <c r="O611" s="4"/>
      <c r="P611" s="4"/>
      <c r="Q611" s="4"/>
      <c r="R611" s="4"/>
      <c r="S611" s="4"/>
    </row>
    <row r="612">
      <c r="A612" s="4">
        <v>274</v>
      </c>
      <c r="B612" s="4" t="str">
        <v>32 NAT</v>
      </c>
      <c r="C612" s="4" t="str">
        <v>DV_Gội</v>
      </c>
      <c r="D612" s="4">
        <v>940</v>
      </c>
      <c r="E612" s="4" t="str">
        <v>[NEW] Gội dưỡng sinh</v>
      </c>
      <c r="F612" s="21">
        <v>59000</v>
      </c>
      <c r="G612" s="21">
        <v>62000</v>
      </c>
      <c r="H612" s="21">
        <v>62000</v>
      </c>
      <c r="I612" s="4">
        <f>A612&amp;D612</f>
      </c>
      <c r="J612" s="4">
        <v>62000</v>
      </c>
      <c r="K612" s="4"/>
      <c r="L612" s="4"/>
      <c r="M612" s="4"/>
      <c r="N612" s="4"/>
      <c r="O612" s="4"/>
      <c r="P612" s="4"/>
      <c r="Q612" s="4"/>
      <c r="R612" s="4"/>
      <c r="S612" s="4"/>
    </row>
    <row r="613">
      <c r="A613" s="4">
        <v>274</v>
      </c>
      <c r="B613" s="4" t="str">
        <v>32 NAT</v>
      </c>
      <c r="C613" s="4" t="str">
        <v>DV_Gội</v>
      </c>
      <c r="D613" s="4">
        <v>1058</v>
      </c>
      <c r="E613" s="4" t="str">
        <v>Gội Combo 2</v>
      </c>
      <c r="F613" s="21">
        <v>159000</v>
      </c>
      <c r="G613" s="21">
        <v>167000</v>
      </c>
      <c r="H613" s="21">
        <v>167000</v>
      </c>
      <c r="I613" s="4">
        <f>A613&amp;D613</f>
      </c>
      <c r="J613" s="4">
        <v>167000</v>
      </c>
      <c r="K613" s="4"/>
      <c r="L613" s="4"/>
      <c r="M613" s="4"/>
      <c r="N613" s="4"/>
      <c r="O613" s="4"/>
      <c r="P613" s="4"/>
      <c r="Q613" s="4"/>
      <c r="R613" s="4"/>
      <c r="S613" s="4"/>
    </row>
    <row r="614">
      <c r="A614" s="4">
        <v>274</v>
      </c>
      <c r="B614" s="4" t="str">
        <v>32 NAT</v>
      </c>
      <c r="C614" s="4" t="str">
        <v>DV_Gội</v>
      </c>
      <c r="D614" s="4">
        <v>1059</v>
      </c>
      <c r="E614" s="4" t="str">
        <v>Gội Combo 3 - Chăm da</v>
      </c>
      <c r="F614" s="21">
        <v>239000</v>
      </c>
      <c r="G614" s="21">
        <v>251000</v>
      </c>
      <c r="H614" s="21">
        <v>251000</v>
      </c>
      <c r="I614" s="4">
        <f>A614&amp;D614</f>
      </c>
      <c r="J614" s="4">
        <v>251000</v>
      </c>
      <c r="K614" s="4"/>
      <c r="L614" s="4"/>
      <c r="M614" s="4"/>
      <c r="N614" s="4"/>
      <c r="O614" s="4"/>
      <c r="P614" s="4"/>
      <c r="Q614" s="4"/>
      <c r="R614" s="4"/>
      <c r="S614" s="4"/>
    </row>
    <row r="615">
      <c r="A615" s="4">
        <v>274</v>
      </c>
      <c r="B615" s="4" t="str">
        <v>32 NAT</v>
      </c>
      <c r="C615" s="4" t="str">
        <v>DV_Gội</v>
      </c>
      <c r="D615" s="4">
        <v>1060</v>
      </c>
      <c r="E615" s="4" t="str">
        <v>Gội Combo 4</v>
      </c>
      <c r="F615" s="21">
        <v>289000</v>
      </c>
      <c r="G615" s="21">
        <v>303000</v>
      </c>
      <c r="H615" s="21">
        <v>303000</v>
      </c>
      <c r="I615" s="4">
        <f>A615&amp;D615</f>
      </c>
      <c r="J615" s="4">
        <v>303000</v>
      </c>
      <c r="K615" s="4"/>
      <c r="L615" s="4"/>
      <c r="M615" s="4"/>
      <c r="N615" s="4"/>
      <c r="O615" s="4"/>
      <c r="P615" s="4"/>
      <c r="Q615" s="4"/>
      <c r="R615" s="4"/>
      <c r="S615" s="4"/>
    </row>
    <row r="616">
      <c r="A616" s="4">
        <v>274</v>
      </c>
      <c r="B616" s="4" t="str">
        <v>32 NAT</v>
      </c>
      <c r="C616" s="4" t="str">
        <v>DV_Gội</v>
      </c>
      <c r="D616" s="4">
        <v>1061</v>
      </c>
      <c r="E616" s="4" t="str">
        <v>Gội Combo 5 - Chăm da</v>
      </c>
      <c r="F616" s="21">
        <v>359000</v>
      </c>
      <c r="G616" s="21">
        <v>376000</v>
      </c>
      <c r="H616" s="21">
        <v>376000</v>
      </c>
      <c r="I616" s="4">
        <f>A616&amp;D616</f>
      </c>
      <c r="J616" s="4">
        <v>376000</v>
      </c>
      <c r="K616" s="4"/>
      <c r="L616" s="4"/>
      <c r="M616" s="4"/>
      <c r="N616" s="4"/>
      <c r="O616" s="4"/>
      <c r="P616" s="4"/>
      <c r="Q616" s="4"/>
      <c r="R616" s="4"/>
      <c r="S616" s="4"/>
    </row>
    <row r="617">
      <c r="A617" s="4">
        <v>274</v>
      </c>
      <c r="B617" s="4" t="str">
        <v>32 NAT</v>
      </c>
      <c r="C617" s="4" t="str">
        <v>DV_Gội</v>
      </c>
      <c r="D617" s="4">
        <v>1066</v>
      </c>
      <c r="E617" s="4" t="str">
        <v>Gội trải nghiệm 75p</v>
      </c>
      <c r="F617" s="21">
        <v>589000</v>
      </c>
      <c r="G617" s="21">
        <v>618000</v>
      </c>
      <c r="H617" s="21">
        <v>618000</v>
      </c>
      <c r="I617" s="4">
        <f>A617&amp;D617</f>
      </c>
      <c r="J617" s="4">
        <v>618000</v>
      </c>
      <c r="K617" s="4"/>
      <c r="L617" s="4"/>
      <c r="M617" s="4"/>
      <c r="N617" s="4"/>
      <c r="O617" s="4"/>
      <c r="P617" s="4"/>
      <c r="Q617" s="4"/>
      <c r="R617" s="4"/>
      <c r="S617" s="4"/>
    </row>
    <row r="618">
      <c r="A618" s="4">
        <v>274</v>
      </c>
      <c r="B618" s="4" t="str">
        <v>32 NAT</v>
      </c>
      <c r="C618" s="4" t="str">
        <v>DV_Gội</v>
      </c>
      <c r="D618" s="4">
        <v>1067</v>
      </c>
      <c r="E618" s="4" t="str">
        <v>Gội trải nghiệm 90p</v>
      </c>
      <c r="F618" s="21">
        <v>789000</v>
      </c>
      <c r="G618" s="21">
        <v>827000</v>
      </c>
      <c r="H618" s="21">
        <v>827000</v>
      </c>
      <c r="I618" s="4">
        <f>A618&amp;D618</f>
      </c>
      <c r="J618" s="4">
        <v>827000</v>
      </c>
      <c r="K618" s="4"/>
      <c r="L618" s="4"/>
      <c r="M618" s="4"/>
      <c r="N618" s="4"/>
      <c r="O618" s="4"/>
      <c r="P618" s="4"/>
      <c r="Q618" s="4"/>
      <c r="R618" s="4"/>
      <c r="S618" s="4"/>
    </row>
    <row r="619">
      <c r="A619" s="4">
        <v>274</v>
      </c>
      <c r="B619" s="4" t="str">
        <v>32 NAT</v>
      </c>
      <c r="C619" s="4" t="str">
        <v>DV_Gội</v>
      </c>
      <c r="D619" s="4">
        <v>1068</v>
      </c>
      <c r="E619" s="4" t="str">
        <v>Gội trải nghiệm 115p</v>
      </c>
      <c r="F619" s="21">
        <v>999000</v>
      </c>
      <c r="G619" s="21">
        <v>1047000</v>
      </c>
      <c r="H619" s="21">
        <v>1047000</v>
      </c>
      <c r="I619" s="4">
        <f>A619&amp;D619</f>
      </c>
      <c r="J619" s="4">
        <v>1047000</v>
      </c>
      <c r="K619" s="4"/>
      <c r="L619" s="4"/>
      <c r="M619" s="4"/>
      <c r="N619" s="4"/>
      <c r="O619" s="4"/>
      <c r="P619" s="4"/>
      <c r="Q619" s="4"/>
      <c r="R619" s="4"/>
      <c r="S619" s="4"/>
    </row>
    <row r="620">
      <c r="A620" s="4">
        <v>274</v>
      </c>
      <c r="B620" s="4" t="str">
        <v>32 NAT</v>
      </c>
      <c r="C620" s="4" t="str">
        <v>DV_Gội</v>
      </c>
      <c r="D620" s="4">
        <v>1104</v>
      </c>
      <c r="E620" s="4" t="str">
        <v>Dual Vip Combo 60p</v>
      </c>
      <c r="F620" s="21">
        <v>349500</v>
      </c>
      <c r="G620" s="21">
        <v>366000</v>
      </c>
      <c r="H620" s="21">
        <v>366000</v>
      </c>
      <c r="I620" s="4">
        <f>A620&amp;D620</f>
      </c>
      <c r="J620" s="4">
        <v>366000</v>
      </c>
      <c r="K620" s="4"/>
      <c r="L620" s="4"/>
      <c r="M620" s="4"/>
      <c r="N620" s="4"/>
      <c r="O620" s="4"/>
      <c r="P620" s="4"/>
      <c r="Q620" s="4"/>
      <c r="R620" s="4"/>
      <c r="S620" s="4"/>
    </row>
    <row r="621">
      <c r="A621" s="4">
        <v>205</v>
      </c>
      <c r="B621" s="4" t="str">
        <v>341 XVNT</v>
      </c>
      <c r="C621" s="4" t="str">
        <v>DV_Cắt</v>
      </c>
      <c r="D621" s="4">
        <v>513</v>
      </c>
      <c r="E621" s="4" t="str">
        <v>[DV] ShineCombo 10 bước Ultra Care 2023</v>
      </c>
      <c r="F621" s="21">
        <v>122000</v>
      </c>
      <c r="G621" s="21">
        <v>122000</v>
      </c>
      <c r="H621" s="21">
        <v>122000</v>
      </c>
      <c r="I621" s="4">
        <f>A621&amp;D621</f>
      </c>
      <c r="J621" s="4">
        <v>122000</v>
      </c>
      <c r="K621" s="4"/>
      <c r="L621" s="4"/>
      <c r="M621" s="4"/>
      <c r="N621" s="4"/>
      <c r="O621" s="4"/>
      <c r="P621" s="4"/>
      <c r="Q621" s="4"/>
      <c r="R621" s="4"/>
      <c r="S621" s="4"/>
    </row>
    <row r="622">
      <c r="A622" s="4">
        <v>205</v>
      </c>
      <c r="B622" s="4" t="str">
        <v>341 XVNT</v>
      </c>
      <c r="C622" s="4" t="str">
        <v>DV_Cắt</v>
      </c>
      <c r="D622" s="4">
        <v>891</v>
      </c>
      <c r="E622" s="4" t="str">
        <v>Cắt xả tạo kiểu</v>
      </c>
      <c r="F622" s="21">
        <v>95000</v>
      </c>
      <c r="G622" s="21">
        <v>97000</v>
      </c>
      <c r="H622" s="21">
        <v>97000</v>
      </c>
      <c r="I622" s="4">
        <f>A622&amp;D622</f>
      </c>
      <c r="J622" s="4">
        <v>97000</v>
      </c>
      <c r="K622" s="4"/>
      <c r="L622" s="4"/>
      <c r="M622" s="4"/>
      <c r="N622" s="4"/>
      <c r="O622" s="4"/>
      <c r="P622" s="4"/>
      <c r="Q622" s="4"/>
      <c r="R622" s="4"/>
      <c r="S622" s="4"/>
    </row>
    <row r="623">
      <c r="A623" s="4">
        <v>205</v>
      </c>
      <c r="B623" s="4" t="str">
        <v>341 XVNT</v>
      </c>
      <c r="C623" s="4" t="str">
        <v>DV_Cắt</v>
      </c>
      <c r="D623" s="4">
        <v>1002</v>
      </c>
      <c r="E623" s="4" t="str">
        <v>Kid Cắt</v>
      </c>
      <c r="F623" s="21">
        <v>76000</v>
      </c>
      <c r="G623" s="21">
        <v>78000</v>
      </c>
      <c r="H623" s="21">
        <v>78000</v>
      </c>
      <c r="I623" s="4">
        <f>A623&amp;D623</f>
      </c>
      <c r="J623" s="4">
        <v>78000</v>
      </c>
      <c r="K623" s="4"/>
      <c r="L623" s="4"/>
      <c r="M623" s="4"/>
      <c r="N623" s="4"/>
      <c r="O623" s="4"/>
      <c r="P623" s="4"/>
      <c r="Q623" s="4"/>
      <c r="R623" s="4"/>
      <c r="S623" s="4"/>
    </row>
    <row r="624">
      <c r="A624" s="4">
        <v>205</v>
      </c>
      <c r="B624" s="4" t="str">
        <v>341 XVNT</v>
      </c>
      <c r="C624" s="4" t="str">
        <v>DV_Cắt</v>
      </c>
      <c r="D624" s="4">
        <v>1070</v>
      </c>
      <c r="E624" s="4" t="str">
        <v>Combo Cắt gội Kid</v>
      </c>
      <c r="F624" s="21">
        <v>100000</v>
      </c>
      <c r="G624" s="21">
        <v>102000</v>
      </c>
      <c r="H624" s="21">
        <v>102000</v>
      </c>
      <c r="I624" s="4">
        <f>A624&amp;D624</f>
      </c>
      <c r="J624" s="4">
        <v>102000</v>
      </c>
      <c r="K624" s="4"/>
      <c r="L624" s="4"/>
      <c r="M624" s="4"/>
      <c r="N624" s="4"/>
      <c r="O624" s="4"/>
      <c r="P624" s="4"/>
      <c r="Q624" s="4"/>
      <c r="R624" s="4"/>
      <c r="S624" s="4"/>
    </row>
    <row r="625">
      <c r="A625" s="4">
        <v>205</v>
      </c>
      <c r="B625" s="4" t="str">
        <v>341 XVNT</v>
      </c>
      <c r="C625" s="4" t="str">
        <v>DV_Cắt_Vip</v>
      </c>
      <c r="D625" s="4">
        <v>1046</v>
      </c>
      <c r="E625" s="4" t="str">
        <v>Shinecombo 2</v>
      </c>
      <c r="F625" s="21">
        <v>200000</v>
      </c>
      <c r="G625" s="21">
        <v>204000</v>
      </c>
      <c r="H625" s="21">
        <v>204000</v>
      </c>
      <c r="I625" s="4">
        <f>A625&amp;D625</f>
      </c>
      <c r="J625" s="4">
        <v>204000</v>
      </c>
      <c r="K625" s="4"/>
      <c r="L625" s="4"/>
      <c r="M625" s="4"/>
      <c r="N625" s="4"/>
      <c r="O625" s="4"/>
      <c r="P625" s="4"/>
      <c r="Q625" s="4"/>
      <c r="R625" s="4"/>
      <c r="S625" s="4"/>
    </row>
    <row r="626">
      <c r="A626" s="4">
        <v>205</v>
      </c>
      <c r="B626" s="4" t="str">
        <v>341 XVNT</v>
      </c>
      <c r="C626" s="4" t="str">
        <v>DV_Cắt_Vip</v>
      </c>
      <c r="D626" s="4">
        <v>1047</v>
      </c>
      <c r="E626" s="4" t="str">
        <v>Cắt Gội Combo 3 - Chăm da</v>
      </c>
      <c r="F626" s="21">
        <v>300000</v>
      </c>
      <c r="G626" s="21">
        <v>306000</v>
      </c>
      <c r="H626" s="21">
        <v>306000</v>
      </c>
      <c r="I626" s="4">
        <f>A626&amp;D626</f>
      </c>
      <c r="J626" s="4">
        <v>306000</v>
      </c>
      <c r="K626" s="4"/>
      <c r="L626" s="4"/>
      <c r="M626" s="4"/>
      <c r="N626" s="4"/>
      <c r="O626" s="4"/>
      <c r="P626" s="4"/>
      <c r="Q626" s="4"/>
      <c r="R626" s="4"/>
      <c r="S626" s="4"/>
    </row>
    <row r="627">
      <c r="A627" s="4">
        <v>205</v>
      </c>
      <c r="B627" s="4" t="str">
        <v>341 XVNT</v>
      </c>
      <c r="C627" s="4" t="str">
        <v>DV_Cắt_Vip</v>
      </c>
      <c r="D627" s="4">
        <v>1048</v>
      </c>
      <c r="E627" s="4" t="str">
        <v>Combo 4</v>
      </c>
      <c r="F627" s="21">
        <v>390000</v>
      </c>
      <c r="G627" s="21">
        <v>398000</v>
      </c>
      <c r="H627" s="21">
        <v>398000</v>
      </c>
      <c r="I627" s="4">
        <f>A627&amp;D627</f>
      </c>
      <c r="J627" s="4">
        <v>398000</v>
      </c>
      <c r="K627" s="4"/>
      <c r="L627" s="4"/>
      <c r="M627" s="4"/>
      <c r="N627" s="4"/>
      <c r="O627" s="4"/>
      <c r="P627" s="4"/>
      <c r="Q627" s="4"/>
      <c r="R627" s="4"/>
      <c r="S627" s="4"/>
    </row>
    <row r="628">
      <c r="A628" s="4">
        <v>205</v>
      </c>
      <c r="B628" s="4" t="str">
        <v>341 XVNT</v>
      </c>
      <c r="C628" s="4" t="str">
        <v>DV_Cắt_Vip</v>
      </c>
      <c r="D628" s="4">
        <v>1064</v>
      </c>
      <c r="E628" s="4" t="str">
        <v>Cắt Gội Combo 5 - Dưỡng sinh</v>
      </c>
      <c r="F628" s="21">
        <v>459000</v>
      </c>
      <c r="G628" s="21">
        <v>469000</v>
      </c>
      <c r="H628" s="21">
        <v>469000</v>
      </c>
      <c r="I628" s="4">
        <f>A628&amp;D628</f>
      </c>
      <c r="J628" s="4">
        <v>469000</v>
      </c>
      <c r="K628" s="4"/>
      <c r="L628" s="4"/>
      <c r="M628" s="4"/>
      <c r="N628" s="4"/>
      <c r="O628" s="4"/>
      <c r="P628" s="4"/>
      <c r="Q628" s="4"/>
      <c r="R628" s="4"/>
      <c r="S628" s="4"/>
    </row>
    <row r="629">
      <c r="A629" s="4">
        <v>205</v>
      </c>
      <c r="B629" s="4" t="str">
        <v>341 XVNT</v>
      </c>
      <c r="C629" s="4" t="str">
        <v>DV_Cắt_Vip</v>
      </c>
      <c r="D629" s="4">
        <v>1065</v>
      </c>
      <c r="E629" s="4" t="str">
        <v>Cắt Gội Combo 3 - Dưỡng sinh</v>
      </c>
      <c r="F629" s="21">
        <v>299000</v>
      </c>
      <c r="G629" s="21">
        <v>305000</v>
      </c>
      <c r="H629" s="21">
        <v>305000</v>
      </c>
      <c r="I629" s="4">
        <f>A629&amp;D629</f>
      </c>
      <c r="J629" s="4">
        <v>305000</v>
      </c>
      <c r="K629" s="4"/>
      <c r="L629" s="4"/>
      <c r="M629" s="4"/>
      <c r="N629" s="4"/>
      <c r="O629" s="4"/>
      <c r="P629" s="4"/>
      <c r="Q629" s="4"/>
      <c r="R629" s="4"/>
      <c r="S629" s="4"/>
    </row>
    <row r="630">
      <c r="A630" s="4">
        <v>205</v>
      </c>
      <c r="B630" s="4" t="str">
        <v>341 XVNT</v>
      </c>
      <c r="C630" s="4" t="str">
        <v>DV_Gội</v>
      </c>
      <c r="D630" s="4">
        <v>867</v>
      </c>
      <c r="E630" s="4" t="str">
        <v>Gội dưỡng sinh cổ vai gáy</v>
      </c>
      <c r="F630" s="21">
        <v>99000</v>
      </c>
      <c r="G630" s="21">
        <v>101000</v>
      </c>
      <c r="H630" s="21">
        <v>101000</v>
      </c>
      <c r="I630" s="4">
        <f>A630&amp;D630</f>
      </c>
      <c r="J630" s="4">
        <v>101000</v>
      </c>
      <c r="K630" s="4"/>
      <c r="L630" s="4"/>
      <c r="M630" s="4"/>
      <c r="N630" s="4"/>
      <c r="O630" s="4"/>
      <c r="P630" s="4"/>
      <c r="Q630" s="4"/>
      <c r="R630" s="4"/>
      <c r="S630" s="4"/>
    </row>
    <row r="631">
      <c r="A631" s="4">
        <v>205</v>
      </c>
      <c r="B631" s="4" t="str">
        <v>341 XVNT</v>
      </c>
      <c r="C631" s="4" t="str">
        <v>DV_Gội</v>
      </c>
      <c r="D631" s="4">
        <v>930</v>
      </c>
      <c r="E631" s="4" t="str">
        <v>[NEW] Gội dưỡng sinh cổ vai gáy và chăm sóc da</v>
      </c>
      <c r="F631" s="21">
        <v>139000</v>
      </c>
      <c r="G631" s="21">
        <v>142000</v>
      </c>
      <c r="H631" s="21">
        <v>142000</v>
      </c>
      <c r="I631" s="4">
        <f>A631&amp;D631</f>
      </c>
      <c r="J631" s="4">
        <v>142000</v>
      </c>
      <c r="K631" s="4"/>
      <c r="L631" s="4"/>
      <c r="M631" s="4"/>
      <c r="N631" s="4"/>
      <c r="O631" s="4"/>
      <c r="P631" s="4"/>
      <c r="Q631" s="4"/>
      <c r="R631" s="4"/>
      <c r="S631" s="4"/>
    </row>
    <row r="632">
      <c r="A632" s="4">
        <v>205</v>
      </c>
      <c r="B632" s="4" t="str">
        <v>341 XVNT</v>
      </c>
      <c r="C632" s="4" t="str">
        <v>DV_Gội</v>
      </c>
      <c r="D632" s="4">
        <v>934</v>
      </c>
      <c r="E632" s="4" t="str">
        <v>Gội combo 3 - Dưỡng sinh</v>
      </c>
      <c r="F632" s="21">
        <v>229000</v>
      </c>
      <c r="G632" s="21">
        <v>234000</v>
      </c>
      <c r="H632" s="21">
        <v>234000</v>
      </c>
      <c r="I632" s="4">
        <f>A632&amp;D632</f>
      </c>
      <c r="J632" s="4">
        <v>234000</v>
      </c>
      <c r="K632" s="4"/>
      <c r="L632" s="4"/>
      <c r="M632" s="4"/>
      <c r="N632" s="4"/>
      <c r="O632" s="4"/>
      <c r="P632" s="4"/>
      <c r="Q632" s="4"/>
      <c r="R632" s="4"/>
      <c r="S632" s="4"/>
    </row>
    <row r="633">
      <c r="A633" s="4">
        <v>205</v>
      </c>
      <c r="B633" s="4" t="str">
        <v>341 XVNT</v>
      </c>
      <c r="C633" s="4" t="str">
        <v>DV_Gội</v>
      </c>
      <c r="D633" s="4">
        <v>940</v>
      </c>
      <c r="E633" s="4" t="str">
        <v>[NEW] Gội dưỡng sinh</v>
      </c>
      <c r="F633" s="21">
        <v>59000</v>
      </c>
      <c r="G633" s="21">
        <v>60000</v>
      </c>
      <c r="H633" s="21">
        <v>60000</v>
      </c>
      <c r="I633" s="4">
        <f>A633&amp;D633</f>
      </c>
      <c r="J633" s="4">
        <v>60000</v>
      </c>
      <c r="K633" s="4"/>
      <c r="L633" s="4"/>
      <c r="M633" s="4"/>
      <c r="N633" s="4"/>
      <c r="O633" s="4"/>
      <c r="P633" s="4"/>
      <c r="Q633" s="4"/>
      <c r="R633" s="4"/>
      <c r="S633" s="4"/>
    </row>
    <row r="634">
      <c r="A634" s="4">
        <v>205</v>
      </c>
      <c r="B634" s="4" t="str">
        <v>341 XVNT</v>
      </c>
      <c r="C634" s="4" t="str">
        <v>DV_Gội</v>
      </c>
      <c r="D634" s="4">
        <v>1058</v>
      </c>
      <c r="E634" s="4" t="str">
        <v>Gội Combo 2</v>
      </c>
      <c r="F634" s="21">
        <v>159000</v>
      </c>
      <c r="G634" s="21">
        <v>162000</v>
      </c>
      <c r="H634" s="21">
        <v>162000</v>
      </c>
      <c r="I634" s="4">
        <f>A634&amp;D634</f>
      </c>
      <c r="J634" s="4">
        <v>162000</v>
      </c>
      <c r="K634" s="4"/>
      <c r="L634" s="4"/>
      <c r="M634" s="4"/>
      <c r="N634" s="4"/>
      <c r="O634" s="4"/>
      <c r="P634" s="4"/>
      <c r="Q634" s="4"/>
      <c r="R634" s="4"/>
      <c r="S634" s="4"/>
    </row>
    <row r="635">
      <c r="A635" s="4">
        <v>205</v>
      </c>
      <c r="B635" s="4" t="str">
        <v>341 XVNT</v>
      </c>
      <c r="C635" s="4" t="str">
        <v>DV_Gội</v>
      </c>
      <c r="D635" s="4">
        <v>1059</v>
      </c>
      <c r="E635" s="4" t="str">
        <v>Gội Combo 3 - Chăm da</v>
      </c>
      <c r="F635" s="21">
        <v>239000</v>
      </c>
      <c r="G635" s="21">
        <v>244000</v>
      </c>
      <c r="H635" s="21">
        <v>244000</v>
      </c>
      <c r="I635" s="4">
        <f>A635&amp;D635</f>
      </c>
      <c r="J635" s="4">
        <v>244000</v>
      </c>
      <c r="K635" s="4"/>
      <c r="L635" s="4"/>
      <c r="M635" s="4"/>
      <c r="N635" s="4"/>
      <c r="O635" s="4"/>
      <c r="P635" s="4"/>
      <c r="Q635" s="4"/>
      <c r="R635" s="4"/>
      <c r="S635" s="4"/>
    </row>
    <row r="636">
      <c r="A636" s="4">
        <v>205</v>
      </c>
      <c r="B636" s="4" t="str">
        <v>341 XVNT</v>
      </c>
      <c r="C636" s="4" t="str">
        <v>DV_Gội</v>
      </c>
      <c r="D636" s="4">
        <v>1060</v>
      </c>
      <c r="E636" s="4" t="str">
        <v>Gội Combo 4</v>
      </c>
      <c r="F636" s="21">
        <v>289000</v>
      </c>
      <c r="G636" s="21">
        <v>296000</v>
      </c>
      <c r="H636" s="21">
        <v>296000</v>
      </c>
      <c r="I636" s="4">
        <f>A636&amp;D636</f>
      </c>
      <c r="J636" s="4">
        <v>296000</v>
      </c>
      <c r="K636" s="4"/>
      <c r="L636" s="4"/>
      <c r="M636" s="4"/>
      <c r="N636" s="4"/>
      <c r="O636" s="4"/>
      <c r="P636" s="4"/>
      <c r="Q636" s="4"/>
      <c r="R636" s="4"/>
      <c r="S636" s="4"/>
    </row>
    <row r="637">
      <c r="A637" s="4">
        <v>205</v>
      </c>
      <c r="B637" s="4" t="str">
        <v>341 XVNT</v>
      </c>
      <c r="C637" s="4" t="str">
        <v>DV_Gội</v>
      </c>
      <c r="D637" s="4">
        <v>1066</v>
      </c>
      <c r="E637" s="4" t="str">
        <v>Gội trải nghiệm 75p</v>
      </c>
      <c r="F637" s="21">
        <v>589000</v>
      </c>
      <c r="G637" s="21">
        <v>601000</v>
      </c>
      <c r="H637" s="21">
        <v>601000</v>
      </c>
      <c r="I637" s="4">
        <f>A637&amp;D637</f>
      </c>
      <c r="J637" s="4">
        <v>601000</v>
      </c>
      <c r="K637" s="4"/>
      <c r="L637" s="4"/>
      <c r="M637" s="4"/>
      <c r="N637" s="4"/>
      <c r="O637" s="4"/>
      <c r="P637" s="4"/>
      <c r="Q637" s="4"/>
      <c r="R637" s="4"/>
      <c r="S637" s="4"/>
    </row>
    <row r="638">
      <c r="A638" s="4">
        <v>205</v>
      </c>
      <c r="B638" s="4" t="str">
        <v>341 XVNT</v>
      </c>
      <c r="C638" s="4" t="str">
        <v>DV_Gội</v>
      </c>
      <c r="D638" s="4">
        <v>1067</v>
      </c>
      <c r="E638" s="4" t="str">
        <v>Gội trải nghiệm 90p</v>
      </c>
      <c r="F638" s="21">
        <v>789000</v>
      </c>
      <c r="G638" s="21">
        <v>806000</v>
      </c>
      <c r="H638" s="21">
        <v>806000</v>
      </c>
      <c r="I638" s="4">
        <f>A638&amp;D638</f>
      </c>
      <c r="J638" s="4">
        <v>806000</v>
      </c>
      <c r="K638" s="4"/>
      <c r="L638" s="4"/>
      <c r="M638" s="4"/>
      <c r="N638" s="4"/>
      <c r="O638" s="4"/>
      <c r="P638" s="4"/>
      <c r="Q638" s="4"/>
      <c r="R638" s="4"/>
      <c r="S638" s="4"/>
    </row>
    <row r="639">
      <c r="A639" s="4">
        <v>205</v>
      </c>
      <c r="B639" s="4" t="str">
        <v>341 XVNT</v>
      </c>
      <c r="C639" s="4" t="str">
        <v>DV_Gội</v>
      </c>
      <c r="D639" s="4">
        <v>1068</v>
      </c>
      <c r="E639" s="4" t="str">
        <v>Gội trải nghiệm 115p</v>
      </c>
      <c r="F639" s="21">
        <v>999000</v>
      </c>
      <c r="G639" s="21">
        <v>1020000</v>
      </c>
      <c r="H639" s="21">
        <v>1020000</v>
      </c>
      <c r="I639" s="4">
        <f>A639&amp;D639</f>
      </c>
      <c r="J639" s="4">
        <v>1020000</v>
      </c>
      <c r="K639" s="4"/>
      <c r="L639" s="4"/>
      <c r="M639" s="4"/>
      <c r="N639" s="4"/>
      <c r="O639" s="4"/>
      <c r="P639" s="4"/>
      <c r="Q639" s="4"/>
      <c r="R639" s="4"/>
      <c r="S639" s="4"/>
    </row>
    <row r="640">
      <c r="A640" s="4">
        <v>2</v>
      </c>
      <c r="B640" s="4" t="str">
        <v>346 KT</v>
      </c>
      <c r="C640" s="4" t="str">
        <v>DV_Cắt</v>
      </c>
      <c r="D640" s="4">
        <v>513</v>
      </c>
      <c r="E640" s="4" t="str">
        <v>[DV] ShineCombo 10 bước Ultra Care 2023</v>
      </c>
      <c r="F640" s="21">
        <v>122000</v>
      </c>
      <c r="G640" s="21">
        <v>122000</v>
      </c>
      <c r="H640" s="21">
        <v>122000</v>
      </c>
      <c r="I640" s="4">
        <f>A640&amp;D640</f>
      </c>
      <c r="J640" s="4">
        <v>122000</v>
      </c>
      <c r="K640" s="4"/>
      <c r="L640" s="4"/>
      <c r="M640" s="4"/>
      <c r="N640" s="4"/>
      <c r="O640" s="4"/>
      <c r="P640" s="4"/>
      <c r="Q640" s="4"/>
      <c r="R640" s="4"/>
      <c r="S640" s="4"/>
    </row>
    <row r="641">
      <c r="A641" s="4">
        <v>2</v>
      </c>
      <c r="B641" s="4" t="str">
        <v>346 KT</v>
      </c>
      <c r="C641" s="4" t="str">
        <v>DV_Cắt</v>
      </c>
      <c r="D641" s="4">
        <v>891</v>
      </c>
      <c r="E641" s="4" t="str">
        <v>Cắt xả tạo kiểu</v>
      </c>
      <c r="F641" s="21">
        <v>100000</v>
      </c>
      <c r="G641" s="21">
        <v>101000</v>
      </c>
      <c r="H641" s="21">
        <v>101000</v>
      </c>
      <c r="I641" s="4">
        <f>A641&amp;D641</f>
      </c>
      <c r="J641" s="4">
        <v>101000</v>
      </c>
      <c r="K641" s="4"/>
      <c r="L641" s="4"/>
      <c r="M641" s="4"/>
      <c r="N641" s="4"/>
      <c r="O641" s="4"/>
      <c r="P641" s="4"/>
      <c r="Q641" s="4"/>
      <c r="R641" s="4"/>
      <c r="S641" s="4"/>
    </row>
    <row r="642">
      <c r="A642" s="4">
        <v>2</v>
      </c>
      <c r="B642" s="4" t="str">
        <v>346 KT</v>
      </c>
      <c r="C642" s="4" t="str">
        <v>DV_Cắt</v>
      </c>
      <c r="D642" s="4">
        <v>1002</v>
      </c>
      <c r="E642" s="4" t="str">
        <v>Kid Cắt</v>
      </c>
      <c r="F642" s="21">
        <v>81000</v>
      </c>
      <c r="G642" s="21">
        <v>82000</v>
      </c>
      <c r="H642" s="21">
        <v>82000</v>
      </c>
      <c r="I642" s="4">
        <f>A642&amp;D642</f>
      </c>
      <c r="J642" s="4">
        <v>82000</v>
      </c>
      <c r="K642" s="4"/>
      <c r="L642" s="4"/>
      <c r="M642" s="4"/>
      <c r="N642" s="4"/>
      <c r="O642" s="4"/>
      <c r="P642" s="4"/>
      <c r="Q642" s="4"/>
      <c r="R642" s="4"/>
      <c r="S642" s="4"/>
    </row>
    <row r="643">
      <c r="A643" s="4">
        <v>2</v>
      </c>
      <c r="B643" s="4" t="str">
        <v>346 KT</v>
      </c>
      <c r="C643" s="4" t="str">
        <v>DV_Cắt</v>
      </c>
      <c r="D643" s="4">
        <v>1070</v>
      </c>
      <c r="E643" s="4" t="str">
        <v>Combo Cắt gội Kid</v>
      </c>
      <c r="F643" s="21">
        <v>100000</v>
      </c>
      <c r="G643" s="21">
        <v>101000</v>
      </c>
      <c r="H643" s="21">
        <v>101000</v>
      </c>
      <c r="I643" s="4">
        <f>A643&amp;D643</f>
      </c>
      <c r="J643" s="4">
        <v>101000</v>
      </c>
      <c r="K643" s="4"/>
      <c r="L643" s="4"/>
      <c r="M643" s="4"/>
      <c r="N643" s="4"/>
      <c r="O643" s="4"/>
      <c r="P643" s="4"/>
      <c r="Q643" s="4"/>
      <c r="R643" s="4"/>
      <c r="S643" s="4"/>
    </row>
    <row r="644">
      <c r="A644" s="4">
        <v>2</v>
      </c>
      <c r="B644" s="4" t="str">
        <v>346 KT</v>
      </c>
      <c r="C644" s="4" t="str">
        <v>DV_Cắt_Vip</v>
      </c>
      <c r="D644" s="4">
        <v>1046</v>
      </c>
      <c r="E644" s="4" t="str">
        <v>Shinecombo 2</v>
      </c>
      <c r="F644" s="21">
        <v>205000</v>
      </c>
      <c r="G644" s="21">
        <v>207000</v>
      </c>
      <c r="H644" s="21">
        <v>207000</v>
      </c>
      <c r="I644" s="4">
        <f>A644&amp;D644</f>
      </c>
      <c r="J644" s="4">
        <v>207000</v>
      </c>
      <c r="K644" s="4"/>
      <c r="L644" s="4"/>
      <c r="M644" s="4"/>
      <c r="N644" s="4"/>
      <c r="O644" s="4"/>
      <c r="P644" s="4"/>
      <c r="Q644" s="4"/>
      <c r="R644" s="4"/>
      <c r="S644" s="4"/>
    </row>
    <row r="645">
      <c r="A645" s="4">
        <v>2</v>
      </c>
      <c r="B645" s="4" t="str">
        <v>346 KT</v>
      </c>
      <c r="C645" s="4" t="str">
        <v>DV_Cắt_Vip</v>
      </c>
      <c r="D645" s="4">
        <v>1047</v>
      </c>
      <c r="E645" s="4" t="str">
        <v>Cắt Gội Combo 3 - Chăm da</v>
      </c>
      <c r="F645" s="21">
        <v>305000</v>
      </c>
      <c r="G645" s="21">
        <v>308000</v>
      </c>
      <c r="H645" s="21">
        <v>305000</v>
      </c>
      <c r="I645" s="4">
        <f>A645&amp;D645</f>
      </c>
      <c r="J645" s="4">
        <f>VLOOKUP(I645,#REF!,2,0)</f>
      </c>
      <c r="K645" s="4"/>
      <c r="L645" s="4"/>
      <c r="M645" s="4"/>
      <c r="N645" s="4"/>
      <c r="O645" s="4"/>
      <c r="P645" s="4"/>
      <c r="Q645" s="4"/>
      <c r="R645" s="4"/>
      <c r="S645" s="4"/>
    </row>
    <row r="646">
      <c r="A646" s="4">
        <v>2</v>
      </c>
      <c r="B646" s="4" t="str">
        <v>346 KT</v>
      </c>
      <c r="C646" s="4" t="str">
        <v>DV_Cắt_Vip</v>
      </c>
      <c r="D646" s="4">
        <v>1048</v>
      </c>
      <c r="E646" s="4" t="str">
        <v>Combo 4</v>
      </c>
      <c r="F646" s="21">
        <v>395000</v>
      </c>
      <c r="G646" s="21">
        <v>399000</v>
      </c>
      <c r="H646" s="21">
        <v>399000</v>
      </c>
      <c r="I646" s="4">
        <f>A646&amp;D646</f>
      </c>
      <c r="J646" s="4">
        <v>399000</v>
      </c>
      <c r="K646" s="4"/>
      <c r="L646" s="4"/>
      <c r="M646" s="4"/>
      <c r="N646" s="4"/>
      <c r="O646" s="4"/>
      <c r="P646" s="4"/>
      <c r="Q646" s="4"/>
      <c r="R646" s="4"/>
      <c r="S646" s="4"/>
    </row>
    <row r="647">
      <c r="A647" s="4">
        <v>2</v>
      </c>
      <c r="B647" s="4" t="str">
        <v>346 KT</v>
      </c>
      <c r="C647" s="4" t="str">
        <v>DV_Cắt_Vip</v>
      </c>
      <c r="D647" s="4">
        <v>1064</v>
      </c>
      <c r="E647" s="4" t="str">
        <v>Cắt Gội Combo 5 - Dưỡng sinh</v>
      </c>
      <c r="F647" s="21">
        <v>465000</v>
      </c>
      <c r="G647" s="21">
        <v>470000</v>
      </c>
      <c r="H647" s="21">
        <v>470000</v>
      </c>
      <c r="I647" s="4">
        <f>A647&amp;D647</f>
      </c>
      <c r="J647" s="4">
        <v>470000</v>
      </c>
      <c r="K647" s="4"/>
      <c r="L647" s="4"/>
      <c r="M647" s="4"/>
      <c r="N647" s="4"/>
      <c r="O647" s="4"/>
      <c r="P647" s="4"/>
      <c r="Q647" s="4"/>
      <c r="R647" s="4"/>
      <c r="S647" s="4"/>
    </row>
    <row r="648">
      <c r="A648" s="4">
        <v>2</v>
      </c>
      <c r="B648" s="4" t="str">
        <v>346 KT</v>
      </c>
      <c r="C648" s="4" t="str">
        <v>DV_Cắt_Vip</v>
      </c>
      <c r="D648" s="4">
        <v>1065</v>
      </c>
      <c r="E648" s="4" t="str">
        <v>Cắt Gội Combo 3 - Dưỡng sinh</v>
      </c>
      <c r="F648" s="21">
        <v>305000</v>
      </c>
      <c r="G648" s="21">
        <v>308000</v>
      </c>
      <c r="H648" s="21">
        <v>308000</v>
      </c>
      <c r="I648" s="4">
        <f>A648&amp;D648</f>
      </c>
      <c r="J648" s="4">
        <v>308000</v>
      </c>
      <c r="K648" s="4"/>
      <c r="L648" s="4"/>
      <c r="M648" s="4"/>
      <c r="N648" s="4"/>
      <c r="O648" s="4"/>
      <c r="P648" s="4"/>
      <c r="Q648" s="4"/>
      <c r="R648" s="4"/>
      <c r="S648" s="4"/>
    </row>
    <row r="649">
      <c r="A649" s="4">
        <v>2</v>
      </c>
      <c r="B649" s="4" t="str">
        <v>346 KT</v>
      </c>
      <c r="C649" s="4" t="str">
        <v>DV_Gội</v>
      </c>
      <c r="D649" s="4">
        <v>867</v>
      </c>
      <c r="E649" s="4" t="str">
        <v>Gội dưỡng sinh cổ vai gáy</v>
      </c>
      <c r="F649" s="21">
        <v>99000</v>
      </c>
      <c r="G649" s="21">
        <v>100000</v>
      </c>
      <c r="H649" s="21">
        <v>100000</v>
      </c>
      <c r="I649" s="4">
        <f>A649&amp;D649</f>
      </c>
      <c r="J649" s="4">
        <v>100000</v>
      </c>
      <c r="K649" s="4"/>
      <c r="L649" s="4"/>
      <c r="M649" s="4"/>
      <c r="N649" s="4"/>
      <c r="O649" s="4"/>
      <c r="P649" s="4"/>
      <c r="Q649" s="4"/>
      <c r="R649" s="4"/>
      <c r="S649" s="4"/>
    </row>
    <row r="650">
      <c r="A650" s="4">
        <v>2</v>
      </c>
      <c r="B650" s="4" t="str">
        <v>346 KT</v>
      </c>
      <c r="C650" s="4" t="str">
        <v>DV_Gội</v>
      </c>
      <c r="D650" s="4">
        <v>930</v>
      </c>
      <c r="E650" s="4" t="str">
        <v>[NEW] Gội dưỡng sinh cổ vai gáy và chăm sóc da</v>
      </c>
      <c r="F650" s="21">
        <v>139000</v>
      </c>
      <c r="G650" s="21">
        <v>140000</v>
      </c>
      <c r="H650" s="21">
        <v>140000</v>
      </c>
      <c r="I650" s="4">
        <f>A650&amp;D650</f>
      </c>
      <c r="J650" s="4">
        <v>140000</v>
      </c>
      <c r="K650" s="4"/>
      <c r="L650" s="4"/>
      <c r="M650" s="4"/>
      <c r="N650" s="4"/>
      <c r="O650" s="4"/>
      <c r="P650" s="4"/>
      <c r="Q650" s="4"/>
      <c r="R650" s="4"/>
      <c r="S650" s="4"/>
    </row>
    <row r="651">
      <c r="A651" s="4">
        <v>2</v>
      </c>
      <c r="B651" s="4" t="str">
        <v>346 KT</v>
      </c>
      <c r="C651" s="4" t="str">
        <v>DV_Gội</v>
      </c>
      <c r="D651" s="4">
        <v>934</v>
      </c>
      <c r="E651" s="4" t="str">
        <v>Gội combo 3 - Dưỡng sinh</v>
      </c>
      <c r="F651" s="21">
        <v>229000</v>
      </c>
      <c r="G651" s="21">
        <v>231000</v>
      </c>
      <c r="H651" s="21">
        <v>231000</v>
      </c>
      <c r="I651" s="4">
        <f>A651&amp;D651</f>
      </c>
      <c r="J651" s="4">
        <v>231000</v>
      </c>
      <c r="K651" s="4"/>
      <c r="L651" s="4"/>
      <c r="M651" s="4"/>
      <c r="N651" s="4"/>
      <c r="O651" s="4"/>
      <c r="P651" s="4"/>
      <c r="Q651" s="4"/>
      <c r="R651" s="4"/>
      <c r="S651" s="4"/>
    </row>
    <row r="652">
      <c r="A652" s="4">
        <v>2</v>
      </c>
      <c r="B652" s="4" t="str">
        <v>346 KT</v>
      </c>
      <c r="C652" s="4" t="str">
        <v>DV_Gội</v>
      </c>
      <c r="D652" s="4">
        <v>940</v>
      </c>
      <c r="E652" s="4" t="str">
        <v>[NEW] Gội dưỡng sinh</v>
      </c>
      <c r="F652" s="21">
        <v>59000</v>
      </c>
      <c r="G652" s="21">
        <v>60000</v>
      </c>
      <c r="H652" s="21">
        <v>60000</v>
      </c>
      <c r="I652" s="4">
        <f>A652&amp;D652</f>
      </c>
      <c r="J652" s="4">
        <v>60000</v>
      </c>
      <c r="K652" s="4"/>
      <c r="L652" s="4"/>
      <c r="M652" s="4"/>
      <c r="N652" s="4"/>
      <c r="O652" s="4"/>
      <c r="P652" s="4"/>
      <c r="Q652" s="4"/>
      <c r="R652" s="4"/>
      <c r="S652" s="4"/>
    </row>
    <row r="653">
      <c r="A653" s="4">
        <v>2</v>
      </c>
      <c r="B653" s="4" t="str">
        <v>346 KT</v>
      </c>
      <c r="C653" s="4" t="str">
        <v>DV_Gội</v>
      </c>
      <c r="D653" s="4">
        <v>1058</v>
      </c>
      <c r="E653" s="4" t="str">
        <v>Gội Combo 2</v>
      </c>
      <c r="F653" s="21">
        <v>159000</v>
      </c>
      <c r="G653" s="21">
        <v>161000</v>
      </c>
      <c r="H653" s="21">
        <v>161000</v>
      </c>
      <c r="I653" s="4">
        <f>A653&amp;D653</f>
      </c>
      <c r="J653" s="4">
        <v>161000</v>
      </c>
      <c r="K653" s="4"/>
      <c r="L653" s="4"/>
      <c r="M653" s="4"/>
      <c r="N653" s="4"/>
      <c r="O653" s="4"/>
      <c r="P653" s="4"/>
      <c r="Q653" s="4"/>
      <c r="R653" s="4"/>
      <c r="S653" s="4"/>
    </row>
    <row r="654">
      <c r="A654" s="4">
        <v>2</v>
      </c>
      <c r="B654" s="4" t="str">
        <v>346 KT</v>
      </c>
      <c r="C654" s="4" t="str">
        <v>DV_Gội</v>
      </c>
      <c r="D654" s="4">
        <v>1059</v>
      </c>
      <c r="E654" s="4" t="str">
        <v>Gội Combo 3 - Chăm da</v>
      </c>
      <c r="F654" s="21">
        <v>239000</v>
      </c>
      <c r="G654" s="21">
        <v>241000</v>
      </c>
      <c r="H654" s="21">
        <v>241000</v>
      </c>
      <c r="I654" s="4">
        <f>A654&amp;D654</f>
      </c>
      <c r="J654" s="4">
        <v>241000</v>
      </c>
      <c r="K654" s="4"/>
      <c r="L654" s="4"/>
      <c r="M654" s="4"/>
      <c r="N654" s="4"/>
      <c r="O654" s="4"/>
      <c r="P654" s="4"/>
      <c r="Q654" s="4"/>
      <c r="R654" s="4"/>
      <c r="S654" s="4"/>
    </row>
    <row r="655">
      <c r="A655" s="4">
        <v>2</v>
      </c>
      <c r="B655" s="4" t="str">
        <v>346 KT</v>
      </c>
      <c r="C655" s="4" t="str">
        <v>DV_Gội</v>
      </c>
      <c r="D655" s="4">
        <v>1060</v>
      </c>
      <c r="E655" s="4" t="str">
        <v>Gội Combo 4</v>
      </c>
      <c r="F655" s="21">
        <v>289000</v>
      </c>
      <c r="G655" s="21">
        <v>292000</v>
      </c>
      <c r="H655" s="21">
        <v>292000</v>
      </c>
      <c r="I655" s="4">
        <f>A655&amp;D655</f>
      </c>
      <c r="J655" s="4">
        <v>292000</v>
      </c>
      <c r="K655" s="4"/>
      <c r="L655" s="4"/>
      <c r="M655" s="4"/>
      <c r="N655" s="4"/>
      <c r="O655" s="4"/>
      <c r="P655" s="4"/>
      <c r="Q655" s="4"/>
      <c r="R655" s="4"/>
      <c r="S655" s="4"/>
    </row>
    <row r="656">
      <c r="A656" s="4">
        <v>2</v>
      </c>
      <c r="B656" s="4" t="str">
        <v>346 KT</v>
      </c>
      <c r="C656" s="4" t="str">
        <v>DV_Gội</v>
      </c>
      <c r="D656" s="4">
        <v>1066</v>
      </c>
      <c r="E656" s="4" t="str">
        <v>Gội trải nghiệm 75p</v>
      </c>
      <c r="F656" s="21">
        <v>589000</v>
      </c>
      <c r="G656" s="21">
        <v>595000</v>
      </c>
      <c r="H656" s="21">
        <v>595000</v>
      </c>
      <c r="I656" s="4">
        <f>A656&amp;D656</f>
      </c>
      <c r="J656" s="4">
        <v>595000</v>
      </c>
      <c r="K656" s="4"/>
      <c r="L656" s="4"/>
      <c r="M656" s="4"/>
      <c r="N656" s="4"/>
      <c r="O656" s="4"/>
      <c r="P656" s="4"/>
      <c r="Q656" s="4"/>
      <c r="R656" s="4"/>
      <c r="S656" s="4"/>
    </row>
    <row r="657">
      <c r="A657" s="4">
        <v>2</v>
      </c>
      <c r="B657" s="4" t="str">
        <v>346 KT</v>
      </c>
      <c r="C657" s="4" t="str">
        <v>DV_Gội</v>
      </c>
      <c r="D657" s="4">
        <v>1067</v>
      </c>
      <c r="E657" s="4" t="str">
        <v>Gội trải nghiệm 90p</v>
      </c>
      <c r="F657" s="21">
        <v>789000</v>
      </c>
      <c r="G657" s="21">
        <v>797000</v>
      </c>
      <c r="H657" s="21">
        <v>797000</v>
      </c>
      <c r="I657" s="4">
        <f>A657&amp;D657</f>
      </c>
      <c r="J657" s="4">
        <v>797000</v>
      </c>
      <c r="K657" s="4"/>
      <c r="L657" s="4"/>
      <c r="M657" s="4"/>
      <c r="N657" s="4"/>
      <c r="O657" s="4"/>
      <c r="P657" s="4"/>
      <c r="Q657" s="4"/>
      <c r="R657" s="4"/>
      <c r="S657" s="4"/>
    </row>
    <row r="658">
      <c r="A658" s="4">
        <v>2</v>
      </c>
      <c r="B658" s="4" t="str">
        <v>346 KT</v>
      </c>
      <c r="C658" s="4" t="str">
        <v>DV_Gội</v>
      </c>
      <c r="D658" s="4">
        <v>1068</v>
      </c>
      <c r="E658" s="4" t="str">
        <v>Gội trải nghiệm 115p</v>
      </c>
      <c r="F658" s="21">
        <v>999000</v>
      </c>
      <c r="G658" s="21">
        <v>1009000</v>
      </c>
      <c r="H658" s="21">
        <v>1009000</v>
      </c>
      <c r="I658" s="4">
        <f>A658&amp;D658</f>
      </c>
      <c r="J658" s="4">
        <v>1009000</v>
      </c>
      <c r="K658" s="4"/>
      <c r="L658" s="4"/>
      <c r="M658" s="4"/>
      <c r="N658" s="4"/>
      <c r="O658" s="4"/>
      <c r="P658" s="4"/>
      <c r="Q658" s="4"/>
      <c r="R658" s="4"/>
      <c r="S658" s="4"/>
    </row>
    <row r="659">
      <c r="A659" s="4">
        <v>184</v>
      </c>
      <c r="B659" s="4" t="str">
        <v>36 N1 BD</v>
      </c>
      <c r="C659" s="4" t="str">
        <v>DV_Cắt</v>
      </c>
      <c r="D659" s="4">
        <v>513</v>
      </c>
      <c r="E659" s="4" t="str">
        <v>[DV] ShineCombo 10 bước Ultra Care 2023</v>
      </c>
      <c r="F659" s="21">
        <v>122000</v>
      </c>
      <c r="G659" s="21">
        <v>122000</v>
      </c>
      <c r="H659" s="21">
        <v>122000</v>
      </c>
      <c r="I659" s="4">
        <f>A659&amp;D659</f>
      </c>
      <c r="J659" s="4">
        <v>122000</v>
      </c>
      <c r="K659" s="4"/>
      <c r="L659" s="4"/>
      <c r="M659" s="4"/>
      <c r="N659" s="4"/>
      <c r="O659" s="4"/>
      <c r="P659" s="4"/>
      <c r="Q659" s="4"/>
      <c r="R659" s="4"/>
      <c r="S659" s="4"/>
    </row>
    <row r="660">
      <c r="A660" s="4">
        <v>184</v>
      </c>
      <c r="B660" s="4" t="str">
        <v>36 N1 BD</v>
      </c>
      <c r="C660" s="4" t="str">
        <v>DV_Cắt</v>
      </c>
      <c r="D660" s="4">
        <v>891</v>
      </c>
      <c r="E660" s="4" t="str">
        <v>Cắt xả tạo kiểu</v>
      </c>
      <c r="F660" s="21">
        <v>94000</v>
      </c>
      <c r="G660" s="21">
        <v>105000</v>
      </c>
      <c r="H660" s="21">
        <v>105000</v>
      </c>
      <c r="I660" s="4">
        <f>A660&amp;D660</f>
      </c>
      <c r="J660" s="4">
        <v>105000</v>
      </c>
      <c r="K660" s="4"/>
      <c r="L660" s="4"/>
      <c r="M660" s="4"/>
      <c r="N660" s="4"/>
      <c r="O660" s="4"/>
      <c r="P660" s="4"/>
      <c r="Q660" s="4"/>
      <c r="R660" s="4"/>
      <c r="S660" s="4"/>
    </row>
    <row r="661">
      <c r="A661" s="4">
        <v>184</v>
      </c>
      <c r="B661" s="4" t="str">
        <v>36 N1 BD</v>
      </c>
      <c r="C661" s="4" t="str">
        <v>DV_Cắt</v>
      </c>
      <c r="D661" s="4">
        <v>1002</v>
      </c>
      <c r="E661" s="4" t="str">
        <v>Kid Cắt</v>
      </c>
      <c r="F661" s="21">
        <v>75000</v>
      </c>
      <c r="G661" s="21">
        <v>86000</v>
      </c>
      <c r="H661" s="21">
        <v>86000</v>
      </c>
      <c r="I661" s="4">
        <f>A661&amp;D661</f>
      </c>
      <c r="J661" s="4">
        <v>86000</v>
      </c>
      <c r="K661" s="4"/>
      <c r="L661" s="4"/>
      <c r="M661" s="4"/>
      <c r="N661" s="4"/>
      <c r="O661" s="4"/>
      <c r="P661" s="4"/>
      <c r="Q661" s="4"/>
      <c r="R661" s="4"/>
      <c r="S661" s="4"/>
    </row>
    <row r="662">
      <c r="A662" s="4">
        <v>184</v>
      </c>
      <c r="B662" s="4" t="str">
        <v>36 N1 BD</v>
      </c>
      <c r="C662" s="4" t="str">
        <v>DV_Cắt</v>
      </c>
      <c r="D662" s="4">
        <v>1070</v>
      </c>
      <c r="E662" s="4" t="str">
        <v>Combo Cắt gội Kid</v>
      </c>
      <c r="F662" s="21">
        <v>100000</v>
      </c>
      <c r="G662" s="21">
        <v>111000</v>
      </c>
      <c r="H662" s="21">
        <v>111000</v>
      </c>
      <c r="I662" s="4">
        <f>A662&amp;D662</f>
      </c>
      <c r="J662" s="4">
        <v>111000</v>
      </c>
      <c r="K662" s="4"/>
      <c r="L662" s="4"/>
      <c r="M662" s="4"/>
      <c r="N662" s="4"/>
      <c r="O662" s="4"/>
      <c r="P662" s="4"/>
      <c r="Q662" s="4"/>
      <c r="R662" s="4"/>
      <c r="S662" s="4"/>
    </row>
    <row r="663">
      <c r="A663" s="4">
        <v>184</v>
      </c>
      <c r="B663" s="4" t="str">
        <v>36 N1 BD</v>
      </c>
      <c r="C663" s="4" t="str">
        <v>DV_Cắt_Vip</v>
      </c>
      <c r="D663" s="4">
        <v>1046</v>
      </c>
      <c r="E663" s="4" t="str">
        <v>Shinecombo 2</v>
      </c>
      <c r="F663" s="21">
        <v>199000</v>
      </c>
      <c r="G663" s="21">
        <v>210000</v>
      </c>
      <c r="H663" s="21">
        <v>210000</v>
      </c>
      <c r="I663" s="4">
        <f>A663&amp;D663</f>
      </c>
      <c r="J663" s="4">
        <v>210000</v>
      </c>
      <c r="K663" s="4"/>
      <c r="L663" s="4"/>
      <c r="M663" s="4"/>
      <c r="N663" s="4"/>
      <c r="O663" s="4"/>
      <c r="P663" s="4"/>
      <c r="Q663" s="4"/>
      <c r="R663" s="4"/>
      <c r="S663" s="4"/>
    </row>
    <row r="664">
      <c r="A664" s="4">
        <v>184</v>
      </c>
      <c r="B664" s="4" t="str">
        <v>36 N1 BD</v>
      </c>
      <c r="C664" s="4" t="str">
        <v>DV_Cắt_Vip</v>
      </c>
      <c r="D664" s="4">
        <v>1047</v>
      </c>
      <c r="E664" s="4" t="str">
        <v>Cắt Gội Combo 3 - Chăm da</v>
      </c>
      <c r="F664" s="21">
        <v>299000</v>
      </c>
      <c r="G664" s="21">
        <v>310000</v>
      </c>
      <c r="H664" s="21">
        <v>310000</v>
      </c>
      <c r="I664" s="4">
        <f>A664&amp;D664</f>
      </c>
      <c r="J664" s="4">
        <v>310000</v>
      </c>
      <c r="K664" s="4"/>
      <c r="L664" s="4"/>
      <c r="M664" s="4"/>
      <c r="N664" s="4"/>
      <c r="O664" s="4"/>
      <c r="P664" s="4"/>
      <c r="Q664" s="4"/>
      <c r="R664" s="4"/>
      <c r="S664" s="4"/>
    </row>
    <row r="665">
      <c r="A665" s="4">
        <v>184</v>
      </c>
      <c r="B665" s="4" t="str">
        <v>36 N1 BD</v>
      </c>
      <c r="C665" s="4" t="str">
        <v>DV_Cắt_Vip</v>
      </c>
      <c r="D665" s="4">
        <v>1048</v>
      </c>
      <c r="E665" s="4" t="str">
        <v>Combo 4</v>
      </c>
      <c r="F665" s="21">
        <v>389000</v>
      </c>
      <c r="G665" s="21">
        <v>400000</v>
      </c>
      <c r="H665" s="21">
        <v>400000</v>
      </c>
      <c r="I665" s="4">
        <f>A665&amp;D665</f>
      </c>
      <c r="J665" s="4">
        <v>400000</v>
      </c>
      <c r="K665" s="4"/>
      <c r="L665" s="4"/>
      <c r="M665" s="4"/>
      <c r="N665" s="4"/>
      <c r="O665" s="4"/>
      <c r="P665" s="4"/>
      <c r="Q665" s="4"/>
      <c r="R665" s="4"/>
      <c r="S665" s="4"/>
    </row>
    <row r="666">
      <c r="A666" s="4">
        <v>184</v>
      </c>
      <c r="B666" s="4" t="str">
        <v>36 N1 BD</v>
      </c>
      <c r="C666" s="4" t="str">
        <v>DV_Cắt_Vip</v>
      </c>
      <c r="D666" s="4">
        <v>1064</v>
      </c>
      <c r="E666" s="4" t="str">
        <v>Cắt Gội Combo 5 - Dưỡng sinh</v>
      </c>
      <c r="F666" s="21">
        <v>459000</v>
      </c>
      <c r="G666" s="21">
        <v>470000</v>
      </c>
      <c r="H666" s="21">
        <v>470000</v>
      </c>
      <c r="I666" s="4">
        <f>A666&amp;D666</f>
      </c>
      <c r="J666" s="4">
        <v>470000</v>
      </c>
      <c r="K666" s="4"/>
      <c r="L666" s="4"/>
      <c r="M666" s="4"/>
      <c r="N666" s="4"/>
      <c r="O666" s="4"/>
      <c r="P666" s="4"/>
      <c r="Q666" s="4"/>
      <c r="R666" s="4"/>
      <c r="S666" s="4"/>
    </row>
    <row r="667">
      <c r="A667" s="4">
        <v>184</v>
      </c>
      <c r="B667" s="4" t="str">
        <v>36 N1 BD</v>
      </c>
      <c r="C667" s="4" t="str">
        <v>DV_Cắt_Vip</v>
      </c>
      <c r="D667" s="4">
        <v>1065</v>
      </c>
      <c r="E667" s="4" t="str">
        <v>Cắt Gội Combo 3 - Dưỡng sinh</v>
      </c>
      <c r="F667" s="21">
        <v>299000</v>
      </c>
      <c r="G667" s="21">
        <v>310000</v>
      </c>
      <c r="H667" s="21">
        <v>310000</v>
      </c>
      <c r="I667" s="4">
        <f>A667&amp;D667</f>
      </c>
      <c r="J667" s="4">
        <v>310000</v>
      </c>
      <c r="K667" s="4"/>
      <c r="L667" s="4"/>
      <c r="M667" s="4"/>
      <c r="N667" s="4"/>
      <c r="O667" s="4"/>
      <c r="P667" s="4"/>
      <c r="Q667" s="4"/>
      <c r="R667" s="4"/>
      <c r="S667" s="4"/>
    </row>
    <row r="668">
      <c r="A668" s="4">
        <v>184</v>
      </c>
      <c r="B668" s="4" t="str">
        <v>36 N1 BD</v>
      </c>
      <c r="C668" s="4" t="str">
        <v>DV_Cắt_Vip</v>
      </c>
      <c r="D668" s="4">
        <v>1150</v>
      </c>
      <c r="E668" s="4" t="str">
        <v>Combo cắt gội đỉnh cao thư giãn vip</v>
      </c>
      <c r="F668" s="21">
        <v>500000</v>
      </c>
      <c r="G668" s="21">
        <v>511000</v>
      </c>
      <c r="H668" s="21">
        <v>511000</v>
      </c>
      <c r="I668" s="4">
        <f>A668&amp;D668</f>
      </c>
      <c r="J668" s="4">
        <v>511000</v>
      </c>
      <c r="K668" s="4"/>
      <c r="L668" s="4"/>
      <c r="M668" s="4"/>
      <c r="N668" s="4"/>
      <c r="O668" s="4"/>
      <c r="P668" s="4"/>
      <c r="Q668" s="4"/>
      <c r="R668" s="4"/>
      <c r="S668" s="4"/>
    </row>
    <row r="669">
      <c r="A669" s="4">
        <v>184</v>
      </c>
      <c r="B669" s="4" t="str">
        <v>36 N1 BD</v>
      </c>
      <c r="C669" s="4" t="str">
        <v>DV_Gội</v>
      </c>
      <c r="D669" s="4">
        <v>867</v>
      </c>
      <c r="E669" s="4" t="str">
        <v>Gội dưỡng sinh cổ vai gáy</v>
      </c>
      <c r="F669" s="21">
        <v>79000</v>
      </c>
      <c r="G669" s="21">
        <v>90000</v>
      </c>
      <c r="H669" s="21">
        <v>90000</v>
      </c>
      <c r="I669" s="4">
        <f>A669&amp;D669</f>
      </c>
      <c r="J669" s="4">
        <v>90000</v>
      </c>
      <c r="K669" s="4"/>
      <c r="L669" s="4"/>
      <c r="M669" s="4"/>
      <c r="N669" s="4"/>
      <c r="O669" s="4"/>
      <c r="P669" s="4"/>
      <c r="Q669" s="4"/>
      <c r="R669" s="4"/>
      <c r="S669" s="4"/>
    </row>
    <row r="670">
      <c r="A670" s="4">
        <v>184</v>
      </c>
      <c r="B670" s="4" t="str">
        <v>36 N1 BD</v>
      </c>
      <c r="C670" s="4" t="str">
        <v>DV_Gội</v>
      </c>
      <c r="D670" s="4">
        <v>930</v>
      </c>
      <c r="E670" s="4" t="str">
        <v>[NEW] Gội dưỡng sinh cổ vai gáy và chăm sóc da</v>
      </c>
      <c r="F670" s="21">
        <v>139000</v>
      </c>
      <c r="G670" s="21">
        <v>150000</v>
      </c>
      <c r="H670" s="21">
        <v>150000</v>
      </c>
      <c r="I670" s="4">
        <f>A670&amp;D670</f>
      </c>
      <c r="J670" s="4">
        <v>150000</v>
      </c>
      <c r="K670" s="4"/>
      <c r="L670" s="4"/>
      <c r="M670" s="4"/>
      <c r="N670" s="4"/>
      <c r="O670" s="4"/>
      <c r="P670" s="4"/>
      <c r="Q670" s="4"/>
      <c r="R670" s="4"/>
      <c r="S670" s="4"/>
    </row>
    <row r="671">
      <c r="A671" s="4">
        <v>184</v>
      </c>
      <c r="B671" s="4" t="str">
        <v>36 N1 BD</v>
      </c>
      <c r="C671" s="4" t="str">
        <v>DV_Gội</v>
      </c>
      <c r="D671" s="4">
        <v>934</v>
      </c>
      <c r="E671" s="4" t="str">
        <v>Gội combo 3 - Dưỡng sinh</v>
      </c>
      <c r="F671" s="21">
        <v>229000</v>
      </c>
      <c r="G671" s="21">
        <v>240000</v>
      </c>
      <c r="H671" s="21">
        <v>240000</v>
      </c>
      <c r="I671" s="4">
        <f>A671&amp;D671</f>
      </c>
      <c r="J671" s="4">
        <v>240000</v>
      </c>
      <c r="K671" s="4"/>
      <c r="L671" s="4"/>
      <c r="M671" s="4"/>
      <c r="N671" s="4"/>
      <c r="O671" s="4"/>
      <c r="P671" s="4"/>
      <c r="Q671" s="4"/>
      <c r="R671" s="4"/>
      <c r="S671" s="4"/>
    </row>
    <row r="672">
      <c r="A672" s="4">
        <v>184</v>
      </c>
      <c r="B672" s="4" t="str">
        <v>36 N1 BD</v>
      </c>
      <c r="C672" s="4" t="str">
        <v>DV_Gội</v>
      </c>
      <c r="D672" s="4">
        <v>940</v>
      </c>
      <c r="E672" s="4" t="str">
        <v>[NEW] Gội dưỡng sinh</v>
      </c>
      <c r="F672" s="21">
        <v>59000</v>
      </c>
      <c r="G672" s="21">
        <v>70000</v>
      </c>
      <c r="H672" s="21">
        <v>70000</v>
      </c>
      <c r="I672" s="4">
        <f>A672&amp;D672</f>
      </c>
      <c r="J672" s="4">
        <v>70000</v>
      </c>
      <c r="K672" s="4"/>
      <c r="L672" s="4"/>
      <c r="M672" s="4"/>
      <c r="N672" s="4"/>
      <c r="O672" s="4"/>
      <c r="P672" s="4"/>
      <c r="Q672" s="4"/>
      <c r="R672" s="4"/>
      <c r="S672" s="4"/>
    </row>
    <row r="673">
      <c r="A673" s="4">
        <v>184</v>
      </c>
      <c r="B673" s="4" t="str">
        <v>36 N1 BD</v>
      </c>
      <c r="C673" s="4" t="str">
        <v>DV_Gội</v>
      </c>
      <c r="D673" s="4">
        <v>1058</v>
      </c>
      <c r="E673" s="4" t="str">
        <v>Gội Combo 2</v>
      </c>
      <c r="F673" s="21">
        <v>159000</v>
      </c>
      <c r="G673" s="21">
        <v>170000</v>
      </c>
      <c r="H673" s="21">
        <v>170000</v>
      </c>
      <c r="I673" s="4">
        <f>A673&amp;D673</f>
      </c>
      <c r="J673" s="4">
        <v>170000</v>
      </c>
      <c r="K673" s="4"/>
      <c r="L673" s="4"/>
      <c r="M673" s="4"/>
      <c r="N673" s="4"/>
      <c r="O673" s="4"/>
      <c r="P673" s="4"/>
      <c r="Q673" s="4"/>
      <c r="R673" s="4"/>
      <c r="S673" s="4"/>
    </row>
    <row r="674">
      <c r="A674" s="4">
        <v>184</v>
      </c>
      <c r="B674" s="4" t="str">
        <v>36 N1 BD</v>
      </c>
      <c r="C674" s="4" t="str">
        <v>DV_Gội</v>
      </c>
      <c r="D674" s="4">
        <v>1059</v>
      </c>
      <c r="E674" s="4" t="str">
        <v>Gội Combo 3 - Chăm da</v>
      </c>
      <c r="F674" s="21">
        <v>239000</v>
      </c>
      <c r="G674" s="21">
        <v>250000</v>
      </c>
      <c r="H674" s="21">
        <v>250000</v>
      </c>
      <c r="I674" s="4">
        <f>A674&amp;D674</f>
      </c>
      <c r="J674" s="4">
        <v>250000</v>
      </c>
      <c r="K674" s="4"/>
      <c r="L674" s="4"/>
      <c r="M674" s="4"/>
      <c r="N674" s="4"/>
      <c r="O674" s="4"/>
      <c r="P674" s="4"/>
      <c r="Q674" s="4"/>
      <c r="R674" s="4"/>
      <c r="S674" s="4"/>
    </row>
    <row r="675">
      <c r="A675" s="4">
        <v>184</v>
      </c>
      <c r="B675" s="4" t="str">
        <v>36 N1 BD</v>
      </c>
      <c r="C675" s="4" t="str">
        <v>DV_Gội</v>
      </c>
      <c r="D675" s="4">
        <v>1060</v>
      </c>
      <c r="E675" s="4" t="str">
        <v>Gội Combo 4</v>
      </c>
      <c r="F675" s="21">
        <v>319000</v>
      </c>
      <c r="G675" s="21">
        <v>330000</v>
      </c>
      <c r="H675" s="21">
        <v>330000</v>
      </c>
      <c r="I675" s="4">
        <f>A675&amp;D675</f>
      </c>
      <c r="J675" s="4">
        <v>330000</v>
      </c>
      <c r="K675" s="4"/>
      <c r="L675" s="4"/>
      <c r="M675" s="4"/>
      <c r="N675" s="4"/>
      <c r="O675" s="4"/>
      <c r="P675" s="4"/>
      <c r="Q675" s="4"/>
      <c r="R675" s="4"/>
      <c r="S675" s="4"/>
    </row>
    <row r="676">
      <c r="A676" s="4">
        <v>184</v>
      </c>
      <c r="B676" s="4" t="str">
        <v>36 N1 BD</v>
      </c>
      <c r="C676" s="4" t="str">
        <v>DV_Gội</v>
      </c>
      <c r="D676" s="4">
        <v>1066</v>
      </c>
      <c r="E676" s="4" t="str">
        <v>Gội trải nghiệm 75p</v>
      </c>
      <c r="F676" s="21">
        <v>439000</v>
      </c>
      <c r="G676" s="21">
        <v>450000</v>
      </c>
      <c r="H676" s="21">
        <v>450000</v>
      </c>
      <c r="I676" s="4">
        <f>A676&amp;D676</f>
      </c>
      <c r="J676" s="4">
        <v>450000</v>
      </c>
      <c r="K676" s="4"/>
      <c r="L676" s="4"/>
      <c r="M676" s="4"/>
      <c r="N676" s="4"/>
      <c r="O676" s="4"/>
      <c r="P676" s="4"/>
      <c r="Q676" s="4"/>
      <c r="R676" s="4"/>
      <c r="S676" s="4"/>
    </row>
    <row r="677">
      <c r="A677" s="4">
        <v>184</v>
      </c>
      <c r="B677" s="4" t="str">
        <v>36 N1 BD</v>
      </c>
      <c r="C677" s="4" t="str">
        <v>DV_Gội</v>
      </c>
      <c r="D677" s="4">
        <v>1067</v>
      </c>
      <c r="E677" s="4" t="str">
        <v>Gội trải nghiệm 90p</v>
      </c>
      <c r="F677" s="21">
        <v>789000</v>
      </c>
      <c r="G677" s="21">
        <v>800000</v>
      </c>
      <c r="H677" s="21">
        <v>800000</v>
      </c>
      <c r="I677" s="4">
        <f>A677&amp;D677</f>
      </c>
      <c r="J677" s="4">
        <v>800000</v>
      </c>
      <c r="K677" s="4"/>
      <c r="L677" s="4"/>
      <c r="M677" s="4"/>
      <c r="N677" s="4"/>
      <c r="O677" s="4"/>
      <c r="P677" s="4"/>
      <c r="Q677" s="4"/>
      <c r="R677" s="4"/>
      <c r="S677" s="4"/>
    </row>
    <row r="678">
      <c r="A678" s="4">
        <v>184</v>
      </c>
      <c r="B678" s="4" t="str">
        <v>36 N1 BD</v>
      </c>
      <c r="C678" s="4" t="str">
        <v>DV_Gội</v>
      </c>
      <c r="D678" s="4">
        <v>1068</v>
      </c>
      <c r="E678" s="4" t="str">
        <v>Gội trải nghiệm 115p</v>
      </c>
      <c r="F678" s="21">
        <v>999000</v>
      </c>
      <c r="G678" s="21">
        <v>1010000</v>
      </c>
      <c r="H678" s="21">
        <v>1010000</v>
      </c>
      <c r="I678" s="4">
        <f>A678&amp;D678</f>
      </c>
      <c r="J678" s="4">
        <v>1010000</v>
      </c>
      <c r="K678" s="4"/>
      <c r="L678" s="4"/>
      <c r="M678" s="4"/>
      <c r="N678" s="4"/>
      <c r="O678" s="4"/>
      <c r="P678" s="4"/>
      <c r="Q678" s="4"/>
      <c r="R678" s="4"/>
      <c r="S678" s="4"/>
    </row>
    <row r="679">
      <c r="A679" s="4">
        <v>302</v>
      </c>
      <c r="B679" s="4" t="str">
        <v>362 NGT BN</v>
      </c>
      <c r="C679" s="4" t="str">
        <v>DV_Cắt</v>
      </c>
      <c r="D679" s="4">
        <v>513</v>
      </c>
      <c r="E679" s="4" t="str">
        <v>[DV] ShineCombo 10 bước Ultra Care 2023</v>
      </c>
      <c r="F679" s="21">
        <v>122000</v>
      </c>
      <c r="G679" s="21">
        <v>122000</v>
      </c>
      <c r="H679" s="21">
        <v>122000</v>
      </c>
      <c r="I679" s="4">
        <f>A679&amp;D679</f>
      </c>
      <c r="J679" s="4">
        <v>122000</v>
      </c>
      <c r="K679" s="4"/>
      <c r="L679" s="4"/>
      <c r="M679" s="4"/>
      <c r="N679" s="4"/>
      <c r="O679" s="4"/>
      <c r="P679" s="4"/>
      <c r="Q679" s="4"/>
      <c r="R679" s="4"/>
      <c r="S679" s="4"/>
    </row>
    <row r="680">
      <c r="A680" s="4">
        <v>302</v>
      </c>
      <c r="B680" s="4" t="str">
        <v>362 NGT BN</v>
      </c>
      <c r="C680" s="4" t="str">
        <v>DV_Cắt</v>
      </c>
      <c r="D680" s="4">
        <v>891</v>
      </c>
      <c r="E680" s="4" t="str">
        <v>Cắt xả tạo kiểu</v>
      </c>
      <c r="F680" s="21">
        <v>94000</v>
      </c>
      <c r="G680" s="21">
        <v>98000</v>
      </c>
      <c r="H680" s="21">
        <v>98000</v>
      </c>
      <c r="I680" s="4">
        <f>A680&amp;D680</f>
      </c>
      <c r="J680" s="4">
        <v>98000</v>
      </c>
      <c r="K680" s="4"/>
      <c r="L680" s="4"/>
      <c r="M680" s="4"/>
      <c r="N680" s="4"/>
      <c r="O680" s="4"/>
      <c r="P680" s="4"/>
      <c r="Q680" s="4"/>
      <c r="R680" s="4"/>
      <c r="S680" s="4"/>
    </row>
    <row r="681">
      <c r="A681" s="4">
        <v>302</v>
      </c>
      <c r="B681" s="4" t="str">
        <v>362 NGT BN</v>
      </c>
      <c r="C681" s="4" t="str">
        <v>DV_Cắt</v>
      </c>
      <c r="D681" s="4">
        <v>1002</v>
      </c>
      <c r="E681" s="4" t="str">
        <v>Kid Cắt</v>
      </c>
      <c r="F681" s="21">
        <v>75000</v>
      </c>
      <c r="G681" s="21">
        <v>78000</v>
      </c>
      <c r="H681" s="21">
        <v>78000</v>
      </c>
      <c r="I681" s="4">
        <f>A681&amp;D681</f>
      </c>
      <c r="J681" s="4">
        <v>78000</v>
      </c>
      <c r="K681" s="4"/>
      <c r="L681" s="4"/>
      <c r="M681" s="4"/>
      <c r="N681" s="4"/>
      <c r="O681" s="4"/>
      <c r="P681" s="4"/>
      <c r="Q681" s="4"/>
      <c r="R681" s="4"/>
      <c r="S681" s="4"/>
    </row>
    <row r="682">
      <c r="A682" s="4">
        <v>302</v>
      </c>
      <c r="B682" s="4" t="str">
        <v>362 NGT BN</v>
      </c>
      <c r="C682" s="4" t="str">
        <v>DV_Cắt</v>
      </c>
      <c r="D682" s="4">
        <v>1070</v>
      </c>
      <c r="E682" s="4" t="str">
        <v>Combo Cắt gội Kid</v>
      </c>
      <c r="F682" s="21">
        <v>100000</v>
      </c>
      <c r="G682" s="21">
        <v>104000</v>
      </c>
      <c r="H682" s="21">
        <v>104000</v>
      </c>
      <c r="I682" s="4">
        <f>A682&amp;D682</f>
      </c>
      <c r="J682" s="4">
        <v>104000</v>
      </c>
      <c r="K682" s="4"/>
      <c r="L682" s="4"/>
      <c r="M682" s="4"/>
      <c r="N682" s="4"/>
      <c r="O682" s="4"/>
      <c r="P682" s="4"/>
      <c r="Q682" s="4"/>
      <c r="R682" s="4"/>
      <c r="S682" s="4"/>
    </row>
    <row r="683">
      <c r="A683" s="4">
        <v>302</v>
      </c>
      <c r="B683" s="4" t="str">
        <v>362 NGT BN</v>
      </c>
      <c r="C683" s="4" t="str">
        <v>DV_Cắt_Vip</v>
      </c>
      <c r="D683" s="4">
        <v>1046</v>
      </c>
      <c r="E683" s="4" t="str">
        <v>Shinecombo 2</v>
      </c>
      <c r="F683" s="21">
        <v>199000</v>
      </c>
      <c r="G683" s="21">
        <v>207000</v>
      </c>
      <c r="H683" s="21">
        <v>207000</v>
      </c>
      <c r="I683" s="4">
        <f>A683&amp;D683</f>
      </c>
      <c r="J683" s="4">
        <v>207000</v>
      </c>
      <c r="K683" s="4"/>
      <c r="L683" s="4"/>
      <c r="M683" s="4"/>
      <c r="N683" s="4"/>
      <c r="O683" s="4"/>
      <c r="P683" s="4"/>
      <c r="Q683" s="4"/>
      <c r="R683" s="4"/>
      <c r="S683" s="4"/>
    </row>
    <row r="684">
      <c r="A684" s="4">
        <v>302</v>
      </c>
      <c r="B684" s="4" t="str">
        <v>362 NGT BN</v>
      </c>
      <c r="C684" s="4" t="str">
        <v>DV_Cắt_Vip</v>
      </c>
      <c r="D684" s="4">
        <v>1047</v>
      </c>
      <c r="E684" s="4" t="str">
        <v>Cắt Gội Combo 3 - Chăm da</v>
      </c>
      <c r="F684" s="21">
        <v>299000</v>
      </c>
      <c r="G684" s="21">
        <v>312000</v>
      </c>
      <c r="H684" s="21">
        <v>312000</v>
      </c>
      <c r="I684" s="4">
        <f>A684&amp;D684</f>
      </c>
      <c r="J684" s="4">
        <v>312000</v>
      </c>
      <c r="K684" s="4"/>
      <c r="L684" s="4"/>
      <c r="M684" s="4"/>
      <c r="N684" s="4"/>
      <c r="O684" s="4"/>
      <c r="P684" s="4"/>
      <c r="Q684" s="4"/>
      <c r="R684" s="4"/>
      <c r="S684" s="4"/>
    </row>
    <row r="685">
      <c r="A685" s="4">
        <v>302</v>
      </c>
      <c r="B685" s="4" t="str">
        <v>362 NGT BN</v>
      </c>
      <c r="C685" s="4" t="str">
        <v>DV_Cắt_Vip</v>
      </c>
      <c r="D685" s="4">
        <v>1048</v>
      </c>
      <c r="E685" s="4" t="str">
        <v>Combo 4</v>
      </c>
      <c r="F685" s="21">
        <v>389000</v>
      </c>
      <c r="G685" s="21">
        <v>406000</v>
      </c>
      <c r="H685" s="21">
        <v>406000</v>
      </c>
      <c r="I685" s="4">
        <f>A685&amp;D685</f>
      </c>
      <c r="J685" s="4">
        <v>406000</v>
      </c>
      <c r="K685" s="4"/>
      <c r="L685" s="4"/>
      <c r="M685" s="4"/>
      <c r="N685" s="4"/>
      <c r="O685" s="4"/>
      <c r="P685" s="4"/>
      <c r="Q685" s="4"/>
      <c r="R685" s="4"/>
      <c r="S685" s="4"/>
    </row>
    <row r="686">
      <c r="A686" s="4">
        <v>302</v>
      </c>
      <c r="B686" s="4" t="str">
        <v>362 NGT BN</v>
      </c>
      <c r="C686" s="4" t="str">
        <v>DV_Cắt_Vip</v>
      </c>
      <c r="D686" s="4">
        <v>1064</v>
      </c>
      <c r="E686" s="4" t="str">
        <v>Cắt Gội Combo 5 - Dưỡng sinh</v>
      </c>
      <c r="F686" s="21">
        <v>459000</v>
      </c>
      <c r="G686" s="21">
        <v>479000</v>
      </c>
      <c r="H686" s="21">
        <v>479000</v>
      </c>
      <c r="I686" s="4">
        <f>A686&amp;D686</f>
      </c>
      <c r="J686" s="4">
        <v>479000</v>
      </c>
      <c r="K686" s="4"/>
      <c r="L686" s="4"/>
      <c r="M686" s="4"/>
      <c r="N686" s="4"/>
      <c r="O686" s="4"/>
      <c r="P686" s="4"/>
      <c r="Q686" s="4"/>
      <c r="R686" s="4"/>
      <c r="S686" s="4"/>
    </row>
    <row r="687">
      <c r="A687" s="4">
        <v>302</v>
      </c>
      <c r="B687" s="4" t="str">
        <v>362 NGT BN</v>
      </c>
      <c r="C687" s="4" t="str">
        <v>DV_Gội</v>
      </c>
      <c r="D687" s="4">
        <v>867</v>
      </c>
      <c r="E687" s="4" t="str">
        <v>Gội dưỡng sinh cổ vai gáy</v>
      </c>
      <c r="F687" s="21">
        <v>99000</v>
      </c>
      <c r="G687" s="21">
        <v>103000</v>
      </c>
      <c r="H687" s="21">
        <v>103000</v>
      </c>
      <c r="I687" s="4">
        <f>A687&amp;D687</f>
      </c>
      <c r="J687" s="4">
        <v>103000</v>
      </c>
      <c r="K687" s="4"/>
      <c r="L687" s="4"/>
      <c r="M687" s="4"/>
      <c r="N687" s="4"/>
      <c r="O687" s="4"/>
      <c r="P687" s="4"/>
      <c r="Q687" s="4"/>
      <c r="R687" s="4"/>
      <c r="S687" s="4"/>
    </row>
    <row r="688">
      <c r="A688" s="4">
        <v>302</v>
      </c>
      <c r="B688" s="4" t="str">
        <v>362 NGT BN</v>
      </c>
      <c r="C688" s="4" t="str">
        <v>DV_Gội</v>
      </c>
      <c r="D688" s="4">
        <v>930</v>
      </c>
      <c r="E688" s="4" t="str">
        <v>[NEW] Gội dưỡng sinh cổ vai gáy và chăm sóc da</v>
      </c>
      <c r="F688" s="21">
        <v>139000</v>
      </c>
      <c r="G688" s="21">
        <v>145000</v>
      </c>
      <c r="H688" s="21">
        <v>145000</v>
      </c>
      <c r="I688" s="4">
        <f>A688&amp;D688</f>
      </c>
      <c r="J688" s="4">
        <v>145000</v>
      </c>
      <c r="K688" s="4"/>
      <c r="L688" s="4"/>
      <c r="M688" s="4"/>
      <c r="N688" s="4"/>
      <c r="O688" s="4"/>
      <c r="P688" s="4"/>
      <c r="Q688" s="4"/>
      <c r="R688" s="4"/>
      <c r="S688" s="4"/>
    </row>
    <row r="689">
      <c r="A689" s="4">
        <v>302</v>
      </c>
      <c r="B689" s="4" t="str">
        <v>362 NGT BN</v>
      </c>
      <c r="C689" s="4" t="str">
        <v>DV_Gội</v>
      </c>
      <c r="D689" s="4">
        <v>934</v>
      </c>
      <c r="E689" s="4" t="str">
        <v>Gội combo 3 - Dưỡng sinh</v>
      </c>
      <c r="F689" s="21">
        <v>229000</v>
      </c>
      <c r="G689" s="21">
        <v>239000</v>
      </c>
      <c r="H689" s="21">
        <v>239000</v>
      </c>
      <c r="I689" s="4">
        <f>A689&amp;D689</f>
      </c>
      <c r="J689" s="4">
        <v>239000</v>
      </c>
      <c r="K689" s="4"/>
      <c r="L689" s="4"/>
      <c r="M689" s="4"/>
      <c r="N689" s="4"/>
      <c r="O689" s="4"/>
      <c r="P689" s="4"/>
      <c r="Q689" s="4"/>
      <c r="R689" s="4"/>
      <c r="S689" s="4"/>
    </row>
    <row r="690">
      <c r="A690" s="4">
        <v>302</v>
      </c>
      <c r="B690" s="4" t="str">
        <v>362 NGT BN</v>
      </c>
      <c r="C690" s="4" t="str">
        <v>DV_Gội</v>
      </c>
      <c r="D690" s="4">
        <v>940</v>
      </c>
      <c r="E690" s="4" t="str">
        <v>[NEW] Gội dưỡng sinh</v>
      </c>
      <c r="F690" s="21">
        <v>59000</v>
      </c>
      <c r="G690" s="21">
        <v>62000</v>
      </c>
      <c r="H690" s="21">
        <v>62000</v>
      </c>
      <c r="I690" s="4">
        <f>A690&amp;D690</f>
      </c>
      <c r="J690" s="4">
        <v>62000</v>
      </c>
      <c r="K690" s="4"/>
      <c r="L690" s="4"/>
      <c r="M690" s="4"/>
      <c r="N690" s="4"/>
      <c r="O690" s="4"/>
      <c r="P690" s="4"/>
      <c r="Q690" s="4"/>
      <c r="R690" s="4"/>
      <c r="S690" s="4"/>
    </row>
    <row r="691">
      <c r="A691" s="4">
        <v>302</v>
      </c>
      <c r="B691" s="4" t="str">
        <v>362 NGT BN</v>
      </c>
      <c r="C691" s="4" t="str">
        <v>DV_Gội</v>
      </c>
      <c r="D691" s="4">
        <v>1058</v>
      </c>
      <c r="E691" s="4" t="str">
        <v>Gội Combo 2</v>
      </c>
      <c r="F691" s="21">
        <v>159000</v>
      </c>
      <c r="G691" s="21">
        <v>166000</v>
      </c>
      <c r="H691" s="21">
        <v>166000</v>
      </c>
      <c r="I691" s="4">
        <f>A691&amp;D691</f>
      </c>
      <c r="J691" s="4">
        <v>166000</v>
      </c>
      <c r="K691" s="4"/>
      <c r="L691" s="4"/>
      <c r="M691" s="4"/>
      <c r="N691" s="4"/>
      <c r="O691" s="4"/>
      <c r="P691" s="4"/>
      <c r="Q691" s="4"/>
      <c r="R691" s="4"/>
      <c r="S691" s="4"/>
    </row>
    <row r="692">
      <c r="A692" s="4">
        <v>302</v>
      </c>
      <c r="B692" s="4" t="str">
        <v>362 NGT BN</v>
      </c>
      <c r="C692" s="4" t="str">
        <v>DV_Gội</v>
      </c>
      <c r="D692" s="4">
        <v>1059</v>
      </c>
      <c r="E692" s="4" t="str">
        <v>Gội Combo 3 - Chăm da</v>
      </c>
      <c r="F692" s="21">
        <v>239000</v>
      </c>
      <c r="G692" s="21">
        <v>249000</v>
      </c>
      <c r="H692" s="21">
        <v>249000</v>
      </c>
      <c r="I692" s="4">
        <f>A692&amp;D692</f>
      </c>
      <c r="J692" s="4">
        <v>249000</v>
      </c>
      <c r="K692" s="4"/>
      <c r="L692" s="4"/>
      <c r="M692" s="4"/>
      <c r="N692" s="4"/>
      <c r="O692" s="4"/>
      <c r="P692" s="4"/>
      <c r="Q692" s="4"/>
      <c r="R692" s="4"/>
      <c r="S692" s="4"/>
    </row>
    <row r="693">
      <c r="A693" s="4">
        <v>302</v>
      </c>
      <c r="B693" s="4" t="str">
        <v>362 NGT BN</v>
      </c>
      <c r="C693" s="4" t="str">
        <v>DV_Gội</v>
      </c>
      <c r="D693" s="4">
        <v>1060</v>
      </c>
      <c r="E693" s="4" t="str">
        <v>Gội Combo 4</v>
      </c>
      <c r="F693" s="21">
        <v>289000</v>
      </c>
      <c r="G693" s="21">
        <v>303000</v>
      </c>
      <c r="H693" s="21">
        <v>303000</v>
      </c>
      <c r="I693" s="4">
        <f>A693&amp;D693</f>
      </c>
      <c r="J693" s="4">
        <v>303000</v>
      </c>
      <c r="K693" s="4"/>
      <c r="L693" s="4"/>
      <c r="M693" s="4"/>
      <c r="N693" s="4"/>
      <c r="O693" s="4"/>
      <c r="P693" s="4"/>
      <c r="Q693" s="4"/>
      <c r="R693" s="4"/>
      <c r="S693" s="4"/>
    </row>
    <row r="694">
      <c r="A694" s="4">
        <v>302</v>
      </c>
      <c r="B694" s="4" t="str">
        <v>362 NGT BN</v>
      </c>
      <c r="C694" s="4" t="str">
        <v>DV_Gội</v>
      </c>
      <c r="D694" s="4">
        <v>1066</v>
      </c>
      <c r="E694" s="4" t="str">
        <v>Gội trải nghiệm 75p</v>
      </c>
      <c r="F694" s="21">
        <v>589000</v>
      </c>
      <c r="G694" s="21">
        <v>614000</v>
      </c>
      <c r="H694" s="21">
        <v>614000</v>
      </c>
      <c r="I694" s="4">
        <f>A694&amp;D694</f>
      </c>
      <c r="J694" s="4">
        <v>614000</v>
      </c>
      <c r="K694" s="4"/>
      <c r="L694" s="4"/>
      <c r="M694" s="4"/>
      <c r="N694" s="4"/>
      <c r="O694" s="4"/>
      <c r="P694" s="4"/>
      <c r="Q694" s="4"/>
      <c r="R694" s="4"/>
      <c r="S694" s="4"/>
    </row>
    <row r="695">
      <c r="A695" s="4">
        <v>302</v>
      </c>
      <c r="B695" s="4" t="str">
        <v>362 NGT BN</v>
      </c>
      <c r="C695" s="4" t="str">
        <v>DV_Gội</v>
      </c>
      <c r="D695" s="4">
        <v>1067</v>
      </c>
      <c r="E695" s="4" t="str">
        <v>Gội trải nghiệm 90p</v>
      </c>
      <c r="F695" s="21">
        <v>789000</v>
      </c>
      <c r="G695" s="21">
        <v>823000</v>
      </c>
      <c r="H695" s="21">
        <v>823000</v>
      </c>
      <c r="I695" s="4">
        <f>A695&amp;D695</f>
      </c>
      <c r="J695" s="4">
        <v>823000</v>
      </c>
      <c r="K695" s="4"/>
      <c r="L695" s="4"/>
      <c r="M695" s="4"/>
      <c r="N695" s="4"/>
      <c r="O695" s="4"/>
      <c r="P695" s="4"/>
      <c r="Q695" s="4"/>
      <c r="R695" s="4"/>
      <c r="S695" s="4"/>
    </row>
    <row r="696">
      <c r="A696" s="4">
        <v>302</v>
      </c>
      <c r="B696" s="4" t="str">
        <v>362 NGT BN</v>
      </c>
      <c r="C696" s="4" t="str">
        <v>DV_Gội</v>
      </c>
      <c r="D696" s="4">
        <v>1068</v>
      </c>
      <c r="E696" s="4" t="str">
        <v>Gội trải nghiệm 115p</v>
      </c>
      <c r="F696" s="21">
        <v>999000</v>
      </c>
      <c r="G696" s="21">
        <v>1042000</v>
      </c>
      <c r="H696" s="21">
        <v>1042000</v>
      </c>
      <c r="I696" s="4">
        <f>A696&amp;D696</f>
      </c>
      <c r="J696" s="4">
        <v>1042000</v>
      </c>
      <c r="K696" s="4"/>
      <c r="L696" s="4"/>
      <c r="M696" s="4"/>
      <c r="N696" s="4"/>
      <c r="O696" s="4"/>
      <c r="P696" s="4"/>
      <c r="Q696" s="4"/>
      <c r="R696" s="4"/>
      <c r="S696" s="4"/>
    </row>
    <row r="697">
      <c r="A697" s="4">
        <v>85</v>
      </c>
      <c r="B697" s="4" t="str">
        <v>363 LNQ TN</v>
      </c>
      <c r="C697" s="4" t="str">
        <v>DV_Cắt</v>
      </c>
      <c r="D697" s="4">
        <v>513</v>
      </c>
      <c r="E697" s="4" t="str">
        <v>[DV] ShineCombo 10 bước Ultra Care 2023</v>
      </c>
      <c r="F697" s="21">
        <v>122000</v>
      </c>
      <c r="G697" s="21">
        <v>122000</v>
      </c>
      <c r="H697" s="21">
        <v>122000</v>
      </c>
      <c r="I697" s="4">
        <f>A697&amp;D697</f>
      </c>
      <c r="J697" s="4">
        <v>122000</v>
      </c>
      <c r="K697" s="4"/>
      <c r="L697" s="4"/>
      <c r="M697" s="4"/>
      <c r="N697" s="4"/>
      <c r="O697" s="4"/>
      <c r="P697" s="4"/>
      <c r="Q697" s="4"/>
      <c r="R697" s="4"/>
      <c r="S697" s="4"/>
    </row>
    <row r="698">
      <c r="A698" s="4">
        <v>85</v>
      </c>
      <c r="B698" s="4" t="str">
        <v>363 LNQ TN</v>
      </c>
      <c r="C698" s="4" t="str">
        <v>DV_Cắt</v>
      </c>
      <c r="D698" s="4">
        <v>891</v>
      </c>
      <c r="E698" s="4" t="str">
        <v>Cắt xả tạo kiểu</v>
      </c>
      <c r="F698" s="21">
        <v>103000</v>
      </c>
      <c r="G698" s="21">
        <v>110000</v>
      </c>
      <c r="H698" s="21">
        <v>110000</v>
      </c>
      <c r="I698" s="4">
        <f>A698&amp;D698</f>
      </c>
      <c r="J698" s="4">
        <v>110000</v>
      </c>
      <c r="K698" s="4"/>
      <c r="L698" s="4"/>
      <c r="M698" s="4"/>
      <c r="N698" s="4"/>
      <c r="O698" s="4"/>
      <c r="P698" s="4"/>
      <c r="Q698" s="4"/>
      <c r="R698" s="4"/>
      <c r="S698" s="4"/>
    </row>
    <row r="699">
      <c r="A699" s="4">
        <v>85</v>
      </c>
      <c r="B699" s="4" t="str">
        <v>363 LNQ TN</v>
      </c>
      <c r="C699" s="4" t="str">
        <v>DV_Cắt</v>
      </c>
      <c r="D699" s="4">
        <v>1002</v>
      </c>
      <c r="E699" s="4" t="str">
        <v>Kid Cắt</v>
      </c>
      <c r="F699" s="21">
        <v>84000</v>
      </c>
      <c r="G699" s="21">
        <v>90000</v>
      </c>
      <c r="H699" s="21">
        <v>90000</v>
      </c>
      <c r="I699" s="4">
        <f>A699&amp;D699</f>
      </c>
      <c r="J699" s="4">
        <v>90000</v>
      </c>
      <c r="K699" s="4"/>
      <c r="L699" s="4"/>
      <c r="M699" s="4"/>
      <c r="N699" s="4"/>
      <c r="O699" s="4"/>
      <c r="P699" s="4"/>
      <c r="Q699" s="4"/>
      <c r="R699" s="4"/>
      <c r="S699" s="4"/>
    </row>
    <row r="700">
      <c r="A700" s="4">
        <v>85</v>
      </c>
      <c r="B700" s="4" t="str">
        <v>363 LNQ TN</v>
      </c>
      <c r="C700" s="4" t="str">
        <v>DV_Cắt</v>
      </c>
      <c r="D700" s="4">
        <v>1070</v>
      </c>
      <c r="E700" s="4" t="str">
        <v>Combo Cắt gội Kid</v>
      </c>
      <c r="F700" s="21">
        <v>100000</v>
      </c>
      <c r="G700" s="21">
        <v>107000</v>
      </c>
      <c r="H700" s="21">
        <v>107000</v>
      </c>
      <c r="I700" s="4">
        <f>A700&amp;D700</f>
      </c>
      <c r="J700" s="4">
        <v>107000</v>
      </c>
      <c r="K700" s="4"/>
      <c r="L700" s="4"/>
      <c r="M700" s="4"/>
      <c r="N700" s="4"/>
      <c r="O700" s="4"/>
      <c r="P700" s="4"/>
      <c r="Q700" s="4"/>
      <c r="R700" s="4"/>
      <c r="S700" s="4"/>
    </row>
    <row r="701">
      <c r="A701" s="4">
        <v>85</v>
      </c>
      <c r="B701" s="4" t="str">
        <v>363 LNQ TN</v>
      </c>
      <c r="C701" s="4" t="str">
        <v>DV_Cắt</v>
      </c>
      <c r="D701" s="4">
        <v>1214</v>
      </c>
      <c r="E701" s="4" t="str">
        <v>Shine cut Genz</v>
      </c>
      <c r="F701" s="21">
        <v>68000</v>
      </c>
      <c r="G701" s="21">
        <v>73000</v>
      </c>
      <c r="H701" s="21">
        <v>73000</v>
      </c>
      <c r="I701" s="4">
        <f>A701&amp;D701</f>
      </c>
      <c r="J701" s="4">
        <v>73000</v>
      </c>
      <c r="K701" s="4"/>
      <c r="L701" s="4"/>
      <c r="M701" s="4"/>
      <c r="N701" s="4"/>
      <c r="O701" s="4"/>
      <c r="P701" s="4"/>
      <c r="Q701" s="4"/>
      <c r="R701" s="4"/>
      <c r="S701" s="4"/>
    </row>
    <row r="702">
      <c r="A702" s="4">
        <v>85</v>
      </c>
      <c r="B702" s="4" t="str">
        <v>363 LNQ TN</v>
      </c>
      <c r="C702" s="4" t="str">
        <v>DV_Cắt_Vip</v>
      </c>
      <c r="D702" s="4">
        <v>1046</v>
      </c>
      <c r="E702" s="4" t="str">
        <v>Shinecombo 2</v>
      </c>
      <c r="F702" s="21">
        <v>208000</v>
      </c>
      <c r="G702" s="21">
        <v>222000</v>
      </c>
      <c r="H702" s="21">
        <v>222000</v>
      </c>
      <c r="I702" s="4">
        <f>A702&amp;D702</f>
      </c>
      <c r="J702" s="4">
        <v>222000</v>
      </c>
      <c r="K702" s="4"/>
      <c r="L702" s="4"/>
      <c r="M702" s="4"/>
      <c r="N702" s="4"/>
      <c r="O702" s="4"/>
      <c r="P702" s="4"/>
      <c r="Q702" s="4"/>
      <c r="R702" s="4"/>
      <c r="S702" s="4"/>
    </row>
    <row r="703">
      <c r="A703" s="4">
        <v>85</v>
      </c>
      <c r="B703" s="4" t="str">
        <v>363 LNQ TN</v>
      </c>
      <c r="C703" s="4" t="str">
        <v>DV_Cắt_Vip</v>
      </c>
      <c r="D703" s="4">
        <v>1047</v>
      </c>
      <c r="E703" s="4" t="str">
        <v>Cắt Gội Combo 3 - Chăm da</v>
      </c>
      <c r="F703" s="21">
        <v>308000</v>
      </c>
      <c r="G703" s="21">
        <v>329000</v>
      </c>
      <c r="H703" s="21">
        <v>329000</v>
      </c>
      <c r="I703" s="4">
        <f>A703&amp;D703</f>
      </c>
      <c r="J703" s="4">
        <v>329000</v>
      </c>
      <c r="K703" s="4"/>
      <c r="L703" s="4"/>
      <c r="M703" s="4"/>
      <c r="N703" s="4"/>
      <c r="O703" s="4"/>
      <c r="P703" s="4"/>
      <c r="Q703" s="4"/>
      <c r="R703" s="4"/>
      <c r="S703" s="4"/>
    </row>
    <row r="704">
      <c r="A704" s="4">
        <v>85</v>
      </c>
      <c r="B704" s="4" t="str">
        <v>363 LNQ TN</v>
      </c>
      <c r="C704" s="4" t="str">
        <v>DV_Cắt_Vip</v>
      </c>
      <c r="D704" s="4">
        <v>1048</v>
      </c>
      <c r="E704" s="4" t="str">
        <v>Combo 4</v>
      </c>
      <c r="F704" s="21">
        <v>398000</v>
      </c>
      <c r="G704" s="21">
        <v>425000</v>
      </c>
      <c r="H704" s="21">
        <v>425000</v>
      </c>
      <c r="I704" s="4">
        <f>A704&amp;D704</f>
      </c>
      <c r="J704" s="4">
        <v>425000</v>
      </c>
      <c r="K704" s="4"/>
      <c r="L704" s="4"/>
      <c r="M704" s="4"/>
      <c r="N704" s="4"/>
      <c r="O704" s="4"/>
      <c r="P704" s="4"/>
      <c r="Q704" s="4"/>
      <c r="R704" s="4"/>
      <c r="S704" s="4"/>
    </row>
    <row r="705">
      <c r="A705" s="4">
        <v>85</v>
      </c>
      <c r="B705" s="4" t="str">
        <v>363 LNQ TN</v>
      </c>
      <c r="C705" s="4" t="str">
        <v>DV_Cắt_Vip</v>
      </c>
      <c r="D705" s="4">
        <v>1064</v>
      </c>
      <c r="E705" s="4" t="str">
        <v>Cắt Gội Combo 5 - Dưỡng sinh</v>
      </c>
      <c r="F705" s="21">
        <v>459000</v>
      </c>
      <c r="G705" s="21">
        <v>490000</v>
      </c>
      <c r="H705" s="21">
        <v>490000</v>
      </c>
      <c r="I705" s="4">
        <f>A705&amp;D705</f>
      </c>
      <c r="J705" s="4">
        <v>490000</v>
      </c>
      <c r="K705" s="4"/>
      <c r="L705" s="4"/>
      <c r="M705" s="4"/>
      <c r="N705" s="4"/>
      <c r="O705" s="4"/>
      <c r="P705" s="4"/>
      <c r="Q705" s="4"/>
      <c r="R705" s="4"/>
      <c r="S705" s="4"/>
    </row>
    <row r="706">
      <c r="A706" s="4">
        <v>85</v>
      </c>
      <c r="B706" s="4" t="str">
        <v>363 LNQ TN</v>
      </c>
      <c r="C706" s="4" t="str">
        <v>DV_Gội</v>
      </c>
      <c r="D706" s="4">
        <v>867</v>
      </c>
      <c r="E706" s="4" t="str">
        <v>Gội dưỡng sinh cổ vai gáy</v>
      </c>
      <c r="F706" s="21">
        <v>99000</v>
      </c>
      <c r="G706" s="21">
        <v>106000</v>
      </c>
      <c r="H706" s="21">
        <v>106000</v>
      </c>
      <c r="I706" s="4">
        <f>A706&amp;D706</f>
      </c>
      <c r="J706" s="4">
        <v>106000</v>
      </c>
      <c r="K706" s="4"/>
      <c r="L706" s="4"/>
      <c r="M706" s="4"/>
      <c r="N706" s="4"/>
      <c r="O706" s="4"/>
      <c r="P706" s="4"/>
      <c r="Q706" s="4"/>
      <c r="R706" s="4"/>
      <c r="S706" s="4"/>
    </row>
    <row r="707">
      <c r="A707" s="4">
        <v>85</v>
      </c>
      <c r="B707" s="4" t="str">
        <v>363 LNQ TN</v>
      </c>
      <c r="C707" s="4" t="str">
        <v>DV_Gội</v>
      </c>
      <c r="D707" s="4">
        <v>930</v>
      </c>
      <c r="E707" s="4" t="str">
        <v>[NEW] Gội dưỡng sinh cổ vai gáy và chăm sóc da</v>
      </c>
      <c r="F707" s="21">
        <v>139000</v>
      </c>
      <c r="G707" s="21">
        <v>148000</v>
      </c>
      <c r="H707" s="21">
        <v>148000</v>
      </c>
      <c r="I707" s="4">
        <f>A707&amp;D707</f>
      </c>
      <c r="J707" s="4">
        <v>148000</v>
      </c>
      <c r="K707" s="4"/>
      <c r="L707" s="4"/>
      <c r="M707" s="4"/>
      <c r="N707" s="4"/>
      <c r="O707" s="4"/>
      <c r="P707" s="4"/>
      <c r="Q707" s="4"/>
      <c r="R707" s="4"/>
      <c r="S707" s="4"/>
    </row>
    <row r="708">
      <c r="A708" s="4">
        <v>85</v>
      </c>
      <c r="B708" s="4" t="str">
        <v>363 LNQ TN</v>
      </c>
      <c r="C708" s="4" t="str">
        <v>DV_Gội</v>
      </c>
      <c r="D708" s="4">
        <v>934</v>
      </c>
      <c r="E708" s="4" t="str">
        <v>Gội combo 3 - Dưỡng sinh</v>
      </c>
      <c r="F708" s="21">
        <v>229000</v>
      </c>
      <c r="G708" s="21">
        <v>245000</v>
      </c>
      <c r="H708" s="21">
        <v>245000</v>
      </c>
      <c r="I708" s="4">
        <f>A708&amp;D708</f>
      </c>
      <c r="J708" s="4">
        <v>245000</v>
      </c>
      <c r="K708" s="4"/>
      <c r="L708" s="4"/>
      <c r="M708" s="4"/>
      <c r="N708" s="4"/>
      <c r="O708" s="4"/>
      <c r="P708" s="4"/>
      <c r="Q708" s="4"/>
      <c r="R708" s="4"/>
      <c r="S708" s="4"/>
    </row>
    <row r="709">
      <c r="A709" s="4">
        <v>85</v>
      </c>
      <c r="B709" s="4" t="str">
        <v>363 LNQ TN</v>
      </c>
      <c r="C709" s="4" t="str">
        <v>DV_Gội</v>
      </c>
      <c r="D709" s="4">
        <v>940</v>
      </c>
      <c r="E709" s="4" t="str">
        <v>[NEW] Gội dưỡng sinh</v>
      </c>
      <c r="F709" s="21">
        <v>59000</v>
      </c>
      <c r="G709" s="21">
        <v>63000</v>
      </c>
      <c r="H709" s="21">
        <v>63000</v>
      </c>
      <c r="I709" s="4">
        <f>A709&amp;D709</f>
      </c>
      <c r="J709" s="4">
        <v>63000</v>
      </c>
      <c r="K709" s="4"/>
      <c r="L709" s="4"/>
      <c r="M709" s="4"/>
      <c r="N709" s="4"/>
      <c r="O709" s="4"/>
      <c r="P709" s="4"/>
      <c r="Q709" s="4"/>
      <c r="R709" s="4"/>
      <c r="S709" s="4"/>
    </row>
    <row r="710">
      <c r="A710" s="4">
        <v>85</v>
      </c>
      <c r="B710" s="4" t="str">
        <v>363 LNQ TN</v>
      </c>
      <c r="C710" s="4" t="str">
        <v>DV_Gội</v>
      </c>
      <c r="D710" s="4">
        <v>1058</v>
      </c>
      <c r="E710" s="4" t="str">
        <v>Gội Combo 2</v>
      </c>
      <c r="F710" s="21">
        <v>159000</v>
      </c>
      <c r="G710" s="21">
        <v>170000</v>
      </c>
      <c r="H710" s="21">
        <v>170000</v>
      </c>
      <c r="I710" s="4">
        <f>A710&amp;D710</f>
      </c>
      <c r="J710" s="4">
        <v>170000</v>
      </c>
      <c r="K710" s="4"/>
      <c r="L710" s="4"/>
      <c r="M710" s="4"/>
      <c r="N710" s="4"/>
      <c r="O710" s="4"/>
      <c r="P710" s="4"/>
      <c r="Q710" s="4"/>
      <c r="R710" s="4"/>
      <c r="S710" s="4"/>
    </row>
    <row r="711">
      <c r="A711" s="4">
        <v>85</v>
      </c>
      <c r="B711" s="4" t="str">
        <v>363 LNQ TN</v>
      </c>
      <c r="C711" s="4" t="str">
        <v>DV_Gội</v>
      </c>
      <c r="D711" s="4">
        <v>1059</v>
      </c>
      <c r="E711" s="4" t="str">
        <v>Gội Combo 3 - Chăm da</v>
      </c>
      <c r="F711" s="21">
        <v>239000</v>
      </c>
      <c r="G711" s="21">
        <v>255000</v>
      </c>
      <c r="H711" s="21">
        <v>255000</v>
      </c>
      <c r="I711" s="4">
        <f>A711&amp;D711</f>
      </c>
      <c r="J711" s="4">
        <v>255000</v>
      </c>
      <c r="K711" s="4"/>
      <c r="L711" s="4"/>
      <c r="M711" s="4"/>
      <c r="N711" s="4"/>
      <c r="O711" s="4"/>
      <c r="P711" s="4"/>
      <c r="Q711" s="4"/>
      <c r="R711" s="4"/>
      <c r="S711" s="4"/>
    </row>
    <row r="712">
      <c r="A712" s="4">
        <v>85</v>
      </c>
      <c r="B712" s="4" t="str">
        <v>363 LNQ TN</v>
      </c>
      <c r="C712" s="4" t="str">
        <v>DV_Gội</v>
      </c>
      <c r="D712" s="4">
        <v>1060</v>
      </c>
      <c r="E712" s="4" t="str">
        <v>Gội Combo 4</v>
      </c>
      <c r="F712" s="21">
        <v>289000</v>
      </c>
      <c r="G712" s="21">
        <v>311000</v>
      </c>
      <c r="H712" s="21">
        <v>311000</v>
      </c>
      <c r="I712" s="4">
        <f>A712&amp;D712</f>
      </c>
      <c r="J712" s="4">
        <v>311000</v>
      </c>
      <c r="K712" s="4"/>
      <c r="L712" s="4"/>
      <c r="M712" s="4"/>
      <c r="N712" s="4"/>
      <c r="O712" s="4"/>
      <c r="P712" s="4"/>
      <c r="Q712" s="4"/>
      <c r="R712" s="4"/>
      <c r="S712" s="4"/>
    </row>
    <row r="713">
      <c r="A713" s="4">
        <v>85</v>
      </c>
      <c r="B713" s="4" t="str">
        <v>363 LNQ TN</v>
      </c>
      <c r="C713" s="4" t="str">
        <v>DV_Gội</v>
      </c>
      <c r="D713" s="4">
        <v>1066</v>
      </c>
      <c r="E713" s="4" t="str">
        <v>Gội trải nghiệm 75p</v>
      </c>
      <c r="F713" s="21">
        <v>589000</v>
      </c>
      <c r="G713" s="21">
        <v>629000</v>
      </c>
      <c r="H713" s="21">
        <v>629000</v>
      </c>
      <c r="I713" s="4">
        <f>A713&amp;D713</f>
      </c>
      <c r="J713" s="4">
        <v>629000</v>
      </c>
      <c r="K713" s="4"/>
      <c r="L713" s="4"/>
      <c r="M713" s="4"/>
      <c r="N713" s="4"/>
      <c r="O713" s="4"/>
      <c r="P713" s="4"/>
      <c r="Q713" s="4"/>
      <c r="R713" s="4"/>
      <c r="S713" s="4"/>
    </row>
    <row r="714">
      <c r="A714" s="4">
        <v>85</v>
      </c>
      <c r="B714" s="4" t="str">
        <v>363 LNQ TN</v>
      </c>
      <c r="C714" s="4" t="str">
        <v>DV_Gội</v>
      </c>
      <c r="D714" s="4">
        <v>1067</v>
      </c>
      <c r="E714" s="4" t="str">
        <v>Gội trải nghiệm 90p</v>
      </c>
      <c r="F714" s="21">
        <v>789000</v>
      </c>
      <c r="G714" s="21">
        <v>843000</v>
      </c>
      <c r="H714" s="21">
        <v>843000</v>
      </c>
      <c r="I714" s="4">
        <f>A714&amp;D714</f>
      </c>
      <c r="J714" s="4">
        <v>843000</v>
      </c>
      <c r="K714" s="4"/>
      <c r="L714" s="4"/>
      <c r="M714" s="4"/>
      <c r="N714" s="4"/>
      <c r="O714" s="4"/>
      <c r="P714" s="4"/>
      <c r="Q714" s="4"/>
      <c r="R714" s="4"/>
      <c r="S714" s="4"/>
    </row>
    <row r="715">
      <c r="A715" s="4">
        <v>85</v>
      </c>
      <c r="B715" s="4" t="str">
        <v>363 LNQ TN</v>
      </c>
      <c r="C715" s="4" t="str">
        <v>DV_Gội</v>
      </c>
      <c r="D715" s="4">
        <v>1068</v>
      </c>
      <c r="E715" s="4" t="str">
        <v>Gội trải nghiệm 115p</v>
      </c>
      <c r="F715" s="21">
        <v>999000</v>
      </c>
      <c r="G715" s="21">
        <v>1067000</v>
      </c>
      <c r="H715" s="21">
        <v>1067000</v>
      </c>
      <c r="I715" s="4">
        <f>A715&amp;D715</f>
      </c>
      <c r="J715" s="4">
        <v>1067000</v>
      </c>
      <c r="K715" s="4"/>
      <c r="L715" s="4"/>
      <c r="M715" s="4"/>
      <c r="N715" s="4"/>
      <c r="O715" s="4"/>
      <c r="P715" s="4"/>
      <c r="Q715" s="4"/>
      <c r="R715" s="4"/>
      <c r="S715" s="4"/>
    </row>
    <row r="716">
      <c r="A716" s="4">
        <v>20</v>
      </c>
      <c r="B716" s="4" t="str">
        <v>382 NT</v>
      </c>
      <c r="C716" s="4" t="str">
        <v>DV_Cắt</v>
      </c>
      <c r="D716" s="4">
        <v>513</v>
      </c>
      <c r="E716" s="4" t="str">
        <v>[DV] ShineCombo 10 bước Ultra Care 2023</v>
      </c>
      <c r="F716" s="21">
        <v>122000</v>
      </c>
      <c r="G716" s="21">
        <v>122000</v>
      </c>
      <c r="H716" s="21">
        <v>122000</v>
      </c>
      <c r="I716" s="4">
        <f>A716&amp;D716</f>
      </c>
      <c r="J716" s="4">
        <v>122000</v>
      </c>
      <c r="K716" s="4"/>
      <c r="L716" s="4"/>
      <c r="M716" s="4"/>
      <c r="N716" s="4"/>
      <c r="O716" s="4"/>
      <c r="P716" s="4"/>
      <c r="Q716" s="4"/>
      <c r="R716" s="4"/>
      <c r="S716" s="4"/>
    </row>
    <row r="717">
      <c r="A717" s="4">
        <v>20</v>
      </c>
      <c r="B717" s="4" t="str">
        <v>382 NT</v>
      </c>
      <c r="C717" s="4" t="str">
        <v>DV_Cắt</v>
      </c>
      <c r="D717" s="4">
        <v>891</v>
      </c>
      <c r="E717" s="4" t="str">
        <v>Cắt xả tạo kiểu</v>
      </c>
      <c r="F717" s="21">
        <v>102000</v>
      </c>
      <c r="G717" s="21">
        <v>112000</v>
      </c>
      <c r="H717" s="21">
        <v>112000</v>
      </c>
      <c r="I717" s="4">
        <f>A717&amp;D717</f>
      </c>
      <c r="J717" s="4">
        <v>112000</v>
      </c>
      <c r="K717" s="4"/>
      <c r="L717" s="4"/>
      <c r="M717" s="4"/>
      <c r="N717" s="4"/>
      <c r="O717" s="4"/>
      <c r="P717" s="4"/>
      <c r="Q717" s="4"/>
      <c r="R717" s="4"/>
      <c r="S717" s="4"/>
    </row>
    <row r="718">
      <c r="A718" s="4">
        <v>20</v>
      </c>
      <c r="B718" s="4" t="str">
        <v>382 NT</v>
      </c>
      <c r="C718" s="4" t="str">
        <v>DV_Cắt</v>
      </c>
      <c r="D718" s="4">
        <v>1002</v>
      </c>
      <c r="E718" s="4" t="str">
        <v>Kid Cắt</v>
      </c>
      <c r="F718" s="21">
        <v>83000</v>
      </c>
      <c r="G718" s="21">
        <v>91000</v>
      </c>
      <c r="H718" s="21">
        <v>91000</v>
      </c>
      <c r="I718" s="4">
        <f>A718&amp;D718</f>
      </c>
      <c r="J718" s="4">
        <v>91000</v>
      </c>
      <c r="K718" s="4"/>
      <c r="L718" s="4"/>
      <c r="M718" s="4"/>
      <c r="N718" s="4"/>
      <c r="O718" s="4"/>
      <c r="P718" s="4"/>
      <c r="Q718" s="4"/>
      <c r="R718" s="4"/>
      <c r="S718" s="4"/>
    </row>
    <row r="719">
      <c r="A719" s="4">
        <v>20</v>
      </c>
      <c r="B719" s="4" t="str">
        <v>382 NT</v>
      </c>
      <c r="C719" s="4" t="str">
        <v>DV_Cắt</v>
      </c>
      <c r="D719" s="4">
        <v>1070</v>
      </c>
      <c r="E719" s="4" t="str">
        <v>Combo Cắt gội Kid</v>
      </c>
      <c r="F719" s="21">
        <v>100000</v>
      </c>
      <c r="G719" s="21">
        <v>110000</v>
      </c>
      <c r="H719" s="21">
        <v>110000</v>
      </c>
      <c r="I719" s="4">
        <f>A719&amp;D719</f>
      </c>
      <c r="J719" s="4">
        <v>110000</v>
      </c>
      <c r="K719" s="4"/>
      <c r="L719" s="4"/>
      <c r="M719" s="4"/>
      <c r="N719" s="4"/>
      <c r="O719" s="4"/>
      <c r="P719" s="4"/>
      <c r="Q719" s="4"/>
      <c r="R719" s="4"/>
      <c r="S719" s="4"/>
    </row>
    <row r="720">
      <c r="A720" s="4">
        <v>20</v>
      </c>
      <c r="B720" s="4" t="str">
        <v>382 NT</v>
      </c>
      <c r="C720" s="4" t="str">
        <v>DV_Cắt_Vip</v>
      </c>
      <c r="D720" s="4">
        <v>1046</v>
      </c>
      <c r="E720" s="4" t="str">
        <v>Shinecombo 2</v>
      </c>
      <c r="F720" s="21">
        <v>207000</v>
      </c>
      <c r="G720" s="21">
        <v>227000</v>
      </c>
      <c r="H720" s="21">
        <v>227000</v>
      </c>
      <c r="I720" s="4">
        <f>A720&amp;D720</f>
      </c>
      <c r="J720" s="4">
        <v>227000</v>
      </c>
      <c r="K720" s="4"/>
      <c r="L720" s="4"/>
      <c r="M720" s="4"/>
      <c r="N720" s="4"/>
      <c r="O720" s="4"/>
      <c r="P720" s="4"/>
      <c r="Q720" s="4"/>
      <c r="R720" s="4"/>
      <c r="S720" s="4"/>
    </row>
    <row r="721">
      <c r="A721" s="4">
        <v>20</v>
      </c>
      <c r="B721" s="4" t="str">
        <v>382 NT</v>
      </c>
      <c r="C721" s="4" t="str">
        <v>DV_Cắt_Vip</v>
      </c>
      <c r="D721" s="4">
        <v>1047</v>
      </c>
      <c r="E721" s="4" t="str">
        <v>Cắt Gội Combo 3 - Chăm da</v>
      </c>
      <c r="F721" s="21">
        <v>307000</v>
      </c>
      <c r="G721" s="21">
        <v>337000</v>
      </c>
      <c r="H721" s="21">
        <v>337000</v>
      </c>
      <c r="I721" s="4">
        <f>A721&amp;D721</f>
      </c>
      <c r="J721" s="4">
        <v>337000</v>
      </c>
      <c r="K721" s="4"/>
      <c r="L721" s="4"/>
      <c r="M721" s="4"/>
      <c r="N721" s="4"/>
      <c r="O721" s="4"/>
      <c r="P721" s="4"/>
      <c r="Q721" s="4"/>
      <c r="R721" s="4"/>
      <c r="S721" s="4"/>
    </row>
    <row r="722">
      <c r="A722" s="4">
        <v>20</v>
      </c>
      <c r="B722" s="4" t="str">
        <v>382 NT</v>
      </c>
      <c r="C722" s="4" t="str">
        <v>DV_Cắt_Vip</v>
      </c>
      <c r="D722" s="4">
        <v>1048</v>
      </c>
      <c r="E722" s="4" t="str">
        <v>Combo 4</v>
      </c>
      <c r="F722" s="21">
        <v>397000</v>
      </c>
      <c r="G722" s="21">
        <v>436000</v>
      </c>
      <c r="H722" s="21">
        <v>436000</v>
      </c>
      <c r="I722" s="4">
        <f>A722&amp;D722</f>
      </c>
      <c r="J722" s="4">
        <v>436000</v>
      </c>
      <c r="K722" s="4"/>
      <c r="L722" s="4"/>
      <c r="M722" s="4"/>
      <c r="N722" s="4"/>
      <c r="O722" s="4"/>
      <c r="P722" s="4"/>
      <c r="Q722" s="4"/>
      <c r="R722" s="4"/>
      <c r="S722" s="4"/>
    </row>
    <row r="723">
      <c r="A723" s="4">
        <v>20</v>
      </c>
      <c r="B723" s="4" t="str">
        <v>382 NT</v>
      </c>
      <c r="C723" s="4" t="str">
        <v>DV_Cắt_Vip</v>
      </c>
      <c r="D723" s="4">
        <v>1064</v>
      </c>
      <c r="E723" s="4" t="str">
        <v>Cắt Gội Combo 5 - Dưỡng sinh</v>
      </c>
      <c r="F723" s="21">
        <v>467000</v>
      </c>
      <c r="G723" s="21">
        <v>513000</v>
      </c>
      <c r="H723" s="21">
        <v>513000</v>
      </c>
      <c r="I723" s="4">
        <f>A723&amp;D723</f>
      </c>
      <c r="J723" s="4">
        <v>513000</v>
      </c>
      <c r="K723" s="4"/>
      <c r="L723" s="4"/>
      <c r="M723" s="4"/>
      <c r="N723" s="4"/>
      <c r="O723" s="4"/>
      <c r="P723" s="4"/>
      <c r="Q723" s="4"/>
      <c r="R723" s="4"/>
      <c r="S723" s="4"/>
    </row>
    <row r="724">
      <c r="A724" s="4">
        <v>20</v>
      </c>
      <c r="B724" s="4" t="str">
        <v>382 NT</v>
      </c>
      <c r="C724" s="4" t="str">
        <v>DV_Gội</v>
      </c>
      <c r="D724" s="4">
        <v>867</v>
      </c>
      <c r="E724" s="4" t="str">
        <v>Gội dưỡng sinh cổ vai gáy</v>
      </c>
      <c r="F724" s="21">
        <v>99000</v>
      </c>
      <c r="G724" s="21">
        <v>109000</v>
      </c>
      <c r="H724" s="21">
        <v>109000</v>
      </c>
      <c r="I724" s="4">
        <f>A724&amp;D724</f>
      </c>
      <c r="J724" s="4">
        <v>109000</v>
      </c>
      <c r="K724" s="4"/>
      <c r="L724" s="4"/>
      <c r="M724" s="4"/>
      <c r="N724" s="4"/>
      <c r="O724" s="4"/>
      <c r="P724" s="4"/>
      <c r="Q724" s="4"/>
      <c r="R724" s="4"/>
      <c r="S724" s="4"/>
    </row>
    <row r="725">
      <c r="A725" s="4">
        <v>20</v>
      </c>
      <c r="B725" s="4" t="str">
        <v>382 NT</v>
      </c>
      <c r="C725" s="4" t="str">
        <v>DV_Gội</v>
      </c>
      <c r="D725" s="4">
        <v>930</v>
      </c>
      <c r="E725" s="4" t="str">
        <v>[NEW] Gội dưỡng sinh cổ vai gáy và chăm sóc da</v>
      </c>
      <c r="F725" s="21">
        <v>139000</v>
      </c>
      <c r="G725" s="21">
        <v>153000</v>
      </c>
      <c r="H725" s="21">
        <v>153000</v>
      </c>
      <c r="I725" s="4">
        <f>A725&amp;D725</f>
      </c>
      <c r="J725" s="4">
        <v>153000</v>
      </c>
      <c r="K725" s="4"/>
      <c r="L725" s="4"/>
      <c r="M725" s="4"/>
      <c r="N725" s="4"/>
      <c r="O725" s="4"/>
      <c r="P725" s="4"/>
      <c r="Q725" s="4"/>
      <c r="R725" s="4"/>
      <c r="S725" s="4"/>
    </row>
    <row r="726">
      <c r="A726" s="4">
        <v>20</v>
      </c>
      <c r="B726" s="4" t="str">
        <v>382 NT</v>
      </c>
      <c r="C726" s="4" t="str">
        <v>DV_Gội</v>
      </c>
      <c r="D726" s="4">
        <v>934</v>
      </c>
      <c r="E726" s="4" t="str">
        <v>Gội combo 3 - Dưỡng sinh</v>
      </c>
      <c r="F726" s="21">
        <v>229000</v>
      </c>
      <c r="G726" s="21">
        <v>251000</v>
      </c>
      <c r="H726" s="21">
        <v>251000</v>
      </c>
      <c r="I726" s="4">
        <f>A726&amp;D726</f>
      </c>
      <c r="J726" s="4">
        <v>251000</v>
      </c>
      <c r="K726" s="4"/>
      <c r="L726" s="4"/>
      <c r="M726" s="4"/>
      <c r="N726" s="4"/>
      <c r="O726" s="4"/>
      <c r="P726" s="4"/>
      <c r="Q726" s="4"/>
      <c r="R726" s="4"/>
      <c r="S726" s="4"/>
    </row>
    <row r="727">
      <c r="A727" s="4">
        <v>20</v>
      </c>
      <c r="B727" s="4" t="str">
        <v>382 NT</v>
      </c>
      <c r="C727" s="4" t="str">
        <v>DV_Gội</v>
      </c>
      <c r="D727" s="4">
        <v>940</v>
      </c>
      <c r="E727" s="4" t="str">
        <v>[NEW] Gội dưỡng sinh</v>
      </c>
      <c r="F727" s="21">
        <v>59000</v>
      </c>
      <c r="G727" s="21">
        <v>65000</v>
      </c>
      <c r="H727" s="21">
        <v>65000</v>
      </c>
      <c r="I727" s="4">
        <f>A727&amp;D727</f>
      </c>
      <c r="J727" s="4">
        <v>65000</v>
      </c>
      <c r="K727" s="4"/>
      <c r="L727" s="4"/>
      <c r="M727" s="4"/>
      <c r="N727" s="4"/>
      <c r="O727" s="4"/>
      <c r="P727" s="4"/>
      <c r="Q727" s="4"/>
      <c r="R727" s="4"/>
      <c r="S727" s="4"/>
    </row>
    <row r="728">
      <c r="A728" s="4">
        <v>20</v>
      </c>
      <c r="B728" s="4" t="str">
        <v>382 NT</v>
      </c>
      <c r="C728" s="4" t="str">
        <v>DV_Gội</v>
      </c>
      <c r="D728" s="4">
        <v>1058</v>
      </c>
      <c r="E728" s="4" t="str">
        <v>Gội Combo 2</v>
      </c>
      <c r="F728" s="21">
        <v>159000</v>
      </c>
      <c r="G728" s="21">
        <v>175000</v>
      </c>
      <c r="H728" s="21">
        <v>175000</v>
      </c>
      <c r="I728" s="4">
        <f>A728&amp;D728</f>
      </c>
      <c r="J728" s="4">
        <v>175000</v>
      </c>
      <c r="K728" s="4"/>
      <c r="L728" s="4"/>
      <c r="M728" s="4"/>
      <c r="N728" s="4"/>
      <c r="O728" s="4"/>
      <c r="P728" s="4"/>
      <c r="Q728" s="4"/>
      <c r="R728" s="4"/>
      <c r="S728" s="4"/>
    </row>
    <row r="729">
      <c r="A729" s="4">
        <v>20</v>
      </c>
      <c r="B729" s="4" t="str">
        <v>382 NT</v>
      </c>
      <c r="C729" s="4" t="str">
        <v>DV_Gội</v>
      </c>
      <c r="D729" s="4">
        <v>1059</v>
      </c>
      <c r="E729" s="4" t="str">
        <v>Gội Combo 3 - Chăm da</v>
      </c>
      <c r="F729" s="21">
        <v>239000</v>
      </c>
      <c r="G729" s="21">
        <v>262000</v>
      </c>
      <c r="H729" s="21">
        <v>262000</v>
      </c>
      <c r="I729" s="4">
        <f>A729&amp;D729</f>
      </c>
      <c r="J729" s="4">
        <v>262000</v>
      </c>
      <c r="K729" s="4"/>
      <c r="L729" s="4"/>
      <c r="M729" s="4"/>
      <c r="N729" s="4"/>
      <c r="O729" s="4"/>
      <c r="P729" s="4"/>
      <c r="Q729" s="4"/>
      <c r="R729" s="4"/>
      <c r="S729" s="4"/>
    </row>
    <row r="730">
      <c r="A730" s="4">
        <v>20</v>
      </c>
      <c r="B730" s="4" t="str">
        <v>382 NT</v>
      </c>
      <c r="C730" s="4" t="str">
        <v>DV_Gội</v>
      </c>
      <c r="D730" s="4">
        <v>1060</v>
      </c>
      <c r="E730" s="4" t="str">
        <v>Gội Combo 4</v>
      </c>
      <c r="F730" s="21">
        <v>289000</v>
      </c>
      <c r="G730" s="21">
        <v>320000</v>
      </c>
      <c r="H730" s="21">
        <v>320000</v>
      </c>
      <c r="I730" s="4">
        <f>A730&amp;D730</f>
      </c>
      <c r="J730" s="4">
        <v>320000</v>
      </c>
      <c r="K730" s="4"/>
      <c r="L730" s="4"/>
      <c r="M730" s="4"/>
      <c r="N730" s="4"/>
      <c r="O730" s="4"/>
      <c r="P730" s="4"/>
      <c r="Q730" s="4"/>
      <c r="R730" s="4"/>
      <c r="S730" s="4"/>
    </row>
    <row r="731">
      <c r="A731" s="4">
        <v>20</v>
      </c>
      <c r="B731" s="4" t="str">
        <v>382 NT</v>
      </c>
      <c r="C731" s="4" t="str">
        <v>DV_Gội</v>
      </c>
      <c r="D731" s="4">
        <v>1061</v>
      </c>
      <c r="E731" s="4" t="str">
        <v>Gội Combo 5 - Chăm da</v>
      </c>
      <c r="F731" s="21">
        <v>359000</v>
      </c>
      <c r="G731" s="21">
        <v>394000</v>
      </c>
      <c r="H731" s="21">
        <v>394000</v>
      </c>
      <c r="I731" s="4">
        <f>A731&amp;D731</f>
      </c>
      <c r="J731" s="4">
        <v>394000</v>
      </c>
      <c r="K731" s="4"/>
      <c r="L731" s="4"/>
      <c r="M731" s="4"/>
      <c r="N731" s="4"/>
      <c r="O731" s="4"/>
      <c r="P731" s="4"/>
      <c r="Q731" s="4"/>
      <c r="R731" s="4"/>
      <c r="S731" s="4"/>
    </row>
    <row r="732">
      <c r="A732" s="4">
        <v>20</v>
      </c>
      <c r="B732" s="4" t="str">
        <v>382 NT</v>
      </c>
      <c r="C732" s="4" t="str">
        <v>DV_Gội</v>
      </c>
      <c r="D732" s="4">
        <v>1066</v>
      </c>
      <c r="E732" s="4" t="str">
        <v>Gội trải nghiệm 75p</v>
      </c>
      <c r="F732" s="21">
        <v>589000</v>
      </c>
      <c r="G732" s="21">
        <v>647000</v>
      </c>
      <c r="H732" s="21">
        <v>647000</v>
      </c>
      <c r="I732" s="4">
        <f>A732&amp;D732</f>
      </c>
      <c r="J732" s="4">
        <v>647000</v>
      </c>
      <c r="K732" s="4"/>
      <c r="L732" s="4"/>
      <c r="M732" s="4"/>
      <c r="N732" s="4"/>
      <c r="O732" s="4"/>
      <c r="P732" s="4"/>
      <c r="Q732" s="4"/>
      <c r="R732" s="4"/>
      <c r="S732" s="4"/>
    </row>
    <row r="733">
      <c r="A733" s="4">
        <v>20</v>
      </c>
      <c r="B733" s="4" t="str">
        <v>382 NT</v>
      </c>
      <c r="C733" s="4" t="str">
        <v>DV_Gội</v>
      </c>
      <c r="D733" s="4">
        <v>1067</v>
      </c>
      <c r="E733" s="4" t="str">
        <v>Gội trải nghiệm 90p</v>
      </c>
      <c r="F733" s="21">
        <v>789000</v>
      </c>
      <c r="G733" s="21">
        <v>866000</v>
      </c>
      <c r="H733" s="21">
        <v>866000</v>
      </c>
      <c r="I733" s="4">
        <f>A733&amp;D733</f>
      </c>
      <c r="J733" s="4">
        <v>866000</v>
      </c>
      <c r="K733" s="4"/>
      <c r="L733" s="4"/>
      <c r="M733" s="4"/>
      <c r="N733" s="4"/>
      <c r="O733" s="4"/>
      <c r="P733" s="4"/>
      <c r="Q733" s="4"/>
      <c r="R733" s="4"/>
      <c r="S733" s="4"/>
    </row>
    <row r="734">
      <c r="A734" s="4">
        <v>20</v>
      </c>
      <c r="B734" s="4" t="str">
        <v>382 NT</v>
      </c>
      <c r="C734" s="4" t="str">
        <v>DV_Gội</v>
      </c>
      <c r="D734" s="4">
        <v>1068</v>
      </c>
      <c r="E734" s="4" t="str">
        <v>Gội trải nghiệm 115p</v>
      </c>
      <c r="F734" s="21">
        <v>999000</v>
      </c>
      <c r="G734" s="21">
        <v>1097000</v>
      </c>
      <c r="H734" s="21">
        <v>1097000</v>
      </c>
      <c r="I734" s="4">
        <f>A734&amp;D734</f>
      </c>
      <c r="J734" s="4">
        <v>1097000</v>
      </c>
      <c r="K734" s="4"/>
      <c r="L734" s="4"/>
      <c r="M734" s="4"/>
      <c r="N734" s="4"/>
      <c r="O734" s="4"/>
      <c r="P734" s="4"/>
      <c r="Q734" s="4"/>
      <c r="R734" s="4"/>
      <c r="S734" s="4"/>
    </row>
    <row r="735">
      <c r="A735" s="4">
        <v>20</v>
      </c>
      <c r="B735" s="4" t="str">
        <v>382 NT</v>
      </c>
      <c r="C735" s="4" t="str">
        <v>DV_Gội</v>
      </c>
      <c r="D735" s="4">
        <v>1069</v>
      </c>
      <c r="E735" s="4" t="str">
        <v>Gội trải nghiệm 140p</v>
      </c>
      <c r="F735" s="21">
        <v>1199000</v>
      </c>
      <c r="G735" s="21">
        <v>1317000</v>
      </c>
      <c r="H735" s="21">
        <v>1317000</v>
      </c>
      <c r="I735" s="4">
        <f>A735&amp;D735</f>
      </c>
      <c r="J735" s="4">
        <v>1317000</v>
      </c>
      <c r="K735" s="4"/>
      <c r="L735" s="4"/>
      <c r="M735" s="4"/>
      <c r="N735" s="4"/>
      <c r="O735" s="4"/>
      <c r="P735" s="4"/>
      <c r="Q735" s="4"/>
      <c r="R735" s="4"/>
      <c r="S735" s="4"/>
    </row>
    <row r="736">
      <c r="A736" s="4">
        <v>200</v>
      </c>
      <c r="B736" s="4" t="str">
        <v>39 HBT</v>
      </c>
      <c r="C736" s="4" t="str">
        <v>DV_Cắt</v>
      </c>
      <c r="D736" s="4">
        <v>513</v>
      </c>
      <c r="E736" s="4" t="str">
        <v>[DV] ShineCombo 10 bước Ultra Care 2023</v>
      </c>
      <c r="F736" s="21">
        <v>122000</v>
      </c>
      <c r="G736" s="21">
        <v>122000</v>
      </c>
      <c r="H736" s="21">
        <v>122000</v>
      </c>
      <c r="I736" s="4">
        <f>A736&amp;D736</f>
      </c>
      <c r="J736" s="4">
        <v>122000</v>
      </c>
      <c r="K736" s="4"/>
      <c r="L736" s="4"/>
      <c r="M736" s="4"/>
      <c r="N736" s="4"/>
      <c r="O736" s="4"/>
      <c r="P736" s="4"/>
      <c r="Q736" s="4"/>
      <c r="R736" s="4"/>
      <c r="S736" s="4"/>
    </row>
    <row r="737">
      <c r="A737" s="4">
        <v>200</v>
      </c>
      <c r="B737" s="4" t="str">
        <v>39 HBT</v>
      </c>
      <c r="C737" s="4" t="str">
        <v>DV_Cắt</v>
      </c>
      <c r="D737" s="4">
        <v>891</v>
      </c>
      <c r="E737" s="4" t="str">
        <v>Cắt xả tạo kiểu</v>
      </c>
      <c r="F737" s="21">
        <v>100000</v>
      </c>
      <c r="G737" s="21">
        <v>104000</v>
      </c>
      <c r="H737" s="21">
        <v>104000</v>
      </c>
      <c r="I737" s="4">
        <f>A737&amp;D737</f>
      </c>
      <c r="J737" s="4">
        <v>104000</v>
      </c>
      <c r="K737" s="4"/>
      <c r="L737" s="4"/>
      <c r="M737" s="4"/>
      <c r="N737" s="4"/>
      <c r="O737" s="4"/>
      <c r="P737" s="4"/>
      <c r="Q737" s="4"/>
      <c r="R737" s="4"/>
      <c r="S737" s="4"/>
    </row>
    <row r="738">
      <c r="A738" s="4">
        <v>200</v>
      </c>
      <c r="B738" s="4" t="str">
        <v>39 HBT</v>
      </c>
      <c r="C738" s="4" t="str">
        <v>DV_Cắt</v>
      </c>
      <c r="D738" s="4">
        <v>1002</v>
      </c>
      <c r="E738" s="4" t="str">
        <v>Kid Cắt</v>
      </c>
      <c r="F738" s="21">
        <v>81000</v>
      </c>
      <c r="G738" s="21">
        <v>84000</v>
      </c>
      <c r="H738" s="21">
        <v>84000</v>
      </c>
      <c r="I738" s="4">
        <f>A738&amp;D738</f>
      </c>
      <c r="J738" s="4">
        <v>84000</v>
      </c>
      <c r="K738" s="4"/>
      <c r="L738" s="4"/>
      <c r="M738" s="4"/>
      <c r="N738" s="4"/>
      <c r="O738" s="4"/>
      <c r="P738" s="4"/>
      <c r="Q738" s="4"/>
      <c r="R738" s="4"/>
      <c r="S738" s="4"/>
    </row>
    <row r="739">
      <c r="A739" s="4">
        <v>200</v>
      </c>
      <c r="B739" s="4" t="str">
        <v>39 HBT</v>
      </c>
      <c r="C739" s="4" t="str">
        <v>DV_Cắt</v>
      </c>
      <c r="D739" s="4">
        <v>1070</v>
      </c>
      <c r="E739" s="4" t="str">
        <v>Combo Cắt gội Kid</v>
      </c>
      <c r="F739" s="21">
        <v>100000</v>
      </c>
      <c r="G739" s="21">
        <v>104000</v>
      </c>
      <c r="H739" s="21">
        <v>104000</v>
      </c>
      <c r="I739" s="4">
        <f>A739&amp;D739</f>
      </c>
      <c r="J739" s="4">
        <v>104000</v>
      </c>
      <c r="K739" s="4"/>
      <c r="L739" s="4"/>
      <c r="M739" s="4"/>
      <c r="N739" s="4"/>
      <c r="O739" s="4"/>
      <c r="P739" s="4"/>
      <c r="Q739" s="4"/>
      <c r="R739" s="4"/>
      <c r="S739" s="4"/>
    </row>
    <row r="740">
      <c r="A740" s="4">
        <v>200</v>
      </c>
      <c r="B740" s="4" t="str">
        <v>39 HBT</v>
      </c>
      <c r="C740" s="4" t="str">
        <v>DV_Cắt_Vip</v>
      </c>
      <c r="D740" s="4">
        <v>1046</v>
      </c>
      <c r="E740" s="4" t="str">
        <v>Shinecombo 2</v>
      </c>
      <c r="F740" s="21">
        <v>205000</v>
      </c>
      <c r="G740" s="21">
        <v>213000</v>
      </c>
      <c r="H740" s="21">
        <v>205000</v>
      </c>
      <c r="I740" s="4">
        <f>A740&amp;D740</f>
      </c>
      <c r="J740" s="4">
        <v>213000</v>
      </c>
      <c r="K740" s="4"/>
      <c r="L740" s="4"/>
      <c r="M740" s="4"/>
      <c r="N740" s="4"/>
      <c r="O740" s="4"/>
      <c r="P740" s="4"/>
      <c r="Q740" s="4"/>
      <c r="R740" s="4"/>
      <c r="S740" s="4"/>
    </row>
    <row r="741">
      <c r="A741" s="4">
        <v>200</v>
      </c>
      <c r="B741" s="4" t="str">
        <v>39 HBT</v>
      </c>
      <c r="C741" s="4" t="str">
        <v>DV_Cắt_Vip</v>
      </c>
      <c r="D741" s="4">
        <v>1047</v>
      </c>
      <c r="E741" s="4" t="str">
        <v>Cắt Gội Combo 3 - Chăm da</v>
      </c>
      <c r="F741" s="21">
        <v>305000</v>
      </c>
      <c r="G741" s="21">
        <v>317000</v>
      </c>
      <c r="H741" s="21">
        <v>317000</v>
      </c>
      <c r="I741" s="4">
        <f>A741&amp;D741</f>
      </c>
      <c r="J741" s="4">
        <v>317000</v>
      </c>
      <c r="K741" s="4"/>
      <c r="L741" s="4"/>
      <c r="M741" s="4"/>
      <c r="N741" s="4"/>
      <c r="O741" s="4"/>
      <c r="P741" s="4"/>
      <c r="Q741" s="4"/>
      <c r="R741" s="4"/>
      <c r="S741" s="4"/>
    </row>
    <row r="742">
      <c r="A742" s="4">
        <v>200</v>
      </c>
      <c r="B742" s="4" t="str">
        <v>39 HBT</v>
      </c>
      <c r="C742" s="4" t="str">
        <v>DV_Cắt_Vip</v>
      </c>
      <c r="D742" s="4">
        <v>1048</v>
      </c>
      <c r="E742" s="4" t="str">
        <v>Combo 4</v>
      </c>
      <c r="F742" s="21">
        <v>395000</v>
      </c>
      <c r="G742" s="21">
        <v>411000</v>
      </c>
      <c r="H742" s="21">
        <v>395000</v>
      </c>
      <c r="I742" s="4">
        <f>A742&amp;D742</f>
      </c>
      <c r="J742" s="4">
        <v>411000</v>
      </c>
      <c r="K742" s="4"/>
      <c r="L742" s="4"/>
      <c r="M742" s="4"/>
      <c r="N742" s="4"/>
      <c r="O742" s="4"/>
      <c r="P742" s="4"/>
      <c r="Q742" s="4"/>
      <c r="R742" s="4"/>
      <c r="S742" s="4"/>
    </row>
    <row r="743">
      <c r="A743" s="4">
        <v>200</v>
      </c>
      <c r="B743" s="4" t="str">
        <v>39 HBT</v>
      </c>
      <c r="C743" s="4" t="str">
        <v>DV_Cắt_Vip</v>
      </c>
      <c r="D743" s="4">
        <v>1064</v>
      </c>
      <c r="E743" s="4" t="str">
        <v>Cắt Gội Combo 5 - Dưỡng sinh</v>
      </c>
      <c r="F743" s="21">
        <v>459000</v>
      </c>
      <c r="G743" s="21">
        <v>477000</v>
      </c>
      <c r="H743" s="21">
        <v>477000</v>
      </c>
      <c r="I743" s="4">
        <f>A743&amp;D743</f>
      </c>
      <c r="J743" s="4">
        <v>477000</v>
      </c>
      <c r="K743" s="4"/>
      <c r="L743" s="4"/>
      <c r="M743" s="4"/>
      <c r="N743" s="4"/>
      <c r="O743" s="4"/>
      <c r="P743" s="4"/>
      <c r="Q743" s="4"/>
      <c r="R743" s="4"/>
      <c r="S743" s="4"/>
    </row>
    <row r="744">
      <c r="A744" s="4">
        <v>200</v>
      </c>
      <c r="B744" s="4" t="str">
        <v>39 HBT</v>
      </c>
      <c r="C744" s="4" t="str">
        <v>DV_Gội</v>
      </c>
      <c r="D744" s="4">
        <v>867</v>
      </c>
      <c r="E744" s="4" t="str">
        <v>Gội dưỡng sinh cổ vai gáy</v>
      </c>
      <c r="F744" s="21">
        <v>99000</v>
      </c>
      <c r="G744" s="21">
        <v>103000</v>
      </c>
      <c r="H744" s="21">
        <v>99000</v>
      </c>
      <c r="I744" s="4">
        <f>A744&amp;D744</f>
      </c>
      <c r="J744" s="4">
        <v>103000</v>
      </c>
      <c r="K744" s="4"/>
      <c r="L744" s="4"/>
      <c r="M744" s="4"/>
      <c r="N744" s="4"/>
      <c r="O744" s="4"/>
      <c r="P744" s="4"/>
      <c r="Q744" s="4"/>
      <c r="R744" s="4"/>
      <c r="S744" s="4"/>
    </row>
    <row r="745">
      <c r="A745" s="4">
        <v>200</v>
      </c>
      <c r="B745" s="4" t="str">
        <v>39 HBT</v>
      </c>
      <c r="C745" s="4" t="str">
        <v>DV_Gội</v>
      </c>
      <c r="D745" s="4">
        <v>930</v>
      </c>
      <c r="E745" s="4" t="str">
        <v>[NEW] Gội dưỡng sinh cổ vai gáy và chăm sóc da</v>
      </c>
      <c r="F745" s="21">
        <v>139000</v>
      </c>
      <c r="G745" s="21">
        <v>145000</v>
      </c>
      <c r="H745" s="21">
        <v>139000</v>
      </c>
      <c r="I745" s="4">
        <f>A745&amp;D745</f>
      </c>
      <c r="J745" s="4">
        <v>145000</v>
      </c>
      <c r="K745" s="4"/>
      <c r="L745" s="4"/>
      <c r="M745" s="4"/>
      <c r="N745" s="4"/>
      <c r="O745" s="4"/>
      <c r="P745" s="4"/>
      <c r="Q745" s="4"/>
      <c r="R745" s="4"/>
      <c r="S745" s="4"/>
    </row>
    <row r="746">
      <c r="A746" s="4">
        <v>200</v>
      </c>
      <c r="B746" s="4" t="str">
        <v>39 HBT</v>
      </c>
      <c r="C746" s="4" t="str">
        <v>DV_Gội</v>
      </c>
      <c r="D746" s="4">
        <v>934</v>
      </c>
      <c r="E746" s="4" t="str">
        <v>Gội combo 3 - Dưỡng sinh</v>
      </c>
      <c r="F746" s="21">
        <v>229000</v>
      </c>
      <c r="G746" s="21">
        <v>238000</v>
      </c>
      <c r="H746" s="21">
        <v>229000</v>
      </c>
      <c r="I746" s="4">
        <f>A746&amp;D746</f>
      </c>
      <c r="J746" s="4">
        <v>238000</v>
      </c>
      <c r="K746" s="4"/>
      <c r="L746" s="4"/>
      <c r="M746" s="4"/>
      <c r="N746" s="4"/>
      <c r="O746" s="4"/>
      <c r="P746" s="4"/>
      <c r="Q746" s="4"/>
      <c r="R746" s="4"/>
      <c r="S746" s="4"/>
    </row>
    <row r="747">
      <c r="A747" s="4">
        <v>200</v>
      </c>
      <c r="B747" s="4" t="str">
        <v>39 HBT</v>
      </c>
      <c r="C747" s="4" t="str">
        <v>DV_Gội</v>
      </c>
      <c r="D747" s="4">
        <v>940</v>
      </c>
      <c r="E747" s="4" t="str">
        <v>[NEW] Gội dưỡng sinh</v>
      </c>
      <c r="F747" s="21">
        <v>59000</v>
      </c>
      <c r="G747" s="21">
        <v>61000</v>
      </c>
      <c r="H747" s="21">
        <v>61000</v>
      </c>
      <c r="I747" s="4">
        <f>A747&amp;D747</f>
      </c>
      <c r="J747" s="4">
        <v>61000</v>
      </c>
      <c r="K747" s="4"/>
      <c r="L747" s="4"/>
      <c r="M747" s="4"/>
      <c r="N747" s="4"/>
      <c r="O747" s="4"/>
      <c r="P747" s="4"/>
      <c r="Q747" s="4"/>
      <c r="R747" s="4"/>
      <c r="S747" s="4"/>
    </row>
    <row r="748">
      <c r="A748" s="4">
        <v>200</v>
      </c>
      <c r="B748" s="4" t="str">
        <v>39 HBT</v>
      </c>
      <c r="C748" s="4" t="str">
        <v>DV_Gội</v>
      </c>
      <c r="D748" s="4">
        <v>1058</v>
      </c>
      <c r="E748" s="4" t="str">
        <v>Gội Combo 2</v>
      </c>
      <c r="F748" s="21">
        <v>159000</v>
      </c>
      <c r="G748" s="21">
        <v>165000</v>
      </c>
      <c r="H748" s="21">
        <v>159000</v>
      </c>
      <c r="I748" s="4">
        <f>A748&amp;D748</f>
      </c>
      <c r="J748" s="4">
        <v>165000</v>
      </c>
      <c r="K748" s="4"/>
      <c r="L748" s="4"/>
      <c r="M748" s="4"/>
      <c r="N748" s="4"/>
      <c r="O748" s="4"/>
      <c r="P748" s="4"/>
      <c r="Q748" s="4"/>
      <c r="R748" s="4"/>
      <c r="S748" s="4"/>
    </row>
    <row r="749">
      <c r="A749" s="4">
        <v>200</v>
      </c>
      <c r="B749" s="4" t="str">
        <v>39 HBT</v>
      </c>
      <c r="C749" s="4" t="str">
        <v>DV_Gội</v>
      </c>
      <c r="D749" s="4">
        <v>1059</v>
      </c>
      <c r="E749" s="4" t="str">
        <v>Gội Combo 3 - Chăm da</v>
      </c>
      <c r="F749" s="21">
        <v>239000</v>
      </c>
      <c r="G749" s="21">
        <v>249000</v>
      </c>
      <c r="H749" s="21">
        <v>239000</v>
      </c>
      <c r="I749" s="4">
        <f>A749&amp;D749</f>
      </c>
      <c r="J749" s="4">
        <v>249000</v>
      </c>
      <c r="K749" s="4"/>
      <c r="L749" s="4"/>
      <c r="M749" s="4"/>
      <c r="N749" s="4"/>
      <c r="O749" s="4"/>
      <c r="P749" s="4"/>
      <c r="Q749" s="4"/>
      <c r="R749" s="4"/>
      <c r="S749" s="4"/>
    </row>
    <row r="750">
      <c r="A750" s="4">
        <v>200</v>
      </c>
      <c r="B750" s="4" t="str">
        <v>39 HBT</v>
      </c>
      <c r="C750" s="4" t="str">
        <v>DV_Gội</v>
      </c>
      <c r="D750" s="4">
        <v>1060</v>
      </c>
      <c r="E750" s="4" t="str">
        <v>Gội Combo 4</v>
      </c>
      <c r="F750" s="21">
        <v>289000</v>
      </c>
      <c r="G750" s="21">
        <v>302000</v>
      </c>
      <c r="H750" s="21">
        <v>289000</v>
      </c>
      <c r="I750" s="4">
        <f>A750&amp;D750</f>
      </c>
      <c r="J750" s="4">
        <v>302000</v>
      </c>
      <c r="K750" s="4"/>
      <c r="L750" s="4"/>
      <c r="M750" s="4"/>
      <c r="N750" s="4"/>
      <c r="O750" s="4"/>
      <c r="P750" s="4"/>
      <c r="Q750" s="4"/>
      <c r="R750" s="4"/>
      <c r="S750" s="4"/>
    </row>
    <row r="751">
      <c r="A751" s="4">
        <v>200</v>
      </c>
      <c r="B751" s="4" t="str">
        <v>39 HBT</v>
      </c>
      <c r="C751" s="4" t="str">
        <v>DV_Gội</v>
      </c>
      <c r="D751" s="4">
        <v>1066</v>
      </c>
      <c r="E751" s="4" t="str">
        <v>Gội trải nghiệm 75p</v>
      </c>
      <c r="F751" s="21">
        <v>589000</v>
      </c>
      <c r="G751" s="21">
        <v>613000</v>
      </c>
      <c r="H751" s="21">
        <v>589000</v>
      </c>
      <c r="I751" s="4">
        <f>A751&amp;D751</f>
      </c>
      <c r="J751" s="4">
        <v>613000</v>
      </c>
      <c r="K751" s="4"/>
      <c r="L751" s="4"/>
      <c r="M751" s="4"/>
      <c r="N751" s="4"/>
      <c r="O751" s="4"/>
      <c r="P751" s="4"/>
      <c r="Q751" s="4"/>
      <c r="R751" s="4"/>
      <c r="S751" s="4"/>
    </row>
    <row r="752">
      <c r="A752" s="4">
        <v>200</v>
      </c>
      <c r="B752" s="4" t="str">
        <v>39 HBT</v>
      </c>
      <c r="C752" s="4" t="str">
        <v>DV_Gội</v>
      </c>
      <c r="D752" s="4">
        <v>1067</v>
      </c>
      <c r="E752" s="4" t="str">
        <v>Gội trải nghiệm 90p</v>
      </c>
      <c r="F752" s="21">
        <v>789000</v>
      </c>
      <c r="G752" s="21">
        <v>821000</v>
      </c>
      <c r="H752" s="21">
        <v>789000</v>
      </c>
      <c r="I752" s="4">
        <f>A752&amp;D752</f>
      </c>
      <c r="J752" s="4">
        <v>821000</v>
      </c>
      <c r="K752" s="4"/>
      <c r="L752" s="4"/>
      <c r="M752" s="4"/>
      <c r="N752" s="4"/>
      <c r="O752" s="4"/>
      <c r="P752" s="4"/>
      <c r="Q752" s="4"/>
      <c r="R752" s="4"/>
      <c r="S752" s="4"/>
    </row>
    <row r="753">
      <c r="A753" s="4">
        <v>200</v>
      </c>
      <c r="B753" s="4" t="str">
        <v>39 HBT</v>
      </c>
      <c r="C753" s="4" t="str">
        <v>DV_Gội</v>
      </c>
      <c r="D753" s="4">
        <v>1068</v>
      </c>
      <c r="E753" s="4" t="str">
        <v>Gội trải nghiệm 115p</v>
      </c>
      <c r="F753" s="21">
        <v>999000</v>
      </c>
      <c r="G753" s="21">
        <v>1039000</v>
      </c>
      <c r="H753" s="21">
        <v>999000</v>
      </c>
      <c r="I753" s="4">
        <f>A753&amp;D753</f>
      </c>
      <c r="J753" s="4">
        <v>1039000</v>
      </c>
      <c r="K753" s="4"/>
      <c r="L753" s="4"/>
      <c r="M753" s="4"/>
      <c r="N753" s="4"/>
      <c r="O753" s="4"/>
      <c r="P753" s="4"/>
      <c r="Q753" s="4"/>
      <c r="R753" s="4"/>
      <c r="S753" s="4"/>
    </row>
    <row r="754">
      <c r="A754" s="4">
        <v>200</v>
      </c>
      <c r="B754" s="4" t="str">
        <v>39 HBT</v>
      </c>
      <c r="C754" s="4" t="str">
        <v>DV_Gội</v>
      </c>
      <c r="D754" s="4">
        <v>1069</v>
      </c>
      <c r="E754" s="4" t="str">
        <v>Gội trải nghiệm 140p</v>
      </c>
      <c r="F754" s="21">
        <v>1199000</v>
      </c>
      <c r="G754" s="21">
        <v>1247000</v>
      </c>
      <c r="H754" s="21">
        <v>1199000</v>
      </c>
      <c r="I754" s="4">
        <f>A754&amp;D754</f>
      </c>
      <c r="J754" s="4">
        <v>1247000</v>
      </c>
      <c r="K754" s="4"/>
      <c r="L754" s="4"/>
      <c r="M754" s="4"/>
      <c r="N754" s="4"/>
      <c r="O754" s="4"/>
      <c r="P754" s="4"/>
      <c r="Q754" s="4"/>
      <c r="R754" s="4"/>
      <c r="S754" s="4"/>
    </row>
    <row r="755">
      <c r="A755" s="4">
        <v>201</v>
      </c>
      <c r="B755" s="4" t="str">
        <v>4 LQD BN</v>
      </c>
      <c r="C755" s="4" t="str">
        <v>DV_Cắt</v>
      </c>
      <c r="D755" s="4">
        <v>513</v>
      </c>
      <c r="E755" s="4" t="str">
        <v>[DV] ShineCombo 10 bước Ultra Care 2023</v>
      </c>
      <c r="F755" s="21">
        <v>122000</v>
      </c>
      <c r="G755" s="21">
        <v>122000</v>
      </c>
      <c r="H755" s="21">
        <v>122000</v>
      </c>
      <c r="I755" s="4">
        <f>A755&amp;D755</f>
      </c>
      <c r="J755" s="4">
        <v>122000</v>
      </c>
      <c r="K755" s="4"/>
      <c r="L755" s="4"/>
      <c r="M755" s="4"/>
      <c r="N755" s="4"/>
      <c r="O755" s="4"/>
      <c r="P755" s="4"/>
      <c r="Q755" s="4"/>
      <c r="R755" s="4"/>
      <c r="S755" s="4"/>
    </row>
    <row r="756">
      <c r="A756" s="4">
        <v>201</v>
      </c>
      <c r="B756" s="4" t="str">
        <v>4 LQD BN</v>
      </c>
      <c r="C756" s="4" t="str">
        <v>DV_Cắt</v>
      </c>
      <c r="D756" s="4">
        <v>891</v>
      </c>
      <c r="E756" s="4" t="str">
        <v>Cắt xả tạo kiểu</v>
      </c>
      <c r="F756" s="21">
        <v>94000</v>
      </c>
      <c r="G756" s="21">
        <v>94000</v>
      </c>
      <c r="H756" s="21">
        <v>94000</v>
      </c>
      <c r="I756" s="4">
        <f>A756&amp;D756</f>
      </c>
      <c r="J756" s="4">
        <v>94000</v>
      </c>
      <c r="K756" s="4"/>
      <c r="L756" s="4"/>
      <c r="M756" s="4"/>
      <c r="N756" s="4"/>
      <c r="O756" s="4"/>
      <c r="P756" s="4"/>
      <c r="Q756" s="4"/>
      <c r="R756" s="4"/>
      <c r="S756" s="4"/>
    </row>
    <row r="757">
      <c r="A757" s="4">
        <v>201</v>
      </c>
      <c r="B757" s="4" t="str">
        <v>4 LQD BN</v>
      </c>
      <c r="C757" s="4" t="str">
        <v>DV_Cắt</v>
      </c>
      <c r="D757" s="4">
        <v>1002</v>
      </c>
      <c r="E757" s="4" t="str">
        <v>Kid Cắt</v>
      </c>
      <c r="F757" s="21">
        <v>75000</v>
      </c>
      <c r="G757" s="21">
        <v>75000</v>
      </c>
      <c r="H757" s="21">
        <v>75000</v>
      </c>
      <c r="I757" s="4">
        <f>A757&amp;D757</f>
      </c>
      <c r="J757" s="4">
        <v>75000</v>
      </c>
      <c r="K757" s="4"/>
      <c r="L757" s="4"/>
      <c r="M757" s="4"/>
      <c r="N757" s="4"/>
      <c r="O757" s="4"/>
      <c r="P757" s="4"/>
      <c r="Q757" s="4"/>
      <c r="R757" s="4"/>
      <c r="S757" s="4"/>
    </row>
    <row r="758">
      <c r="A758" s="4">
        <v>201</v>
      </c>
      <c r="B758" s="4" t="str">
        <v>4 LQD BN</v>
      </c>
      <c r="C758" s="4" t="str">
        <v>DV_Cắt</v>
      </c>
      <c r="D758" s="4">
        <v>1070</v>
      </c>
      <c r="E758" s="4" t="str">
        <v>Combo Cắt gội Kid</v>
      </c>
      <c r="F758" s="21">
        <v>100000</v>
      </c>
      <c r="G758" s="21">
        <v>100000</v>
      </c>
      <c r="H758" s="21">
        <v>100000</v>
      </c>
      <c r="I758" s="4">
        <f>A758&amp;D758</f>
      </c>
      <c r="J758" s="4">
        <v>100000</v>
      </c>
      <c r="K758" s="4"/>
      <c r="L758" s="4"/>
      <c r="M758" s="4"/>
      <c r="N758" s="4"/>
      <c r="O758" s="4"/>
      <c r="P758" s="4"/>
      <c r="Q758" s="4"/>
      <c r="R758" s="4"/>
      <c r="S758" s="4"/>
    </row>
    <row r="759">
      <c r="A759" s="4">
        <v>201</v>
      </c>
      <c r="B759" s="4" t="str">
        <v>4 LQD BN</v>
      </c>
      <c r="C759" s="4" t="str">
        <v>DV_Cắt_Vip</v>
      </c>
      <c r="D759" s="4">
        <v>1046</v>
      </c>
      <c r="E759" s="4" t="str">
        <v>Shinecombo 2</v>
      </c>
      <c r="F759" s="21">
        <v>199000</v>
      </c>
      <c r="G759" s="21">
        <v>199000</v>
      </c>
      <c r="H759" s="21">
        <v>199000</v>
      </c>
      <c r="I759" s="4">
        <f>A759&amp;D759</f>
      </c>
      <c r="J759" s="4">
        <v>199000</v>
      </c>
      <c r="K759" s="4"/>
      <c r="L759" s="4"/>
      <c r="M759" s="4"/>
      <c r="N759" s="4"/>
      <c r="O759" s="4"/>
      <c r="P759" s="4"/>
      <c r="Q759" s="4"/>
      <c r="R759" s="4"/>
      <c r="S759" s="4"/>
    </row>
    <row r="760">
      <c r="A760" s="4">
        <v>201</v>
      </c>
      <c r="B760" s="4" t="str">
        <v>4 LQD BN</v>
      </c>
      <c r="C760" s="4" t="str">
        <v>DV_Cắt_Vip</v>
      </c>
      <c r="D760" s="4">
        <v>1047</v>
      </c>
      <c r="E760" s="4" t="str">
        <v>Cắt Gội Combo 3 - Chăm da</v>
      </c>
      <c r="F760" s="21">
        <v>299000</v>
      </c>
      <c r="G760" s="21">
        <v>299000</v>
      </c>
      <c r="H760" s="21">
        <v>299000</v>
      </c>
      <c r="I760" s="4">
        <f>A760&amp;D760</f>
      </c>
      <c r="J760" s="4">
        <v>299000</v>
      </c>
      <c r="K760" s="4"/>
      <c r="L760" s="4"/>
      <c r="M760" s="4"/>
      <c r="N760" s="4"/>
      <c r="O760" s="4"/>
      <c r="P760" s="4"/>
      <c r="Q760" s="4"/>
      <c r="R760" s="4"/>
      <c r="S760" s="4"/>
    </row>
    <row r="761">
      <c r="A761" s="4">
        <v>201</v>
      </c>
      <c r="B761" s="4" t="str">
        <v>4 LQD BN</v>
      </c>
      <c r="C761" s="4" t="str">
        <v>DV_Cắt_Vip</v>
      </c>
      <c r="D761" s="4">
        <v>1048</v>
      </c>
      <c r="E761" s="4" t="str">
        <v>Combo 4</v>
      </c>
      <c r="F761" s="21">
        <v>389000</v>
      </c>
      <c r="G761" s="21">
        <v>389000</v>
      </c>
      <c r="H761" s="21">
        <v>389000</v>
      </c>
      <c r="I761" s="4">
        <f>A761&amp;D761</f>
      </c>
      <c r="J761" s="4">
        <v>389000</v>
      </c>
      <c r="K761" s="4"/>
      <c r="L761" s="4"/>
      <c r="M761" s="4"/>
      <c r="N761" s="4"/>
      <c r="O761" s="4"/>
      <c r="P761" s="4"/>
      <c r="Q761" s="4"/>
      <c r="R761" s="4"/>
      <c r="S761" s="4"/>
    </row>
    <row r="762">
      <c r="A762" s="4">
        <v>201</v>
      </c>
      <c r="B762" s="4" t="str">
        <v>4 LQD BN</v>
      </c>
      <c r="C762" s="4" t="str">
        <v>DV_Cắt_Vip</v>
      </c>
      <c r="D762" s="4">
        <v>1064</v>
      </c>
      <c r="E762" s="4" t="str">
        <v>Cắt Gội Combo 5 - Dưỡng sinh</v>
      </c>
      <c r="F762" s="21">
        <v>459000</v>
      </c>
      <c r="G762" s="21">
        <v>459000</v>
      </c>
      <c r="H762" s="21">
        <v>459000</v>
      </c>
      <c r="I762" s="4">
        <f>A762&amp;D762</f>
      </c>
      <c r="J762" s="4">
        <v>459000</v>
      </c>
      <c r="K762" s="4"/>
      <c r="L762" s="4"/>
      <c r="M762" s="4"/>
      <c r="N762" s="4"/>
      <c r="O762" s="4"/>
      <c r="P762" s="4"/>
      <c r="Q762" s="4"/>
      <c r="R762" s="4"/>
      <c r="S762" s="4"/>
    </row>
    <row r="763">
      <c r="A763" s="4">
        <v>201</v>
      </c>
      <c r="B763" s="4" t="str">
        <v>4 LQD BN</v>
      </c>
      <c r="C763" s="4" t="str">
        <v>DV_Cắt_Vip</v>
      </c>
      <c r="D763" s="4">
        <v>1065</v>
      </c>
      <c r="E763" s="4" t="str">
        <v>Cắt Gội Combo 3 - Dưỡng sinh</v>
      </c>
      <c r="F763" s="21">
        <v>299000</v>
      </c>
      <c r="G763" s="21">
        <v>299000</v>
      </c>
      <c r="H763" s="21">
        <v>299000</v>
      </c>
      <c r="I763" s="4">
        <f>A763&amp;D763</f>
      </c>
      <c r="J763" s="4">
        <v>299000</v>
      </c>
      <c r="K763" s="4"/>
      <c r="L763" s="4"/>
      <c r="M763" s="4"/>
      <c r="N763" s="4"/>
      <c r="O763" s="4"/>
      <c r="P763" s="4"/>
      <c r="Q763" s="4"/>
      <c r="R763" s="4"/>
      <c r="S763" s="4"/>
    </row>
    <row r="764">
      <c r="A764" s="4">
        <v>201</v>
      </c>
      <c r="B764" s="4" t="str">
        <v>4 LQD BN</v>
      </c>
      <c r="C764" s="4" t="str">
        <v>DV_Gội</v>
      </c>
      <c r="D764" s="4">
        <v>867</v>
      </c>
      <c r="E764" s="4" t="str">
        <v>Gội dưỡng sinh cổ vai gáy</v>
      </c>
      <c r="F764" s="21">
        <v>99000</v>
      </c>
      <c r="G764" s="21">
        <v>99000</v>
      </c>
      <c r="H764" s="21">
        <v>99000</v>
      </c>
      <c r="I764" s="4">
        <f>A764&amp;D764</f>
      </c>
      <c r="J764" s="4">
        <v>99000</v>
      </c>
      <c r="K764" s="4"/>
      <c r="L764" s="4"/>
      <c r="M764" s="4"/>
      <c r="N764" s="4"/>
      <c r="O764" s="4"/>
      <c r="P764" s="4"/>
      <c r="Q764" s="4"/>
      <c r="R764" s="4"/>
      <c r="S764" s="4"/>
    </row>
    <row r="765">
      <c r="A765" s="4">
        <v>201</v>
      </c>
      <c r="B765" s="4" t="str">
        <v>4 LQD BN</v>
      </c>
      <c r="C765" s="4" t="str">
        <v>DV_Gội</v>
      </c>
      <c r="D765" s="4">
        <v>930</v>
      </c>
      <c r="E765" s="4" t="str">
        <v>[NEW] Gội dưỡng sinh cổ vai gáy và chăm sóc da</v>
      </c>
      <c r="F765" s="21">
        <v>139000</v>
      </c>
      <c r="G765" s="21">
        <v>139000</v>
      </c>
      <c r="H765" s="21">
        <v>139000</v>
      </c>
      <c r="I765" s="4">
        <f>A765&amp;D765</f>
      </c>
      <c r="J765" s="4">
        <v>139000</v>
      </c>
      <c r="K765" s="4"/>
      <c r="L765" s="4"/>
      <c r="M765" s="4"/>
      <c r="N765" s="4"/>
      <c r="O765" s="4"/>
      <c r="P765" s="4"/>
      <c r="Q765" s="4"/>
      <c r="R765" s="4"/>
      <c r="S765" s="4"/>
    </row>
    <row r="766">
      <c r="A766" s="4">
        <v>201</v>
      </c>
      <c r="B766" s="4" t="str">
        <v>4 LQD BN</v>
      </c>
      <c r="C766" s="4" t="str">
        <v>DV_Gội</v>
      </c>
      <c r="D766" s="4">
        <v>934</v>
      </c>
      <c r="E766" s="4" t="str">
        <v>Gội combo 3 - Dưỡng sinh</v>
      </c>
      <c r="F766" s="21">
        <v>219000</v>
      </c>
      <c r="G766" s="21">
        <v>219000</v>
      </c>
      <c r="H766" s="21">
        <v>219000</v>
      </c>
      <c r="I766" s="4">
        <f>A766&amp;D766</f>
      </c>
      <c r="J766" s="4">
        <v>219000</v>
      </c>
      <c r="K766" s="4"/>
      <c r="L766" s="4"/>
      <c r="M766" s="4"/>
      <c r="N766" s="4"/>
      <c r="O766" s="4"/>
      <c r="P766" s="4"/>
      <c r="Q766" s="4"/>
      <c r="R766" s="4"/>
      <c r="S766" s="4"/>
    </row>
    <row r="767">
      <c r="A767" s="4">
        <v>201</v>
      </c>
      <c r="B767" s="4" t="str">
        <v>4 LQD BN</v>
      </c>
      <c r="C767" s="4" t="str">
        <v>DV_Gội</v>
      </c>
      <c r="D767" s="4">
        <v>940</v>
      </c>
      <c r="E767" s="4" t="str">
        <v>[NEW] Gội dưỡng sinh</v>
      </c>
      <c r="F767" s="21">
        <v>59000</v>
      </c>
      <c r="G767" s="21">
        <v>59000</v>
      </c>
      <c r="H767" s="21">
        <v>59000</v>
      </c>
      <c r="I767" s="4">
        <f>A767&amp;D767</f>
      </c>
      <c r="J767" s="4">
        <v>59000</v>
      </c>
      <c r="K767" s="4"/>
      <c r="L767" s="4"/>
      <c r="M767" s="4"/>
      <c r="N767" s="4"/>
      <c r="O767" s="4"/>
      <c r="P767" s="4"/>
      <c r="Q767" s="4"/>
      <c r="R767" s="4"/>
      <c r="S767" s="4"/>
    </row>
    <row r="768">
      <c r="A768" s="4">
        <v>201</v>
      </c>
      <c r="B768" s="4" t="str">
        <v>4 LQD BN</v>
      </c>
      <c r="C768" s="4" t="str">
        <v>DV_Gội</v>
      </c>
      <c r="D768" s="4">
        <v>1058</v>
      </c>
      <c r="E768" s="4" t="str">
        <v>Gội Combo 2</v>
      </c>
      <c r="F768" s="21">
        <v>159000</v>
      </c>
      <c r="G768" s="21">
        <v>159000</v>
      </c>
      <c r="H768" s="21">
        <v>159000</v>
      </c>
      <c r="I768" s="4">
        <f>A768&amp;D768</f>
      </c>
      <c r="J768" s="4">
        <v>159000</v>
      </c>
      <c r="K768" s="4"/>
      <c r="L768" s="4"/>
      <c r="M768" s="4"/>
      <c r="N768" s="4"/>
      <c r="O768" s="4"/>
      <c r="P768" s="4"/>
      <c r="Q768" s="4"/>
      <c r="R768" s="4"/>
      <c r="S768" s="4"/>
    </row>
    <row r="769">
      <c r="A769" s="4">
        <v>201</v>
      </c>
      <c r="B769" s="4" t="str">
        <v>4 LQD BN</v>
      </c>
      <c r="C769" s="4" t="str">
        <v>DV_Gội</v>
      </c>
      <c r="D769" s="4">
        <v>1059</v>
      </c>
      <c r="E769" s="4" t="str">
        <v>Gội Combo 3 - Chăm da</v>
      </c>
      <c r="F769" s="21">
        <v>239000</v>
      </c>
      <c r="G769" s="21">
        <v>239000</v>
      </c>
      <c r="H769" s="21">
        <v>239000</v>
      </c>
      <c r="I769" s="4">
        <f>A769&amp;D769</f>
      </c>
      <c r="J769" s="4">
        <v>239000</v>
      </c>
      <c r="K769" s="4"/>
      <c r="L769" s="4"/>
      <c r="M769" s="4"/>
      <c r="N769" s="4"/>
      <c r="O769" s="4"/>
      <c r="P769" s="4"/>
      <c r="Q769" s="4"/>
      <c r="R769" s="4"/>
      <c r="S769" s="4"/>
    </row>
    <row r="770">
      <c r="A770" s="4">
        <v>201</v>
      </c>
      <c r="B770" s="4" t="str">
        <v>4 LQD BN</v>
      </c>
      <c r="C770" s="4" t="str">
        <v>DV_Gội</v>
      </c>
      <c r="D770" s="4">
        <v>1060</v>
      </c>
      <c r="E770" s="4" t="str">
        <v>Gội Combo 4</v>
      </c>
      <c r="F770" s="21">
        <v>289000</v>
      </c>
      <c r="G770" s="21">
        <v>289000</v>
      </c>
      <c r="H770" s="21">
        <v>289000</v>
      </c>
      <c r="I770" s="4">
        <f>A770&amp;D770</f>
      </c>
      <c r="J770" s="4">
        <v>289000</v>
      </c>
      <c r="K770" s="4"/>
      <c r="L770" s="4"/>
      <c r="M770" s="4"/>
      <c r="N770" s="4"/>
      <c r="O770" s="4"/>
      <c r="P770" s="4"/>
      <c r="Q770" s="4"/>
      <c r="R770" s="4"/>
      <c r="S770" s="4"/>
    </row>
    <row r="771">
      <c r="A771" s="4">
        <v>201</v>
      </c>
      <c r="B771" s="4" t="str">
        <v>4 LQD BN</v>
      </c>
      <c r="C771" s="4" t="str">
        <v>DV_Gội</v>
      </c>
      <c r="D771" s="4">
        <v>1066</v>
      </c>
      <c r="E771" s="4" t="str">
        <v>Gội trải nghiệm 75p</v>
      </c>
      <c r="F771" s="21">
        <v>449000</v>
      </c>
      <c r="G771" s="21">
        <v>449000</v>
      </c>
      <c r="H771" s="21">
        <v>449000</v>
      </c>
      <c r="I771" s="4">
        <f>A771&amp;D771</f>
      </c>
      <c r="J771" s="4">
        <v>449000</v>
      </c>
      <c r="K771" s="4"/>
      <c r="L771" s="4"/>
      <c r="M771" s="4"/>
      <c r="N771" s="4"/>
      <c r="O771" s="4"/>
      <c r="P771" s="4"/>
      <c r="Q771" s="4"/>
      <c r="R771" s="4"/>
      <c r="S771" s="4"/>
    </row>
    <row r="772">
      <c r="A772" s="4">
        <v>201</v>
      </c>
      <c r="B772" s="4" t="str">
        <v>4 LQD BN</v>
      </c>
      <c r="C772" s="4" t="str">
        <v>DV_Gội</v>
      </c>
      <c r="D772" s="4">
        <v>1067</v>
      </c>
      <c r="E772" s="4" t="str">
        <v>Gội trải nghiệm 90p</v>
      </c>
      <c r="F772" s="21">
        <v>789000</v>
      </c>
      <c r="G772" s="21">
        <v>789000</v>
      </c>
      <c r="H772" s="21">
        <v>789000</v>
      </c>
      <c r="I772" s="4">
        <f>A772&amp;D772</f>
      </c>
      <c r="J772" s="4">
        <v>789000</v>
      </c>
      <c r="K772" s="4"/>
      <c r="L772" s="4"/>
      <c r="M772" s="4"/>
      <c r="N772" s="4"/>
      <c r="O772" s="4"/>
      <c r="P772" s="4"/>
      <c r="Q772" s="4"/>
      <c r="R772" s="4"/>
      <c r="S772" s="4"/>
    </row>
    <row r="773">
      <c r="A773" s="4">
        <v>201</v>
      </c>
      <c r="B773" s="4" t="str">
        <v>4 LQD BN</v>
      </c>
      <c r="C773" s="4" t="str">
        <v>DV_Gội</v>
      </c>
      <c r="D773" s="4">
        <v>1068</v>
      </c>
      <c r="E773" s="4" t="str">
        <v>Gội trải nghiệm 115p</v>
      </c>
      <c r="F773" s="21">
        <v>999000</v>
      </c>
      <c r="G773" s="21">
        <v>999000</v>
      </c>
      <c r="H773" s="21">
        <v>999000</v>
      </c>
      <c r="I773" s="4">
        <f>A773&amp;D773</f>
      </c>
      <c r="J773" s="4">
        <v>999000</v>
      </c>
      <c r="K773" s="4"/>
      <c r="L773" s="4"/>
      <c r="M773" s="4"/>
      <c r="N773" s="4"/>
      <c r="O773" s="4"/>
      <c r="P773" s="4"/>
      <c r="Q773" s="4"/>
      <c r="R773" s="4"/>
      <c r="S773" s="4"/>
    </row>
    <row r="774">
      <c r="A774" s="4">
        <v>204</v>
      </c>
      <c r="B774" s="4" t="str">
        <v>401/1 NDT</v>
      </c>
      <c r="C774" s="4" t="str">
        <v>DV_Cắt</v>
      </c>
      <c r="D774" s="4">
        <v>513</v>
      </c>
      <c r="E774" s="4" t="str">
        <v>[DV] ShineCombo 10 bước Ultra Care 2023</v>
      </c>
      <c r="F774" s="21">
        <v>122000</v>
      </c>
      <c r="G774" s="21">
        <v>122000</v>
      </c>
      <c r="H774" s="21">
        <v>122000</v>
      </c>
      <c r="I774" s="4">
        <f>A774&amp;D774</f>
      </c>
      <c r="J774" s="4">
        <v>122000</v>
      </c>
      <c r="K774" s="4"/>
      <c r="L774" s="4"/>
      <c r="M774" s="4"/>
      <c r="N774" s="4"/>
      <c r="O774" s="4"/>
      <c r="P774" s="4"/>
      <c r="Q774" s="4"/>
      <c r="R774" s="4"/>
      <c r="S774" s="4"/>
    </row>
    <row r="775">
      <c r="A775" s="4">
        <v>204</v>
      </c>
      <c r="B775" s="4" t="str">
        <v>401/1 NDT</v>
      </c>
      <c r="C775" s="4" t="str">
        <v>DV_Cắt</v>
      </c>
      <c r="D775" s="4">
        <v>891</v>
      </c>
      <c r="E775" s="4" t="str">
        <v>Cắt xả tạo kiểu</v>
      </c>
      <c r="F775" s="21">
        <v>94000</v>
      </c>
      <c r="G775" s="21">
        <v>94000</v>
      </c>
      <c r="H775" s="21">
        <v>94000</v>
      </c>
      <c r="I775" s="4">
        <f>A775&amp;D775</f>
      </c>
      <c r="J775" s="4">
        <v>94000</v>
      </c>
      <c r="K775" s="4"/>
      <c r="L775" s="4"/>
      <c r="M775" s="4"/>
      <c r="N775" s="4"/>
      <c r="O775" s="4"/>
      <c r="P775" s="4"/>
      <c r="Q775" s="4"/>
      <c r="R775" s="4"/>
      <c r="S775" s="4"/>
    </row>
    <row r="776">
      <c r="A776" s="4">
        <v>204</v>
      </c>
      <c r="B776" s="4" t="str">
        <v>401/1 NDT</v>
      </c>
      <c r="C776" s="4" t="str">
        <v>DV_Cắt</v>
      </c>
      <c r="D776" s="4">
        <v>1002</v>
      </c>
      <c r="E776" s="4" t="str">
        <v>Kid Cắt</v>
      </c>
      <c r="F776" s="21">
        <v>75000</v>
      </c>
      <c r="G776" s="21">
        <v>75000</v>
      </c>
      <c r="H776" s="21">
        <v>75000</v>
      </c>
      <c r="I776" s="4">
        <f>A776&amp;D776</f>
      </c>
      <c r="J776" s="4">
        <v>75000</v>
      </c>
      <c r="K776" s="4"/>
      <c r="L776" s="4"/>
      <c r="M776" s="4"/>
      <c r="N776" s="4"/>
      <c r="O776" s="4"/>
      <c r="P776" s="4"/>
      <c r="Q776" s="4"/>
      <c r="R776" s="4"/>
      <c r="S776" s="4"/>
    </row>
    <row r="777">
      <c r="A777" s="4">
        <v>204</v>
      </c>
      <c r="B777" s="4" t="str">
        <v>401/1 NDT</v>
      </c>
      <c r="C777" s="4" t="str">
        <v>DV_Cắt</v>
      </c>
      <c r="D777" s="4">
        <v>1070</v>
      </c>
      <c r="E777" s="4" t="str">
        <v>Combo Cắt gội Kid</v>
      </c>
      <c r="F777" s="21">
        <v>100000</v>
      </c>
      <c r="G777" s="21">
        <v>100000</v>
      </c>
      <c r="H777" s="21">
        <v>100000</v>
      </c>
      <c r="I777" s="4">
        <f>A777&amp;D777</f>
      </c>
      <c r="J777" s="4">
        <v>100000</v>
      </c>
      <c r="K777" s="4"/>
      <c r="L777" s="4"/>
      <c r="M777" s="4"/>
      <c r="N777" s="4"/>
      <c r="O777" s="4"/>
      <c r="P777" s="4"/>
      <c r="Q777" s="4"/>
      <c r="R777" s="4"/>
      <c r="S777" s="4"/>
    </row>
    <row r="778">
      <c r="A778" s="4">
        <v>204</v>
      </c>
      <c r="B778" s="4" t="str">
        <v>401/1 NDT</v>
      </c>
      <c r="C778" s="4" t="str">
        <v>DV_Cắt_Vip</v>
      </c>
      <c r="D778" s="4">
        <v>1046</v>
      </c>
      <c r="E778" s="4" t="str">
        <v>Shinecombo 2</v>
      </c>
      <c r="F778" s="21">
        <v>199000</v>
      </c>
      <c r="G778" s="21">
        <v>199000</v>
      </c>
      <c r="H778" s="21">
        <v>199000</v>
      </c>
      <c r="I778" s="4">
        <f>A778&amp;D778</f>
      </c>
      <c r="J778" s="4">
        <v>199000</v>
      </c>
      <c r="K778" s="4"/>
      <c r="L778" s="4"/>
      <c r="M778" s="4"/>
      <c r="N778" s="4"/>
      <c r="O778" s="4"/>
      <c r="P778" s="4"/>
      <c r="Q778" s="4"/>
      <c r="R778" s="4"/>
      <c r="S778" s="4"/>
    </row>
    <row r="779">
      <c r="A779" s="4">
        <v>204</v>
      </c>
      <c r="B779" s="4" t="str">
        <v>401/1 NDT</v>
      </c>
      <c r="C779" s="4" t="str">
        <v>DV_Cắt_Vip</v>
      </c>
      <c r="D779" s="4">
        <v>1047</v>
      </c>
      <c r="E779" s="4" t="str">
        <v>Cắt Gội Combo 3 - Chăm da</v>
      </c>
      <c r="F779" s="21">
        <v>299000</v>
      </c>
      <c r="G779" s="21">
        <v>299000</v>
      </c>
      <c r="H779" s="21">
        <v>299000</v>
      </c>
      <c r="I779" s="4">
        <f>A779&amp;D779</f>
      </c>
      <c r="J779" s="4">
        <v>299000</v>
      </c>
      <c r="K779" s="4"/>
      <c r="L779" s="4"/>
      <c r="M779" s="4"/>
      <c r="N779" s="4"/>
      <c r="O779" s="4"/>
      <c r="P779" s="4"/>
      <c r="Q779" s="4"/>
      <c r="R779" s="4"/>
      <c r="S779" s="4"/>
    </row>
    <row r="780">
      <c r="A780" s="4">
        <v>204</v>
      </c>
      <c r="B780" s="4" t="str">
        <v>401/1 NDT</v>
      </c>
      <c r="C780" s="4" t="str">
        <v>DV_Cắt_Vip</v>
      </c>
      <c r="D780" s="4">
        <v>1048</v>
      </c>
      <c r="E780" s="4" t="str">
        <v>Combo 4</v>
      </c>
      <c r="F780" s="21">
        <v>389000</v>
      </c>
      <c r="G780" s="21">
        <v>389000</v>
      </c>
      <c r="H780" s="21">
        <v>389000</v>
      </c>
      <c r="I780" s="4">
        <f>A780&amp;D780</f>
      </c>
      <c r="J780" s="4">
        <v>389000</v>
      </c>
      <c r="K780" s="4"/>
      <c r="L780" s="4"/>
      <c r="M780" s="4"/>
      <c r="N780" s="4"/>
      <c r="O780" s="4"/>
      <c r="P780" s="4"/>
      <c r="Q780" s="4"/>
      <c r="R780" s="4"/>
      <c r="S780" s="4"/>
    </row>
    <row r="781">
      <c r="A781" s="4">
        <v>204</v>
      </c>
      <c r="B781" s="4" t="str">
        <v>401/1 NDT</v>
      </c>
      <c r="C781" s="4" t="str">
        <v>DV_Cắt_Vip</v>
      </c>
      <c r="D781" s="4">
        <v>1064</v>
      </c>
      <c r="E781" s="4" t="str">
        <v>Cắt Gội Combo 5 - Dưỡng sinh</v>
      </c>
      <c r="F781" s="21">
        <v>459000</v>
      </c>
      <c r="G781" s="21">
        <v>459000</v>
      </c>
      <c r="H781" s="21">
        <v>459000</v>
      </c>
      <c r="I781" s="4">
        <f>A781&amp;D781</f>
      </c>
      <c r="J781" s="4">
        <v>459000</v>
      </c>
      <c r="K781" s="4"/>
      <c r="L781" s="4"/>
      <c r="M781" s="4"/>
      <c r="N781" s="4"/>
      <c r="O781" s="4"/>
      <c r="P781" s="4"/>
      <c r="Q781" s="4"/>
      <c r="R781" s="4"/>
      <c r="S781" s="4"/>
    </row>
    <row r="782">
      <c r="A782" s="4">
        <v>204</v>
      </c>
      <c r="B782" s="4" t="str">
        <v>401/1 NDT</v>
      </c>
      <c r="C782" s="4" t="str">
        <v>DV_Cắt_Vip</v>
      </c>
      <c r="D782" s="4">
        <v>1065</v>
      </c>
      <c r="E782" s="4" t="str">
        <v>Cắt Gội Combo 3 - Dưỡng sinh</v>
      </c>
      <c r="F782" s="21">
        <v>299000</v>
      </c>
      <c r="G782" s="21">
        <v>299000</v>
      </c>
      <c r="H782" s="21">
        <v>299000</v>
      </c>
      <c r="I782" s="4">
        <f>A782&amp;D782</f>
      </c>
      <c r="J782" s="4">
        <v>299000</v>
      </c>
      <c r="K782" s="4"/>
      <c r="L782" s="4"/>
      <c r="M782" s="4"/>
      <c r="N782" s="4"/>
      <c r="O782" s="4"/>
      <c r="P782" s="4"/>
      <c r="Q782" s="4"/>
      <c r="R782" s="4"/>
      <c r="S782" s="4"/>
    </row>
    <row r="783">
      <c r="A783" s="4">
        <v>204</v>
      </c>
      <c r="B783" s="4" t="str">
        <v>401/1 NDT</v>
      </c>
      <c r="C783" s="4" t="str">
        <v>DV_Gội</v>
      </c>
      <c r="D783" s="4">
        <v>867</v>
      </c>
      <c r="E783" s="4" t="str">
        <v>Gội dưỡng sinh cổ vai gáy</v>
      </c>
      <c r="F783" s="21">
        <v>99000</v>
      </c>
      <c r="G783" s="21">
        <v>99000</v>
      </c>
      <c r="H783" s="21">
        <v>99000</v>
      </c>
      <c r="I783" s="4">
        <f>A783&amp;D783</f>
      </c>
      <c r="J783" s="4">
        <v>99000</v>
      </c>
      <c r="K783" s="4"/>
      <c r="L783" s="4"/>
      <c r="M783" s="4"/>
      <c r="N783" s="4"/>
      <c r="O783" s="4"/>
      <c r="P783" s="4"/>
      <c r="Q783" s="4"/>
      <c r="R783" s="4"/>
      <c r="S783" s="4"/>
    </row>
    <row r="784">
      <c r="A784" s="4">
        <v>204</v>
      </c>
      <c r="B784" s="4" t="str">
        <v>401/1 NDT</v>
      </c>
      <c r="C784" s="4" t="str">
        <v>DV_Gội</v>
      </c>
      <c r="D784" s="4">
        <v>930</v>
      </c>
      <c r="E784" s="4" t="str">
        <v>[NEW] Gội dưỡng sinh cổ vai gáy và chăm sóc da</v>
      </c>
      <c r="F784" s="21">
        <v>139000</v>
      </c>
      <c r="G784" s="21">
        <v>139000</v>
      </c>
      <c r="H784" s="21">
        <v>139000</v>
      </c>
      <c r="I784" s="4">
        <f>A784&amp;D784</f>
      </c>
      <c r="J784" s="4">
        <v>139000</v>
      </c>
      <c r="K784" s="4"/>
      <c r="L784" s="4"/>
      <c r="M784" s="4"/>
      <c r="N784" s="4"/>
      <c r="O784" s="4"/>
      <c r="P784" s="4"/>
      <c r="Q784" s="4"/>
      <c r="R784" s="4"/>
      <c r="S784" s="4"/>
    </row>
    <row r="785">
      <c r="A785" s="4">
        <v>204</v>
      </c>
      <c r="B785" s="4" t="str">
        <v>401/1 NDT</v>
      </c>
      <c r="C785" s="4" t="str">
        <v>DV_Gội</v>
      </c>
      <c r="D785" s="4">
        <v>934</v>
      </c>
      <c r="E785" s="4" t="str">
        <v>Gội combo 3 - Dưỡng sinh</v>
      </c>
      <c r="F785" s="21">
        <v>229000</v>
      </c>
      <c r="G785" s="21">
        <v>229000</v>
      </c>
      <c r="H785" s="21">
        <v>229000</v>
      </c>
      <c r="I785" s="4">
        <f>A785&amp;D785</f>
      </c>
      <c r="J785" s="4">
        <v>229000</v>
      </c>
      <c r="K785" s="4"/>
      <c r="L785" s="4"/>
      <c r="M785" s="4"/>
      <c r="N785" s="4"/>
      <c r="O785" s="4"/>
      <c r="P785" s="4"/>
      <c r="Q785" s="4"/>
      <c r="R785" s="4"/>
      <c r="S785" s="4"/>
    </row>
    <row r="786">
      <c r="A786" s="4">
        <v>204</v>
      </c>
      <c r="B786" s="4" t="str">
        <v>401/1 NDT</v>
      </c>
      <c r="C786" s="4" t="str">
        <v>DV_Gội</v>
      </c>
      <c r="D786" s="4">
        <v>940</v>
      </c>
      <c r="E786" s="4" t="str">
        <v>[NEW] Gội dưỡng sinh</v>
      </c>
      <c r="F786" s="21">
        <v>59000</v>
      </c>
      <c r="G786" s="21">
        <v>59000</v>
      </c>
      <c r="H786" s="21">
        <v>59000</v>
      </c>
      <c r="I786" s="4">
        <f>A786&amp;D786</f>
      </c>
      <c r="J786" s="4">
        <v>59000</v>
      </c>
      <c r="K786" s="4"/>
      <c r="L786" s="4"/>
      <c r="M786" s="4"/>
      <c r="N786" s="4"/>
      <c r="O786" s="4"/>
      <c r="P786" s="4"/>
      <c r="Q786" s="4"/>
      <c r="R786" s="4"/>
      <c r="S786" s="4"/>
    </row>
    <row r="787">
      <c r="A787" s="4">
        <v>204</v>
      </c>
      <c r="B787" s="4" t="str">
        <v>401/1 NDT</v>
      </c>
      <c r="C787" s="4" t="str">
        <v>DV_Gội</v>
      </c>
      <c r="D787" s="4">
        <v>1058</v>
      </c>
      <c r="E787" s="4" t="str">
        <v>Gội Combo 2</v>
      </c>
      <c r="F787" s="21">
        <v>159000</v>
      </c>
      <c r="G787" s="21">
        <v>159000</v>
      </c>
      <c r="H787" s="21">
        <v>159000</v>
      </c>
      <c r="I787" s="4">
        <f>A787&amp;D787</f>
      </c>
      <c r="J787" s="4">
        <v>159000</v>
      </c>
      <c r="K787" s="4"/>
      <c r="L787" s="4"/>
      <c r="M787" s="4"/>
      <c r="N787" s="4"/>
      <c r="O787" s="4"/>
      <c r="P787" s="4"/>
      <c r="Q787" s="4"/>
      <c r="R787" s="4"/>
      <c r="S787" s="4"/>
    </row>
    <row r="788">
      <c r="A788" s="4">
        <v>204</v>
      </c>
      <c r="B788" s="4" t="str">
        <v>401/1 NDT</v>
      </c>
      <c r="C788" s="4" t="str">
        <v>DV_Gội</v>
      </c>
      <c r="D788" s="4">
        <v>1059</v>
      </c>
      <c r="E788" s="4" t="str">
        <v>Gội Combo 3 - Chăm da</v>
      </c>
      <c r="F788" s="21">
        <v>239000</v>
      </c>
      <c r="G788" s="21">
        <v>239000</v>
      </c>
      <c r="H788" s="21">
        <v>239000</v>
      </c>
      <c r="I788" s="4">
        <f>A788&amp;D788</f>
      </c>
      <c r="J788" s="4">
        <v>239000</v>
      </c>
      <c r="K788" s="4"/>
      <c r="L788" s="4"/>
      <c r="M788" s="4"/>
      <c r="N788" s="4"/>
      <c r="O788" s="4"/>
      <c r="P788" s="4"/>
      <c r="Q788" s="4"/>
      <c r="R788" s="4"/>
      <c r="S788" s="4"/>
    </row>
    <row r="789">
      <c r="A789" s="4">
        <v>204</v>
      </c>
      <c r="B789" s="4" t="str">
        <v>401/1 NDT</v>
      </c>
      <c r="C789" s="4" t="str">
        <v>DV_Gội</v>
      </c>
      <c r="D789" s="4">
        <v>1060</v>
      </c>
      <c r="E789" s="4" t="str">
        <v>Gội Combo 4</v>
      </c>
      <c r="F789" s="21">
        <v>289000</v>
      </c>
      <c r="G789" s="21">
        <v>289000</v>
      </c>
      <c r="H789" s="21">
        <v>289000</v>
      </c>
      <c r="I789" s="4">
        <f>A789&amp;D789</f>
      </c>
      <c r="J789" s="4">
        <v>289000</v>
      </c>
      <c r="K789" s="4"/>
      <c r="L789" s="4"/>
      <c r="M789" s="4"/>
      <c r="N789" s="4"/>
      <c r="O789" s="4"/>
      <c r="P789" s="4"/>
      <c r="Q789" s="4"/>
      <c r="R789" s="4"/>
      <c r="S789" s="4"/>
    </row>
    <row r="790">
      <c r="A790" s="4">
        <v>204</v>
      </c>
      <c r="B790" s="4" t="str">
        <v>401/1 NDT</v>
      </c>
      <c r="C790" s="4" t="str">
        <v>DV_Gội</v>
      </c>
      <c r="D790" s="4">
        <v>1066</v>
      </c>
      <c r="E790" s="4" t="str">
        <v>Gội trải nghiệm 75p</v>
      </c>
      <c r="F790" s="21">
        <v>589000</v>
      </c>
      <c r="G790" s="21">
        <v>589000</v>
      </c>
      <c r="H790" s="21">
        <v>589000</v>
      </c>
      <c r="I790" s="4">
        <f>A790&amp;D790</f>
      </c>
      <c r="J790" s="4">
        <v>589000</v>
      </c>
      <c r="K790" s="4"/>
      <c r="L790" s="4"/>
      <c r="M790" s="4"/>
      <c r="N790" s="4"/>
      <c r="O790" s="4"/>
      <c r="P790" s="4"/>
      <c r="Q790" s="4"/>
      <c r="R790" s="4"/>
      <c r="S790" s="4"/>
    </row>
    <row r="791">
      <c r="A791" s="4">
        <v>204</v>
      </c>
      <c r="B791" s="4" t="str">
        <v>401/1 NDT</v>
      </c>
      <c r="C791" s="4" t="str">
        <v>DV_Gội</v>
      </c>
      <c r="D791" s="4">
        <v>1067</v>
      </c>
      <c r="E791" s="4" t="str">
        <v>Gội trải nghiệm 90p</v>
      </c>
      <c r="F791" s="21">
        <v>789000</v>
      </c>
      <c r="G791" s="21">
        <v>789000</v>
      </c>
      <c r="H791" s="21">
        <v>789000</v>
      </c>
      <c r="I791" s="4">
        <f>A791&amp;D791</f>
      </c>
      <c r="J791" s="4">
        <v>789000</v>
      </c>
      <c r="K791" s="4"/>
      <c r="L791" s="4"/>
      <c r="M791" s="4"/>
      <c r="N791" s="4"/>
      <c r="O791" s="4"/>
      <c r="P791" s="4"/>
      <c r="Q791" s="4"/>
      <c r="R791" s="4"/>
      <c r="S791" s="4"/>
    </row>
    <row r="792">
      <c r="A792" s="4">
        <v>204</v>
      </c>
      <c r="B792" s="4" t="str">
        <v>401/1 NDT</v>
      </c>
      <c r="C792" s="4" t="str">
        <v>DV_Gội</v>
      </c>
      <c r="D792" s="4">
        <v>1068</v>
      </c>
      <c r="E792" s="4" t="str">
        <v>Gội trải nghiệm 115p</v>
      </c>
      <c r="F792" s="21">
        <v>999000</v>
      </c>
      <c r="G792" s="21">
        <v>999000</v>
      </c>
      <c r="H792" s="21">
        <v>999000</v>
      </c>
      <c r="I792" s="4">
        <f>A792&amp;D792</f>
      </c>
      <c r="J792" s="4">
        <v>999000</v>
      </c>
      <c r="K792" s="4"/>
      <c r="L792" s="4"/>
      <c r="M792" s="4"/>
      <c r="N792" s="4"/>
      <c r="O792" s="4"/>
      <c r="P792" s="4"/>
      <c r="Q792" s="4"/>
      <c r="R792" s="4"/>
      <c r="S792" s="4"/>
    </row>
    <row r="793">
      <c r="A793" s="4">
        <v>204</v>
      </c>
      <c r="B793" s="4" t="str">
        <v>401/1 NDT</v>
      </c>
      <c r="C793" s="4" t="str">
        <v>DV_Gội</v>
      </c>
      <c r="D793" s="4">
        <v>1069</v>
      </c>
      <c r="E793" s="4" t="str">
        <v>Gội trải nghiệm 140p</v>
      </c>
      <c r="F793" s="21">
        <v>1199000</v>
      </c>
      <c r="G793" s="21">
        <v>1199000</v>
      </c>
      <c r="H793" s="21">
        <v>1199000</v>
      </c>
      <c r="I793" s="4">
        <f>A793&amp;D793</f>
      </c>
      <c r="J793" s="4">
        <v>1199000</v>
      </c>
      <c r="K793" s="4"/>
      <c r="L793" s="4"/>
      <c r="M793" s="4"/>
      <c r="N793" s="4"/>
      <c r="O793" s="4"/>
      <c r="P793" s="4"/>
      <c r="Q793" s="4"/>
      <c r="R793" s="4"/>
      <c r="S793" s="4"/>
    </row>
    <row r="794">
      <c r="A794" s="4">
        <v>204</v>
      </c>
      <c r="B794" s="4" t="str">
        <v>401/1 NDT</v>
      </c>
      <c r="C794" s="4" t="str">
        <v>DV_Gội</v>
      </c>
      <c r="D794" s="4">
        <v>1243</v>
      </c>
      <c r="E794" s="4" t="str">
        <v>Gội paradise LRT plus</v>
      </c>
      <c r="F794" s="21">
        <v>329000</v>
      </c>
      <c r="G794" s="21">
        <v>329000</v>
      </c>
      <c r="H794" s="21">
        <v>329000</v>
      </c>
      <c r="I794" s="4">
        <f>A794&amp;D794</f>
      </c>
      <c r="J794" s="4">
        <v>329000</v>
      </c>
      <c r="K794" s="4"/>
      <c r="L794" s="4"/>
      <c r="M794" s="4"/>
      <c r="N794" s="4"/>
      <c r="O794" s="4"/>
      <c r="P794" s="4"/>
      <c r="Q794" s="4"/>
      <c r="R794" s="4"/>
      <c r="S794" s="4"/>
    </row>
    <row r="795">
      <c r="A795" s="4">
        <v>51</v>
      </c>
      <c r="B795" s="4" t="str">
        <v>420 HTP</v>
      </c>
      <c r="C795" s="4" t="str">
        <v>DV_Cắt</v>
      </c>
      <c r="D795" s="4">
        <v>513</v>
      </c>
      <c r="E795" s="4" t="str">
        <v>[DV] ShineCombo 10 bước Ultra Care 2023</v>
      </c>
      <c r="F795" s="21">
        <v>122000</v>
      </c>
      <c r="G795" s="21">
        <v>122000</v>
      </c>
      <c r="H795" s="21">
        <v>122000</v>
      </c>
      <c r="I795" s="4">
        <f>A795&amp;D795</f>
      </c>
      <c r="J795" s="4">
        <v>122000</v>
      </c>
      <c r="K795" s="4"/>
      <c r="L795" s="4"/>
      <c r="M795" s="4"/>
      <c r="N795" s="4"/>
      <c r="O795" s="4"/>
      <c r="P795" s="4"/>
      <c r="Q795" s="4"/>
      <c r="R795" s="4"/>
      <c r="S795" s="4"/>
    </row>
    <row r="796">
      <c r="A796" s="4">
        <v>51</v>
      </c>
      <c r="B796" s="4" t="str">
        <v>420 HTP</v>
      </c>
      <c r="C796" s="4" t="str">
        <v>DV_Cắt</v>
      </c>
      <c r="D796" s="4">
        <v>891</v>
      </c>
      <c r="E796" s="4" t="str">
        <v>Cắt xả tạo kiểu</v>
      </c>
      <c r="F796" s="21">
        <v>94000</v>
      </c>
      <c r="G796" s="21">
        <v>97000</v>
      </c>
      <c r="H796" s="21">
        <v>97000</v>
      </c>
      <c r="I796" s="4">
        <f>A796&amp;D796</f>
      </c>
      <c r="J796" s="4">
        <v>97000</v>
      </c>
      <c r="K796" s="4"/>
      <c r="L796" s="4"/>
      <c r="M796" s="4"/>
      <c r="N796" s="4"/>
      <c r="O796" s="4"/>
      <c r="P796" s="4"/>
      <c r="Q796" s="4"/>
      <c r="R796" s="4"/>
      <c r="S796" s="4"/>
    </row>
    <row r="797">
      <c r="A797" s="4">
        <v>51</v>
      </c>
      <c r="B797" s="4" t="str">
        <v>420 HTP</v>
      </c>
      <c r="C797" s="4" t="str">
        <v>DV_Cắt</v>
      </c>
      <c r="D797" s="4">
        <v>1002</v>
      </c>
      <c r="E797" s="4" t="str">
        <v>Kid Cắt</v>
      </c>
      <c r="F797" s="21">
        <v>75000</v>
      </c>
      <c r="G797" s="21">
        <v>77000</v>
      </c>
      <c r="H797" s="21">
        <v>77000</v>
      </c>
      <c r="I797" s="4">
        <f>A797&amp;D797</f>
      </c>
      <c r="J797" s="4">
        <v>77000</v>
      </c>
      <c r="K797" s="4"/>
      <c r="L797" s="4"/>
      <c r="M797" s="4"/>
      <c r="N797" s="4"/>
      <c r="O797" s="4"/>
      <c r="P797" s="4"/>
      <c r="Q797" s="4"/>
      <c r="R797" s="4"/>
      <c r="S797" s="4"/>
    </row>
    <row r="798">
      <c r="A798" s="4">
        <v>51</v>
      </c>
      <c r="B798" s="4" t="str">
        <v>420 HTP</v>
      </c>
      <c r="C798" s="4" t="str">
        <v>DV_Cắt</v>
      </c>
      <c r="D798" s="4">
        <v>1070</v>
      </c>
      <c r="E798" s="4" t="str">
        <v>Combo Cắt gội Kid</v>
      </c>
      <c r="F798" s="21">
        <v>100000</v>
      </c>
      <c r="G798" s="21">
        <v>103000</v>
      </c>
      <c r="H798" s="21">
        <v>103000</v>
      </c>
      <c r="I798" s="4">
        <f>A798&amp;D798</f>
      </c>
      <c r="J798" s="4">
        <v>103000</v>
      </c>
      <c r="K798" s="4"/>
      <c r="L798" s="4"/>
      <c r="M798" s="4"/>
      <c r="N798" s="4"/>
      <c r="O798" s="4"/>
      <c r="P798" s="4"/>
      <c r="Q798" s="4"/>
      <c r="R798" s="4"/>
      <c r="S798" s="4"/>
    </row>
    <row r="799">
      <c r="A799" s="4">
        <v>51</v>
      </c>
      <c r="B799" s="4" t="str">
        <v>420 HTP</v>
      </c>
      <c r="C799" s="4" t="str">
        <v>DV_Cắt_Vip</v>
      </c>
      <c r="D799" s="4">
        <v>1046</v>
      </c>
      <c r="E799" s="4" t="str">
        <v>Shinecombo 2</v>
      </c>
      <c r="F799" s="21">
        <v>199000</v>
      </c>
      <c r="G799" s="21">
        <v>205000</v>
      </c>
      <c r="H799" s="21">
        <v>205000</v>
      </c>
      <c r="I799" s="4">
        <f>A799&amp;D799</f>
      </c>
      <c r="J799" s="4">
        <v>205000</v>
      </c>
      <c r="K799" s="4"/>
      <c r="L799" s="4"/>
      <c r="M799" s="4"/>
      <c r="N799" s="4"/>
      <c r="O799" s="4"/>
      <c r="P799" s="4"/>
      <c r="Q799" s="4"/>
      <c r="R799" s="4"/>
      <c r="S799" s="4"/>
    </row>
    <row r="800">
      <c r="A800" s="4">
        <v>51</v>
      </c>
      <c r="B800" s="4" t="str">
        <v>420 HTP</v>
      </c>
      <c r="C800" s="4" t="str">
        <v>DV_Cắt_Vip</v>
      </c>
      <c r="D800" s="4">
        <v>1047</v>
      </c>
      <c r="E800" s="4" t="str">
        <v>Cắt Gội Combo 3 - Chăm da</v>
      </c>
      <c r="F800" s="21">
        <v>299000</v>
      </c>
      <c r="G800" s="21">
        <v>309000</v>
      </c>
      <c r="H800" s="21">
        <v>309000</v>
      </c>
      <c r="I800" s="4">
        <f>A800&amp;D800</f>
      </c>
      <c r="J800" s="4">
        <v>309000</v>
      </c>
      <c r="K800" s="4"/>
      <c r="L800" s="4"/>
      <c r="M800" s="4"/>
      <c r="N800" s="4"/>
      <c r="O800" s="4"/>
      <c r="P800" s="4"/>
      <c r="Q800" s="4"/>
      <c r="R800" s="4"/>
      <c r="S800" s="4"/>
    </row>
    <row r="801">
      <c r="A801" s="4">
        <v>51</v>
      </c>
      <c r="B801" s="4" t="str">
        <v>420 HTP</v>
      </c>
      <c r="C801" s="4" t="str">
        <v>DV_Cắt_Vip</v>
      </c>
      <c r="D801" s="4">
        <v>1048</v>
      </c>
      <c r="E801" s="4" t="str">
        <v>Combo 4</v>
      </c>
      <c r="F801" s="21">
        <v>389000</v>
      </c>
      <c r="G801" s="21">
        <v>401000</v>
      </c>
      <c r="H801" s="21">
        <v>401000</v>
      </c>
      <c r="I801" s="4">
        <f>A801&amp;D801</f>
      </c>
      <c r="J801" s="4">
        <v>401000</v>
      </c>
      <c r="K801" s="4"/>
      <c r="L801" s="4"/>
      <c r="M801" s="4"/>
      <c r="N801" s="4"/>
      <c r="O801" s="4"/>
      <c r="P801" s="4"/>
      <c r="Q801" s="4"/>
      <c r="R801" s="4"/>
      <c r="S801" s="4"/>
    </row>
    <row r="802">
      <c r="A802" s="4">
        <v>51</v>
      </c>
      <c r="B802" s="4" t="str">
        <v>420 HTP</v>
      </c>
      <c r="C802" s="4" t="str">
        <v>DV_Cắt_Vip</v>
      </c>
      <c r="D802" s="4">
        <v>1064</v>
      </c>
      <c r="E802" s="4" t="str">
        <v>Cắt Gội Combo 5 - Dưỡng sinh</v>
      </c>
      <c r="F802" s="21">
        <v>459000</v>
      </c>
      <c r="G802" s="21">
        <v>474000</v>
      </c>
      <c r="H802" s="21">
        <v>474000</v>
      </c>
      <c r="I802" s="4">
        <f>A802&amp;D802</f>
      </c>
      <c r="J802" s="4">
        <v>474000</v>
      </c>
      <c r="K802" s="4"/>
      <c r="L802" s="4"/>
      <c r="M802" s="4"/>
      <c r="N802" s="4"/>
      <c r="O802" s="4"/>
      <c r="P802" s="4"/>
      <c r="Q802" s="4"/>
      <c r="R802" s="4"/>
      <c r="S802" s="4"/>
    </row>
    <row r="803">
      <c r="A803" s="4">
        <v>51</v>
      </c>
      <c r="B803" s="4" t="str">
        <v>420 HTP</v>
      </c>
      <c r="C803" s="4" t="str">
        <v>DV_Cắt_Vip</v>
      </c>
      <c r="D803" s="4">
        <v>1065</v>
      </c>
      <c r="E803" s="4" t="str">
        <v>Cắt Gội Combo 3 - Dưỡng sinh</v>
      </c>
      <c r="F803" s="21">
        <v>299000</v>
      </c>
      <c r="G803" s="21">
        <v>309000</v>
      </c>
      <c r="H803" s="21">
        <v>309000</v>
      </c>
      <c r="I803" s="4">
        <f>A803&amp;D803</f>
      </c>
      <c r="J803" s="4">
        <v>309000</v>
      </c>
      <c r="K803" s="4"/>
      <c r="L803" s="4"/>
      <c r="M803" s="4"/>
      <c r="N803" s="4"/>
      <c r="O803" s="4"/>
      <c r="P803" s="4"/>
      <c r="Q803" s="4"/>
      <c r="R803" s="4"/>
      <c r="S803" s="4"/>
    </row>
    <row r="804">
      <c r="A804" s="4">
        <v>51</v>
      </c>
      <c r="B804" s="4" t="str">
        <v>420 HTP</v>
      </c>
      <c r="C804" s="4" t="str">
        <v>DV_Gội</v>
      </c>
      <c r="D804" s="4">
        <v>867</v>
      </c>
      <c r="E804" s="4" t="str">
        <v>Gội dưỡng sinh cổ vai gáy</v>
      </c>
      <c r="F804" s="21">
        <v>129000</v>
      </c>
      <c r="G804" s="21">
        <v>133000</v>
      </c>
      <c r="H804" s="21">
        <v>133000</v>
      </c>
      <c r="I804" s="4">
        <f>A804&amp;D804</f>
      </c>
      <c r="J804" s="4">
        <v>133000</v>
      </c>
      <c r="K804" s="4"/>
      <c r="L804" s="4"/>
      <c r="M804" s="4"/>
      <c r="N804" s="4"/>
      <c r="O804" s="4"/>
      <c r="P804" s="4"/>
      <c r="Q804" s="4"/>
      <c r="R804" s="4"/>
      <c r="S804" s="4"/>
    </row>
    <row r="805">
      <c r="A805" s="4">
        <v>51</v>
      </c>
      <c r="B805" s="4" t="str">
        <v>420 HTP</v>
      </c>
      <c r="C805" s="4" t="str">
        <v>DV_Gội</v>
      </c>
      <c r="D805" s="4">
        <v>930</v>
      </c>
      <c r="E805" s="4" t="str">
        <v>[NEW] Gội dưỡng sinh cổ vai gáy và chăm sóc da</v>
      </c>
      <c r="F805" s="21">
        <v>139000</v>
      </c>
      <c r="G805" s="21">
        <v>143000</v>
      </c>
      <c r="H805" s="21">
        <v>143000</v>
      </c>
      <c r="I805" s="4">
        <f>A805&amp;D805</f>
      </c>
      <c r="J805" s="4">
        <v>143000</v>
      </c>
      <c r="K805" s="4"/>
      <c r="L805" s="4"/>
      <c r="M805" s="4"/>
      <c r="N805" s="4"/>
      <c r="O805" s="4"/>
      <c r="P805" s="4"/>
      <c r="Q805" s="4"/>
      <c r="R805" s="4"/>
      <c r="S805" s="4"/>
    </row>
    <row r="806">
      <c r="A806" s="4">
        <v>51</v>
      </c>
      <c r="B806" s="4" t="str">
        <v>420 HTP</v>
      </c>
      <c r="C806" s="4" t="str">
        <v>DV_Gội</v>
      </c>
      <c r="D806" s="4">
        <v>932</v>
      </c>
      <c r="E806" s="4" t="str">
        <v>Gội combo 5 dưỡng sinh</v>
      </c>
      <c r="F806" s="21">
        <v>399000</v>
      </c>
      <c r="G806" s="21">
        <v>412000</v>
      </c>
      <c r="H806" s="21">
        <v>412000</v>
      </c>
      <c r="I806" s="4">
        <f>A806&amp;D806</f>
      </c>
      <c r="J806" s="4">
        <v>412000</v>
      </c>
      <c r="K806" s="4"/>
      <c r="L806" s="4"/>
      <c r="M806" s="4"/>
      <c r="N806" s="4"/>
      <c r="O806" s="4"/>
      <c r="P806" s="4"/>
      <c r="Q806" s="4"/>
      <c r="R806" s="4"/>
      <c r="S806" s="4"/>
    </row>
    <row r="807">
      <c r="A807" s="4">
        <v>51</v>
      </c>
      <c r="B807" s="4" t="str">
        <v>420 HTP</v>
      </c>
      <c r="C807" s="4" t="str">
        <v>DV_Gội</v>
      </c>
      <c r="D807" s="4">
        <v>934</v>
      </c>
      <c r="E807" s="4" t="str">
        <v>Gội combo 3 - Dưỡng sinh</v>
      </c>
      <c r="F807" s="21">
        <v>229000</v>
      </c>
      <c r="G807" s="21">
        <v>236000</v>
      </c>
      <c r="H807" s="21">
        <v>236000</v>
      </c>
      <c r="I807" s="4">
        <f>A807&amp;D807</f>
      </c>
      <c r="J807" s="4">
        <v>236000</v>
      </c>
      <c r="K807" s="4"/>
      <c r="L807" s="4"/>
      <c r="M807" s="4"/>
      <c r="N807" s="4"/>
      <c r="O807" s="4"/>
      <c r="P807" s="4"/>
      <c r="Q807" s="4"/>
      <c r="R807" s="4"/>
      <c r="S807" s="4"/>
    </row>
    <row r="808">
      <c r="A808" s="4">
        <v>51</v>
      </c>
      <c r="B808" s="4" t="str">
        <v>420 HTP</v>
      </c>
      <c r="C808" s="4" t="str">
        <v>DV_Gội</v>
      </c>
      <c r="D808" s="4">
        <v>940</v>
      </c>
      <c r="E808" s="4" t="str">
        <v>[NEW] Gội dưỡng sinh</v>
      </c>
      <c r="F808" s="21">
        <v>59000</v>
      </c>
      <c r="G808" s="21">
        <v>61000</v>
      </c>
      <c r="H808" s="21">
        <v>61000</v>
      </c>
      <c r="I808" s="4">
        <f>A808&amp;D808</f>
      </c>
      <c r="J808" s="4">
        <v>61000</v>
      </c>
      <c r="K808" s="4"/>
      <c r="L808" s="4"/>
      <c r="M808" s="4"/>
      <c r="N808" s="4"/>
      <c r="O808" s="4"/>
      <c r="P808" s="4"/>
      <c r="Q808" s="4"/>
      <c r="R808" s="4"/>
      <c r="S808" s="4"/>
    </row>
    <row r="809">
      <c r="A809" s="4">
        <v>51</v>
      </c>
      <c r="B809" s="4" t="str">
        <v>420 HTP</v>
      </c>
      <c r="C809" s="4" t="str">
        <v>DV_Gội</v>
      </c>
      <c r="D809" s="4">
        <v>1058</v>
      </c>
      <c r="E809" s="4" t="str">
        <v>Gội Combo 2</v>
      </c>
      <c r="F809" s="21">
        <v>159000</v>
      </c>
      <c r="G809" s="21">
        <v>164000</v>
      </c>
      <c r="H809" s="21">
        <v>164000</v>
      </c>
      <c r="I809" s="4">
        <f>A809&amp;D809</f>
      </c>
      <c r="J809" s="4">
        <v>164000</v>
      </c>
      <c r="K809" s="4"/>
      <c r="L809" s="4"/>
      <c r="M809" s="4"/>
      <c r="N809" s="4"/>
      <c r="O809" s="4"/>
      <c r="P809" s="4"/>
      <c r="Q809" s="4"/>
      <c r="R809" s="4"/>
      <c r="S809" s="4"/>
    </row>
    <row r="810">
      <c r="A810" s="4">
        <v>51</v>
      </c>
      <c r="B810" s="4" t="str">
        <v>420 HTP</v>
      </c>
      <c r="C810" s="4" t="str">
        <v>DV_Gội</v>
      </c>
      <c r="D810" s="4">
        <v>1059</v>
      </c>
      <c r="E810" s="4" t="str">
        <v>Gội Combo 3 - Chăm da</v>
      </c>
      <c r="F810" s="21">
        <v>239000</v>
      </c>
      <c r="G810" s="21">
        <v>247000</v>
      </c>
      <c r="H810" s="21">
        <v>247000</v>
      </c>
      <c r="I810" s="4">
        <f>A810&amp;D810</f>
      </c>
      <c r="J810" s="4">
        <v>247000</v>
      </c>
      <c r="K810" s="4"/>
      <c r="L810" s="4"/>
      <c r="M810" s="4"/>
      <c r="N810" s="4"/>
      <c r="O810" s="4"/>
      <c r="P810" s="4"/>
      <c r="Q810" s="4"/>
      <c r="R810" s="4"/>
      <c r="S810" s="4"/>
    </row>
    <row r="811">
      <c r="A811" s="4">
        <v>51</v>
      </c>
      <c r="B811" s="4" t="str">
        <v>420 HTP</v>
      </c>
      <c r="C811" s="4" t="str">
        <v>DV_Gội</v>
      </c>
      <c r="D811" s="4">
        <v>1060</v>
      </c>
      <c r="E811" s="4" t="str">
        <v>Gội Combo 4</v>
      </c>
      <c r="F811" s="21">
        <v>289000</v>
      </c>
      <c r="G811" s="21">
        <v>299000</v>
      </c>
      <c r="H811" s="21">
        <v>299000</v>
      </c>
      <c r="I811" s="4">
        <f>A811&amp;D811</f>
      </c>
      <c r="J811" s="4">
        <v>299000</v>
      </c>
      <c r="K811" s="4"/>
      <c r="L811" s="4"/>
      <c r="M811" s="4"/>
      <c r="N811" s="4"/>
      <c r="O811" s="4"/>
      <c r="P811" s="4"/>
      <c r="Q811" s="4"/>
      <c r="R811" s="4"/>
      <c r="S811" s="4"/>
    </row>
    <row r="812">
      <c r="A812" s="4">
        <v>51</v>
      </c>
      <c r="B812" s="4" t="str">
        <v>420 HTP</v>
      </c>
      <c r="C812" s="4" t="str">
        <v>DV_Gội</v>
      </c>
      <c r="D812" s="4">
        <v>1066</v>
      </c>
      <c r="E812" s="4" t="str">
        <v>Gội trải nghiệm 75p</v>
      </c>
      <c r="F812" s="21">
        <v>589000</v>
      </c>
      <c r="G812" s="21">
        <v>608000</v>
      </c>
      <c r="H812" s="21">
        <v>608000</v>
      </c>
      <c r="I812" s="4">
        <f>A812&amp;D812</f>
      </c>
      <c r="J812" s="4">
        <v>608000</v>
      </c>
      <c r="K812" s="4"/>
      <c r="L812" s="4"/>
      <c r="M812" s="4"/>
      <c r="N812" s="4"/>
      <c r="O812" s="4"/>
      <c r="P812" s="4"/>
      <c r="Q812" s="4"/>
      <c r="R812" s="4"/>
      <c r="S812" s="4"/>
    </row>
    <row r="813">
      <c r="A813" s="4">
        <v>51</v>
      </c>
      <c r="B813" s="4" t="str">
        <v>420 HTP</v>
      </c>
      <c r="C813" s="4" t="str">
        <v>DV_Gội</v>
      </c>
      <c r="D813" s="4">
        <v>1067</v>
      </c>
      <c r="E813" s="4" t="str">
        <v>Gội trải nghiệm 90p</v>
      </c>
      <c r="F813" s="21">
        <v>789000</v>
      </c>
      <c r="G813" s="21">
        <v>814000</v>
      </c>
      <c r="H813" s="21">
        <v>814000</v>
      </c>
      <c r="I813" s="4">
        <f>A813&amp;D813</f>
      </c>
      <c r="J813" s="4">
        <v>814000</v>
      </c>
      <c r="K813" s="4"/>
      <c r="L813" s="4"/>
      <c r="M813" s="4"/>
      <c r="N813" s="4"/>
      <c r="O813" s="4"/>
      <c r="P813" s="4"/>
      <c r="Q813" s="4"/>
      <c r="R813" s="4"/>
      <c r="S813" s="4"/>
    </row>
    <row r="814">
      <c r="A814" s="4">
        <v>51</v>
      </c>
      <c r="B814" s="4" t="str">
        <v>420 HTP</v>
      </c>
      <c r="C814" s="4" t="str">
        <v>DV_Gội</v>
      </c>
      <c r="D814" s="4">
        <v>1068</v>
      </c>
      <c r="E814" s="4" t="str">
        <v>Gội trải nghiệm 115p</v>
      </c>
      <c r="F814" s="21">
        <v>999000</v>
      </c>
      <c r="G814" s="21">
        <v>1031000</v>
      </c>
      <c r="H814" s="21">
        <v>1031000</v>
      </c>
      <c r="I814" s="4">
        <f>A814&amp;D814</f>
      </c>
      <c r="J814" s="4">
        <v>1031000</v>
      </c>
      <c r="K814" s="4"/>
      <c r="L814" s="4"/>
      <c r="M814" s="4"/>
      <c r="N814" s="4"/>
      <c r="O814" s="4"/>
      <c r="P814" s="4"/>
      <c r="Q814" s="4"/>
      <c r="R814" s="4"/>
      <c r="S814" s="4"/>
    </row>
    <row r="815">
      <c r="A815" s="4">
        <v>52</v>
      </c>
      <c r="B815" s="4" t="str">
        <v>451 PVT</v>
      </c>
      <c r="C815" s="4" t="str">
        <v>DV_Cắt</v>
      </c>
      <c r="D815" s="4">
        <v>513</v>
      </c>
      <c r="E815" s="4" t="str">
        <v>[DV] ShineCombo 10 bước Ultra Care 2023</v>
      </c>
      <c r="F815" s="21">
        <v>122000</v>
      </c>
      <c r="G815" s="21">
        <v>122000</v>
      </c>
      <c r="H815" s="21">
        <v>122000</v>
      </c>
      <c r="I815" s="4">
        <f>A815&amp;D815</f>
      </c>
      <c r="J815" s="4">
        <v>122000</v>
      </c>
      <c r="K815" s="4"/>
      <c r="L815" s="4"/>
      <c r="M815" s="4"/>
      <c r="N815" s="4"/>
      <c r="O815" s="4"/>
      <c r="P815" s="4"/>
      <c r="Q815" s="4"/>
      <c r="R815" s="4"/>
      <c r="S815" s="4"/>
    </row>
    <row r="816">
      <c r="A816" s="4">
        <v>52</v>
      </c>
      <c r="B816" s="4" t="str">
        <v>451 PVT</v>
      </c>
      <c r="C816" s="4" t="str">
        <v>DV_Cắt</v>
      </c>
      <c r="D816" s="4">
        <v>891</v>
      </c>
      <c r="E816" s="4" t="str">
        <v>Cắt xả tạo kiểu</v>
      </c>
      <c r="F816" s="21">
        <v>94000</v>
      </c>
      <c r="G816" s="21">
        <v>102000</v>
      </c>
      <c r="H816" s="21">
        <v>102000</v>
      </c>
      <c r="I816" s="4">
        <f>A816&amp;D816</f>
      </c>
      <c r="J816" s="4">
        <v>102000</v>
      </c>
      <c r="K816" s="4"/>
      <c r="L816" s="4"/>
      <c r="M816" s="4"/>
      <c r="N816" s="4"/>
      <c r="O816" s="4"/>
      <c r="P816" s="4"/>
      <c r="Q816" s="4"/>
      <c r="R816" s="4"/>
      <c r="S816" s="4"/>
    </row>
    <row r="817">
      <c r="A817" s="4">
        <v>52</v>
      </c>
      <c r="B817" s="4" t="str">
        <v>451 PVT</v>
      </c>
      <c r="C817" s="4" t="str">
        <v>DV_Cắt</v>
      </c>
      <c r="D817" s="4">
        <v>1002</v>
      </c>
      <c r="E817" s="4" t="str">
        <v>Kid Cắt</v>
      </c>
      <c r="F817" s="21">
        <v>75000</v>
      </c>
      <c r="G817" s="21">
        <v>81000</v>
      </c>
      <c r="H817" s="21">
        <v>81000</v>
      </c>
      <c r="I817" s="4">
        <f>A817&amp;D817</f>
      </c>
      <c r="J817" s="4">
        <v>81000</v>
      </c>
      <c r="K817" s="4"/>
      <c r="L817" s="4"/>
      <c r="M817" s="4"/>
      <c r="N817" s="4"/>
      <c r="O817" s="4"/>
      <c r="P817" s="4"/>
      <c r="Q817" s="4"/>
      <c r="R817" s="4"/>
      <c r="S817" s="4"/>
    </row>
    <row r="818">
      <c r="A818" s="4">
        <v>52</v>
      </c>
      <c r="B818" s="4" t="str">
        <v>451 PVT</v>
      </c>
      <c r="C818" s="4" t="str">
        <v>DV_Cắt</v>
      </c>
      <c r="D818" s="4">
        <v>1070</v>
      </c>
      <c r="E818" s="4" t="str">
        <v>Combo Cắt gội Kid</v>
      </c>
      <c r="F818" s="21">
        <v>100000</v>
      </c>
      <c r="G818" s="21">
        <v>109000</v>
      </c>
      <c r="H818" s="21">
        <v>109000</v>
      </c>
      <c r="I818" s="4">
        <f>A818&amp;D818</f>
      </c>
      <c r="J818" s="4">
        <v>109000</v>
      </c>
      <c r="K818" s="4"/>
      <c r="L818" s="4"/>
      <c r="M818" s="4"/>
      <c r="N818" s="4"/>
      <c r="O818" s="4"/>
      <c r="P818" s="4"/>
      <c r="Q818" s="4"/>
      <c r="R818" s="4"/>
      <c r="S818" s="4"/>
    </row>
    <row r="819">
      <c r="A819" s="4">
        <v>52</v>
      </c>
      <c r="B819" s="4" t="str">
        <v>451 PVT</v>
      </c>
      <c r="C819" s="4" t="str">
        <v>DV_Cắt_Vip</v>
      </c>
      <c r="D819" s="4">
        <v>1046</v>
      </c>
      <c r="E819" s="4" t="str">
        <v>Shinecombo 2</v>
      </c>
      <c r="F819" s="21">
        <v>169000</v>
      </c>
      <c r="G819" s="21">
        <v>183000</v>
      </c>
      <c r="H819" s="21">
        <v>183000</v>
      </c>
      <c r="I819" s="4">
        <f>A819&amp;D819</f>
      </c>
      <c r="J819" s="4">
        <v>183000</v>
      </c>
      <c r="K819" s="4"/>
      <c r="L819" s="4"/>
      <c r="M819" s="4"/>
      <c r="N819" s="4"/>
      <c r="O819" s="4"/>
      <c r="P819" s="4"/>
      <c r="Q819" s="4"/>
      <c r="R819" s="4"/>
      <c r="S819" s="4"/>
    </row>
    <row r="820">
      <c r="A820" s="4">
        <v>52</v>
      </c>
      <c r="B820" s="4" t="str">
        <v>451 PVT</v>
      </c>
      <c r="C820" s="4" t="str">
        <v>DV_Cắt_Vip</v>
      </c>
      <c r="D820" s="4">
        <v>1047</v>
      </c>
      <c r="E820" s="4" t="str">
        <v>Cắt Gội Combo 3 - Chăm da</v>
      </c>
      <c r="F820" s="21">
        <v>279000</v>
      </c>
      <c r="G820" s="21">
        <v>303000</v>
      </c>
      <c r="H820" s="21">
        <v>303000</v>
      </c>
      <c r="I820" s="4">
        <f>A820&amp;D820</f>
      </c>
      <c r="J820" s="4">
        <v>303000</v>
      </c>
      <c r="K820" s="4"/>
      <c r="L820" s="4"/>
      <c r="M820" s="4"/>
      <c r="N820" s="4"/>
      <c r="O820" s="4"/>
      <c r="P820" s="4"/>
      <c r="Q820" s="4"/>
      <c r="R820" s="4"/>
      <c r="S820" s="4"/>
    </row>
    <row r="821">
      <c r="A821" s="4">
        <v>52</v>
      </c>
      <c r="B821" s="4" t="str">
        <v>451 PVT</v>
      </c>
      <c r="C821" s="4" t="str">
        <v>DV_Cắt_Vip</v>
      </c>
      <c r="D821" s="4">
        <v>1048</v>
      </c>
      <c r="E821" s="4" t="str">
        <v>Combo 4</v>
      </c>
      <c r="F821" s="21">
        <v>389000</v>
      </c>
      <c r="G821" s="21">
        <v>422000</v>
      </c>
      <c r="H821" s="21">
        <v>422000</v>
      </c>
      <c r="I821" s="4">
        <f>A821&amp;D821</f>
      </c>
      <c r="J821" s="4">
        <v>422000</v>
      </c>
      <c r="K821" s="4"/>
      <c r="L821" s="4"/>
      <c r="M821" s="4"/>
      <c r="N821" s="4"/>
      <c r="O821" s="4"/>
      <c r="P821" s="4"/>
      <c r="Q821" s="4"/>
      <c r="R821" s="4"/>
      <c r="S821" s="4"/>
    </row>
    <row r="822">
      <c r="A822" s="4">
        <v>52</v>
      </c>
      <c r="B822" s="4" t="str">
        <v>451 PVT</v>
      </c>
      <c r="C822" s="4" t="str">
        <v>DV_Cắt_Vip</v>
      </c>
      <c r="D822" s="4">
        <v>1064</v>
      </c>
      <c r="E822" s="4" t="str">
        <v>Cắt Gội Combo 5 - Dưỡng sinh</v>
      </c>
      <c r="F822" s="21">
        <v>459000</v>
      </c>
      <c r="G822" s="21">
        <v>498000</v>
      </c>
      <c r="H822" s="21">
        <v>498000</v>
      </c>
      <c r="I822" s="4">
        <f>A822&amp;D822</f>
      </c>
      <c r="J822" s="4">
        <v>498000</v>
      </c>
      <c r="K822" s="4"/>
      <c r="L822" s="4"/>
      <c r="M822" s="4"/>
      <c r="N822" s="4"/>
      <c r="O822" s="4"/>
      <c r="P822" s="4"/>
      <c r="Q822" s="4"/>
      <c r="R822" s="4"/>
      <c r="S822" s="4"/>
    </row>
    <row r="823">
      <c r="A823" s="4">
        <v>52</v>
      </c>
      <c r="B823" s="4" t="str">
        <v>451 PVT</v>
      </c>
      <c r="C823" s="4" t="str">
        <v>DV_Cắt_Vip</v>
      </c>
      <c r="D823" s="4">
        <v>1065</v>
      </c>
      <c r="E823" s="4" t="str">
        <v>Cắt Gội Combo 3 - Dưỡng sinh</v>
      </c>
      <c r="F823" s="21">
        <v>299000</v>
      </c>
      <c r="G823" s="21">
        <v>324000</v>
      </c>
      <c r="H823" s="21">
        <v>324000</v>
      </c>
      <c r="I823" s="4">
        <f>A823&amp;D823</f>
      </c>
      <c r="J823" s="4">
        <v>324000</v>
      </c>
      <c r="K823" s="4"/>
      <c r="L823" s="4"/>
      <c r="M823" s="4"/>
      <c r="N823" s="4"/>
      <c r="O823" s="4"/>
      <c r="P823" s="4"/>
      <c r="Q823" s="4"/>
      <c r="R823" s="4"/>
      <c r="S823" s="4"/>
    </row>
    <row r="824">
      <c r="A824" s="4">
        <v>52</v>
      </c>
      <c r="B824" s="4" t="str">
        <v>451 PVT</v>
      </c>
      <c r="C824" s="4" t="str">
        <v>DV_Cắt_Vip</v>
      </c>
      <c r="D824" s="4">
        <v>1150</v>
      </c>
      <c r="E824" s="4" t="str">
        <v>Combo cắt gội đỉnh cao thư giãn vip</v>
      </c>
      <c r="F824" s="21">
        <v>500000</v>
      </c>
      <c r="G824" s="21">
        <v>543000</v>
      </c>
      <c r="H824" s="21">
        <v>543000</v>
      </c>
      <c r="I824" s="4">
        <f>A824&amp;D824</f>
      </c>
      <c r="J824" s="4">
        <v>543000</v>
      </c>
      <c r="K824" s="4"/>
      <c r="L824" s="4"/>
      <c r="M824" s="4"/>
      <c r="N824" s="4"/>
      <c r="O824" s="4"/>
      <c r="P824" s="4"/>
      <c r="Q824" s="4"/>
      <c r="R824" s="4"/>
      <c r="S824" s="4"/>
    </row>
    <row r="825">
      <c r="A825" s="4">
        <v>52</v>
      </c>
      <c r="B825" s="4" t="str">
        <v>451 PVT</v>
      </c>
      <c r="C825" s="4" t="str">
        <v>DV_Gội</v>
      </c>
      <c r="D825" s="4">
        <v>867</v>
      </c>
      <c r="E825" s="4" t="str">
        <v>Gội dưỡng sinh cổ vai gáy</v>
      </c>
      <c r="F825" s="21">
        <v>99000</v>
      </c>
      <c r="G825" s="21">
        <v>107000</v>
      </c>
      <c r="H825" s="21">
        <v>107000</v>
      </c>
      <c r="I825" s="4">
        <f>A825&amp;D825</f>
      </c>
      <c r="J825" s="4">
        <v>107000</v>
      </c>
      <c r="K825" s="4"/>
      <c r="L825" s="4"/>
      <c r="M825" s="4"/>
      <c r="N825" s="4"/>
      <c r="O825" s="4"/>
      <c r="P825" s="4"/>
      <c r="Q825" s="4"/>
      <c r="R825" s="4"/>
      <c r="S825" s="4"/>
    </row>
    <row r="826">
      <c r="A826" s="4">
        <v>52</v>
      </c>
      <c r="B826" s="4" t="str">
        <v>451 PVT</v>
      </c>
      <c r="C826" s="4" t="str">
        <v>DV_Gội</v>
      </c>
      <c r="D826" s="4">
        <v>930</v>
      </c>
      <c r="E826" s="4" t="str">
        <v>[NEW] Gội dưỡng sinh cổ vai gáy và chăm sóc da</v>
      </c>
      <c r="F826" s="21">
        <v>139000</v>
      </c>
      <c r="G826" s="21">
        <v>151000</v>
      </c>
      <c r="H826" s="21">
        <v>151000</v>
      </c>
      <c r="I826" s="4">
        <f>A826&amp;D826</f>
      </c>
      <c r="J826" s="4">
        <v>151000</v>
      </c>
      <c r="K826" s="4"/>
      <c r="L826" s="4"/>
      <c r="M826" s="4"/>
      <c r="N826" s="4"/>
      <c r="O826" s="4"/>
      <c r="P826" s="4"/>
      <c r="Q826" s="4"/>
      <c r="R826" s="4"/>
      <c r="S826" s="4"/>
    </row>
    <row r="827">
      <c r="A827" s="4">
        <v>52</v>
      </c>
      <c r="B827" s="4" t="str">
        <v>451 PVT</v>
      </c>
      <c r="C827" s="4" t="str">
        <v>DV_Gội</v>
      </c>
      <c r="D827" s="4">
        <v>934</v>
      </c>
      <c r="E827" s="4" t="str">
        <v>Gội combo 3 - Dưỡng sinh</v>
      </c>
      <c r="F827" s="21">
        <v>229000</v>
      </c>
      <c r="G827" s="21">
        <v>248000</v>
      </c>
      <c r="H827" s="21">
        <v>248000</v>
      </c>
      <c r="I827" s="4">
        <f>A827&amp;D827</f>
      </c>
      <c r="J827" s="4">
        <v>248000</v>
      </c>
      <c r="K827" s="4"/>
      <c r="L827" s="4"/>
      <c r="M827" s="4"/>
      <c r="N827" s="4"/>
      <c r="O827" s="4"/>
      <c r="P827" s="4"/>
      <c r="Q827" s="4"/>
      <c r="R827" s="4"/>
      <c r="S827" s="4"/>
    </row>
    <row r="828">
      <c r="A828" s="4">
        <v>52</v>
      </c>
      <c r="B828" s="4" t="str">
        <v>451 PVT</v>
      </c>
      <c r="C828" s="4" t="str">
        <v>DV_Gội</v>
      </c>
      <c r="D828" s="4">
        <v>940</v>
      </c>
      <c r="E828" s="4" t="str">
        <v>[NEW] Gội dưỡng sinh</v>
      </c>
      <c r="F828" s="21">
        <v>59000</v>
      </c>
      <c r="G828" s="21">
        <v>64000</v>
      </c>
      <c r="H828" s="21">
        <v>64000</v>
      </c>
      <c r="I828" s="4">
        <f>A828&amp;D828</f>
      </c>
      <c r="J828" s="4">
        <v>64000</v>
      </c>
      <c r="K828" s="4"/>
      <c r="L828" s="4"/>
      <c r="M828" s="4"/>
      <c r="N828" s="4"/>
      <c r="O828" s="4"/>
      <c r="P828" s="4"/>
      <c r="Q828" s="4"/>
      <c r="R828" s="4"/>
      <c r="S828" s="4"/>
    </row>
    <row r="829">
      <c r="A829" s="4">
        <v>52</v>
      </c>
      <c r="B829" s="4" t="str">
        <v>451 PVT</v>
      </c>
      <c r="C829" s="4" t="str">
        <v>DV_Gội</v>
      </c>
      <c r="D829" s="4">
        <v>1058</v>
      </c>
      <c r="E829" s="4" t="str">
        <v>Gội Combo 2</v>
      </c>
      <c r="F829" s="21">
        <v>139000</v>
      </c>
      <c r="G829" s="21">
        <v>151000</v>
      </c>
      <c r="H829" s="21">
        <v>151000</v>
      </c>
      <c r="I829" s="4">
        <f>A829&amp;D829</f>
      </c>
      <c r="J829" s="4">
        <v>151000</v>
      </c>
      <c r="K829" s="4"/>
      <c r="L829" s="4"/>
      <c r="M829" s="4"/>
      <c r="N829" s="4"/>
      <c r="O829" s="4"/>
      <c r="P829" s="4"/>
      <c r="Q829" s="4"/>
      <c r="R829" s="4"/>
      <c r="S829" s="4"/>
    </row>
    <row r="830">
      <c r="A830" s="4">
        <v>52</v>
      </c>
      <c r="B830" s="4" t="str">
        <v>451 PVT</v>
      </c>
      <c r="C830" s="4" t="str">
        <v>DV_Gội</v>
      </c>
      <c r="D830" s="4">
        <v>1059</v>
      </c>
      <c r="E830" s="4" t="str">
        <v>Gội Combo 3 - Chăm da</v>
      </c>
      <c r="F830" s="21">
        <v>239000</v>
      </c>
      <c r="G830" s="21">
        <v>259000</v>
      </c>
      <c r="H830" s="21">
        <v>259000</v>
      </c>
      <c r="I830" s="4">
        <f>A830&amp;D830</f>
      </c>
      <c r="J830" s="4">
        <v>259000</v>
      </c>
      <c r="K830" s="4"/>
      <c r="L830" s="4"/>
      <c r="M830" s="4"/>
      <c r="N830" s="4"/>
      <c r="O830" s="4"/>
      <c r="P830" s="4"/>
      <c r="Q830" s="4"/>
      <c r="R830" s="4"/>
      <c r="S830" s="4"/>
    </row>
    <row r="831">
      <c r="A831" s="4">
        <v>52</v>
      </c>
      <c r="B831" s="4" t="str">
        <v>451 PVT</v>
      </c>
      <c r="C831" s="4" t="str">
        <v>DV_Gội</v>
      </c>
      <c r="D831" s="4">
        <v>1060</v>
      </c>
      <c r="E831" s="4" t="str">
        <v>Gội Combo 4</v>
      </c>
      <c r="F831" s="21">
        <v>289000</v>
      </c>
      <c r="G831" s="21">
        <v>314000</v>
      </c>
      <c r="H831" s="21">
        <v>314000</v>
      </c>
      <c r="I831" s="4">
        <f>A831&amp;D831</f>
      </c>
      <c r="J831" s="4">
        <v>314000</v>
      </c>
      <c r="K831" s="4"/>
      <c r="L831" s="4"/>
      <c r="M831" s="4"/>
      <c r="N831" s="4"/>
      <c r="O831" s="4"/>
      <c r="P831" s="4"/>
      <c r="Q831" s="4"/>
      <c r="R831" s="4"/>
      <c r="S831" s="4"/>
    </row>
    <row r="832">
      <c r="A832" s="4">
        <v>52</v>
      </c>
      <c r="B832" s="4" t="str">
        <v>451 PVT</v>
      </c>
      <c r="C832" s="4" t="str">
        <v>DV_Gội</v>
      </c>
      <c r="D832" s="4">
        <v>1066</v>
      </c>
      <c r="E832" s="4" t="str">
        <v>Gội trải nghiệm 75p</v>
      </c>
      <c r="F832" s="21">
        <v>449000</v>
      </c>
      <c r="G832" s="21">
        <v>487000</v>
      </c>
      <c r="H832" s="21">
        <v>487000</v>
      </c>
      <c r="I832" s="4">
        <f>A832&amp;D832</f>
      </c>
      <c r="J832" s="4">
        <v>487000</v>
      </c>
      <c r="K832" s="4"/>
      <c r="L832" s="4"/>
      <c r="M832" s="4"/>
      <c r="N832" s="4"/>
      <c r="O832" s="4"/>
      <c r="P832" s="4"/>
      <c r="Q832" s="4"/>
      <c r="R832" s="4"/>
      <c r="S832" s="4"/>
    </row>
    <row r="833">
      <c r="A833" s="4">
        <v>52</v>
      </c>
      <c r="B833" s="4" t="str">
        <v>451 PVT</v>
      </c>
      <c r="C833" s="4" t="str">
        <v>DV_Gội</v>
      </c>
      <c r="D833" s="4">
        <v>1067</v>
      </c>
      <c r="E833" s="4" t="str">
        <v>Gội trải nghiệm 90p</v>
      </c>
      <c r="F833" s="21">
        <v>789000</v>
      </c>
      <c r="G833" s="21">
        <v>856000</v>
      </c>
      <c r="H833" s="21">
        <v>856000</v>
      </c>
      <c r="I833" s="4">
        <f>A833&amp;D833</f>
      </c>
      <c r="J833" s="4">
        <v>856000</v>
      </c>
      <c r="K833" s="4"/>
      <c r="L833" s="4"/>
      <c r="M833" s="4"/>
      <c r="N833" s="4"/>
      <c r="O833" s="4"/>
      <c r="P833" s="4"/>
      <c r="Q833" s="4"/>
      <c r="R833" s="4"/>
      <c r="S833" s="4"/>
    </row>
    <row r="834">
      <c r="A834" s="4">
        <v>52</v>
      </c>
      <c r="B834" s="4" t="str">
        <v>451 PVT</v>
      </c>
      <c r="C834" s="4" t="str">
        <v>DV_Gội</v>
      </c>
      <c r="D834" s="4">
        <v>1068</v>
      </c>
      <c r="E834" s="4" t="str">
        <v>Gội trải nghiệm 115p</v>
      </c>
      <c r="F834" s="21">
        <v>999000</v>
      </c>
      <c r="G834" s="21">
        <v>1084000</v>
      </c>
      <c r="H834" s="21">
        <v>1084000</v>
      </c>
      <c r="I834" s="4">
        <f>A834&amp;D834</f>
      </c>
      <c r="J834" s="4">
        <v>1084000</v>
      </c>
      <c r="K834" s="4"/>
      <c r="L834" s="4"/>
      <c r="M834" s="4"/>
      <c r="N834" s="4"/>
      <c r="O834" s="4"/>
      <c r="P834" s="4"/>
      <c r="Q834" s="4"/>
      <c r="R834" s="4"/>
      <c r="S834" s="4"/>
    </row>
    <row r="835">
      <c r="A835" s="4">
        <v>52</v>
      </c>
      <c r="B835" s="4" t="str">
        <v>451 PVT</v>
      </c>
      <c r="C835" s="4" t="str">
        <v>DV_Gội</v>
      </c>
      <c r="D835" s="4">
        <v>1240</v>
      </c>
      <c r="E835" s="4" t="str">
        <v>Gội Detox Scalp Pro</v>
      </c>
      <c r="F835" s="21">
        <v>179000</v>
      </c>
      <c r="G835" s="21">
        <v>194000</v>
      </c>
      <c r="H835" s="21">
        <v>194000</v>
      </c>
      <c r="I835" s="4">
        <f>A835&amp;D835</f>
      </c>
      <c r="J835" s="4">
        <v>194000</v>
      </c>
      <c r="K835" s="4"/>
      <c r="L835" s="4"/>
      <c r="M835" s="4"/>
      <c r="N835" s="4"/>
      <c r="O835" s="4"/>
      <c r="P835" s="4"/>
      <c r="Q835" s="4"/>
      <c r="R835" s="4"/>
      <c r="S835" s="4"/>
    </row>
    <row r="836">
      <c r="A836" s="4">
        <v>46</v>
      </c>
      <c r="B836" s="4" t="str">
        <v>483 TN</v>
      </c>
      <c r="C836" s="4" t="str">
        <v>DV_Cắt</v>
      </c>
      <c r="D836" s="4">
        <v>513</v>
      </c>
      <c r="E836" s="4" t="str">
        <v>[DV] ShineCombo 10 bước Ultra Care 2023</v>
      </c>
      <c r="F836" s="21">
        <v>122000</v>
      </c>
      <c r="G836" s="21">
        <v>122000</v>
      </c>
      <c r="H836" s="21">
        <v>122000</v>
      </c>
      <c r="I836" s="4">
        <f>A836&amp;D836</f>
      </c>
      <c r="J836" s="4">
        <v>122000</v>
      </c>
      <c r="K836" s="4"/>
      <c r="L836" s="4"/>
      <c r="M836" s="4"/>
      <c r="N836" s="4"/>
      <c r="O836" s="4"/>
      <c r="P836" s="4"/>
      <c r="Q836" s="4"/>
      <c r="R836" s="4"/>
      <c r="S836" s="4"/>
    </row>
    <row r="837">
      <c r="A837" s="4">
        <v>46</v>
      </c>
      <c r="B837" s="4" t="str">
        <v>483 TN</v>
      </c>
      <c r="C837" s="4" t="str">
        <v>DV_Cắt</v>
      </c>
      <c r="D837" s="4">
        <v>891</v>
      </c>
      <c r="E837" s="4" t="str">
        <v>Cắt xả tạo kiểu</v>
      </c>
      <c r="F837" s="21">
        <v>94000</v>
      </c>
      <c r="G837" s="21">
        <v>102000</v>
      </c>
      <c r="H837" s="21">
        <v>102000</v>
      </c>
      <c r="I837" s="4">
        <f>A837&amp;D837</f>
      </c>
      <c r="J837" s="4">
        <v>102000</v>
      </c>
      <c r="K837" s="4"/>
      <c r="L837" s="4"/>
      <c r="M837" s="4"/>
      <c r="N837" s="4"/>
      <c r="O837" s="4"/>
      <c r="P837" s="4"/>
      <c r="Q837" s="4"/>
      <c r="R837" s="4"/>
      <c r="S837" s="4"/>
    </row>
    <row r="838">
      <c r="A838" s="4">
        <v>46</v>
      </c>
      <c r="B838" s="4" t="str">
        <v>483 TN</v>
      </c>
      <c r="C838" s="4" t="str">
        <v>DV_Cắt</v>
      </c>
      <c r="D838" s="4">
        <v>1002</v>
      </c>
      <c r="E838" s="4" t="str">
        <v>Kid Cắt</v>
      </c>
      <c r="F838" s="21">
        <v>75000</v>
      </c>
      <c r="G838" s="21">
        <v>81000</v>
      </c>
      <c r="H838" s="21">
        <v>81000</v>
      </c>
      <c r="I838" s="4">
        <f>A838&amp;D838</f>
      </c>
      <c r="J838" s="4">
        <v>81000</v>
      </c>
      <c r="K838" s="4"/>
      <c r="L838" s="4"/>
      <c r="M838" s="4"/>
      <c r="N838" s="4"/>
      <c r="O838" s="4"/>
      <c r="P838" s="4"/>
      <c r="Q838" s="4"/>
      <c r="R838" s="4"/>
      <c r="S838" s="4"/>
    </row>
    <row r="839">
      <c r="A839" s="4">
        <v>46</v>
      </c>
      <c r="B839" s="4" t="str">
        <v>483 TN</v>
      </c>
      <c r="C839" s="4" t="str">
        <v>DV_Cắt</v>
      </c>
      <c r="D839" s="4">
        <v>1070</v>
      </c>
      <c r="E839" s="4" t="str">
        <v>Combo Cắt gội Kid</v>
      </c>
      <c r="F839" s="21">
        <v>100000</v>
      </c>
      <c r="G839" s="21">
        <v>109000</v>
      </c>
      <c r="H839" s="21">
        <v>109000</v>
      </c>
      <c r="I839" s="4">
        <f>A839&amp;D839</f>
      </c>
      <c r="J839" s="4">
        <v>109000</v>
      </c>
      <c r="K839" s="4"/>
      <c r="L839" s="4"/>
      <c r="M839" s="4"/>
      <c r="N839" s="4"/>
      <c r="O839" s="4"/>
      <c r="P839" s="4"/>
      <c r="Q839" s="4"/>
      <c r="R839" s="4"/>
      <c r="S839" s="4"/>
    </row>
    <row r="840">
      <c r="A840" s="4">
        <v>46</v>
      </c>
      <c r="B840" s="4" t="str">
        <v>483 TN</v>
      </c>
      <c r="C840" s="4" t="str">
        <v>DV_Cắt_Vip</v>
      </c>
      <c r="D840" s="4">
        <v>1046</v>
      </c>
      <c r="E840" s="4" t="str">
        <v>Shinecombo 2</v>
      </c>
      <c r="F840" s="21">
        <v>199000</v>
      </c>
      <c r="G840" s="21">
        <v>216000</v>
      </c>
      <c r="H840" s="21">
        <v>216000</v>
      </c>
      <c r="I840" s="4">
        <f>A840&amp;D840</f>
      </c>
      <c r="J840" s="4">
        <v>216000</v>
      </c>
      <c r="K840" s="4"/>
      <c r="L840" s="4"/>
      <c r="M840" s="4"/>
      <c r="N840" s="4"/>
      <c r="O840" s="4"/>
      <c r="P840" s="4"/>
      <c r="Q840" s="4"/>
      <c r="R840" s="4"/>
      <c r="S840" s="4"/>
    </row>
    <row r="841">
      <c r="A841" s="4">
        <v>46</v>
      </c>
      <c r="B841" s="4" t="str">
        <v>483 TN</v>
      </c>
      <c r="C841" s="4" t="str">
        <v>DV_Cắt_Vip</v>
      </c>
      <c r="D841" s="4">
        <v>1047</v>
      </c>
      <c r="E841" s="4" t="str">
        <v>Cắt Gội Combo 3 - Chăm da</v>
      </c>
      <c r="F841" s="21">
        <v>299000</v>
      </c>
      <c r="G841" s="21">
        <v>324000</v>
      </c>
      <c r="H841" s="21">
        <v>324000</v>
      </c>
      <c r="I841" s="4">
        <f>A841&amp;D841</f>
      </c>
      <c r="J841" s="4">
        <v>324000</v>
      </c>
      <c r="K841" s="4"/>
      <c r="L841" s="4"/>
      <c r="M841" s="4"/>
      <c r="N841" s="4"/>
      <c r="O841" s="4"/>
      <c r="P841" s="4"/>
      <c r="Q841" s="4"/>
      <c r="R841" s="4"/>
      <c r="S841" s="4"/>
    </row>
    <row r="842">
      <c r="A842" s="4">
        <v>46</v>
      </c>
      <c r="B842" s="4" t="str">
        <v>483 TN</v>
      </c>
      <c r="C842" s="4" t="str">
        <v>DV_Cắt_Vip</v>
      </c>
      <c r="D842" s="4">
        <v>1048</v>
      </c>
      <c r="E842" s="4" t="str">
        <v>Combo 4</v>
      </c>
      <c r="F842" s="21">
        <v>389000</v>
      </c>
      <c r="G842" s="21">
        <v>422000</v>
      </c>
      <c r="H842" s="21">
        <v>422000</v>
      </c>
      <c r="I842" s="4">
        <f>A842&amp;D842</f>
      </c>
      <c r="J842" s="4">
        <v>422000</v>
      </c>
      <c r="K842" s="4"/>
      <c r="L842" s="4"/>
      <c r="M842" s="4"/>
      <c r="N842" s="4"/>
      <c r="O842" s="4"/>
      <c r="P842" s="4"/>
      <c r="Q842" s="4"/>
      <c r="R842" s="4"/>
      <c r="S842" s="4"/>
    </row>
    <row r="843">
      <c r="A843" s="4">
        <v>46</v>
      </c>
      <c r="B843" s="4" t="str">
        <v>483 TN</v>
      </c>
      <c r="C843" s="4" t="str">
        <v>DV_Cắt_Vip</v>
      </c>
      <c r="D843" s="4">
        <v>1064</v>
      </c>
      <c r="E843" s="4" t="str">
        <v>Cắt Gội Combo 5 - Dưỡng sinh</v>
      </c>
      <c r="F843" s="21">
        <v>459000</v>
      </c>
      <c r="G843" s="21">
        <v>498000</v>
      </c>
      <c r="H843" s="21">
        <v>498000</v>
      </c>
      <c r="I843" s="4">
        <f>A843&amp;D843</f>
      </c>
      <c r="J843" s="4">
        <v>498000</v>
      </c>
      <c r="K843" s="4"/>
      <c r="L843" s="4"/>
      <c r="M843" s="4"/>
      <c r="N843" s="4"/>
      <c r="O843" s="4"/>
      <c r="P843" s="4"/>
      <c r="Q843" s="4"/>
      <c r="R843" s="4"/>
      <c r="S843" s="4"/>
    </row>
    <row r="844">
      <c r="A844" s="4">
        <v>46</v>
      </c>
      <c r="B844" s="4" t="str">
        <v>483 TN</v>
      </c>
      <c r="C844" s="4" t="str">
        <v>DV_Cắt_Vip</v>
      </c>
      <c r="D844" s="4">
        <v>1065</v>
      </c>
      <c r="E844" s="4" t="str">
        <v>Cắt Gội Combo 3 - Dưỡng sinh</v>
      </c>
      <c r="F844" s="21">
        <v>299000</v>
      </c>
      <c r="G844" s="21">
        <v>324000</v>
      </c>
      <c r="H844" s="21">
        <v>324000</v>
      </c>
      <c r="I844" s="4">
        <f>A844&amp;D844</f>
      </c>
      <c r="J844" s="4">
        <v>324000</v>
      </c>
      <c r="K844" s="4"/>
      <c r="L844" s="4"/>
      <c r="M844" s="4"/>
      <c r="N844" s="4"/>
      <c r="O844" s="4"/>
      <c r="P844" s="4"/>
      <c r="Q844" s="4"/>
      <c r="R844" s="4"/>
      <c r="S844" s="4"/>
    </row>
    <row r="845">
      <c r="A845" s="4">
        <v>46</v>
      </c>
      <c r="B845" s="4" t="str">
        <v>483 TN</v>
      </c>
      <c r="C845" s="4" t="str">
        <v>DV_Gội</v>
      </c>
      <c r="D845" s="4">
        <v>867</v>
      </c>
      <c r="E845" s="4" t="str">
        <v>Gội dưỡng sinh cổ vai gáy</v>
      </c>
      <c r="F845" s="21">
        <v>99000</v>
      </c>
      <c r="G845" s="21">
        <v>107000</v>
      </c>
      <c r="H845" s="21">
        <v>107000</v>
      </c>
      <c r="I845" s="4">
        <f>A845&amp;D845</f>
      </c>
      <c r="J845" s="4">
        <v>107000</v>
      </c>
      <c r="K845" s="4"/>
      <c r="L845" s="4"/>
      <c r="M845" s="4"/>
      <c r="N845" s="4"/>
      <c r="O845" s="4"/>
      <c r="P845" s="4"/>
      <c r="Q845" s="4"/>
      <c r="R845" s="4"/>
      <c r="S845" s="4"/>
    </row>
    <row r="846">
      <c r="A846" s="4">
        <v>46</v>
      </c>
      <c r="B846" s="4" t="str">
        <v>483 TN</v>
      </c>
      <c r="C846" s="4" t="str">
        <v>DV_Gội</v>
      </c>
      <c r="D846" s="4">
        <v>930</v>
      </c>
      <c r="E846" s="4" t="str">
        <v>[NEW] Gội dưỡng sinh cổ vai gáy và chăm sóc da</v>
      </c>
      <c r="F846" s="21">
        <v>139000</v>
      </c>
      <c r="G846" s="21">
        <v>151000</v>
      </c>
      <c r="H846" s="21">
        <v>151000</v>
      </c>
      <c r="I846" s="4">
        <f>A846&amp;D846</f>
      </c>
      <c r="J846" s="4">
        <v>151000</v>
      </c>
      <c r="K846" s="4"/>
      <c r="L846" s="4"/>
      <c r="M846" s="4"/>
      <c r="N846" s="4"/>
      <c r="O846" s="4"/>
      <c r="P846" s="4"/>
      <c r="Q846" s="4"/>
      <c r="R846" s="4"/>
      <c r="S846" s="4"/>
    </row>
    <row r="847">
      <c r="A847" s="4">
        <v>46</v>
      </c>
      <c r="B847" s="4" t="str">
        <v>483 TN</v>
      </c>
      <c r="C847" s="4" t="str">
        <v>DV_Gội</v>
      </c>
      <c r="D847" s="4">
        <v>934</v>
      </c>
      <c r="E847" s="4" t="str">
        <v>Gội combo 3 - Dưỡng sinh</v>
      </c>
      <c r="F847" s="21">
        <v>229000</v>
      </c>
      <c r="G847" s="21">
        <v>248000</v>
      </c>
      <c r="H847" s="21">
        <v>248000</v>
      </c>
      <c r="I847" s="4">
        <f>A847&amp;D847</f>
      </c>
      <c r="J847" s="4">
        <v>248000</v>
      </c>
      <c r="K847" s="4"/>
      <c r="L847" s="4"/>
      <c r="M847" s="4"/>
      <c r="N847" s="4"/>
      <c r="O847" s="4"/>
      <c r="P847" s="4"/>
      <c r="Q847" s="4"/>
      <c r="R847" s="4"/>
      <c r="S847" s="4"/>
    </row>
    <row r="848">
      <c r="A848" s="4">
        <v>46</v>
      </c>
      <c r="B848" s="4" t="str">
        <v>483 TN</v>
      </c>
      <c r="C848" s="4" t="str">
        <v>DV_Gội</v>
      </c>
      <c r="D848" s="4">
        <v>940</v>
      </c>
      <c r="E848" s="4" t="str">
        <v>[NEW] Gội dưỡng sinh</v>
      </c>
      <c r="F848" s="21">
        <v>59000</v>
      </c>
      <c r="G848" s="21">
        <v>64000</v>
      </c>
      <c r="H848" s="21">
        <v>64000</v>
      </c>
      <c r="I848" s="4">
        <f>A848&amp;D848</f>
      </c>
      <c r="J848" s="4">
        <v>64000</v>
      </c>
      <c r="K848" s="4"/>
      <c r="L848" s="4"/>
      <c r="M848" s="4"/>
      <c r="N848" s="4"/>
      <c r="O848" s="4"/>
      <c r="P848" s="4"/>
      <c r="Q848" s="4"/>
      <c r="R848" s="4"/>
      <c r="S848" s="4"/>
    </row>
    <row r="849">
      <c r="A849" s="4">
        <v>46</v>
      </c>
      <c r="B849" s="4" t="str">
        <v>483 TN</v>
      </c>
      <c r="C849" s="4" t="str">
        <v>DV_Gội</v>
      </c>
      <c r="D849" s="4">
        <v>1058</v>
      </c>
      <c r="E849" s="4" t="str">
        <v>Gội Combo 2</v>
      </c>
      <c r="F849" s="21">
        <v>159000</v>
      </c>
      <c r="G849" s="21">
        <v>173000</v>
      </c>
      <c r="H849" s="21">
        <v>173000</v>
      </c>
      <c r="I849" s="4">
        <f>A849&amp;D849</f>
      </c>
      <c r="J849" s="4">
        <v>173000</v>
      </c>
      <c r="K849" s="4"/>
      <c r="L849" s="4"/>
      <c r="M849" s="4"/>
      <c r="N849" s="4"/>
      <c r="O849" s="4"/>
      <c r="P849" s="4"/>
      <c r="Q849" s="4"/>
      <c r="R849" s="4"/>
      <c r="S849" s="4"/>
    </row>
    <row r="850">
      <c r="A850" s="4">
        <v>46</v>
      </c>
      <c r="B850" s="4" t="str">
        <v>483 TN</v>
      </c>
      <c r="C850" s="4" t="str">
        <v>DV_Gội</v>
      </c>
      <c r="D850" s="4">
        <v>1059</v>
      </c>
      <c r="E850" s="4" t="str">
        <v>Gội Combo 3 - Chăm da</v>
      </c>
      <c r="F850" s="21">
        <v>239000</v>
      </c>
      <c r="G850" s="21">
        <v>259000</v>
      </c>
      <c r="H850" s="21">
        <v>259000</v>
      </c>
      <c r="I850" s="4">
        <f>A850&amp;D850</f>
      </c>
      <c r="J850" s="4">
        <v>259000</v>
      </c>
      <c r="K850" s="4"/>
      <c r="L850" s="4"/>
      <c r="M850" s="4"/>
      <c r="N850" s="4"/>
      <c r="O850" s="4"/>
      <c r="P850" s="4"/>
      <c r="Q850" s="4"/>
      <c r="R850" s="4"/>
      <c r="S850" s="4"/>
    </row>
    <row r="851">
      <c r="A851" s="4">
        <v>46</v>
      </c>
      <c r="B851" s="4" t="str">
        <v>483 TN</v>
      </c>
      <c r="C851" s="4" t="str">
        <v>DV_Gội</v>
      </c>
      <c r="D851" s="4">
        <v>1060</v>
      </c>
      <c r="E851" s="4" t="str">
        <v>Gội Combo 4</v>
      </c>
      <c r="F851" s="21">
        <v>289000</v>
      </c>
      <c r="G851" s="21">
        <v>316000</v>
      </c>
      <c r="H851" s="21">
        <v>316000</v>
      </c>
      <c r="I851" s="4">
        <f>A851&amp;D851</f>
      </c>
      <c r="J851" s="4">
        <v>316000</v>
      </c>
      <c r="K851" s="4"/>
      <c r="L851" s="4"/>
      <c r="M851" s="4"/>
      <c r="N851" s="4"/>
      <c r="O851" s="4"/>
      <c r="P851" s="4"/>
      <c r="Q851" s="4"/>
      <c r="R851" s="4"/>
      <c r="S851" s="4"/>
    </row>
    <row r="852">
      <c r="A852" s="4">
        <v>46</v>
      </c>
      <c r="B852" s="4" t="str">
        <v>483 TN</v>
      </c>
      <c r="C852" s="4" t="str">
        <v>DV_Gội</v>
      </c>
      <c r="D852" s="4">
        <v>1061</v>
      </c>
      <c r="E852" s="4" t="str">
        <v>Gội Combo 5 - Chăm da</v>
      </c>
      <c r="F852" s="21">
        <v>359000</v>
      </c>
      <c r="G852" s="21">
        <v>390000</v>
      </c>
      <c r="H852" s="21">
        <v>390000</v>
      </c>
      <c r="I852" s="4">
        <f>A852&amp;D852</f>
      </c>
      <c r="J852" s="4">
        <v>390000</v>
      </c>
      <c r="K852" s="4"/>
      <c r="L852" s="4"/>
      <c r="M852" s="4"/>
      <c r="N852" s="4"/>
      <c r="O852" s="4"/>
      <c r="P852" s="4"/>
      <c r="Q852" s="4"/>
      <c r="R852" s="4"/>
      <c r="S852" s="4"/>
    </row>
    <row r="853">
      <c r="A853" s="4">
        <v>46</v>
      </c>
      <c r="B853" s="4" t="str">
        <v>483 TN</v>
      </c>
      <c r="C853" s="4" t="str">
        <v>DV_Gội</v>
      </c>
      <c r="D853" s="4">
        <v>1066</v>
      </c>
      <c r="E853" s="4" t="str">
        <v>Gội trải nghiệm 75p</v>
      </c>
      <c r="F853" s="21">
        <v>589000</v>
      </c>
      <c r="G853" s="21">
        <v>639000</v>
      </c>
      <c r="H853" s="21">
        <v>639000</v>
      </c>
      <c r="I853" s="4">
        <f>A853&amp;D853</f>
      </c>
      <c r="J853" s="4">
        <v>639000</v>
      </c>
      <c r="K853" s="4"/>
      <c r="L853" s="4"/>
      <c r="M853" s="4"/>
      <c r="N853" s="4"/>
      <c r="O853" s="4"/>
      <c r="P853" s="4"/>
      <c r="Q853" s="4"/>
      <c r="R853" s="4"/>
      <c r="S853" s="4"/>
    </row>
    <row r="854">
      <c r="A854" s="4">
        <v>46</v>
      </c>
      <c r="B854" s="4" t="str">
        <v>483 TN</v>
      </c>
      <c r="C854" s="4" t="str">
        <v>DV_Gội</v>
      </c>
      <c r="D854" s="4">
        <v>1067</v>
      </c>
      <c r="E854" s="4" t="str">
        <v>Gội trải nghiệm 90p</v>
      </c>
      <c r="F854" s="21">
        <v>789000</v>
      </c>
      <c r="G854" s="21">
        <v>856000</v>
      </c>
      <c r="H854" s="21">
        <v>856000</v>
      </c>
      <c r="I854" s="4">
        <f>A854&amp;D854</f>
      </c>
      <c r="J854" s="4">
        <v>856000</v>
      </c>
      <c r="K854" s="4"/>
      <c r="L854" s="4"/>
      <c r="M854" s="4"/>
      <c r="N854" s="4"/>
      <c r="O854" s="4"/>
      <c r="P854" s="4"/>
      <c r="Q854" s="4"/>
      <c r="R854" s="4"/>
      <c r="S854" s="4"/>
    </row>
    <row r="855">
      <c r="A855" s="4">
        <v>46</v>
      </c>
      <c r="B855" s="4" t="str">
        <v>483 TN</v>
      </c>
      <c r="C855" s="4" t="str">
        <v>DV_Gội</v>
      </c>
      <c r="D855" s="4">
        <v>1068</v>
      </c>
      <c r="E855" s="4" t="str">
        <v>Gội trải nghiệm 115p</v>
      </c>
      <c r="F855" s="21">
        <v>999000</v>
      </c>
      <c r="G855" s="21">
        <v>1084000</v>
      </c>
      <c r="H855" s="21">
        <v>1084000</v>
      </c>
      <c r="I855" s="4">
        <f>A855&amp;D855</f>
      </c>
      <c r="J855" s="4">
        <v>1084000</v>
      </c>
      <c r="K855" s="4"/>
      <c r="L855" s="4"/>
      <c r="M855" s="4"/>
      <c r="N855" s="4"/>
      <c r="O855" s="4"/>
      <c r="P855" s="4"/>
      <c r="Q855" s="4"/>
      <c r="R855" s="4"/>
      <c r="S855" s="4"/>
    </row>
    <row r="856">
      <c r="A856" s="4">
        <v>179</v>
      </c>
      <c r="B856" s="4" t="str">
        <v>50BT4 NPC LD</v>
      </c>
      <c r="C856" s="4" t="str">
        <v>DV_Cắt</v>
      </c>
      <c r="D856" s="4">
        <v>513</v>
      </c>
      <c r="E856" s="4" t="str">
        <v>[DV] ShineCombo 10 bước Ultra Care 2023</v>
      </c>
      <c r="F856" s="21">
        <v>122000</v>
      </c>
      <c r="G856" s="21">
        <v>122000</v>
      </c>
      <c r="H856" s="21">
        <v>122000</v>
      </c>
      <c r="I856" s="4">
        <f>A856&amp;D856</f>
      </c>
      <c r="J856" s="4">
        <v>122000</v>
      </c>
      <c r="K856" s="4"/>
      <c r="L856" s="4"/>
      <c r="M856" s="4"/>
      <c r="N856" s="4"/>
      <c r="O856" s="4"/>
      <c r="P856" s="4"/>
      <c r="Q856" s="4"/>
      <c r="R856" s="4"/>
      <c r="S856" s="4"/>
    </row>
    <row r="857">
      <c r="A857" s="4">
        <v>179</v>
      </c>
      <c r="B857" s="4" t="str">
        <v>50BT4 NPC LD</v>
      </c>
      <c r="C857" s="4" t="str">
        <v>DV_Cắt</v>
      </c>
      <c r="D857" s="4">
        <v>891</v>
      </c>
      <c r="E857" s="4" t="str">
        <v>Cắt xả tạo kiểu</v>
      </c>
      <c r="F857" s="21">
        <v>94000</v>
      </c>
      <c r="G857" s="21">
        <v>94000</v>
      </c>
      <c r="H857" s="21">
        <v>94000</v>
      </c>
      <c r="I857" s="4">
        <f>A857&amp;D857</f>
      </c>
      <c r="J857" s="4">
        <v>94000</v>
      </c>
      <c r="K857" s="4"/>
      <c r="L857" s="4"/>
      <c r="M857" s="4"/>
      <c r="N857" s="4"/>
      <c r="O857" s="4"/>
      <c r="P857" s="4"/>
      <c r="Q857" s="4"/>
      <c r="R857" s="4"/>
      <c r="S857" s="4"/>
    </row>
    <row r="858">
      <c r="A858" s="4">
        <v>179</v>
      </c>
      <c r="B858" s="4" t="str">
        <v>50BT4 NPC LD</v>
      </c>
      <c r="C858" s="4" t="str">
        <v>DV_Cắt</v>
      </c>
      <c r="D858" s="4">
        <v>1002</v>
      </c>
      <c r="E858" s="4" t="str">
        <v>Kid Cắt</v>
      </c>
      <c r="F858" s="21">
        <v>75000</v>
      </c>
      <c r="G858" s="21">
        <v>75000</v>
      </c>
      <c r="H858" s="21">
        <v>75000</v>
      </c>
      <c r="I858" s="4">
        <f>A858&amp;D858</f>
      </c>
      <c r="J858" s="4">
        <v>75000</v>
      </c>
      <c r="K858" s="4"/>
      <c r="L858" s="4"/>
      <c r="M858" s="4"/>
      <c r="N858" s="4"/>
      <c r="O858" s="4"/>
      <c r="P858" s="4"/>
      <c r="Q858" s="4"/>
      <c r="R858" s="4"/>
      <c r="S858" s="4"/>
    </row>
    <row r="859">
      <c r="A859" s="4">
        <v>179</v>
      </c>
      <c r="B859" s="4" t="str">
        <v>50BT4 NPC LD</v>
      </c>
      <c r="C859" s="4" t="str">
        <v>DV_Cắt</v>
      </c>
      <c r="D859" s="4">
        <v>1070</v>
      </c>
      <c r="E859" s="4" t="str">
        <v>Combo Cắt gội Kid</v>
      </c>
      <c r="F859" s="21">
        <v>100000</v>
      </c>
      <c r="G859" s="21">
        <v>100000</v>
      </c>
      <c r="H859" s="21">
        <v>100000</v>
      </c>
      <c r="I859" s="4">
        <f>A859&amp;D859</f>
      </c>
      <c r="J859" s="4">
        <v>100000</v>
      </c>
      <c r="K859" s="4"/>
      <c r="L859" s="4"/>
      <c r="M859" s="4"/>
      <c r="N859" s="4"/>
      <c r="O859" s="4"/>
      <c r="P859" s="4"/>
      <c r="Q859" s="4"/>
      <c r="R859" s="4"/>
      <c r="S859" s="4"/>
    </row>
    <row r="860">
      <c r="A860" s="4">
        <v>179</v>
      </c>
      <c r="B860" s="4" t="str">
        <v>50BT4 NPC LD</v>
      </c>
      <c r="C860" s="4" t="str">
        <v>DV_Cắt_Vip</v>
      </c>
      <c r="D860" s="4">
        <v>1046</v>
      </c>
      <c r="E860" s="4" t="str">
        <v>Shinecombo 2</v>
      </c>
      <c r="F860" s="21">
        <v>199000</v>
      </c>
      <c r="G860" s="21">
        <v>199000</v>
      </c>
      <c r="H860" s="21">
        <v>199000</v>
      </c>
      <c r="I860" s="4">
        <f>A860&amp;D860</f>
      </c>
      <c r="J860" s="4">
        <v>199000</v>
      </c>
      <c r="K860" s="4"/>
      <c r="L860" s="4"/>
      <c r="M860" s="4"/>
      <c r="N860" s="4"/>
      <c r="O860" s="4"/>
      <c r="P860" s="4"/>
      <c r="Q860" s="4"/>
      <c r="R860" s="4"/>
      <c r="S860" s="4"/>
    </row>
    <row r="861">
      <c r="A861" s="4">
        <v>179</v>
      </c>
      <c r="B861" s="4" t="str">
        <v>50BT4 NPC LD</v>
      </c>
      <c r="C861" s="4" t="str">
        <v>DV_Cắt_Vip</v>
      </c>
      <c r="D861" s="4">
        <v>1047</v>
      </c>
      <c r="E861" s="4" t="str">
        <v>Cắt Gội Combo 3 - Chăm da</v>
      </c>
      <c r="F861" s="21">
        <v>299000</v>
      </c>
      <c r="G861" s="21">
        <v>299000</v>
      </c>
      <c r="H861" s="21">
        <v>299000</v>
      </c>
      <c r="I861" s="4">
        <f>A861&amp;D861</f>
      </c>
      <c r="J861" s="4">
        <v>299000</v>
      </c>
      <c r="K861" s="4"/>
      <c r="L861" s="4"/>
      <c r="M861" s="4"/>
      <c r="N861" s="4"/>
      <c r="O861" s="4"/>
      <c r="P861" s="4"/>
      <c r="Q861" s="4"/>
      <c r="R861" s="4"/>
      <c r="S861" s="4"/>
    </row>
    <row r="862">
      <c r="A862" s="4">
        <v>179</v>
      </c>
      <c r="B862" s="4" t="str">
        <v>50BT4 NPC LD</v>
      </c>
      <c r="C862" s="4" t="str">
        <v>DV_Cắt_Vip</v>
      </c>
      <c r="D862" s="4">
        <v>1048</v>
      </c>
      <c r="E862" s="4" t="str">
        <v>Combo 4</v>
      </c>
      <c r="F862" s="21">
        <v>389000</v>
      </c>
      <c r="G862" s="21">
        <v>389000</v>
      </c>
      <c r="H862" s="21">
        <v>389000</v>
      </c>
      <c r="I862" s="4">
        <f>A862&amp;D862</f>
      </c>
      <c r="J862" s="4">
        <v>389000</v>
      </c>
      <c r="K862" s="4"/>
      <c r="L862" s="4"/>
      <c r="M862" s="4"/>
      <c r="N862" s="4"/>
      <c r="O862" s="4"/>
      <c r="P862" s="4"/>
      <c r="Q862" s="4"/>
      <c r="R862" s="4"/>
      <c r="S862" s="4"/>
    </row>
    <row r="863">
      <c r="A863" s="4">
        <v>179</v>
      </c>
      <c r="B863" s="4" t="str">
        <v>50BT4 NPC LD</v>
      </c>
      <c r="C863" s="4" t="str">
        <v>DV_Cắt_Vip</v>
      </c>
      <c r="D863" s="4">
        <v>1064</v>
      </c>
      <c r="E863" s="4" t="str">
        <v>Cắt Gội Combo 5 - Dưỡng sinh</v>
      </c>
      <c r="F863" s="21">
        <v>459000</v>
      </c>
      <c r="G863" s="21">
        <v>459000</v>
      </c>
      <c r="H863" s="21">
        <v>459000</v>
      </c>
      <c r="I863" s="4">
        <f>A863&amp;D863</f>
      </c>
      <c r="J863" s="4">
        <v>459000</v>
      </c>
      <c r="K863" s="4"/>
      <c r="L863" s="4"/>
      <c r="M863" s="4"/>
      <c r="N863" s="4"/>
      <c r="O863" s="4"/>
      <c r="P863" s="4"/>
      <c r="Q863" s="4"/>
      <c r="R863" s="4"/>
      <c r="S863" s="4"/>
    </row>
    <row r="864">
      <c r="A864" s="4">
        <v>179</v>
      </c>
      <c r="B864" s="4" t="str">
        <v>50BT4 NPC LD</v>
      </c>
      <c r="C864" s="4" t="str">
        <v>DV_Cắt_Vip</v>
      </c>
      <c r="D864" s="4">
        <v>1065</v>
      </c>
      <c r="E864" s="4" t="str">
        <v>Cắt Gội Combo 3 - Dưỡng sinh</v>
      </c>
      <c r="F864" s="21">
        <v>299000</v>
      </c>
      <c r="G864" s="21">
        <v>299000</v>
      </c>
      <c r="H864" s="21">
        <v>299000</v>
      </c>
      <c r="I864" s="4">
        <f>A864&amp;D864</f>
      </c>
      <c r="J864" s="4">
        <v>299000</v>
      </c>
      <c r="K864" s="4"/>
      <c r="L864" s="4"/>
      <c r="M864" s="4"/>
      <c r="N864" s="4"/>
      <c r="O864" s="4"/>
      <c r="P864" s="4"/>
      <c r="Q864" s="4"/>
      <c r="R864" s="4"/>
      <c r="S864" s="4"/>
    </row>
    <row r="865">
      <c r="A865" s="4">
        <v>179</v>
      </c>
      <c r="B865" s="4" t="str">
        <v>50BT4 NPC LD</v>
      </c>
      <c r="C865" s="4" t="str">
        <v>DV_Gội</v>
      </c>
      <c r="D865" s="4">
        <v>867</v>
      </c>
      <c r="E865" s="4" t="str">
        <v>Gội dưỡng sinh cổ vai gáy</v>
      </c>
      <c r="F865" s="21">
        <v>99000</v>
      </c>
      <c r="G865" s="21">
        <v>99000</v>
      </c>
      <c r="H865" s="21">
        <v>99000</v>
      </c>
      <c r="I865" s="4">
        <f>A865&amp;D865</f>
      </c>
      <c r="J865" s="4">
        <v>99000</v>
      </c>
      <c r="K865" s="4"/>
      <c r="L865" s="4"/>
      <c r="M865" s="4"/>
      <c r="N865" s="4"/>
      <c r="O865" s="4"/>
      <c r="P865" s="4"/>
      <c r="Q865" s="4"/>
      <c r="R865" s="4"/>
      <c r="S865" s="4"/>
    </row>
    <row r="866">
      <c r="A866" s="4">
        <v>179</v>
      </c>
      <c r="B866" s="4" t="str">
        <v>50BT4 NPC LD</v>
      </c>
      <c r="C866" s="4" t="str">
        <v>DV_Gội</v>
      </c>
      <c r="D866" s="4">
        <v>930</v>
      </c>
      <c r="E866" s="4" t="str">
        <v>[NEW] Gội dưỡng sinh cổ vai gáy và chăm sóc da</v>
      </c>
      <c r="F866" s="21">
        <v>139000</v>
      </c>
      <c r="G866" s="21">
        <v>139000</v>
      </c>
      <c r="H866" s="21">
        <v>139000</v>
      </c>
      <c r="I866" s="4">
        <f>A866&amp;D866</f>
      </c>
      <c r="J866" s="4">
        <v>139000</v>
      </c>
      <c r="K866" s="4"/>
      <c r="L866" s="4"/>
      <c r="M866" s="4"/>
      <c r="N866" s="4"/>
      <c r="O866" s="4"/>
      <c r="P866" s="4"/>
      <c r="Q866" s="4"/>
      <c r="R866" s="4"/>
      <c r="S866" s="4"/>
    </row>
    <row r="867">
      <c r="A867" s="4">
        <v>179</v>
      </c>
      <c r="B867" s="4" t="str">
        <v>50BT4 NPC LD</v>
      </c>
      <c r="C867" s="4" t="str">
        <v>DV_Gội</v>
      </c>
      <c r="D867" s="4">
        <v>934</v>
      </c>
      <c r="E867" s="4" t="str">
        <v>Gội combo 3 - Dưỡng sinh</v>
      </c>
      <c r="F867" s="21">
        <v>229000</v>
      </c>
      <c r="G867" s="21">
        <v>229000</v>
      </c>
      <c r="H867" s="21">
        <v>229000</v>
      </c>
      <c r="I867" s="4">
        <f>A867&amp;D867</f>
      </c>
      <c r="J867" s="4">
        <v>229000</v>
      </c>
      <c r="K867" s="4"/>
      <c r="L867" s="4"/>
      <c r="M867" s="4"/>
      <c r="N867" s="4"/>
      <c r="O867" s="4"/>
      <c r="P867" s="4"/>
      <c r="Q867" s="4"/>
      <c r="R867" s="4"/>
      <c r="S867" s="4"/>
    </row>
    <row r="868">
      <c r="A868" s="4">
        <v>179</v>
      </c>
      <c r="B868" s="4" t="str">
        <v>50BT4 NPC LD</v>
      </c>
      <c r="C868" s="4" t="str">
        <v>DV_Gội</v>
      </c>
      <c r="D868" s="4">
        <v>940</v>
      </c>
      <c r="E868" s="4" t="str">
        <v>[NEW] Gội dưỡng sinh</v>
      </c>
      <c r="F868" s="21">
        <v>59000</v>
      </c>
      <c r="G868" s="21">
        <v>59000</v>
      </c>
      <c r="H868" s="21">
        <v>59000</v>
      </c>
      <c r="I868" s="4">
        <f>A868&amp;D868</f>
      </c>
      <c r="J868" s="4">
        <v>59000</v>
      </c>
      <c r="K868" s="4"/>
      <c r="L868" s="4"/>
      <c r="M868" s="4"/>
      <c r="N868" s="4"/>
      <c r="O868" s="4"/>
      <c r="P868" s="4"/>
      <c r="Q868" s="4"/>
      <c r="R868" s="4"/>
      <c r="S868" s="4"/>
    </row>
    <row r="869">
      <c r="A869" s="4">
        <v>179</v>
      </c>
      <c r="B869" s="4" t="str">
        <v>50BT4 NPC LD</v>
      </c>
      <c r="C869" s="4" t="str">
        <v>DV_Gội</v>
      </c>
      <c r="D869" s="4">
        <v>1058</v>
      </c>
      <c r="E869" s="4" t="str">
        <v>Gội Combo 2</v>
      </c>
      <c r="F869" s="21">
        <v>159000</v>
      </c>
      <c r="G869" s="21">
        <v>159000</v>
      </c>
      <c r="H869" s="21">
        <v>159000</v>
      </c>
      <c r="I869" s="4">
        <f>A869&amp;D869</f>
      </c>
      <c r="J869" s="4">
        <v>159000</v>
      </c>
      <c r="K869" s="4"/>
      <c r="L869" s="4"/>
      <c r="M869" s="4"/>
      <c r="N869" s="4"/>
      <c r="O869" s="4"/>
      <c r="P869" s="4"/>
      <c r="Q869" s="4"/>
      <c r="R869" s="4"/>
      <c r="S869" s="4"/>
    </row>
    <row r="870">
      <c r="A870" s="4">
        <v>179</v>
      </c>
      <c r="B870" s="4" t="str">
        <v>50BT4 NPC LD</v>
      </c>
      <c r="C870" s="4" t="str">
        <v>DV_Gội</v>
      </c>
      <c r="D870" s="4">
        <v>1059</v>
      </c>
      <c r="E870" s="4" t="str">
        <v>Gội Combo 3 - Chăm da</v>
      </c>
      <c r="F870" s="21">
        <v>239000</v>
      </c>
      <c r="G870" s="21">
        <v>239000</v>
      </c>
      <c r="H870" s="21">
        <v>239000</v>
      </c>
      <c r="I870" s="4">
        <f>A870&amp;D870</f>
      </c>
      <c r="J870" s="4">
        <v>239000</v>
      </c>
      <c r="K870" s="4"/>
      <c r="L870" s="4"/>
      <c r="M870" s="4"/>
      <c r="N870" s="4"/>
      <c r="O870" s="4"/>
      <c r="P870" s="4"/>
      <c r="Q870" s="4"/>
      <c r="R870" s="4"/>
      <c r="S870" s="4"/>
    </row>
    <row r="871">
      <c r="A871" s="4">
        <v>179</v>
      </c>
      <c r="B871" s="4" t="str">
        <v>50BT4 NPC LD</v>
      </c>
      <c r="C871" s="4" t="str">
        <v>DV_Gội</v>
      </c>
      <c r="D871" s="4">
        <v>1060</v>
      </c>
      <c r="E871" s="4" t="str">
        <v>Gội Combo 4</v>
      </c>
      <c r="F871" s="21">
        <v>289000</v>
      </c>
      <c r="G871" s="21">
        <v>289000</v>
      </c>
      <c r="H871" s="21">
        <v>289000</v>
      </c>
      <c r="I871" s="4">
        <f>A871&amp;D871</f>
      </c>
      <c r="J871" s="4">
        <v>289000</v>
      </c>
      <c r="K871" s="4"/>
      <c r="L871" s="4"/>
      <c r="M871" s="4"/>
      <c r="N871" s="4"/>
      <c r="O871" s="4"/>
      <c r="P871" s="4"/>
      <c r="Q871" s="4"/>
      <c r="R871" s="4"/>
      <c r="S871" s="4"/>
    </row>
    <row r="872">
      <c r="A872" s="4">
        <v>179</v>
      </c>
      <c r="B872" s="4" t="str">
        <v>50BT4 NPC LD</v>
      </c>
      <c r="C872" s="4" t="str">
        <v>DV_Gội</v>
      </c>
      <c r="D872" s="4">
        <v>1066</v>
      </c>
      <c r="E872" s="4" t="str">
        <v>Gội trải nghiệm 75p</v>
      </c>
      <c r="F872" s="21">
        <v>589000</v>
      </c>
      <c r="G872" s="21">
        <v>589000</v>
      </c>
      <c r="H872" s="21">
        <v>589000</v>
      </c>
      <c r="I872" s="4">
        <f>A872&amp;D872</f>
      </c>
      <c r="J872" s="4">
        <v>589000</v>
      </c>
      <c r="K872" s="4"/>
      <c r="L872" s="4"/>
      <c r="M872" s="4"/>
      <c r="N872" s="4"/>
      <c r="O872" s="4"/>
      <c r="P872" s="4"/>
      <c r="Q872" s="4"/>
      <c r="R872" s="4"/>
      <c r="S872" s="4"/>
    </row>
    <row r="873">
      <c r="A873" s="4">
        <v>179</v>
      </c>
      <c r="B873" s="4" t="str">
        <v>50BT4 NPC LD</v>
      </c>
      <c r="C873" s="4" t="str">
        <v>DV_Gội</v>
      </c>
      <c r="D873" s="4">
        <v>1067</v>
      </c>
      <c r="E873" s="4" t="str">
        <v>Gội trải nghiệm 90p</v>
      </c>
      <c r="F873" s="21">
        <v>789000</v>
      </c>
      <c r="G873" s="21">
        <v>789000</v>
      </c>
      <c r="H873" s="21">
        <v>789000</v>
      </c>
      <c r="I873" s="4">
        <f>A873&amp;D873</f>
      </c>
      <c r="J873" s="4">
        <v>789000</v>
      </c>
      <c r="K873" s="4"/>
      <c r="L873" s="4"/>
      <c r="M873" s="4"/>
      <c r="N873" s="4"/>
      <c r="O873" s="4"/>
      <c r="P873" s="4"/>
      <c r="Q873" s="4"/>
      <c r="R873" s="4"/>
      <c r="S873" s="4"/>
    </row>
    <row r="874">
      <c r="A874" s="4">
        <v>179</v>
      </c>
      <c r="B874" s="4" t="str">
        <v>50BT4 NPC LD</v>
      </c>
      <c r="C874" s="4" t="str">
        <v>DV_Gội</v>
      </c>
      <c r="D874" s="4">
        <v>1068</v>
      </c>
      <c r="E874" s="4" t="str">
        <v>Gội trải nghiệm 115p</v>
      </c>
      <c r="F874" s="21">
        <v>999000</v>
      </c>
      <c r="G874" s="21">
        <v>999000</v>
      </c>
      <c r="H874" s="21">
        <v>999000</v>
      </c>
      <c r="I874" s="4">
        <f>A874&amp;D874</f>
      </c>
      <c r="J874" s="4">
        <v>999000</v>
      </c>
      <c r="K874" s="4"/>
      <c r="L874" s="4"/>
      <c r="M874" s="4"/>
      <c r="N874" s="4"/>
      <c r="O874" s="4"/>
      <c r="P874" s="4"/>
      <c r="Q874" s="4"/>
      <c r="R874" s="4"/>
      <c r="S874" s="4"/>
    </row>
    <row r="875">
      <c r="A875" s="4">
        <v>245</v>
      </c>
      <c r="B875" s="4" t="str">
        <v>55A NVL</v>
      </c>
      <c r="C875" s="4" t="str">
        <v>DV_Cắt</v>
      </c>
      <c r="D875" s="4">
        <v>513</v>
      </c>
      <c r="E875" s="4" t="str">
        <v>[DV] ShineCombo 10 bước Ultra Care 2023</v>
      </c>
      <c r="F875" s="21">
        <v>122000</v>
      </c>
      <c r="G875" s="21">
        <v>122000</v>
      </c>
      <c r="H875" s="21">
        <v>122000</v>
      </c>
      <c r="I875" s="4">
        <f>A875&amp;D875</f>
      </c>
      <c r="J875" s="4">
        <v>122000</v>
      </c>
      <c r="K875" s="4"/>
      <c r="L875" s="4"/>
      <c r="M875" s="4"/>
      <c r="N875" s="4"/>
      <c r="O875" s="4"/>
      <c r="P875" s="4"/>
      <c r="Q875" s="4"/>
      <c r="R875" s="4"/>
      <c r="S875" s="4"/>
    </row>
    <row r="876">
      <c r="A876" s="4">
        <v>245</v>
      </c>
      <c r="B876" s="4" t="str">
        <v>55A NVL</v>
      </c>
      <c r="C876" s="4" t="str">
        <v>DV_Cắt</v>
      </c>
      <c r="D876" s="4">
        <v>891</v>
      </c>
      <c r="E876" s="4" t="str">
        <v>Cắt xả tạo kiểu</v>
      </c>
      <c r="F876" s="21">
        <v>95000</v>
      </c>
      <c r="G876" s="21">
        <v>99000</v>
      </c>
      <c r="H876" s="21">
        <v>99000</v>
      </c>
      <c r="I876" s="4">
        <f>A876&amp;D876</f>
      </c>
      <c r="J876" s="4">
        <v>99000</v>
      </c>
      <c r="K876" s="4"/>
      <c r="L876" s="4"/>
      <c r="M876" s="4"/>
      <c r="N876" s="4"/>
      <c r="O876" s="4"/>
      <c r="P876" s="4"/>
      <c r="Q876" s="4"/>
      <c r="R876" s="4"/>
      <c r="S876" s="4"/>
    </row>
    <row r="877">
      <c r="A877" s="4">
        <v>245</v>
      </c>
      <c r="B877" s="4" t="str">
        <v>55A NVL</v>
      </c>
      <c r="C877" s="4" t="str">
        <v>DV_Cắt</v>
      </c>
      <c r="D877" s="4">
        <v>1002</v>
      </c>
      <c r="E877" s="4" t="str">
        <v>Kid Cắt</v>
      </c>
      <c r="F877" s="21">
        <v>76000</v>
      </c>
      <c r="G877" s="21">
        <v>79000</v>
      </c>
      <c r="H877" s="21">
        <v>79000</v>
      </c>
      <c r="I877" s="4">
        <f>A877&amp;D877</f>
      </c>
      <c r="J877" s="4">
        <v>79000</v>
      </c>
      <c r="K877" s="4"/>
      <c r="L877" s="4"/>
      <c r="M877" s="4"/>
      <c r="N877" s="4"/>
      <c r="O877" s="4"/>
      <c r="P877" s="4"/>
      <c r="Q877" s="4"/>
      <c r="R877" s="4"/>
      <c r="S877" s="4"/>
    </row>
    <row r="878">
      <c r="A878" s="4">
        <v>245</v>
      </c>
      <c r="B878" s="4" t="str">
        <v>55A NVL</v>
      </c>
      <c r="C878" s="4" t="str">
        <v>DV_Cắt</v>
      </c>
      <c r="D878" s="4">
        <v>1070</v>
      </c>
      <c r="E878" s="4" t="str">
        <v>Combo Cắt gội Kid</v>
      </c>
      <c r="F878" s="21">
        <v>100000</v>
      </c>
      <c r="G878" s="21">
        <v>104000</v>
      </c>
      <c r="H878" s="21">
        <v>104000</v>
      </c>
      <c r="I878" s="4">
        <f>A878&amp;D878</f>
      </c>
      <c r="J878" s="4">
        <v>104000</v>
      </c>
      <c r="K878" s="4"/>
      <c r="L878" s="4"/>
      <c r="M878" s="4"/>
      <c r="N878" s="4"/>
      <c r="O878" s="4"/>
      <c r="P878" s="4"/>
      <c r="Q878" s="4"/>
      <c r="R878" s="4"/>
      <c r="S878" s="4"/>
    </row>
    <row r="879">
      <c r="A879" s="4">
        <v>245</v>
      </c>
      <c r="B879" s="4" t="str">
        <v>55A NVL</v>
      </c>
      <c r="C879" s="4" t="str">
        <v>DV_Cắt_Vip</v>
      </c>
      <c r="D879" s="4">
        <v>1046</v>
      </c>
      <c r="E879" s="4" t="str">
        <v>Shinecombo 2</v>
      </c>
      <c r="F879" s="21">
        <v>200000</v>
      </c>
      <c r="G879" s="21">
        <v>208000</v>
      </c>
      <c r="H879" s="21">
        <v>208000</v>
      </c>
      <c r="I879" s="4">
        <f>A879&amp;D879</f>
      </c>
      <c r="J879" s="4">
        <v>208000</v>
      </c>
      <c r="K879" s="4"/>
      <c r="L879" s="4"/>
      <c r="M879" s="4"/>
      <c r="N879" s="4"/>
      <c r="O879" s="4"/>
      <c r="P879" s="4"/>
      <c r="Q879" s="4"/>
      <c r="R879" s="4"/>
      <c r="S879" s="4"/>
    </row>
    <row r="880">
      <c r="A880" s="4">
        <v>245</v>
      </c>
      <c r="B880" s="4" t="str">
        <v>55A NVL</v>
      </c>
      <c r="C880" s="4" t="str">
        <v>DV_Cắt_Vip</v>
      </c>
      <c r="D880" s="4">
        <v>1047</v>
      </c>
      <c r="E880" s="4" t="str">
        <v>Cắt Gội Combo 3 - Chăm da</v>
      </c>
      <c r="F880" s="21">
        <v>300000</v>
      </c>
      <c r="G880" s="21">
        <v>313000</v>
      </c>
      <c r="H880" s="21">
        <v>313000</v>
      </c>
      <c r="I880" s="4">
        <f>A880&amp;D880</f>
      </c>
      <c r="J880" s="4">
        <v>313000</v>
      </c>
      <c r="K880" s="4"/>
      <c r="L880" s="4"/>
      <c r="M880" s="4"/>
      <c r="N880" s="4"/>
      <c r="O880" s="4"/>
      <c r="P880" s="4"/>
      <c r="Q880" s="4"/>
      <c r="R880" s="4"/>
      <c r="S880" s="4"/>
    </row>
    <row r="881">
      <c r="A881" s="4">
        <v>245</v>
      </c>
      <c r="B881" s="4" t="str">
        <v>55A NVL</v>
      </c>
      <c r="C881" s="4" t="str">
        <v>DV_Cắt_Vip</v>
      </c>
      <c r="D881" s="4">
        <v>1048</v>
      </c>
      <c r="E881" s="4" t="str">
        <v>Combo 4</v>
      </c>
      <c r="F881" s="21">
        <v>390000</v>
      </c>
      <c r="G881" s="21">
        <v>406000</v>
      </c>
      <c r="H881" s="21">
        <v>406000</v>
      </c>
      <c r="I881" s="4">
        <f>A881&amp;D881</f>
      </c>
      <c r="J881" s="4">
        <v>406000</v>
      </c>
      <c r="K881" s="4"/>
      <c r="L881" s="4"/>
      <c r="M881" s="4"/>
      <c r="N881" s="4"/>
      <c r="O881" s="4"/>
      <c r="P881" s="4"/>
      <c r="Q881" s="4"/>
      <c r="R881" s="4"/>
      <c r="S881" s="4"/>
    </row>
    <row r="882">
      <c r="A882" s="4">
        <v>245</v>
      </c>
      <c r="B882" s="4" t="str">
        <v>55A NVL</v>
      </c>
      <c r="C882" s="4" t="str">
        <v>DV_Cắt_Vip</v>
      </c>
      <c r="D882" s="4">
        <v>1064</v>
      </c>
      <c r="E882" s="4" t="str">
        <v>Cắt Gội Combo 5 - Dưỡng sinh</v>
      </c>
      <c r="F882" s="21">
        <v>459000</v>
      </c>
      <c r="G882" s="21">
        <v>478000</v>
      </c>
      <c r="H882" s="21">
        <v>478000</v>
      </c>
      <c r="I882" s="4">
        <f>A882&amp;D882</f>
      </c>
      <c r="J882" s="4">
        <v>478000</v>
      </c>
      <c r="K882" s="4"/>
      <c r="L882" s="4"/>
      <c r="M882" s="4"/>
      <c r="N882" s="4"/>
      <c r="O882" s="4"/>
      <c r="P882" s="4"/>
      <c r="Q882" s="4"/>
      <c r="R882" s="4"/>
      <c r="S882" s="4"/>
    </row>
    <row r="883">
      <c r="A883" s="4">
        <v>245</v>
      </c>
      <c r="B883" s="4" t="str">
        <v>55A NVL</v>
      </c>
      <c r="C883" s="4" t="str">
        <v>DV_Gội</v>
      </c>
      <c r="D883" s="4">
        <v>867</v>
      </c>
      <c r="E883" s="4" t="str">
        <v>Gội dưỡng sinh cổ vai gáy</v>
      </c>
      <c r="F883" s="21">
        <v>99000</v>
      </c>
      <c r="G883" s="21">
        <v>103000</v>
      </c>
      <c r="H883" s="21">
        <v>103000</v>
      </c>
      <c r="I883" s="4">
        <f>A883&amp;D883</f>
      </c>
      <c r="J883" s="4">
        <v>103000</v>
      </c>
      <c r="K883" s="4"/>
      <c r="L883" s="4"/>
      <c r="M883" s="4"/>
      <c r="N883" s="4"/>
      <c r="O883" s="4"/>
      <c r="P883" s="4"/>
      <c r="Q883" s="4"/>
      <c r="R883" s="4"/>
      <c r="S883" s="4"/>
    </row>
    <row r="884">
      <c r="A884" s="4">
        <v>245</v>
      </c>
      <c r="B884" s="4" t="str">
        <v>55A NVL</v>
      </c>
      <c r="C884" s="4" t="str">
        <v>DV_Gội</v>
      </c>
      <c r="D884" s="4">
        <v>930</v>
      </c>
      <c r="E884" s="4" t="str">
        <v>[NEW] Gội dưỡng sinh cổ vai gáy và chăm sóc da</v>
      </c>
      <c r="F884" s="21">
        <v>139000</v>
      </c>
      <c r="G884" s="21">
        <v>145000</v>
      </c>
      <c r="H884" s="21">
        <v>145000</v>
      </c>
      <c r="I884" s="4">
        <f>A884&amp;D884</f>
      </c>
      <c r="J884" s="4">
        <v>145000</v>
      </c>
      <c r="K884" s="4"/>
      <c r="L884" s="4"/>
      <c r="M884" s="4"/>
      <c r="N884" s="4"/>
      <c r="O884" s="4"/>
      <c r="P884" s="4"/>
      <c r="Q884" s="4"/>
      <c r="R884" s="4"/>
      <c r="S884" s="4"/>
    </row>
    <row r="885">
      <c r="A885" s="4">
        <v>245</v>
      </c>
      <c r="B885" s="4" t="str">
        <v>55A NVL</v>
      </c>
      <c r="C885" s="4" t="str">
        <v>DV_Gội</v>
      </c>
      <c r="D885" s="4">
        <v>934</v>
      </c>
      <c r="E885" s="4" t="str">
        <v>Gội combo 3 - Dưỡng sinh</v>
      </c>
      <c r="F885" s="21">
        <v>229000</v>
      </c>
      <c r="G885" s="21">
        <v>239000</v>
      </c>
      <c r="H885" s="21">
        <v>239000</v>
      </c>
      <c r="I885" s="4">
        <f>A885&amp;D885</f>
      </c>
      <c r="J885" s="4">
        <v>239000</v>
      </c>
      <c r="K885" s="4"/>
      <c r="L885" s="4"/>
      <c r="M885" s="4"/>
      <c r="N885" s="4"/>
      <c r="O885" s="4"/>
      <c r="P885" s="4"/>
      <c r="Q885" s="4"/>
      <c r="R885" s="4"/>
      <c r="S885" s="4"/>
    </row>
    <row r="886">
      <c r="A886" s="4">
        <v>245</v>
      </c>
      <c r="B886" s="4" t="str">
        <v>55A NVL</v>
      </c>
      <c r="C886" s="4" t="str">
        <v>DV_Gội</v>
      </c>
      <c r="D886" s="4">
        <v>940</v>
      </c>
      <c r="E886" s="4" t="str">
        <v>[NEW] Gội dưỡng sinh</v>
      </c>
      <c r="F886" s="21">
        <v>59000</v>
      </c>
      <c r="G886" s="21">
        <v>61000</v>
      </c>
      <c r="H886" s="21">
        <v>61000</v>
      </c>
      <c r="I886" s="4">
        <f>A886&amp;D886</f>
      </c>
      <c r="J886" s="4">
        <v>61000</v>
      </c>
      <c r="K886" s="4"/>
      <c r="L886" s="4"/>
      <c r="M886" s="4"/>
      <c r="N886" s="4"/>
      <c r="O886" s="4"/>
      <c r="P886" s="4"/>
      <c r="Q886" s="4"/>
      <c r="R886" s="4"/>
      <c r="S886" s="4"/>
    </row>
    <row r="887">
      <c r="A887" s="4">
        <v>245</v>
      </c>
      <c r="B887" s="4" t="str">
        <v>55A NVL</v>
      </c>
      <c r="C887" s="4" t="str">
        <v>DV_Gội</v>
      </c>
      <c r="D887" s="4">
        <v>1058</v>
      </c>
      <c r="E887" s="4" t="str">
        <v>Gội Combo 2</v>
      </c>
      <c r="F887" s="21">
        <v>159000</v>
      </c>
      <c r="G887" s="21">
        <v>166000</v>
      </c>
      <c r="H887" s="21">
        <v>166000</v>
      </c>
      <c r="I887" s="4">
        <f>A887&amp;D887</f>
      </c>
      <c r="J887" s="4">
        <v>166000</v>
      </c>
      <c r="K887" s="4"/>
      <c r="L887" s="4"/>
      <c r="M887" s="4"/>
      <c r="N887" s="4"/>
      <c r="O887" s="4"/>
      <c r="P887" s="4"/>
      <c r="Q887" s="4"/>
      <c r="R887" s="4"/>
      <c r="S887" s="4"/>
    </row>
    <row r="888">
      <c r="A888" s="4">
        <v>245</v>
      </c>
      <c r="B888" s="4" t="str">
        <v>55A NVL</v>
      </c>
      <c r="C888" s="4" t="str">
        <v>DV_Gội</v>
      </c>
      <c r="D888" s="4">
        <v>1059</v>
      </c>
      <c r="E888" s="4" t="str">
        <v>Gội Combo 3 - Chăm da</v>
      </c>
      <c r="F888" s="21">
        <v>239000</v>
      </c>
      <c r="G888" s="21">
        <v>249000</v>
      </c>
      <c r="H888" s="21">
        <v>249000</v>
      </c>
      <c r="I888" s="4">
        <f>A888&amp;D888</f>
      </c>
      <c r="J888" s="4">
        <v>249000</v>
      </c>
      <c r="K888" s="4"/>
      <c r="L888" s="4"/>
      <c r="M888" s="4"/>
      <c r="N888" s="4"/>
      <c r="O888" s="4"/>
      <c r="P888" s="4"/>
      <c r="Q888" s="4"/>
      <c r="R888" s="4"/>
      <c r="S888" s="4"/>
    </row>
    <row r="889">
      <c r="A889" s="4">
        <v>245</v>
      </c>
      <c r="B889" s="4" t="str">
        <v>55A NVL</v>
      </c>
      <c r="C889" s="4" t="str">
        <v>DV_Gội</v>
      </c>
      <c r="D889" s="4">
        <v>1060</v>
      </c>
      <c r="E889" s="4" t="str">
        <v>Gội Combo 4</v>
      </c>
      <c r="F889" s="21">
        <v>289000</v>
      </c>
      <c r="G889" s="21">
        <v>302000</v>
      </c>
      <c r="H889" s="21">
        <v>302000</v>
      </c>
      <c r="I889" s="4">
        <f>A889&amp;D889</f>
      </c>
      <c r="J889" s="4">
        <v>302000</v>
      </c>
      <c r="K889" s="4"/>
      <c r="L889" s="4"/>
      <c r="M889" s="4"/>
      <c r="N889" s="4"/>
      <c r="O889" s="4"/>
      <c r="P889" s="4"/>
      <c r="Q889" s="4"/>
      <c r="R889" s="4"/>
      <c r="S889" s="4"/>
    </row>
    <row r="890">
      <c r="A890" s="4">
        <v>245</v>
      </c>
      <c r="B890" s="4" t="str">
        <v>55A NVL</v>
      </c>
      <c r="C890" s="4" t="str">
        <v>DV_Gội</v>
      </c>
      <c r="D890" s="4">
        <v>1066</v>
      </c>
      <c r="E890" s="4" t="str">
        <v>Gội trải nghiệm 75p</v>
      </c>
      <c r="F890" s="21">
        <v>589000</v>
      </c>
      <c r="G890" s="21">
        <v>614000</v>
      </c>
      <c r="H890" s="21">
        <v>614000</v>
      </c>
      <c r="I890" s="4">
        <f>A890&amp;D890</f>
      </c>
      <c r="J890" s="4">
        <v>614000</v>
      </c>
      <c r="K890" s="4"/>
      <c r="L890" s="4"/>
      <c r="M890" s="4"/>
      <c r="N890" s="4"/>
      <c r="O890" s="4"/>
      <c r="P890" s="4"/>
      <c r="Q890" s="4"/>
      <c r="R890" s="4"/>
      <c r="S890" s="4"/>
    </row>
    <row r="891">
      <c r="A891" s="4">
        <v>245</v>
      </c>
      <c r="B891" s="4" t="str">
        <v>55A NVL</v>
      </c>
      <c r="C891" s="4" t="str">
        <v>DV_Gội</v>
      </c>
      <c r="D891" s="4">
        <v>1067</v>
      </c>
      <c r="E891" s="4" t="str">
        <v>Gội trải nghiệm 90p</v>
      </c>
      <c r="F891" s="21">
        <v>789000</v>
      </c>
      <c r="G891" s="21">
        <v>822000</v>
      </c>
      <c r="H891" s="21">
        <v>822000</v>
      </c>
      <c r="I891" s="4">
        <f>A891&amp;D891</f>
      </c>
      <c r="J891" s="4">
        <v>822000</v>
      </c>
      <c r="K891" s="4"/>
      <c r="L891" s="4"/>
      <c r="M891" s="4"/>
      <c r="N891" s="4"/>
      <c r="O891" s="4"/>
      <c r="P891" s="4"/>
      <c r="Q891" s="4"/>
      <c r="R891" s="4"/>
      <c r="S891" s="4"/>
    </row>
    <row r="892">
      <c r="A892" s="4">
        <v>245</v>
      </c>
      <c r="B892" s="4" t="str">
        <v>55A NVL</v>
      </c>
      <c r="C892" s="4" t="str">
        <v>DV_Gội</v>
      </c>
      <c r="D892" s="4">
        <v>1068</v>
      </c>
      <c r="E892" s="4" t="str">
        <v>Gội trải nghiệm 115p</v>
      </c>
      <c r="F892" s="21">
        <v>999000</v>
      </c>
      <c r="G892" s="21">
        <v>1041000</v>
      </c>
      <c r="H892" s="21">
        <v>1041000</v>
      </c>
      <c r="I892" s="4">
        <f>A892&amp;D892</f>
      </c>
      <c r="J892" s="4">
        <v>1041000</v>
      </c>
      <c r="K892" s="4"/>
      <c r="L892" s="4"/>
      <c r="M892" s="4"/>
      <c r="N892" s="4"/>
      <c r="O892" s="4"/>
      <c r="P892" s="4"/>
      <c r="Q892" s="4"/>
      <c r="R892" s="4"/>
      <c r="S892" s="4"/>
    </row>
    <row r="893">
      <c r="A893" s="4">
        <v>245</v>
      </c>
      <c r="B893" s="4" t="str">
        <v>55A NVL</v>
      </c>
      <c r="C893" s="4" t="str">
        <v>DV_Spa</v>
      </c>
      <c r="D893" s="4">
        <v>939</v>
      </c>
      <c r="E893" s="4" t="str">
        <v>[NEW] Trắng đều màu da &amp; Spa da chuyên sâu NANO TECH 449k</v>
      </c>
      <c r="F893" s="21">
        <v>449000</v>
      </c>
      <c r="G893" s="21">
        <v>468000</v>
      </c>
      <c r="H893" s="21">
        <v>468000</v>
      </c>
      <c r="I893" s="4">
        <f>A893&amp;D893</f>
      </c>
      <c r="J893" s="4">
        <v>468000</v>
      </c>
      <c r="K893" s="4"/>
      <c r="L893" s="4"/>
      <c r="M893" s="4"/>
      <c r="N893" s="4"/>
      <c r="O893" s="4"/>
      <c r="P893" s="4"/>
      <c r="Q893" s="4"/>
      <c r="R893" s="4"/>
      <c r="S893" s="4"/>
    </row>
    <row r="894">
      <c r="A894" s="4">
        <v>21</v>
      </c>
      <c r="B894" s="4" t="str">
        <v>575 AC</v>
      </c>
      <c r="C894" s="4" t="str">
        <v>DV_Cắt</v>
      </c>
      <c r="D894" s="4">
        <v>513</v>
      </c>
      <c r="E894" s="4" t="str">
        <v>[DV] ShineCombo 10 bước Ultra Care 2023</v>
      </c>
      <c r="F894" s="21">
        <v>122000</v>
      </c>
      <c r="G894" s="21">
        <v>122000</v>
      </c>
      <c r="H894" s="21">
        <v>122000</v>
      </c>
      <c r="I894" s="4">
        <f>A894&amp;D894</f>
      </c>
      <c r="J894" s="4">
        <v>122000</v>
      </c>
      <c r="K894" s="4"/>
      <c r="L894" s="4"/>
      <c r="M894" s="4"/>
      <c r="N894" s="4"/>
      <c r="O894" s="4"/>
      <c r="P894" s="4"/>
      <c r="Q894" s="4"/>
      <c r="R894" s="4"/>
      <c r="S894" s="4"/>
    </row>
    <row r="895">
      <c r="A895" s="4">
        <v>21</v>
      </c>
      <c r="B895" s="4" t="str">
        <v>575 AC</v>
      </c>
      <c r="C895" s="4" t="str">
        <v>DV_Cắt</v>
      </c>
      <c r="D895" s="4">
        <v>891</v>
      </c>
      <c r="E895" s="4" t="str">
        <v>Cắt xả tạo kiểu</v>
      </c>
      <c r="F895" s="21">
        <v>100000</v>
      </c>
      <c r="G895" s="21">
        <v>104000</v>
      </c>
      <c r="H895" s="21">
        <v>104000</v>
      </c>
      <c r="I895" s="4">
        <f>A895&amp;D895</f>
      </c>
      <c r="J895" s="4">
        <v>104000</v>
      </c>
      <c r="K895" s="4"/>
      <c r="L895" s="4"/>
      <c r="M895" s="4"/>
      <c r="N895" s="4"/>
      <c r="O895" s="4"/>
      <c r="P895" s="4"/>
      <c r="Q895" s="4"/>
      <c r="R895" s="4"/>
      <c r="S895" s="4"/>
    </row>
    <row r="896">
      <c r="A896" s="4">
        <v>21</v>
      </c>
      <c r="B896" s="4" t="str">
        <v>575 AC</v>
      </c>
      <c r="C896" s="4" t="str">
        <v>DV_Cắt</v>
      </c>
      <c r="D896" s="4">
        <v>1002</v>
      </c>
      <c r="E896" s="4" t="str">
        <v>Kid Cắt</v>
      </c>
      <c r="F896" s="21">
        <v>81000</v>
      </c>
      <c r="G896" s="21">
        <v>84000</v>
      </c>
      <c r="H896" s="21">
        <v>84000</v>
      </c>
      <c r="I896" s="4">
        <f>A896&amp;D896</f>
      </c>
      <c r="J896" s="4">
        <v>84000</v>
      </c>
      <c r="K896" s="4"/>
      <c r="L896" s="4"/>
      <c r="M896" s="4"/>
      <c r="N896" s="4"/>
      <c r="O896" s="4"/>
      <c r="P896" s="4"/>
      <c r="Q896" s="4"/>
      <c r="R896" s="4"/>
      <c r="S896" s="4"/>
    </row>
    <row r="897">
      <c r="A897" s="4">
        <v>21</v>
      </c>
      <c r="B897" s="4" t="str">
        <v>575 AC</v>
      </c>
      <c r="C897" s="4" t="str">
        <v>DV_Cắt</v>
      </c>
      <c r="D897" s="4">
        <v>1070</v>
      </c>
      <c r="E897" s="4" t="str">
        <v>Combo Cắt gội Kid</v>
      </c>
      <c r="F897" s="21">
        <v>100000</v>
      </c>
      <c r="G897" s="21">
        <v>104000</v>
      </c>
      <c r="H897" s="21">
        <v>104000</v>
      </c>
      <c r="I897" s="4">
        <f>A897&amp;D897</f>
      </c>
      <c r="J897" s="4">
        <v>104000</v>
      </c>
      <c r="K897" s="4"/>
      <c r="L897" s="4"/>
      <c r="M897" s="4"/>
      <c r="N897" s="4"/>
      <c r="O897" s="4"/>
      <c r="P897" s="4"/>
      <c r="Q897" s="4"/>
      <c r="R897" s="4"/>
      <c r="S897" s="4"/>
    </row>
    <row r="898">
      <c r="A898" s="4">
        <v>21</v>
      </c>
      <c r="B898" s="4" t="str">
        <v>575 AC</v>
      </c>
      <c r="C898" s="4" t="str">
        <v>DV_Cắt_Vip</v>
      </c>
      <c r="D898" s="4">
        <v>1046</v>
      </c>
      <c r="E898" s="4" t="str">
        <v>Shinecombo 2</v>
      </c>
      <c r="F898" s="21">
        <v>205000</v>
      </c>
      <c r="G898" s="21">
        <v>213000</v>
      </c>
      <c r="H898" s="21">
        <v>213000</v>
      </c>
      <c r="I898" s="4">
        <f>A898&amp;D898</f>
      </c>
      <c r="J898" s="4">
        <v>213000</v>
      </c>
      <c r="K898" s="4"/>
      <c r="L898" s="4"/>
      <c r="M898" s="4"/>
      <c r="N898" s="4"/>
      <c r="O898" s="4"/>
      <c r="P898" s="4"/>
      <c r="Q898" s="4"/>
      <c r="R898" s="4"/>
      <c r="S898" s="4"/>
    </row>
    <row r="899">
      <c r="A899" s="4">
        <v>21</v>
      </c>
      <c r="B899" s="4" t="str">
        <v>575 AC</v>
      </c>
      <c r="C899" s="4" t="str">
        <v>DV_Cắt_Vip</v>
      </c>
      <c r="D899" s="4">
        <v>1047</v>
      </c>
      <c r="E899" s="4" t="str">
        <v>Cắt Gội Combo 3 - Chăm da</v>
      </c>
      <c r="F899" s="21">
        <v>305000</v>
      </c>
      <c r="G899" s="21">
        <v>317000</v>
      </c>
      <c r="H899" s="21">
        <v>317000</v>
      </c>
      <c r="I899" s="4">
        <f>A899&amp;D899</f>
      </c>
      <c r="J899" s="4">
        <v>317000</v>
      </c>
      <c r="K899" s="4"/>
      <c r="L899" s="4"/>
      <c r="M899" s="4"/>
      <c r="N899" s="4"/>
      <c r="O899" s="4"/>
      <c r="P899" s="4"/>
      <c r="Q899" s="4"/>
      <c r="R899" s="4"/>
      <c r="S899" s="4"/>
    </row>
    <row r="900">
      <c r="A900" s="4">
        <v>21</v>
      </c>
      <c r="B900" s="4" t="str">
        <v>575 AC</v>
      </c>
      <c r="C900" s="4" t="str">
        <v>DV_Cắt_Vip</v>
      </c>
      <c r="D900" s="4">
        <v>1048</v>
      </c>
      <c r="E900" s="4" t="str">
        <v>Combo 4</v>
      </c>
      <c r="F900" s="21">
        <v>395000</v>
      </c>
      <c r="G900" s="21">
        <v>411000</v>
      </c>
      <c r="H900" s="21">
        <v>411000</v>
      </c>
      <c r="I900" s="4">
        <f>A900&amp;D900</f>
      </c>
      <c r="J900" s="4">
        <v>411000</v>
      </c>
      <c r="K900" s="4"/>
      <c r="L900" s="4"/>
      <c r="M900" s="4"/>
      <c r="N900" s="4"/>
      <c r="O900" s="4"/>
      <c r="P900" s="4"/>
      <c r="Q900" s="4"/>
      <c r="R900" s="4"/>
      <c r="S900" s="4"/>
    </row>
    <row r="901">
      <c r="A901" s="4">
        <v>21</v>
      </c>
      <c r="B901" s="4" t="str">
        <v>575 AC</v>
      </c>
      <c r="C901" s="4" t="str">
        <v>DV_Cắt_Vip</v>
      </c>
      <c r="D901" s="4">
        <v>1049</v>
      </c>
      <c r="E901" s="4" t="str">
        <v>Cắt Gội Combo 5 - Chăm da</v>
      </c>
      <c r="F901" s="21">
        <v>399000</v>
      </c>
      <c r="G901" s="21">
        <v>415000</v>
      </c>
      <c r="H901" s="21">
        <v>415000</v>
      </c>
      <c r="I901" s="4">
        <f>A901&amp;D901</f>
      </c>
      <c r="J901" s="4">
        <v>415000</v>
      </c>
      <c r="K901" s="4"/>
      <c r="L901" s="4"/>
      <c r="M901" s="4"/>
      <c r="N901" s="4"/>
      <c r="O901" s="4"/>
      <c r="P901" s="4"/>
      <c r="Q901" s="4"/>
      <c r="R901" s="4"/>
      <c r="S901" s="4"/>
    </row>
    <row r="902">
      <c r="A902" s="4">
        <v>21</v>
      </c>
      <c r="B902" s="4" t="str">
        <v>575 AC</v>
      </c>
      <c r="C902" s="4" t="str">
        <v>DV_Cắt_Vip</v>
      </c>
      <c r="D902" s="4">
        <v>1064</v>
      </c>
      <c r="E902" s="4" t="str">
        <v>Cắt Gội Combo 5 - Dưỡng sinh</v>
      </c>
      <c r="F902" s="21">
        <v>465000</v>
      </c>
      <c r="G902" s="21">
        <v>484000</v>
      </c>
      <c r="H902" s="21">
        <v>473000</v>
      </c>
      <c r="I902" s="4">
        <f>A902&amp;D902</f>
      </c>
      <c r="J902" s="4">
        <f>VLOOKUP(I902,#REF!,2,0)</f>
      </c>
      <c r="K902" s="4"/>
      <c r="L902" s="4"/>
      <c r="M902" s="4"/>
      <c r="N902" s="4"/>
      <c r="O902" s="4"/>
      <c r="P902" s="4"/>
      <c r="Q902" s="4"/>
      <c r="R902" s="4"/>
      <c r="S902" s="4"/>
    </row>
    <row r="903">
      <c r="A903" s="4">
        <v>21</v>
      </c>
      <c r="B903" s="4" t="str">
        <v>575 AC</v>
      </c>
      <c r="C903" s="4" t="str">
        <v>DV_Cắt_Vip</v>
      </c>
      <c r="D903" s="4">
        <v>1065</v>
      </c>
      <c r="E903" s="4" t="str">
        <v>Cắt Gội Combo 3 - Dưỡng sinh</v>
      </c>
      <c r="F903" s="21">
        <v>305000</v>
      </c>
      <c r="G903" s="21">
        <v>317000</v>
      </c>
      <c r="H903" s="21">
        <v>310000</v>
      </c>
      <c r="I903" s="4">
        <f>A903&amp;D903</f>
      </c>
      <c r="J903" s="4">
        <f>VLOOKUP(I903,#REF!,2,0)</f>
      </c>
      <c r="K903" s="4"/>
      <c r="L903" s="4"/>
      <c r="M903" s="4"/>
      <c r="N903" s="4"/>
      <c r="O903" s="4"/>
      <c r="P903" s="4"/>
      <c r="Q903" s="4"/>
      <c r="R903" s="4"/>
      <c r="S903" s="4"/>
    </row>
    <row r="904">
      <c r="A904" s="4">
        <v>21</v>
      </c>
      <c r="B904" s="4" t="str">
        <v>575 AC</v>
      </c>
      <c r="C904" s="4" t="str">
        <v>DV_Cắt_Vip</v>
      </c>
      <c r="D904" s="4">
        <v>1194</v>
      </c>
      <c r="E904" s="4" t="str">
        <v>Combo Best choice</v>
      </c>
      <c r="F904" s="21">
        <v>305000</v>
      </c>
      <c r="G904" s="21">
        <v>317000</v>
      </c>
      <c r="H904" s="21">
        <v>317000</v>
      </c>
      <c r="I904" s="4">
        <f>A904&amp;D904</f>
      </c>
      <c r="J904" s="4">
        <v>317000</v>
      </c>
      <c r="K904" s="4"/>
      <c r="L904" s="4"/>
      <c r="M904" s="4"/>
      <c r="N904" s="4"/>
      <c r="O904" s="4"/>
      <c r="P904" s="4"/>
      <c r="Q904" s="4"/>
      <c r="R904" s="4"/>
      <c r="S904" s="4"/>
    </row>
    <row r="905">
      <c r="A905" s="4">
        <v>21</v>
      </c>
      <c r="B905" s="4" t="str">
        <v>575 AC</v>
      </c>
      <c r="C905" s="4" t="str">
        <v>DV_Gội</v>
      </c>
      <c r="D905" s="4">
        <v>867</v>
      </c>
      <c r="E905" s="4" t="str">
        <v>Gội dưỡng sinh cổ vai gáy</v>
      </c>
      <c r="F905" s="21">
        <v>100000</v>
      </c>
      <c r="G905" s="21">
        <v>104000</v>
      </c>
      <c r="H905" s="21">
        <v>100000</v>
      </c>
      <c r="I905" s="4">
        <f>A905&amp;D905</f>
      </c>
      <c r="J905" s="4">
        <f>VLOOKUP(I905,#REF!,2,0)</f>
      </c>
      <c r="K905" s="4"/>
      <c r="L905" s="4"/>
      <c r="M905" s="4"/>
      <c r="N905" s="4"/>
      <c r="O905" s="4"/>
      <c r="P905" s="4"/>
      <c r="Q905" s="4"/>
      <c r="R905" s="4"/>
      <c r="S905" s="4"/>
    </row>
    <row r="906">
      <c r="A906" s="4">
        <v>21</v>
      </c>
      <c r="B906" s="4" t="str">
        <v>575 AC</v>
      </c>
      <c r="C906" s="4" t="str">
        <v>DV_Gội</v>
      </c>
      <c r="D906" s="4">
        <v>930</v>
      </c>
      <c r="E906" s="4" t="str">
        <v>[NEW] Gội dưỡng sinh cổ vai gáy và chăm sóc da</v>
      </c>
      <c r="F906" s="21">
        <v>139000</v>
      </c>
      <c r="G906" s="21">
        <v>145000</v>
      </c>
      <c r="H906" s="21">
        <v>139000</v>
      </c>
      <c r="I906" s="4">
        <f>A906&amp;D906</f>
      </c>
      <c r="J906" s="4">
        <f>VLOOKUP(I906,#REF!,2,0)</f>
      </c>
      <c r="K906" s="4"/>
      <c r="L906" s="4"/>
      <c r="M906" s="4"/>
      <c r="N906" s="4"/>
      <c r="O906" s="4"/>
      <c r="P906" s="4"/>
      <c r="Q906" s="4"/>
      <c r="R906" s="4"/>
      <c r="S906" s="4"/>
    </row>
    <row r="907">
      <c r="A907" s="4">
        <v>21</v>
      </c>
      <c r="B907" s="4" t="str">
        <v>575 AC</v>
      </c>
      <c r="C907" s="4" t="str">
        <v>DV_Gội</v>
      </c>
      <c r="D907" s="4">
        <v>932</v>
      </c>
      <c r="E907" s="4" t="str">
        <v>Gội combo 5 dưỡng sinh</v>
      </c>
      <c r="F907" s="21">
        <v>389000</v>
      </c>
      <c r="G907" s="21">
        <v>405000</v>
      </c>
      <c r="H907" s="21">
        <v>405000</v>
      </c>
      <c r="I907" s="4">
        <f>A907&amp;D907</f>
      </c>
      <c r="J907" s="4">
        <v>405000</v>
      </c>
      <c r="K907" s="4"/>
      <c r="L907" s="4"/>
      <c r="M907" s="4"/>
      <c r="N907" s="4"/>
      <c r="O907" s="4"/>
      <c r="P907" s="4"/>
      <c r="Q907" s="4"/>
      <c r="R907" s="4"/>
      <c r="S907" s="4"/>
    </row>
    <row r="908">
      <c r="A908" s="4">
        <v>21</v>
      </c>
      <c r="B908" s="4" t="str">
        <v>575 AC</v>
      </c>
      <c r="C908" s="4" t="str">
        <v>DV_Gội</v>
      </c>
      <c r="D908" s="4">
        <v>934</v>
      </c>
      <c r="E908" s="4" t="str">
        <v>Gội combo 3 - Dưỡng sinh</v>
      </c>
      <c r="F908" s="21">
        <v>229000</v>
      </c>
      <c r="G908" s="21">
        <v>238000</v>
      </c>
      <c r="H908" s="21">
        <v>238000</v>
      </c>
      <c r="I908" s="4">
        <f>A908&amp;D908</f>
      </c>
      <c r="J908" s="4">
        <v>238000</v>
      </c>
      <c r="K908" s="4"/>
      <c r="L908" s="4"/>
      <c r="M908" s="4"/>
      <c r="N908" s="4"/>
      <c r="O908" s="4"/>
      <c r="P908" s="4"/>
      <c r="Q908" s="4"/>
      <c r="R908" s="4"/>
      <c r="S908" s="4"/>
    </row>
    <row r="909">
      <c r="A909" s="4">
        <v>21</v>
      </c>
      <c r="B909" s="4" t="str">
        <v>575 AC</v>
      </c>
      <c r="C909" s="4" t="str">
        <v>DV_Gội</v>
      </c>
      <c r="D909" s="4">
        <v>940</v>
      </c>
      <c r="E909" s="4" t="str">
        <v>[NEW] Gội dưỡng sinh</v>
      </c>
      <c r="F909" s="21">
        <v>59000</v>
      </c>
      <c r="G909" s="21">
        <v>61000</v>
      </c>
      <c r="H909" s="21">
        <v>61000</v>
      </c>
      <c r="I909" s="4">
        <f>A909&amp;D909</f>
      </c>
      <c r="J909" s="4">
        <v>61000</v>
      </c>
      <c r="K909" s="4"/>
      <c r="L909" s="4"/>
      <c r="M909" s="4"/>
      <c r="N909" s="4"/>
      <c r="O909" s="4"/>
      <c r="P909" s="4"/>
      <c r="Q909" s="4"/>
      <c r="R909" s="4"/>
      <c r="S909" s="4"/>
    </row>
    <row r="910">
      <c r="A910" s="4">
        <v>21</v>
      </c>
      <c r="B910" s="4" t="str">
        <v>575 AC</v>
      </c>
      <c r="C910" s="4" t="str">
        <v>DV_Gội</v>
      </c>
      <c r="D910" s="4">
        <v>1058</v>
      </c>
      <c r="E910" s="4" t="str">
        <v>Gội Combo 2</v>
      </c>
      <c r="F910" s="21">
        <v>159000</v>
      </c>
      <c r="G910" s="21">
        <v>165000</v>
      </c>
      <c r="H910" s="21">
        <v>165000</v>
      </c>
      <c r="I910" s="4">
        <f>A910&amp;D910</f>
      </c>
      <c r="J910" s="4">
        <v>165000</v>
      </c>
      <c r="K910" s="4"/>
      <c r="L910" s="4"/>
      <c r="M910" s="4"/>
      <c r="N910" s="4"/>
      <c r="O910" s="4"/>
      <c r="P910" s="4"/>
      <c r="Q910" s="4"/>
      <c r="R910" s="4"/>
      <c r="S910" s="4"/>
    </row>
    <row r="911">
      <c r="A911" s="4">
        <v>21</v>
      </c>
      <c r="B911" s="4" t="str">
        <v>575 AC</v>
      </c>
      <c r="C911" s="4" t="str">
        <v>DV_Gội</v>
      </c>
      <c r="D911" s="4">
        <v>1059</v>
      </c>
      <c r="E911" s="4" t="str">
        <v>Gội Combo 3 - Chăm da</v>
      </c>
      <c r="F911" s="21">
        <v>239000</v>
      </c>
      <c r="G911" s="21">
        <v>249000</v>
      </c>
      <c r="H911" s="21">
        <v>249000</v>
      </c>
      <c r="I911" s="4">
        <f>A911&amp;D911</f>
      </c>
      <c r="J911" s="4">
        <v>249000</v>
      </c>
      <c r="K911" s="4"/>
      <c r="L911" s="4"/>
      <c r="M911" s="4"/>
      <c r="N911" s="4"/>
      <c r="O911" s="4"/>
      <c r="P911" s="4"/>
      <c r="Q911" s="4"/>
      <c r="R911" s="4"/>
      <c r="S911" s="4"/>
    </row>
    <row r="912">
      <c r="A912" s="4">
        <v>21</v>
      </c>
      <c r="B912" s="4" t="str">
        <v>575 AC</v>
      </c>
      <c r="C912" s="4" t="str">
        <v>DV_Gội</v>
      </c>
      <c r="D912" s="4">
        <v>1060</v>
      </c>
      <c r="E912" s="4" t="str">
        <v>Gội Combo 4</v>
      </c>
      <c r="F912" s="21">
        <v>289000</v>
      </c>
      <c r="G912" s="21">
        <v>302000</v>
      </c>
      <c r="H912" s="21">
        <v>294000</v>
      </c>
      <c r="I912" s="4">
        <f>A912&amp;D912</f>
      </c>
      <c r="J912" s="4">
        <f>VLOOKUP(I912,#REF!,2,0)</f>
      </c>
      <c r="K912" s="4"/>
      <c r="L912" s="4"/>
      <c r="M912" s="4"/>
      <c r="N912" s="4"/>
      <c r="O912" s="4"/>
      <c r="P912" s="4"/>
      <c r="Q912" s="4"/>
      <c r="R912" s="4"/>
      <c r="S912" s="4"/>
    </row>
    <row r="913">
      <c r="A913" s="4">
        <v>21</v>
      </c>
      <c r="B913" s="4" t="str">
        <v>575 AC</v>
      </c>
      <c r="C913" s="4" t="str">
        <v>DV_Gội</v>
      </c>
      <c r="D913" s="4">
        <v>1061</v>
      </c>
      <c r="E913" s="4" t="str">
        <v>Gội Combo 5 - Chăm da</v>
      </c>
      <c r="F913" s="21">
        <v>359000</v>
      </c>
      <c r="G913" s="21">
        <v>373000</v>
      </c>
      <c r="H913" s="21">
        <v>373000</v>
      </c>
      <c r="I913" s="4">
        <f>A913&amp;D913</f>
      </c>
      <c r="J913" s="4">
        <v>373000</v>
      </c>
      <c r="K913" s="4"/>
      <c r="L913" s="4"/>
      <c r="M913" s="4"/>
      <c r="N913" s="4"/>
      <c r="O913" s="4"/>
      <c r="P913" s="4"/>
      <c r="Q913" s="4"/>
      <c r="R913" s="4"/>
      <c r="S913" s="4"/>
    </row>
    <row r="914">
      <c r="A914" s="4">
        <v>21</v>
      </c>
      <c r="B914" s="4" t="str">
        <v>575 AC</v>
      </c>
      <c r="C914" s="4" t="str">
        <v>DV_Gội</v>
      </c>
      <c r="D914" s="4">
        <v>1066</v>
      </c>
      <c r="E914" s="4" t="str">
        <v>Gội trải nghiệm 75p</v>
      </c>
      <c r="F914" s="21">
        <v>459000</v>
      </c>
      <c r="G914" s="21">
        <v>477000</v>
      </c>
      <c r="H914" s="21">
        <v>477000</v>
      </c>
      <c r="I914" s="4">
        <f>A914&amp;D914</f>
      </c>
      <c r="J914" s="4">
        <v>477000</v>
      </c>
      <c r="K914" s="4"/>
      <c r="L914" s="4"/>
      <c r="M914" s="4"/>
      <c r="N914" s="4"/>
      <c r="O914" s="4"/>
      <c r="P914" s="4"/>
      <c r="Q914" s="4"/>
      <c r="R914" s="4"/>
      <c r="S914" s="4"/>
    </row>
    <row r="915">
      <c r="A915" s="4">
        <v>21</v>
      </c>
      <c r="B915" s="4" t="str">
        <v>575 AC</v>
      </c>
      <c r="C915" s="4" t="str">
        <v>DV_Gội</v>
      </c>
      <c r="D915" s="4">
        <v>1067</v>
      </c>
      <c r="E915" s="4" t="str">
        <v>Gội trải nghiệm 90p</v>
      </c>
      <c r="F915" s="21">
        <v>789000</v>
      </c>
      <c r="G915" s="21">
        <v>821000</v>
      </c>
      <c r="H915" s="21">
        <v>789000</v>
      </c>
      <c r="I915" s="4">
        <f>A915&amp;D915</f>
      </c>
      <c r="J915" s="4">
        <f>VLOOKUP(I915,#REF!,2,0)</f>
      </c>
      <c r="K915" s="4"/>
      <c r="L915" s="4"/>
      <c r="M915" s="4"/>
      <c r="N915" s="4"/>
      <c r="O915" s="4"/>
      <c r="P915" s="4"/>
      <c r="Q915" s="4"/>
      <c r="R915" s="4"/>
      <c r="S915" s="4"/>
    </row>
    <row r="916">
      <c r="A916" s="4">
        <v>21</v>
      </c>
      <c r="B916" s="4" t="str">
        <v>575 AC</v>
      </c>
      <c r="C916" s="4" t="str">
        <v>DV_Gội</v>
      </c>
      <c r="D916" s="4">
        <v>1068</v>
      </c>
      <c r="E916" s="4" t="str">
        <v>Gội trải nghiệm 115p</v>
      </c>
      <c r="F916" s="21">
        <v>999000</v>
      </c>
      <c r="G916" s="21">
        <v>1039000</v>
      </c>
      <c r="H916" s="21">
        <v>1039000</v>
      </c>
      <c r="I916" s="4">
        <f>A916&amp;D916</f>
      </c>
      <c r="J916" s="4">
        <v>1039000</v>
      </c>
      <c r="K916" s="4"/>
      <c r="L916" s="4"/>
      <c r="M916" s="4"/>
      <c r="N916" s="4"/>
      <c r="O916" s="4"/>
      <c r="P916" s="4"/>
      <c r="Q916" s="4"/>
      <c r="R916" s="4"/>
      <c r="S916" s="4"/>
    </row>
    <row r="917">
      <c r="A917" s="4">
        <v>212</v>
      </c>
      <c r="B917" s="4" t="str">
        <v>58 NVC NA</v>
      </c>
      <c r="C917" s="4" t="str">
        <v>DV_Cắt</v>
      </c>
      <c r="D917" s="4">
        <v>513</v>
      </c>
      <c r="E917" s="4" t="str">
        <v>[DV] ShineCombo 10 bước Ultra Care 2023</v>
      </c>
      <c r="F917" s="21">
        <v>122000</v>
      </c>
      <c r="G917" s="21">
        <v>122000</v>
      </c>
      <c r="H917" s="21">
        <v>122000</v>
      </c>
      <c r="I917" s="4">
        <f>A917&amp;D917</f>
      </c>
      <c r="J917" s="4">
        <v>122000</v>
      </c>
      <c r="K917" s="4"/>
      <c r="L917" s="4"/>
      <c r="M917" s="4"/>
      <c r="N917" s="4"/>
      <c r="O917" s="4"/>
      <c r="P917" s="4"/>
      <c r="Q917" s="4"/>
      <c r="R917" s="4"/>
      <c r="S917" s="4"/>
    </row>
    <row r="918">
      <c r="A918" s="4">
        <v>212</v>
      </c>
      <c r="B918" s="4" t="str">
        <v>58 NVC NA</v>
      </c>
      <c r="C918" s="4" t="str">
        <v>DV_Cắt</v>
      </c>
      <c r="D918" s="4">
        <v>891</v>
      </c>
      <c r="E918" s="4" t="str">
        <v>Cắt xả tạo kiểu</v>
      </c>
      <c r="F918" s="21">
        <v>94000</v>
      </c>
      <c r="G918" s="21">
        <v>94000</v>
      </c>
      <c r="H918" s="21">
        <v>94000</v>
      </c>
      <c r="I918" s="4">
        <f>A918&amp;D918</f>
      </c>
      <c r="J918" s="4">
        <v>94000</v>
      </c>
      <c r="K918" s="4"/>
      <c r="L918" s="4"/>
      <c r="M918" s="4"/>
      <c r="N918" s="4"/>
      <c r="O918" s="4"/>
      <c r="P918" s="4"/>
      <c r="Q918" s="4"/>
      <c r="R918" s="4"/>
      <c r="S918" s="4"/>
    </row>
    <row r="919">
      <c r="A919" s="4">
        <v>212</v>
      </c>
      <c r="B919" s="4" t="str">
        <v>58 NVC NA</v>
      </c>
      <c r="C919" s="4" t="str">
        <v>DV_Cắt</v>
      </c>
      <c r="D919" s="4">
        <v>1002</v>
      </c>
      <c r="E919" s="4" t="str">
        <v>Kid Cắt</v>
      </c>
      <c r="F919" s="21">
        <v>75000</v>
      </c>
      <c r="G919" s="21">
        <v>75000</v>
      </c>
      <c r="H919" s="21">
        <v>75000</v>
      </c>
      <c r="I919" s="4">
        <f>A919&amp;D919</f>
      </c>
      <c r="J919" s="4">
        <v>75000</v>
      </c>
      <c r="K919" s="4"/>
      <c r="L919" s="4"/>
      <c r="M919" s="4"/>
      <c r="N919" s="4"/>
      <c r="O919" s="4"/>
      <c r="P919" s="4"/>
      <c r="Q919" s="4"/>
      <c r="R919" s="4"/>
      <c r="S919" s="4"/>
    </row>
    <row r="920">
      <c r="A920" s="4">
        <v>212</v>
      </c>
      <c r="B920" s="4" t="str">
        <v>58 NVC NA</v>
      </c>
      <c r="C920" s="4" t="str">
        <v>DV_Cắt</v>
      </c>
      <c r="D920" s="4">
        <v>1070</v>
      </c>
      <c r="E920" s="4" t="str">
        <v>Combo Cắt gội Kid</v>
      </c>
      <c r="F920" s="21">
        <v>100000</v>
      </c>
      <c r="G920" s="21">
        <v>100000</v>
      </c>
      <c r="H920" s="21">
        <v>100000</v>
      </c>
      <c r="I920" s="4">
        <f>A920&amp;D920</f>
      </c>
      <c r="J920" s="4">
        <v>100000</v>
      </c>
      <c r="K920" s="4"/>
      <c r="L920" s="4"/>
      <c r="M920" s="4"/>
      <c r="N920" s="4"/>
      <c r="O920" s="4"/>
      <c r="P920" s="4"/>
      <c r="Q920" s="4"/>
      <c r="R920" s="4"/>
      <c r="S920" s="4"/>
    </row>
    <row r="921">
      <c r="A921" s="4">
        <v>212</v>
      </c>
      <c r="B921" s="4" t="str">
        <v>58 NVC NA</v>
      </c>
      <c r="C921" s="4" t="str">
        <v>DV_Cắt_Vip</v>
      </c>
      <c r="D921" s="4">
        <v>1046</v>
      </c>
      <c r="E921" s="4" t="str">
        <v>Shinecombo 2</v>
      </c>
      <c r="F921" s="21">
        <v>199000</v>
      </c>
      <c r="G921" s="21">
        <v>199000</v>
      </c>
      <c r="H921" s="21">
        <v>199000</v>
      </c>
      <c r="I921" s="4">
        <f>A921&amp;D921</f>
      </c>
      <c r="J921" s="4">
        <v>199000</v>
      </c>
      <c r="K921" s="4"/>
      <c r="L921" s="4"/>
      <c r="M921" s="4"/>
      <c r="N921" s="4"/>
      <c r="O921" s="4"/>
      <c r="P921" s="4"/>
      <c r="Q921" s="4"/>
      <c r="R921" s="4"/>
      <c r="S921" s="4"/>
    </row>
    <row r="922">
      <c r="A922" s="4">
        <v>212</v>
      </c>
      <c r="B922" s="4" t="str">
        <v>58 NVC NA</v>
      </c>
      <c r="C922" s="4" t="str">
        <v>DV_Cắt_Vip</v>
      </c>
      <c r="D922" s="4">
        <v>1047</v>
      </c>
      <c r="E922" s="4" t="str">
        <v>Cắt Gội Combo 3 - Chăm da</v>
      </c>
      <c r="F922" s="21">
        <v>299000</v>
      </c>
      <c r="G922" s="21">
        <v>299000</v>
      </c>
      <c r="H922" s="21">
        <v>299000</v>
      </c>
      <c r="I922" s="4">
        <f>A922&amp;D922</f>
      </c>
      <c r="J922" s="4">
        <v>299000</v>
      </c>
      <c r="K922" s="4"/>
      <c r="L922" s="4"/>
      <c r="M922" s="4"/>
      <c r="N922" s="4"/>
      <c r="O922" s="4"/>
      <c r="P922" s="4"/>
      <c r="Q922" s="4"/>
      <c r="R922" s="4"/>
      <c r="S922" s="4"/>
    </row>
    <row r="923">
      <c r="A923" s="4">
        <v>212</v>
      </c>
      <c r="B923" s="4" t="str">
        <v>58 NVC NA</v>
      </c>
      <c r="C923" s="4" t="str">
        <v>DV_Cắt_Vip</v>
      </c>
      <c r="D923" s="4">
        <v>1048</v>
      </c>
      <c r="E923" s="4" t="str">
        <v>Combo 4</v>
      </c>
      <c r="F923" s="21">
        <v>389000</v>
      </c>
      <c r="G923" s="21">
        <v>389000</v>
      </c>
      <c r="H923" s="21">
        <v>389000</v>
      </c>
      <c r="I923" s="4">
        <f>A923&amp;D923</f>
      </c>
      <c r="J923" s="4">
        <v>389000</v>
      </c>
      <c r="K923" s="4"/>
      <c r="L923" s="4"/>
      <c r="M923" s="4"/>
      <c r="N923" s="4"/>
      <c r="O923" s="4"/>
      <c r="P923" s="4"/>
      <c r="Q923" s="4"/>
      <c r="R923" s="4"/>
      <c r="S923" s="4"/>
    </row>
    <row r="924">
      <c r="A924" s="4">
        <v>212</v>
      </c>
      <c r="B924" s="4" t="str">
        <v>58 NVC NA</v>
      </c>
      <c r="C924" s="4" t="str">
        <v>DV_Cắt_Vip</v>
      </c>
      <c r="D924" s="4">
        <v>1064</v>
      </c>
      <c r="E924" s="4" t="str">
        <v>Cắt Gội Combo 5 - Dưỡng sinh</v>
      </c>
      <c r="F924" s="21">
        <v>459000</v>
      </c>
      <c r="G924" s="21">
        <v>459000</v>
      </c>
      <c r="H924" s="21">
        <v>459000</v>
      </c>
      <c r="I924" s="4">
        <f>A924&amp;D924</f>
      </c>
      <c r="J924" s="4">
        <v>459000</v>
      </c>
      <c r="K924" s="4"/>
      <c r="L924" s="4"/>
      <c r="M924" s="4"/>
      <c r="N924" s="4"/>
      <c r="O924" s="4"/>
      <c r="P924" s="4"/>
      <c r="Q924" s="4"/>
      <c r="R924" s="4"/>
      <c r="S924" s="4"/>
    </row>
    <row r="925">
      <c r="A925" s="4">
        <v>212</v>
      </c>
      <c r="B925" s="4" t="str">
        <v>58 NVC NA</v>
      </c>
      <c r="C925" s="4" t="str">
        <v>DV_Cắt_Vip</v>
      </c>
      <c r="D925" s="4">
        <v>1065</v>
      </c>
      <c r="E925" s="4" t="str">
        <v>Cắt Gội Combo 3 - Dưỡng sinh</v>
      </c>
      <c r="F925" s="21">
        <v>299000</v>
      </c>
      <c r="G925" s="21">
        <v>299000</v>
      </c>
      <c r="H925" s="21">
        <v>299000</v>
      </c>
      <c r="I925" s="4">
        <f>A925&amp;D925</f>
      </c>
      <c r="J925" s="4">
        <v>299000</v>
      </c>
      <c r="K925" s="4"/>
      <c r="L925" s="4"/>
      <c r="M925" s="4"/>
      <c r="N925" s="4"/>
      <c r="O925" s="4"/>
      <c r="P925" s="4"/>
      <c r="Q925" s="4"/>
      <c r="R925" s="4"/>
      <c r="S925" s="4"/>
    </row>
    <row r="926">
      <c r="A926" s="4">
        <v>212</v>
      </c>
      <c r="B926" s="4" t="str">
        <v>58 NVC NA</v>
      </c>
      <c r="C926" s="4" t="str">
        <v>DV_Gội</v>
      </c>
      <c r="D926" s="4">
        <v>867</v>
      </c>
      <c r="E926" s="4" t="str">
        <v>Gội dưỡng sinh cổ vai gáy</v>
      </c>
      <c r="F926" s="21">
        <v>99000</v>
      </c>
      <c r="G926" s="21">
        <v>99000</v>
      </c>
      <c r="H926" s="21">
        <v>99000</v>
      </c>
      <c r="I926" s="4">
        <f>A926&amp;D926</f>
      </c>
      <c r="J926" s="4">
        <v>99000</v>
      </c>
      <c r="K926" s="4"/>
      <c r="L926" s="4"/>
      <c r="M926" s="4"/>
      <c r="N926" s="4"/>
      <c r="O926" s="4"/>
      <c r="P926" s="4"/>
      <c r="Q926" s="4"/>
      <c r="R926" s="4"/>
      <c r="S926" s="4"/>
    </row>
    <row r="927">
      <c r="A927" s="4">
        <v>212</v>
      </c>
      <c r="B927" s="4" t="str">
        <v>58 NVC NA</v>
      </c>
      <c r="C927" s="4" t="str">
        <v>DV_Gội</v>
      </c>
      <c r="D927" s="4">
        <v>930</v>
      </c>
      <c r="E927" s="4" t="str">
        <v>[NEW] Gội dưỡng sinh cổ vai gáy và chăm sóc da</v>
      </c>
      <c r="F927" s="21">
        <v>139000</v>
      </c>
      <c r="G927" s="21">
        <v>139000</v>
      </c>
      <c r="H927" s="21">
        <v>139000</v>
      </c>
      <c r="I927" s="4">
        <f>A927&amp;D927</f>
      </c>
      <c r="J927" s="4">
        <v>139000</v>
      </c>
      <c r="K927" s="4"/>
      <c r="L927" s="4"/>
      <c r="M927" s="4"/>
      <c r="N927" s="4"/>
      <c r="O927" s="4"/>
      <c r="P927" s="4"/>
      <c r="Q927" s="4"/>
      <c r="R927" s="4"/>
      <c r="S927" s="4"/>
    </row>
    <row r="928">
      <c r="A928" s="4">
        <v>212</v>
      </c>
      <c r="B928" s="4" t="str">
        <v>58 NVC NA</v>
      </c>
      <c r="C928" s="4" t="str">
        <v>DV_Gội</v>
      </c>
      <c r="D928" s="4">
        <v>934</v>
      </c>
      <c r="E928" s="4" t="str">
        <v>Gội combo 3 - Dưỡng sinh</v>
      </c>
      <c r="F928" s="21">
        <v>229000</v>
      </c>
      <c r="G928" s="21">
        <v>229000</v>
      </c>
      <c r="H928" s="21">
        <v>229000</v>
      </c>
      <c r="I928" s="4">
        <f>A928&amp;D928</f>
      </c>
      <c r="J928" s="4">
        <v>229000</v>
      </c>
      <c r="K928" s="4"/>
      <c r="L928" s="4"/>
      <c r="M928" s="4"/>
      <c r="N928" s="4"/>
      <c r="O928" s="4"/>
      <c r="P928" s="4"/>
      <c r="Q928" s="4"/>
      <c r="R928" s="4"/>
      <c r="S928" s="4"/>
    </row>
    <row r="929">
      <c r="A929" s="4">
        <v>212</v>
      </c>
      <c r="B929" s="4" t="str">
        <v>58 NVC NA</v>
      </c>
      <c r="C929" s="4" t="str">
        <v>DV_Gội</v>
      </c>
      <c r="D929" s="4">
        <v>940</v>
      </c>
      <c r="E929" s="4" t="str">
        <v>[NEW] Gội dưỡng sinh</v>
      </c>
      <c r="F929" s="21">
        <v>59000</v>
      </c>
      <c r="G929" s="21">
        <v>59000</v>
      </c>
      <c r="H929" s="21">
        <v>59000</v>
      </c>
      <c r="I929" s="4">
        <f>A929&amp;D929</f>
      </c>
      <c r="J929" s="4">
        <v>59000</v>
      </c>
      <c r="K929" s="4"/>
      <c r="L929" s="4"/>
      <c r="M929" s="4"/>
      <c r="N929" s="4"/>
      <c r="O929" s="4"/>
      <c r="P929" s="4"/>
      <c r="Q929" s="4"/>
      <c r="R929" s="4"/>
      <c r="S929" s="4"/>
    </row>
    <row r="930">
      <c r="A930" s="4">
        <v>212</v>
      </c>
      <c r="B930" s="4" t="str">
        <v>58 NVC NA</v>
      </c>
      <c r="C930" s="4" t="str">
        <v>DV_Gội</v>
      </c>
      <c r="D930" s="4">
        <v>1058</v>
      </c>
      <c r="E930" s="4" t="str">
        <v>Gội Combo 2</v>
      </c>
      <c r="F930" s="21">
        <v>159000</v>
      </c>
      <c r="G930" s="21">
        <v>159000</v>
      </c>
      <c r="H930" s="21">
        <v>159000</v>
      </c>
      <c r="I930" s="4">
        <f>A930&amp;D930</f>
      </c>
      <c r="J930" s="4">
        <v>159000</v>
      </c>
      <c r="K930" s="4"/>
      <c r="L930" s="4"/>
      <c r="M930" s="4"/>
      <c r="N930" s="4"/>
      <c r="O930" s="4"/>
      <c r="P930" s="4"/>
      <c r="Q930" s="4"/>
      <c r="R930" s="4"/>
      <c r="S930" s="4"/>
    </row>
    <row r="931">
      <c r="A931" s="4">
        <v>212</v>
      </c>
      <c r="B931" s="4" t="str">
        <v>58 NVC NA</v>
      </c>
      <c r="C931" s="4" t="str">
        <v>DV_Gội</v>
      </c>
      <c r="D931" s="4">
        <v>1059</v>
      </c>
      <c r="E931" s="4" t="str">
        <v>Gội Combo 3 - Chăm da</v>
      </c>
      <c r="F931" s="21">
        <v>219000</v>
      </c>
      <c r="G931" s="21">
        <v>219000</v>
      </c>
      <c r="H931" s="21">
        <v>219000</v>
      </c>
      <c r="I931" s="4">
        <f>A931&amp;D931</f>
      </c>
      <c r="J931" s="4">
        <v>219000</v>
      </c>
      <c r="K931" s="4"/>
      <c r="L931" s="4"/>
      <c r="M931" s="4"/>
      <c r="N931" s="4"/>
      <c r="O931" s="4"/>
      <c r="P931" s="4"/>
      <c r="Q931" s="4"/>
      <c r="R931" s="4"/>
      <c r="S931" s="4"/>
    </row>
    <row r="932">
      <c r="A932" s="4">
        <v>212</v>
      </c>
      <c r="B932" s="4" t="str">
        <v>58 NVC NA</v>
      </c>
      <c r="C932" s="4" t="str">
        <v>DV_Gội</v>
      </c>
      <c r="D932" s="4">
        <v>1060</v>
      </c>
      <c r="E932" s="4" t="str">
        <v>Gội Combo 4</v>
      </c>
      <c r="F932" s="21">
        <v>289000</v>
      </c>
      <c r="G932" s="21">
        <v>289000</v>
      </c>
      <c r="H932" s="21">
        <v>289000</v>
      </c>
      <c r="I932" s="4">
        <f>A932&amp;D932</f>
      </c>
      <c r="J932" s="4">
        <v>289000</v>
      </c>
      <c r="K932" s="4"/>
      <c r="L932" s="4"/>
      <c r="M932" s="4"/>
      <c r="N932" s="4"/>
      <c r="O932" s="4"/>
      <c r="P932" s="4"/>
      <c r="Q932" s="4"/>
      <c r="R932" s="4"/>
      <c r="S932" s="4"/>
    </row>
    <row r="933">
      <c r="A933" s="4">
        <v>212</v>
      </c>
      <c r="B933" s="4" t="str">
        <v>58 NVC NA</v>
      </c>
      <c r="C933" s="4" t="str">
        <v>DV_Gội</v>
      </c>
      <c r="D933" s="4">
        <v>1066</v>
      </c>
      <c r="E933" s="4" t="str">
        <v>Gội trải nghiệm 75p</v>
      </c>
      <c r="F933" s="21">
        <v>589000</v>
      </c>
      <c r="G933" s="21">
        <v>589000</v>
      </c>
      <c r="H933" s="21">
        <v>589000</v>
      </c>
      <c r="I933" s="4">
        <f>A933&amp;D933</f>
      </c>
      <c r="J933" s="4">
        <v>589000</v>
      </c>
      <c r="K933" s="4"/>
      <c r="L933" s="4"/>
      <c r="M933" s="4"/>
      <c r="N933" s="4"/>
      <c r="O933" s="4"/>
      <c r="P933" s="4"/>
      <c r="Q933" s="4"/>
      <c r="R933" s="4"/>
      <c r="S933" s="4"/>
    </row>
    <row r="934">
      <c r="A934" s="4">
        <v>212</v>
      </c>
      <c r="B934" s="4" t="str">
        <v>58 NVC NA</v>
      </c>
      <c r="C934" s="4" t="str">
        <v>DV_Gội</v>
      </c>
      <c r="D934" s="4">
        <v>1067</v>
      </c>
      <c r="E934" s="4" t="str">
        <v>Gội trải nghiệm 90p</v>
      </c>
      <c r="F934" s="21">
        <v>789000</v>
      </c>
      <c r="G934" s="21">
        <v>789000</v>
      </c>
      <c r="H934" s="21">
        <v>789000</v>
      </c>
      <c r="I934" s="4">
        <f>A934&amp;D934</f>
      </c>
      <c r="J934" s="4">
        <v>789000</v>
      </c>
      <c r="K934" s="4"/>
      <c r="L934" s="4"/>
      <c r="M934" s="4"/>
      <c r="N934" s="4"/>
      <c r="O934" s="4"/>
      <c r="P934" s="4"/>
      <c r="Q934" s="4"/>
      <c r="R934" s="4"/>
      <c r="S934" s="4"/>
    </row>
    <row r="935">
      <c r="A935" s="4">
        <v>212</v>
      </c>
      <c r="B935" s="4" t="str">
        <v>58 NVC NA</v>
      </c>
      <c r="C935" s="4" t="str">
        <v>DV_Gội</v>
      </c>
      <c r="D935" s="4">
        <v>1068</v>
      </c>
      <c r="E935" s="4" t="str">
        <v>Gội trải nghiệm 115p</v>
      </c>
      <c r="F935" s="21">
        <v>999000</v>
      </c>
      <c r="G935" s="21">
        <v>999000</v>
      </c>
      <c r="H935" s="21">
        <v>999000</v>
      </c>
      <c r="I935" s="4">
        <f>A935&amp;D935</f>
      </c>
      <c r="J935" s="4">
        <v>999000</v>
      </c>
      <c r="K935" s="4"/>
      <c r="L935" s="4"/>
      <c r="M935" s="4"/>
      <c r="N935" s="4"/>
      <c r="O935" s="4"/>
      <c r="P935" s="4"/>
      <c r="Q935" s="4"/>
      <c r="R935" s="4"/>
      <c r="S935" s="4"/>
    </row>
    <row r="936">
      <c r="A936" s="4">
        <v>212</v>
      </c>
      <c r="B936" s="4" t="str">
        <v>58 NVC NA</v>
      </c>
      <c r="C936" s="4" t="str">
        <v>DV_Gội</v>
      </c>
      <c r="D936" s="4">
        <v>1255</v>
      </c>
      <c r="E936" s="4" t="str">
        <v>VH Cắt gội dưỡng sinh Vip</v>
      </c>
      <c r="F936" s="21">
        <v>249000</v>
      </c>
      <c r="G936" s="21">
        <v>249000</v>
      </c>
      <c r="H936" s="21">
        <v>249000</v>
      </c>
      <c r="I936" s="4">
        <f>A936&amp;D936</f>
      </c>
      <c r="J936" s="4">
        <v>249000</v>
      </c>
      <c r="K936" s="4"/>
      <c r="L936" s="4"/>
      <c r="M936" s="4"/>
      <c r="N936" s="4"/>
      <c r="O936" s="4"/>
      <c r="P936" s="4"/>
      <c r="Q936" s="4"/>
      <c r="R936" s="4"/>
      <c r="S936" s="4"/>
    </row>
    <row r="937">
      <c r="A937" s="4">
        <v>212</v>
      </c>
      <c r="B937" s="4" t="str">
        <v>58 NVC NA</v>
      </c>
      <c r="C937" s="4" t="str">
        <v>DV_Gội</v>
      </c>
      <c r="D937" s="4">
        <v>1256</v>
      </c>
      <c r="E937" s="4" t="str">
        <v>VH Cắt gội dưỡng sinh Vip LRT</v>
      </c>
      <c r="F937" s="21">
        <v>299000</v>
      </c>
      <c r="G937" s="21">
        <v>299000</v>
      </c>
      <c r="H937" s="21">
        <v>299000</v>
      </c>
      <c r="I937" s="4">
        <f>A937&amp;D937</f>
      </c>
      <c r="J937" s="4">
        <v>299000</v>
      </c>
      <c r="K937" s="4"/>
      <c r="L937" s="4"/>
      <c r="M937" s="4"/>
      <c r="N937" s="4"/>
      <c r="O937" s="4"/>
      <c r="P937" s="4"/>
      <c r="Q937" s="4"/>
      <c r="R937" s="4"/>
      <c r="S937" s="4"/>
    </row>
    <row r="938">
      <c r="A938" s="4">
        <v>233</v>
      </c>
      <c r="B938" s="4" t="str">
        <v>595 BT TH</v>
      </c>
      <c r="C938" s="4" t="str">
        <v>DV_Cắt</v>
      </c>
      <c r="D938" s="4">
        <v>513</v>
      </c>
      <c r="E938" s="4" t="str">
        <v>[DV] ShineCombo 10 bước Ultra Care 2023</v>
      </c>
      <c r="F938" s="21">
        <v>122000</v>
      </c>
      <c r="G938" s="21">
        <v>122000</v>
      </c>
      <c r="H938" s="21">
        <v>122000</v>
      </c>
      <c r="I938" s="4">
        <f>A938&amp;D938</f>
      </c>
      <c r="J938" s="4">
        <v>122000</v>
      </c>
      <c r="K938" s="4"/>
      <c r="L938" s="4"/>
      <c r="M938" s="4"/>
      <c r="N938" s="4"/>
      <c r="O938" s="4"/>
      <c r="P938" s="4"/>
      <c r="Q938" s="4"/>
      <c r="R938" s="4"/>
      <c r="S938" s="4"/>
    </row>
    <row r="939">
      <c r="A939" s="4">
        <v>233</v>
      </c>
      <c r="B939" s="4" t="str">
        <v>595 BT TH</v>
      </c>
      <c r="C939" s="4" t="str">
        <v>DV_Cắt</v>
      </c>
      <c r="D939" s="4">
        <v>891</v>
      </c>
      <c r="E939" s="4" t="str">
        <v>Cắt xả tạo kiểu</v>
      </c>
      <c r="F939" s="21">
        <v>103000</v>
      </c>
      <c r="G939" s="21">
        <v>112000</v>
      </c>
      <c r="H939" s="21">
        <v>112000</v>
      </c>
      <c r="I939" s="4">
        <f>A939&amp;D939</f>
      </c>
      <c r="J939" s="4">
        <v>112000</v>
      </c>
      <c r="K939" s="4"/>
      <c r="L939" s="4"/>
      <c r="M939" s="4"/>
      <c r="N939" s="4"/>
      <c r="O939" s="4"/>
      <c r="P939" s="4"/>
      <c r="Q939" s="4"/>
      <c r="R939" s="4"/>
      <c r="S939" s="4"/>
    </row>
    <row r="940">
      <c r="A940" s="4">
        <v>233</v>
      </c>
      <c r="B940" s="4" t="str">
        <v>595 BT TH</v>
      </c>
      <c r="C940" s="4" t="str">
        <v>DV_Cắt</v>
      </c>
      <c r="D940" s="4">
        <v>1002</v>
      </c>
      <c r="E940" s="4" t="str">
        <v>Kid Cắt</v>
      </c>
      <c r="F940" s="21">
        <v>84000</v>
      </c>
      <c r="G940" s="21">
        <v>91000</v>
      </c>
      <c r="H940" s="21">
        <v>91000</v>
      </c>
      <c r="I940" s="4">
        <f>A940&amp;D940</f>
      </c>
      <c r="J940" s="4">
        <v>91000</v>
      </c>
      <c r="K940" s="4"/>
      <c r="L940" s="4"/>
      <c r="M940" s="4"/>
      <c r="N940" s="4"/>
      <c r="O940" s="4"/>
      <c r="P940" s="4"/>
      <c r="Q940" s="4"/>
      <c r="R940" s="4"/>
      <c r="S940" s="4"/>
    </row>
    <row r="941">
      <c r="A941" s="4">
        <v>233</v>
      </c>
      <c r="B941" s="4" t="str">
        <v>595 BT TH</v>
      </c>
      <c r="C941" s="4" t="str">
        <v>DV_Cắt</v>
      </c>
      <c r="D941" s="4">
        <v>1070</v>
      </c>
      <c r="E941" s="4" t="str">
        <v>Combo Cắt gội Kid</v>
      </c>
      <c r="F941" s="21">
        <v>100000</v>
      </c>
      <c r="G941" s="21">
        <v>109000</v>
      </c>
      <c r="H941" s="21">
        <v>109000</v>
      </c>
      <c r="I941" s="4">
        <f>A941&amp;D941</f>
      </c>
      <c r="J941" s="4">
        <v>109000</v>
      </c>
      <c r="K941" s="4"/>
      <c r="L941" s="4"/>
      <c r="M941" s="4"/>
      <c r="N941" s="4"/>
      <c r="O941" s="4"/>
      <c r="P941" s="4"/>
      <c r="Q941" s="4"/>
      <c r="R941" s="4"/>
      <c r="S941" s="4"/>
    </row>
    <row r="942">
      <c r="A942" s="4">
        <v>233</v>
      </c>
      <c r="B942" s="4" t="str">
        <v>595 BT TH</v>
      </c>
      <c r="C942" s="4" t="str">
        <v>DV_Cắt</v>
      </c>
      <c r="D942" s="4">
        <v>1255</v>
      </c>
      <c r="E942" s="4" t="str">
        <v>VH Cắt gội dưỡng sinh Vip</v>
      </c>
      <c r="F942" s="21">
        <v>258000</v>
      </c>
      <c r="G942" s="21">
        <v>281000</v>
      </c>
      <c r="H942" s="21">
        <v>281000</v>
      </c>
      <c r="I942" s="4">
        <f>A942&amp;D942</f>
      </c>
      <c r="J942" s="4">
        <v>281000</v>
      </c>
      <c r="K942" s="4"/>
      <c r="L942" s="4"/>
      <c r="M942" s="4"/>
      <c r="N942" s="4"/>
      <c r="O942" s="4"/>
      <c r="P942" s="4"/>
      <c r="Q942" s="4"/>
      <c r="R942" s="4"/>
      <c r="S942" s="4"/>
    </row>
    <row r="943">
      <c r="A943" s="4">
        <v>233</v>
      </c>
      <c r="B943" s="4" t="str">
        <v>595 BT TH</v>
      </c>
      <c r="C943" s="4" t="str">
        <v>DV_Cắt_Vip</v>
      </c>
      <c r="D943" s="4">
        <v>1046</v>
      </c>
      <c r="E943" s="4" t="str">
        <v>Shinecombo 2</v>
      </c>
      <c r="F943" s="21">
        <v>208000</v>
      </c>
      <c r="G943" s="21">
        <v>226000</v>
      </c>
      <c r="H943" s="21">
        <v>226000</v>
      </c>
      <c r="I943" s="4">
        <f>A943&amp;D943</f>
      </c>
      <c r="J943" s="4">
        <v>226000</v>
      </c>
      <c r="K943" s="4"/>
      <c r="L943" s="4"/>
      <c r="M943" s="4"/>
      <c r="N943" s="4"/>
      <c r="O943" s="4"/>
      <c r="P943" s="4"/>
      <c r="Q943" s="4"/>
      <c r="R943" s="4"/>
      <c r="S943" s="4"/>
    </row>
    <row r="944">
      <c r="A944" s="4">
        <v>233</v>
      </c>
      <c r="B944" s="4" t="str">
        <v>595 BT TH</v>
      </c>
      <c r="C944" s="4" t="str">
        <v>DV_Cắt_Vip</v>
      </c>
      <c r="D944" s="4">
        <v>1047</v>
      </c>
      <c r="E944" s="4" t="str">
        <v>Cắt Gội Combo 3 - Chăm da</v>
      </c>
      <c r="F944" s="21">
        <v>308000</v>
      </c>
      <c r="G944" s="21">
        <v>335000</v>
      </c>
      <c r="H944" s="21">
        <v>335000</v>
      </c>
      <c r="I944" s="4">
        <f>A944&amp;D944</f>
      </c>
      <c r="J944" s="4">
        <v>335000</v>
      </c>
      <c r="K944" s="4"/>
      <c r="L944" s="4"/>
      <c r="M944" s="4"/>
      <c r="N944" s="4"/>
      <c r="O944" s="4"/>
      <c r="P944" s="4"/>
      <c r="Q944" s="4"/>
      <c r="R944" s="4"/>
      <c r="S944" s="4"/>
    </row>
    <row r="945">
      <c r="A945" s="4">
        <v>233</v>
      </c>
      <c r="B945" s="4" t="str">
        <v>595 BT TH</v>
      </c>
      <c r="C945" s="4" t="str">
        <v>DV_Cắt_Vip</v>
      </c>
      <c r="D945" s="4">
        <v>1048</v>
      </c>
      <c r="E945" s="4" t="str">
        <v>Combo 4</v>
      </c>
      <c r="F945" s="21">
        <v>398000</v>
      </c>
      <c r="G945" s="21">
        <v>433000</v>
      </c>
      <c r="H945" s="21">
        <v>433000</v>
      </c>
      <c r="I945" s="4">
        <f>A945&amp;D945</f>
      </c>
      <c r="J945" s="4">
        <v>433000</v>
      </c>
      <c r="K945" s="4"/>
      <c r="L945" s="4"/>
      <c r="M945" s="4"/>
      <c r="N945" s="4"/>
      <c r="O945" s="4"/>
      <c r="P945" s="4"/>
      <c r="Q945" s="4"/>
      <c r="R945" s="4"/>
      <c r="S945" s="4"/>
    </row>
    <row r="946">
      <c r="A946" s="4">
        <v>233</v>
      </c>
      <c r="B946" s="4" t="str">
        <v>595 BT TH</v>
      </c>
      <c r="C946" s="4" t="str">
        <v>DV_Cắt_Vip</v>
      </c>
      <c r="D946" s="4">
        <v>1064</v>
      </c>
      <c r="E946" s="4" t="str">
        <v>Cắt Gội Combo 5 - Dưỡng sinh</v>
      </c>
      <c r="F946" s="21">
        <v>459000</v>
      </c>
      <c r="G946" s="21">
        <v>499000</v>
      </c>
      <c r="H946" s="21">
        <v>499000</v>
      </c>
      <c r="I946" s="4">
        <f>A946&amp;D946</f>
      </c>
      <c r="J946" s="4">
        <v>499000</v>
      </c>
      <c r="K946" s="4"/>
      <c r="L946" s="4"/>
      <c r="M946" s="4"/>
      <c r="N946" s="4"/>
      <c r="O946" s="4"/>
      <c r="P946" s="4"/>
      <c r="Q946" s="4"/>
      <c r="R946" s="4"/>
      <c r="S946" s="4"/>
    </row>
    <row r="947">
      <c r="A947" s="4">
        <v>233</v>
      </c>
      <c r="B947" s="4" t="str">
        <v>595 BT TH</v>
      </c>
      <c r="C947" s="4" t="str">
        <v>DV_Cắt_Vip</v>
      </c>
      <c r="D947" s="4">
        <v>1256</v>
      </c>
      <c r="E947" s="4" t="str">
        <v>VH Cắt gội dưỡng sinh Vip LRT</v>
      </c>
      <c r="F947" s="21">
        <v>308000</v>
      </c>
      <c r="G947" s="21">
        <v>335000</v>
      </c>
      <c r="H947" s="21">
        <v>335000</v>
      </c>
      <c r="I947" s="4">
        <f>A947&amp;D947</f>
      </c>
      <c r="J947" s="4">
        <v>335000</v>
      </c>
      <c r="K947" s="4"/>
      <c r="L947" s="4"/>
      <c r="M947" s="4"/>
      <c r="N947" s="4"/>
      <c r="O947" s="4"/>
      <c r="P947" s="4"/>
      <c r="Q947" s="4"/>
      <c r="R947" s="4"/>
      <c r="S947" s="4"/>
    </row>
    <row r="948">
      <c r="A948" s="4">
        <v>233</v>
      </c>
      <c r="B948" s="4" t="str">
        <v>595 BT TH</v>
      </c>
      <c r="C948" s="4" t="str">
        <v>DV_Cắt_Vip</v>
      </c>
      <c r="D948" s="4">
        <v>1257</v>
      </c>
      <c r="E948" s="4" t="str">
        <v>VH Cắt gội thư giãn phục hồi</v>
      </c>
      <c r="F948" s="21">
        <v>458000</v>
      </c>
      <c r="G948" s="21">
        <v>498000</v>
      </c>
      <c r="H948" s="21">
        <v>498000</v>
      </c>
      <c r="I948" s="4">
        <f>A948&amp;D948</f>
      </c>
      <c r="J948" s="4">
        <v>498000</v>
      </c>
      <c r="K948" s="4"/>
      <c r="L948" s="4"/>
      <c r="M948" s="4"/>
      <c r="N948" s="4"/>
      <c r="O948" s="4"/>
      <c r="P948" s="4"/>
      <c r="Q948" s="4"/>
      <c r="R948" s="4"/>
      <c r="S948" s="4"/>
    </row>
    <row r="949">
      <c r="A949" s="4">
        <v>233</v>
      </c>
      <c r="B949" s="4" t="str">
        <v>595 BT TH</v>
      </c>
      <c r="C949" s="4" t="str">
        <v>DV_Gội</v>
      </c>
      <c r="D949" s="4">
        <v>867</v>
      </c>
      <c r="E949" s="4" t="str">
        <v>Gội dưỡng sinh cổ vai gáy</v>
      </c>
      <c r="F949" s="21">
        <v>99000</v>
      </c>
      <c r="G949" s="21">
        <v>108000</v>
      </c>
      <c r="H949" s="21">
        <v>108000</v>
      </c>
      <c r="I949" s="4">
        <f>A949&amp;D949</f>
      </c>
      <c r="J949" s="4">
        <v>108000</v>
      </c>
      <c r="K949" s="4"/>
      <c r="L949" s="4"/>
      <c r="M949" s="4"/>
      <c r="N949" s="4"/>
      <c r="O949" s="4"/>
      <c r="P949" s="4"/>
      <c r="Q949" s="4"/>
      <c r="R949" s="4"/>
      <c r="S949" s="4"/>
    </row>
    <row r="950">
      <c r="A950" s="4">
        <v>233</v>
      </c>
      <c r="B950" s="4" t="str">
        <v>595 BT TH</v>
      </c>
      <c r="C950" s="4" t="str">
        <v>DV_Gội</v>
      </c>
      <c r="D950" s="4">
        <v>930</v>
      </c>
      <c r="E950" s="4" t="str">
        <v>[NEW] Gội dưỡng sinh cổ vai gáy và chăm sóc da</v>
      </c>
      <c r="F950" s="21">
        <v>139000</v>
      </c>
      <c r="G950" s="21">
        <v>151000</v>
      </c>
      <c r="H950" s="21">
        <v>151000</v>
      </c>
      <c r="I950" s="4">
        <f>A950&amp;D950</f>
      </c>
      <c r="J950" s="4">
        <v>151000</v>
      </c>
      <c r="K950" s="4"/>
      <c r="L950" s="4"/>
      <c r="M950" s="4"/>
      <c r="N950" s="4"/>
      <c r="O950" s="4"/>
      <c r="P950" s="4"/>
      <c r="Q950" s="4"/>
      <c r="R950" s="4"/>
      <c r="S950" s="4"/>
    </row>
    <row r="951">
      <c r="A951" s="4">
        <v>233</v>
      </c>
      <c r="B951" s="4" t="str">
        <v>595 BT TH</v>
      </c>
      <c r="C951" s="4" t="str">
        <v>DV_Gội</v>
      </c>
      <c r="D951" s="4">
        <v>934</v>
      </c>
      <c r="E951" s="4" t="str">
        <v>Gội combo 3 - Dưỡng sinh</v>
      </c>
      <c r="F951" s="21">
        <v>229000</v>
      </c>
      <c r="G951" s="21">
        <v>249000</v>
      </c>
      <c r="H951" s="21">
        <v>249000</v>
      </c>
      <c r="I951" s="4">
        <f>A951&amp;D951</f>
      </c>
      <c r="J951" s="4">
        <v>249000</v>
      </c>
      <c r="K951" s="4"/>
      <c r="L951" s="4"/>
      <c r="M951" s="4"/>
      <c r="N951" s="4"/>
      <c r="O951" s="4"/>
      <c r="P951" s="4"/>
      <c r="Q951" s="4"/>
      <c r="R951" s="4"/>
      <c r="S951" s="4"/>
    </row>
    <row r="952">
      <c r="A952" s="4">
        <v>233</v>
      </c>
      <c r="B952" s="4" t="str">
        <v>595 BT TH</v>
      </c>
      <c r="C952" s="4" t="str">
        <v>DV_Gội</v>
      </c>
      <c r="D952" s="4">
        <v>940</v>
      </c>
      <c r="E952" s="4" t="str">
        <v>[NEW] Gội dưỡng sinh</v>
      </c>
      <c r="F952" s="21">
        <v>59000</v>
      </c>
      <c r="G952" s="21">
        <v>64000</v>
      </c>
      <c r="H952" s="21">
        <v>64000</v>
      </c>
      <c r="I952" s="4">
        <f>A952&amp;D952</f>
      </c>
      <c r="J952" s="4">
        <v>64000</v>
      </c>
      <c r="K952" s="4"/>
      <c r="L952" s="4"/>
      <c r="M952" s="4"/>
      <c r="N952" s="4"/>
      <c r="O952" s="4"/>
      <c r="P952" s="4"/>
      <c r="Q952" s="4"/>
      <c r="R952" s="4"/>
      <c r="S952" s="4"/>
    </row>
    <row r="953">
      <c r="A953" s="4">
        <v>233</v>
      </c>
      <c r="B953" s="4" t="str">
        <v>595 BT TH</v>
      </c>
      <c r="C953" s="4" t="str">
        <v>DV_Gội</v>
      </c>
      <c r="D953" s="4">
        <v>1058</v>
      </c>
      <c r="E953" s="4" t="str">
        <v>Gội Combo 2</v>
      </c>
      <c r="F953" s="21">
        <v>159000</v>
      </c>
      <c r="G953" s="21">
        <v>173000</v>
      </c>
      <c r="H953" s="21">
        <v>173000</v>
      </c>
      <c r="I953" s="4">
        <f>A953&amp;D953</f>
      </c>
      <c r="J953" s="4">
        <v>173000</v>
      </c>
      <c r="K953" s="4"/>
      <c r="L953" s="4"/>
      <c r="M953" s="4"/>
      <c r="N953" s="4"/>
      <c r="O953" s="4"/>
      <c r="P953" s="4"/>
      <c r="Q953" s="4"/>
      <c r="R953" s="4"/>
      <c r="S953" s="4"/>
    </row>
    <row r="954">
      <c r="A954" s="4">
        <v>233</v>
      </c>
      <c r="B954" s="4" t="str">
        <v>595 BT TH</v>
      </c>
      <c r="C954" s="4" t="str">
        <v>DV_Gội</v>
      </c>
      <c r="D954" s="4">
        <v>1059</v>
      </c>
      <c r="E954" s="4" t="str">
        <v>Gội Combo 3 - Chăm da</v>
      </c>
      <c r="F954" s="21">
        <v>219000</v>
      </c>
      <c r="G954" s="21">
        <v>238000</v>
      </c>
      <c r="H954" s="21">
        <v>238000</v>
      </c>
      <c r="I954" s="4">
        <f>A954&amp;D954</f>
      </c>
      <c r="J954" s="4">
        <v>238000</v>
      </c>
      <c r="K954" s="4"/>
      <c r="L954" s="4"/>
      <c r="M954" s="4"/>
      <c r="N954" s="4"/>
      <c r="O954" s="4"/>
      <c r="P954" s="4"/>
      <c r="Q954" s="4"/>
      <c r="R954" s="4"/>
      <c r="S954" s="4"/>
    </row>
    <row r="955">
      <c r="A955" s="4">
        <v>233</v>
      </c>
      <c r="B955" s="4" t="str">
        <v>595 BT TH</v>
      </c>
      <c r="C955" s="4" t="str">
        <v>DV_Gội</v>
      </c>
      <c r="D955" s="4">
        <v>1060</v>
      </c>
      <c r="E955" s="4" t="str">
        <v>Gội Combo 4</v>
      </c>
      <c r="F955" s="21">
        <v>289000</v>
      </c>
      <c r="G955" s="21">
        <v>314000</v>
      </c>
      <c r="H955" s="21">
        <v>314000</v>
      </c>
      <c r="I955" s="4">
        <f>A955&amp;D955</f>
      </c>
      <c r="J955" s="4">
        <v>314000</v>
      </c>
      <c r="K955" s="4"/>
      <c r="L955" s="4"/>
      <c r="M955" s="4"/>
      <c r="N955" s="4"/>
      <c r="O955" s="4"/>
      <c r="P955" s="4"/>
      <c r="Q955" s="4"/>
      <c r="R955" s="4"/>
      <c r="S955" s="4"/>
    </row>
    <row r="956">
      <c r="A956" s="4">
        <v>233</v>
      </c>
      <c r="B956" s="4" t="str">
        <v>595 BT TH</v>
      </c>
      <c r="C956" s="4" t="str">
        <v>DV_Gội</v>
      </c>
      <c r="D956" s="4">
        <v>1066</v>
      </c>
      <c r="E956" s="4" t="str">
        <v>Gội trải nghiệm 75p</v>
      </c>
      <c r="F956" s="21">
        <v>589000</v>
      </c>
      <c r="G956" s="21">
        <v>640000</v>
      </c>
      <c r="H956" s="21">
        <v>640000</v>
      </c>
      <c r="I956" s="4">
        <f>A956&amp;D956</f>
      </c>
      <c r="J956" s="4">
        <v>640000</v>
      </c>
      <c r="K956" s="4"/>
      <c r="L956" s="4"/>
      <c r="M956" s="4"/>
      <c r="N956" s="4"/>
      <c r="O956" s="4"/>
      <c r="P956" s="4"/>
      <c r="Q956" s="4"/>
      <c r="R956" s="4"/>
      <c r="S956" s="4"/>
    </row>
    <row r="957">
      <c r="A957" s="4">
        <v>233</v>
      </c>
      <c r="B957" s="4" t="str">
        <v>595 BT TH</v>
      </c>
      <c r="C957" s="4" t="str">
        <v>DV_Gội</v>
      </c>
      <c r="D957" s="4">
        <v>1067</v>
      </c>
      <c r="E957" s="4" t="str">
        <v>Gội trải nghiệm 90p</v>
      </c>
      <c r="F957" s="21">
        <v>789000</v>
      </c>
      <c r="G957" s="21">
        <v>858000</v>
      </c>
      <c r="H957" s="21">
        <v>858000</v>
      </c>
      <c r="I957" s="4">
        <f>A957&amp;D957</f>
      </c>
      <c r="J957" s="4">
        <v>858000</v>
      </c>
      <c r="K957" s="4"/>
      <c r="L957" s="4"/>
      <c r="M957" s="4"/>
      <c r="N957" s="4"/>
      <c r="O957" s="4"/>
      <c r="P957" s="4"/>
      <c r="Q957" s="4"/>
      <c r="R957" s="4"/>
      <c r="S957" s="4"/>
    </row>
    <row r="958">
      <c r="A958" s="4">
        <v>233</v>
      </c>
      <c r="B958" s="4" t="str">
        <v>595 BT TH</v>
      </c>
      <c r="C958" s="4" t="str">
        <v>DV_Gội</v>
      </c>
      <c r="D958" s="4">
        <v>1068</v>
      </c>
      <c r="E958" s="4" t="str">
        <v>Gội trải nghiệm 115p</v>
      </c>
      <c r="F958" s="21">
        <v>999000</v>
      </c>
      <c r="G958" s="21">
        <v>1086000</v>
      </c>
      <c r="H958" s="21">
        <v>1086000</v>
      </c>
      <c r="I958" s="4">
        <f>A958&amp;D958</f>
      </c>
      <c r="J958" s="4">
        <v>1086000</v>
      </c>
      <c r="K958" s="4"/>
      <c r="L958" s="4"/>
      <c r="M958" s="4"/>
      <c r="N958" s="4"/>
      <c r="O958" s="4"/>
      <c r="P958" s="4"/>
      <c r="Q958" s="4"/>
      <c r="R958" s="4"/>
      <c r="S958" s="4"/>
    </row>
    <row r="959">
      <c r="A959" s="4">
        <v>233</v>
      </c>
      <c r="B959" s="4" t="str">
        <v>595 BT TH</v>
      </c>
      <c r="C959" s="4" t="str">
        <v>DV_Gội</v>
      </c>
      <c r="D959" s="4">
        <v>1259</v>
      </c>
      <c r="E959" s="4" t="str">
        <v>VH Gội Vip Dưỡng Sinh LRT</v>
      </c>
      <c r="F959" s="21">
        <v>259000</v>
      </c>
      <c r="G959" s="21">
        <v>282000</v>
      </c>
      <c r="H959" s="21">
        <v>282000</v>
      </c>
      <c r="I959" s="4">
        <f>A959&amp;D959</f>
      </c>
      <c r="J959" s="4">
        <v>282000</v>
      </c>
      <c r="K959" s="4"/>
      <c r="L959" s="4"/>
      <c r="M959" s="4"/>
      <c r="N959" s="4"/>
      <c r="O959" s="4"/>
      <c r="P959" s="4"/>
      <c r="Q959" s="4"/>
      <c r="R959" s="4"/>
      <c r="S959" s="4"/>
    </row>
    <row r="960">
      <c r="A960" s="4">
        <v>233</v>
      </c>
      <c r="B960" s="4" t="str">
        <v>595 BT TH</v>
      </c>
      <c r="C960" s="4" t="str">
        <v>DV_Gội</v>
      </c>
      <c r="D960" s="4">
        <v>1260</v>
      </c>
      <c r="E960" s="4" t="str">
        <v>VH Combo Gội Dưỡng Sinh Phục Hồi</v>
      </c>
      <c r="F960" s="21">
        <v>399000</v>
      </c>
      <c r="G960" s="21">
        <v>434000</v>
      </c>
      <c r="H960" s="21">
        <v>434000</v>
      </c>
      <c r="I960" s="4">
        <f>A960&amp;D960</f>
      </c>
      <c r="J960" s="4">
        <v>434000</v>
      </c>
      <c r="K960" s="4"/>
      <c r="L960" s="4"/>
      <c r="M960" s="4"/>
      <c r="N960" s="4"/>
      <c r="O960" s="4"/>
      <c r="P960" s="4"/>
      <c r="Q960" s="4"/>
      <c r="R960" s="4"/>
      <c r="S960" s="4"/>
    </row>
    <row r="961">
      <c r="A961" s="4">
        <v>228</v>
      </c>
      <c r="B961" s="4" t="str">
        <v>62 LH</v>
      </c>
      <c r="C961" s="4" t="str">
        <v>DV_Cắt</v>
      </c>
      <c r="D961" s="4">
        <v>513</v>
      </c>
      <c r="E961" s="4" t="str">
        <v>[DV] ShineCombo 10 bước Ultra Care 2023</v>
      </c>
      <c r="F961" s="21">
        <v>122000</v>
      </c>
      <c r="G961" s="21">
        <v>122000</v>
      </c>
      <c r="H961" s="21">
        <v>122000</v>
      </c>
      <c r="I961" s="4">
        <f>A961&amp;D961</f>
      </c>
      <c r="J961" s="4">
        <v>122000</v>
      </c>
      <c r="K961" s="4"/>
      <c r="L961" s="4"/>
      <c r="M961" s="4"/>
      <c r="N961" s="4"/>
      <c r="O961" s="4"/>
      <c r="P961" s="4"/>
      <c r="Q961" s="4"/>
      <c r="R961" s="4"/>
      <c r="S961" s="4"/>
    </row>
    <row r="962">
      <c r="A962" s="4">
        <v>228</v>
      </c>
      <c r="B962" s="4" t="str">
        <v>62 LH</v>
      </c>
      <c r="C962" s="4" t="str">
        <v>DV_Cắt</v>
      </c>
      <c r="D962" s="4">
        <v>891</v>
      </c>
      <c r="E962" s="4" t="str">
        <v>Cắt xả tạo kiểu</v>
      </c>
      <c r="F962" s="21">
        <v>94000</v>
      </c>
      <c r="G962" s="21">
        <v>98000</v>
      </c>
      <c r="H962" s="21">
        <v>98000</v>
      </c>
      <c r="I962" s="4">
        <f>A962&amp;D962</f>
      </c>
      <c r="J962" s="4">
        <v>98000</v>
      </c>
      <c r="K962" s="4"/>
      <c r="L962" s="4"/>
      <c r="M962" s="4"/>
      <c r="N962" s="4"/>
      <c r="O962" s="4"/>
      <c r="P962" s="4"/>
      <c r="Q962" s="4"/>
      <c r="R962" s="4"/>
      <c r="S962" s="4"/>
    </row>
    <row r="963">
      <c r="A963" s="4">
        <v>228</v>
      </c>
      <c r="B963" s="4" t="str">
        <v>62 LH</v>
      </c>
      <c r="C963" s="4" t="str">
        <v>DV_Cắt</v>
      </c>
      <c r="D963" s="4">
        <v>1002</v>
      </c>
      <c r="E963" s="4" t="str">
        <v>Kid Cắt</v>
      </c>
      <c r="F963" s="21">
        <v>75000</v>
      </c>
      <c r="G963" s="21">
        <v>78000</v>
      </c>
      <c r="H963" s="21">
        <v>78000</v>
      </c>
      <c r="I963" s="4">
        <f>A963&amp;D963</f>
      </c>
      <c r="J963" s="4">
        <v>78000</v>
      </c>
      <c r="K963" s="4"/>
      <c r="L963" s="4"/>
      <c r="M963" s="4"/>
      <c r="N963" s="4"/>
      <c r="O963" s="4"/>
      <c r="P963" s="4"/>
      <c r="Q963" s="4"/>
      <c r="R963" s="4"/>
      <c r="S963" s="4"/>
    </row>
    <row r="964">
      <c r="A964" s="4">
        <v>228</v>
      </c>
      <c r="B964" s="4" t="str">
        <v>62 LH</v>
      </c>
      <c r="C964" s="4" t="str">
        <v>DV_Cắt</v>
      </c>
      <c r="D964" s="4">
        <v>1070</v>
      </c>
      <c r="E964" s="4" t="str">
        <v>Combo Cắt gội Kid</v>
      </c>
      <c r="F964" s="21">
        <v>100000</v>
      </c>
      <c r="G964" s="21">
        <v>104000</v>
      </c>
      <c r="H964" s="21">
        <v>104000</v>
      </c>
      <c r="I964" s="4">
        <f>A964&amp;D964</f>
      </c>
      <c r="J964" s="4">
        <v>104000</v>
      </c>
      <c r="K964" s="4"/>
      <c r="L964" s="4"/>
      <c r="M964" s="4"/>
      <c r="N964" s="4"/>
      <c r="O964" s="4"/>
      <c r="P964" s="4"/>
      <c r="Q964" s="4"/>
      <c r="R964" s="4"/>
      <c r="S964" s="4"/>
    </row>
    <row r="965">
      <c r="A965" s="4">
        <v>228</v>
      </c>
      <c r="B965" s="4" t="str">
        <v>62 LH</v>
      </c>
      <c r="C965" s="4" t="str">
        <v>DV_Cắt_Vip</v>
      </c>
      <c r="D965" s="4">
        <v>1046</v>
      </c>
      <c r="E965" s="4" t="str">
        <v>Shinecombo 2</v>
      </c>
      <c r="F965" s="21">
        <v>199000</v>
      </c>
      <c r="G965" s="21">
        <v>207000</v>
      </c>
      <c r="H965" s="21">
        <v>207000</v>
      </c>
      <c r="I965" s="4">
        <f>A965&amp;D965</f>
      </c>
      <c r="J965" s="4">
        <v>207000</v>
      </c>
      <c r="K965" s="4"/>
      <c r="L965" s="4"/>
      <c r="M965" s="4"/>
      <c r="N965" s="4"/>
      <c r="O965" s="4"/>
      <c r="P965" s="4"/>
      <c r="Q965" s="4"/>
      <c r="R965" s="4"/>
      <c r="S965" s="4"/>
    </row>
    <row r="966">
      <c r="A966" s="4">
        <v>228</v>
      </c>
      <c r="B966" s="4" t="str">
        <v>62 LH</v>
      </c>
      <c r="C966" s="4" t="str">
        <v>DV_Cắt_Vip</v>
      </c>
      <c r="D966" s="4">
        <v>1047</v>
      </c>
      <c r="E966" s="4" t="str">
        <v>Cắt Gội Combo 3 - Chăm da</v>
      </c>
      <c r="F966" s="21">
        <v>299000</v>
      </c>
      <c r="G966" s="21">
        <v>312000</v>
      </c>
      <c r="H966" s="21">
        <v>312000</v>
      </c>
      <c r="I966" s="4">
        <f>A966&amp;D966</f>
      </c>
      <c r="J966" s="4">
        <v>312000</v>
      </c>
      <c r="K966" s="4"/>
      <c r="L966" s="4"/>
      <c r="M966" s="4"/>
      <c r="N966" s="4"/>
      <c r="O966" s="4"/>
      <c r="P966" s="4"/>
      <c r="Q966" s="4"/>
      <c r="R966" s="4"/>
      <c r="S966" s="4"/>
    </row>
    <row r="967">
      <c r="A967" s="4">
        <v>228</v>
      </c>
      <c r="B967" s="4" t="str">
        <v>62 LH</v>
      </c>
      <c r="C967" s="4" t="str">
        <v>DV_Cắt_Vip</v>
      </c>
      <c r="D967" s="4">
        <v>1048</v>
      </c>
      <c r="E967" s="4" t="str">
        <v>Combo 4</v>
      </c>
      <c r="F967" s="21">
        <v>389000</v>
      </c>
      <c r="G967" s="21">
        <v>406000</v>
      </c>
      <c r="H967" s="21">
        <v>406000</v>
      </c>
      <c r="I967" s="4">
        <f>A967&amp;D967</f>
      </c>
      <c r="J967" s="4">
        <v>406000</v>
      </c>
      <c r="K967" s="4"/>
      <c r="L967" s="4"/>
      <c r="M967" s="4"/>
      <c r="N967" s="4"/>
      <c r="O967" s="4"/>
      <c r="P967" s="4"/>
      <c r="Q967" s="4"/>
      <c r="R967" s="4"/>
      <c r="S967" s="4"/>
    </row>
    <row r="968">
      <c r="A968" s="4">
        <v>228</v>
      </c>
      <c r="B968" s="4" t="str">
        <v>62 LH</v>
      </c>
      <c r="C968" s="4" t="str">
        <v>DV_Cắt_Vip</v>
      </c>
      <c r="D968" s="4">
        <v>1064</v>
      </c>
      <c r="E968" s="4" t="str">
        <v>Cắt Gội Combo 5 - Dưỡng sinh</v>
      </c>
      <c r="F968" s="21">
        <v>459000</v>
      </c>
      <c r="G968" s="21">
        <v>479000</v>
      </c>
      <c r="H968" s="21">
        <v>479000</v>
      </c>
      <c r="I968" s="4">
        <f>A968&amp;D968</f>
      </c>
      <c r="J968" s="4">
        <v>479000</v>
      </c>
      <c r="K968" s="4"/>
      <c r="L968" s="4"/>
      <c r="M968" s="4"/>
      <c r="N968" s="4"/>
      <c r="O968" s="4"/>
      <c r="P968" s="4"/>
      <c r="Q968" s="4"/>
      <c r="R968" s="4"/>
      <c r="S968" s="4"/>
    </row>
    <row r="969">
      <c r="A969" s="4">
        <v>228</v>
      </c>
      <c r="B969" s="4" t="str">
        <v>62 LH</v>
      </c>
      <c r="C969" s="4" t="str">
        <v>DV_Gội</v>
      </c>
      <c r="D969" s="4">
        <v>867</v>
      </c>
      <c r="E969" s="4" t="str">
        <v>Gội dưỡng sinh cổ vai gáy</v>
      </c>
      <c r="F969" s="21">
        <v>99000</v>
      </c>
      <c r="G969" s="21">
        <v>103000</v>
      </c>
      <c r="H969" s="21">
        <v>103000</v>
      </c>
      <c r="I969" s="4">
        <f>A969&amp;D969</f>
      </c>
      <c r="J969" s="4">
        <v>103000</v>
      </c>
      <c r="K969" s="4"/>
      <c r="L969" s="4"/>
      <c r="M969" s="4"/>
      <c r="N969" s="4"/>
      <c r="O969" s="4"/>
      <c r="P969" s="4"/>
      <c r="Q969" s="4"/>
      <c r="R969" s="4"/>
      <c r="S969" s="4"/>
    </row>
    <row r="970">
      <c r="A970" s="4">
        <v>228</v>
      </c>
      <c r="B970" s="4" t="str">
        <v>62 LH</v>
      </c>
      <c r="C970" s="4" t="str">
        <v>DV_Gội</v>
      </c>
      <c r="D970" s="4">
        <v>930</v>
      </c>
      <c r="E970" s="4" t="str">
        <v>[NEW] Gội dưỡng sinh cổ vai gáy và chăm sóc da</v>
      </c>
      <c r="F970" s="21">
        <v>139000</v>
      </c>
      <c r="G970" s="21">
        <v>145000</v>
      </c>
      <c r="H970" s="21">
        <v>145000</v>
      </c>
      <c r="I970" s="4">
        <f>A970&amp;D970</f>
      </c>
      <c r="J970" s="4">
        <v>145000</v>
      </c>
      <c r="K970" s="4"/>
      <c r="L970" s="4"/>
      <c r="M970" s="4"/>
      <c r="N970" s="4"/>
      <c r="O970" s="4"/>
      <c r="P970" s="4"/>
      <c r="Q970" s="4"/>
      <c r="R970" s="4"/>
      <c r="S970" s="4"/>
    </row>
    <row r="971">
      <c r="A971" s="4">
        <v>228</v>
      </c>
      <c r="B971" s="4" t="str">
        <v>62 LH</v>
      </c>
      <c r="C971" s="4" t="str">
        <v>DV_Gội</v>
      </c>
      <c r="D971" s="4">
        <v>934</v>
      </c>
      <c r="E971" s="4" t="str">
        <v>Gội combo 3 - Dưỡng sinh</v>
      </c>
      <c r="F971" s="21">
        <v>229000</v>
      </c>
      <c r="G971" s="21">
        <v>239000</v>
      </c>
      <c r="H971" s="21">
        <v>239000</v>
      </c>
      <c r="I971" s="4">
        <f>A971&amp;D971</f>
      </c>
      <c r="J971" s="4">
        <v>239000</v>
      </c>
      <c r="K971" s="4"/>
      <c r="L971" s="4"/>
      <c r="M971" s="4"/>
      <c r="N971" s="4"/>
      <c r="O971" s="4"/>
      <c r="P971" s="4"/>
      <c r="Q971" s="4"/>
      <c r="R971" s="4"/>
      <c r="S971" s="4"/>
    </row>
    <row r="972">
      <c r="A972" s="4">
        <v>228</v>
      </c>
      <c r="B972" s="4" t="str">
        <v>62 LH</v>
      </c>
      <c r="C972" s="4" t="str">
        <v>DV_Gội</v>
      </c>
      <c r="D972" s="4">
        <v>940</v>
      </c>
      <c r="E972" s="4" t="str">
        <v>[NEW] Gội dưỡng sinh</v>
      </c>
      <c r="F972" s="21">
        <v>59000</v>
      </c>
      <c r="G972" s="21">
        <v>62000</v>
      </c>
      <c r="H972" s="21">
        <v>62000</v>
      </c>
      <c r="I972" s="4">
        <f>A972&amp;D972</f>
      </c>
      <c r="J972" s="4">
        <v>62000</v>
      </c>
      <c r="K972" s="4"/>
      <c r="L972" s="4"/>
      <c r="M972" s="4"/>
      <c r="N972" s="4"/>
      <c r="O972" s="4"/>
      <c r="P972" s="4"/>
      <c r="Q972" s="4"/>
      <c r="R972" s="4"/>
      <c r="S972" s="4"/>
    </row>
    <row r="973">
      <c r="A973" s="4">
        <v>228</v>
      </c>
      <c r="B973" s="4" t="str">
        <v>62 LH</v>
      </c>
      <c r="C973" s="4" t="str">
        <v>DV_Gội</v>
      </c>
      <c r="D973" s="4">
        <v>1058</v>
      </c>
      <c r="E973" s="4" t="str">
        <v>Gội Combo 2</v>
      </c>
      <c r="F973" s="21">
        <v>159000</v>
      </c>
      <c r="G973" s="21">
        <v>166000</v>
      </c>
      <c r="H973" s="21">
        <v>166000</v>
      </c>
      <c r="I973" s="4">
        <f>A973&amp;D973</f>
      </c>
      <c r="J973" s="4">
        <v>166000</v>
      </c>
      <c r="K973" s="4"/>
      <c r="L973" s="4"/>
      <c r="M973" s="4"/>
      <c r="N973" s="4"/>
      <c r="O973" s="4"/>
      <c r="P973" s="4"/>
      <c r="Q973" s="4"/>
      <c r="R973" s="4"/>
      <c r="S973" s="4"/>
    </row>
    <row r="974">
      <c r="A974" s="4">
        <v>228</v>
      </c>
      <c r="B974" s="4" t="str">
        <v>62 LH</v>
      </c>
      <c r="C974" s="4" t="str">
        <v>DV_Gội</v>
      </c>
      <c r="D974" s="4">
        <v>1059</v>
      </c>
      <c r="E974" s="4" t="str">
        <v>Gội Combo 3 - Chăm da</v>
      </c>
      <c r="F974" s="21">
        <v>239000</v>
      </c>
      <c r="G974" s="21">
        <v>249000</v>
      </c>
      <c r="H974" s="21">
        <v>249000</v>
      </c>
      <c r="I974" s="4">
        <f>A974&amp;D974</f>
      </c>
      <c r="J974" s="4">
        <v>249000</v>
      </c>
      <c r="K974" s="4"/>
      <c r="L974" s="4"/>
      <c r="M974" s="4"/>
      <c r="N974" s="4"/>
      <c r="O974" s="4"/>
      <c r="P974" s="4"/>
      <c r="Q974" s="4"/>
      <c r="R974" s="4"/>
      <c r="S974" s="4"/>
    </row>
    <row r="975">
      <c r="A975" s="4">
        <v>228</v>
      </c>
      <c r="B975" s="4" t="str">
        <v>62 LH</v>
      </c>
      <c r="C975" s="4" t="str">
        <v>DV_Gội</v>
      </c>
      <c r="D975" s="4">
        <v>1060</v>
      </c>
      <c r="E975" s="4" t="str">
        <v>Gội Combo 4</v>
      </c>
      <c r="F975" s="21">
        <v>289000</v>
      </c>
      <c r="G975" s="21">
        <v>303000</v>
      </c>
      <c r="H975" s="21">
        <v>303000</v>
      </c>
      <c r="I975" s="4">
        <f>A975&amp;D975</f>
      </c>
      <c r="J975" s="4">
        <v>303000</v>
      </c>
      <c r="K975" s="4"/>
      <c r="L975" s="4"/>
      <c r="M975" s="4"/>
      <c r="N975" s="4"/>
      <c r="O975" s="4"/>
      <c r="P975" s="4"/>
      <c r="Q975" s="4"/>
      <c r="R975" s="4"/>
      <c r="S975" s="4"/>
    </row>
    <row r="976">
      <c r="A976" s="4">
        <v>228</v>
      </c>
      <c r="B976" s="4" t="str">
        <v>62 LH</v>
      </c>
      <c r="C976" s="4" t="str">
        <v>DV_Gội</v>
      </c>
      <c r="D976" s="4">
        <v>1066</v>
      </c>
      <c r="E976" s="4" t="str">
        <v>Gội trải nghiệm 75p</v>
      </c>
      <c r="F976" s="21">
        <v>589000</v>
      </c>
      <c r="G976" s="21">
        <v>614000</v>
      </c>
      <c r="H976" s="21">
        <v>614000</v>
      </c>
      <c r="I976" s="4">
        <f>A976&amp;D976</f>
      </c>
      <c r="J976" s="4">
        <v>614000</v>
      </c>
      <c r="K976" s="4"/>
      <c r="L976" s="4"/>
      <c r="M976" s="4"/>
      <c r="N976" s="4"/>
      <c r="O976" s="4"/>
      <c r="P976" s="4"/>
      <c r="Q976" s="4"/>
      <c r="R976" s="4"/>
      <c r="S976" s="4"/>
    </row>
    <row r="977">
      <c r="A977" s="4">
        <v>228</v>
      </c>
      <c r="B977" s="4" t="str">
        <v>62 LH</v>
      </c>
      <c r="C977" s="4" t="str">
        <v>DV_Gội</v>
      </c>
      <c r="D977" s="4">
        <v>1067</v>
      </c>
      <c r="E977" s="4" t="str">
        <v>Gội trải nghiệm 90p</v>
      </c>
      <c r="F977" s="21">
        <v>789000</v>
      </c>
      <c r="G977" s="21">
        <v>823000</v>
      </c>
      <c r="H977" s="21">
        <v>823000</v>
      </c>
      <c r="I977" s="4">
        <f>A977&amp;D977</f>
      </c>
      <c r="J977" s="4">
        <v>823000</v>
      </c>
      <c r="K977" s="4"/>
      <c r="L977" s="4"/>
      <c r="M977" s="4"/>
      <c r="N977" s="4"/>
      <c r="O977" s="4"/>
      <c r="P977" s="4"/>
      <c r="Q977" s="4"/>
      <c r="R977" s="4"/>
      <c r="S977" s="4"/>
    </row>
    <row r="978">
      <c r="A978" s="4">
        <v>228</v>
      </c>
      <c r="B978" s="4" t="str">
        <v>62 LH</v>
      </c>
      <c r="C978" s="4" t="str">
        <v>DV_Gội</v>
      </c>
      <c r="D978" s="4">
        <v>1068</v>
      </c>
      <c r="E978" s="4" t="str">
        <v>Gội trải nghiệm 115p</v>
      </c>
      <c r="F978" s="21">
        <v>999000</v>
      </c>
      <c r="G978" s="21">
        <v>1042000</v>
      </c>
      <c r="H978" s="21">
        <v>1042000</v>
      </c>
      <c r="I978" s="4">
        <f>A978&amp;D978</f>
      </c>
      <c r="J978" s="4">
        <v>1042000</v>
      </c>
      <c r="K978" s="4"/>
      <c r="L978" s="4"/>
      <c r="M978" s="4"/>
      <c r="N978" s="4"/>
      <c r="O978" s="4"/>
      <c r="P978" s="4"/>
      <c r="Q978" s="4"/>
      <c r="R978" s="4"/>
      <c r="S978" s="4"/>
    </row>
    <row r="979">
      <c r="A979" s="4">
        <v>197</v>
      </c>
      <c r="B979" s="4" t="str">
        <v>65 CD</v>
      </c>
      <c r="C979" s="4" t="str">
        <v>DV_Cắt</v>
      </c>
      <c r="D979" s="4">
        <v>513</v>
      </c>
      <c r="E979" s="4" t="str">
        <v>[DV] ShineCombo 10 bước Ultra Care 2023</v>
      </c>
      <c r="F979" s="21">
        <v>122000</v>
      </c>
      <c r="G979" s="21">
        <v>122000</v>
      </c>
      <c r="H979" s="21">
        <v>122000</v>
      </c>
      <c r="I979" s="4">
        <f>A979&amp;D979</f>
      </c>
      <c r="J979" s="4">
        <v>122000</v>
      </c>
      <c r="K979" s="4"/>
      <c r="L979" s="4"/>
      <c r="M979" s="4"/>
      <c r="N979" s="4"/>
      <c r="O979" s="4"/>
      <c r="P979" s="4"/>
      <c r="Q979" s="4"/>
      <c r="R979" s="4"/>
      <c r="S979" s="4"/>
    </row>
    <row r="980">
      <c r="A980" s="4">
        <v>197</v>
      </c>
      <c r="B980" s="4" t="str">
        <v>65 CD</v>
      </c>
      <c r="C980" s="4" t="str">
        <v>DV_Cắt</v>
      </c>
      <c r="D980" s="4">
        <v>891</v>
      </c>
      <c r="E980" s="4" t="str">
        <v>Cắt xả tạo kiểu</v>
      </c>
      <c r="F980" s="21">
        <v>99000</v>
      </c>
      <c r="G980" s="21">
        <v>100000</v>
      </c>
      <c r="H980" s="21">
        <v>100000</v>
      </c>
      <c r="I980" s="4">
        <f>A980&amp;D980</f>
      </c>
      <c r="J980" s="4">
        <v>100000</v>
      </c>
      <c r="K980" s="4"/>
      <c r="L980" s="4"/>
      <c r="M980" s="4"/>
      <c r="N980" s="4"/>
      <c r="O980" s="4"/>
      <c r="P980" s="4"/>
      <c r="Q980" s="4"/>
      <c r="R980" s="4"/>
      <c r="S980" s="4"/>
    </row>
    <row r="981">
      <c r="A981" s="4">
        <v>197</v>
      </c>
      <c r="B981" s="4" t="str">
        <v>65 CD</v>
      </c>
      <c r="C981" s="4" t="str">
        <v>DV_Cắt</v>
      </c>
      <c r="D981" s="4">
        <v>1002</v>
      </c>
      <c r="E981" s="4" t="str">
        <v>Kid Cắt</v>
      </c>
      <c r="F981" s="21">
        <v>80000</v>
      </c>
      <c r="G981" s="21">
        <v>81000</v>
      </c>
      <c r="H981" s="21">
        <v>81000</v>
      </c>
      <c r="I981" s="4">
        <f>A981&amp;D981</f>
      </c>
      <c r="J981" s="4">
        <v>81000</v>
      </c>
      <c r="K981" s="4"/>
      <c r="L981" s="4"/>
      <c r="M981" s="4"/>
      <c r="N981" s="4"/>
      <c r="O981" s="4"/>
      <c r="P981" s="4"/>
      <c r="Q981" s="4"/>
      <c r="R981" s="4"/>
      <c r="S981" s="4"/>
    </row>
    <row r="982">
      <c r="A982" s="4">
        <v>197</v>
      </c>
      <c r="B982" s="4" t="str">
        <v>65 CD</v>
      </c>
      <c r="C982" s="4" t="str">
        <v>DV_Cắt</v>
      </c>
      <c r="D982" s="4">
        <v>1070</v>
      </c>
      <c r="E982" s="4" t="str">
        <v>Combo Cắt gội Kid</v>
      </c>
      <c r="F982" s="21">
        <v>100000</v>
      </c>
      <c r="G982" s="21">
        <v>101000</v>
      </c>
      <c r="H982" s="21">
        <v>101000</v>
      </c>
      <c r="I982" s="4">
        <f>A982&amp;D982</f>
      </c>
      <c r="J982" s="4">
        <v>101000</v>
      </c>
      <c r="K982" s="4"/>
      <c r="L982" s="4"/>
      <c r="M982" s="4"/>
      <c r="N982" s="4"/>
      <c r="O982" s="4"/>
      <c r="P982" s="4"/>
      <c r="Q982" s="4"/>
      <c r="R982" s="4"/>
      <c r="S982" s="4"/>
    </row>
    <row r="983">
      <c r="A983" s="4">
        <v>197</v>
      </c>
      <c r="B983" s="4" t="str">
        <v>65 CD</v>
      </c>
      <c r="C983" s="4" t="str">
        <v>DV_Cắt_Vip</v>
      </c>
      <c r="D983" s="4">
        <v>1046</v>
      </c>
      <c r="E983" s="4" t="str">
        <v>Shinecombo 2</v>
      </c>
      <c r="F983" s="21">
        <v>204000</v>
      </c>
      <c r="G983" s="21">
        <v>206000</v>
      </c>
      <c r="H983" s="21">
        <v>206000</v>
      </c>
      <c r="I983" s="4">
        <f>A983&amp;D983</f>
      </c>
      <c r="J983" s="4">
        <v>206000</v>
      </c>
      <c r="K983" s="4"/>
      <c r="L983" s="4"/>
      <c r="M983" s="4"/>
      <c r="N983" s="4"/>
      <c r="O983" s="4"/>
      <c r="P983" s="4"/>
      <c r="Q983" s="4"/>
      <c r="R983" s="4"/>
      <c r="S983" s="4"/>
    </row>
    <row r="984">
      <c r="A984" s="4">
        <v>197</v>
      </c>
      <c r="B984" s="4" t="str">
        <v>65 CD</v>
      </c>
      <c r="C984" s="4" t="str">
        <v>DV_Cắt_Vip</v>
      </c>
      <c r="D984" s="4">
        <v>1047</v>
      </c>
      <c r="E984" s="4" t="str">
        <v>Cắt Gội Combo 3 - Chăm da</v>
      </c>
      <c r="F984" s="21">
        <v>304000</v>
      </c>
      <c r="G984" s="21">
        <v>307000</v>
      </c>
      <c r="H984" s="21">
        <v>307000</v>
      </c>
      <c r="I984" s="4">
        <f>A984&amp;D984</f>
      </c>
      <c r="J984" s="4">
        <v>307000</v>
      </c>
      <c r="K984" s="4"/>
      <c r="L984" s="4"/>
      <c r="M984" s="4"/>
      <c r="N984" s="4"/>
      <c r="O984" s="4"/>
      <c r="P984" s="4"/>
      <c r="Q984" s="4"/>
      <c r="R984" s="4"/>
      <c r="S984" s="4"/>
    </row>
    <row r="985">
      <c r="A985" s="4">
        <v>197</v>
      </c>
      <c r="B985" s="4" t="str">
        <v>65 CD</v>
      </c>
      <c r="C985" s="4" t="str">
        <v>DV_Cắt_Vip</v>
      </c>
      <c r="D985" s="4">
        <v>1048</v>
      </c>
      <c r="E985" s="4" t="str">
        <v>Combo 4</v>
      </c>
      <c r="F985" s="21">
        <v>394000</v>
      </c>
      <c r="G985" s="21">
        <v>398000</v>
      </c>
      <c r="H985" s="21">
        <v>398000</v>
      </c>
      <c r="I985" s="4">
        <f>A985&amp;D985</f>
      </c>
      <c r="J985" s="4">
        <v>398000</v>
      </c>
      <c r="K985" s="4"/>
      <c r="L985" s="4"/>
      <c r="M985" s="4"/>
      <c r="N985" s="4"/>
      <c r="O985" s="4"/>
      <c r="P985" s="4"/>
      <c r="Q985" s="4"/>
      <c r="R985" s="4"/>
      <c r="S985" s="4"/>
    </row>
    <row r="986">
      <c r="A986" s="4">
        <v>197</v>
      </c>
      <c r="B986" s="4" t="str">
        <v>65 CD</v>
      </c>
      <c r="C986" s="4" t="str">
        <v>DV_Cắt_Vip</v>
      </c>
      <c r="D986" s="4">
        <v>1064</v>
      </c>
      <c r="E986" s="4" t="str">
        <v>Cắt Gội Combo 5 - Dưỡng sinh</v>
      </c>
      <c r="F986" s="21">
        <v>459000</v>
      </c>
      <c r="G986" s="21">
        <v>464000</v>
      </c>
      <c r="H986" s="21">
        <v>464000</v>
      </c>
      <c r="I986" s="4">
        <f>A986&amp;D986</f>
      </c>
      <c r="J986" s="4">
        <v>464000</v>
      </c>
      <c r="K986" s="4"/>
      <c r="L986" s="4"/>
      <c r="M986" s="4"/>
      <c r="N986" s="4"/>
      <c r="O986" s="4"/>
      <c r="P986" s="4"/>
      <c r="Q986" s="4"/>
      <c r="R986" s="4"/>
      <c r="S986" s="4"/>
    </row>
    <row r="987">
      <c r="A987" s="4">
        <v>197</v>
      </c>
      <c r="B987" s="4" t="str">
        <v>65 CD</v>
      </c>
      <c r="C987" s="4" t="str">
        <v>DV_Gội</v>
      </c>
      <c r="D987" s="4">
        <v>867</v>
      </c>
      <c r="E987" s="4" t="str">
        <v>Gội dưỡng sinh cổ vai gáy</v>
      </c>
      <c r="F987" s="21">
        <v>99000</v>
      </c>
      <c r="G987" s="21">
        <v>100000</v>
      </c>
      <c r="H987" s="21">
        <v>100000</v>
      </c>
      <c r="I987" s="4">
        <f>A987&amp;D987</f>
      </c>
      <c r="J987" s="4">
        <v>100000</v>
      </c>
      <c r="K987" s="4"/>
      <c r="L987" s="4"/>
      <c r="M987" s="4"/>
      <c r="N987" s="4"/>
      <c r="O987" s="4"/>
      <c r="P987" s="4"/>
      <c r="Q987" s="4"/>
      <c r="R987" s="4"/>
      <c r="S987" s="4"/>
    </row>
    <row r="988">
      <c r="A988" s="4">
        <v>197</v>
      </c>
      <c r="B988" s="4" t="str">
        <v>65 CD</v>
      </c>
      <c r="C988" s="4" t="str">
        <v>DV_Gội</v>
      </c>
      <c r="D988" s="4">
        <v>930</v>
      </c>
      <c r="E988" s="4" t="str">
        <v>[NEW] Gội dưỡng sinh cổ vai gáy và chăm sóc da</v>
      </c>
      <c r="F988" s="21">
        <v>139000</v>
      </c>
      <c r="G988" s="21">
        <v>140000</v>
      </c>
      <c r="H988" s="21">
        <v>140000</v>
      </c>
      <c r="I988" s="4">
        <f>A988&amp;D988</f>
      </c>
      <c r="J988" s="4">
        <v>140000</v>
      </c>
      <c r="K988" s="4"/>
      <c r="L988" s="4"/>
      <c r="M988" s="4"/>
      <c r="N988" s="4"/>
      <c r="O988" s="4"/>
      <c r="P988" s="4"/>
      <c r="Q988" s="4"/>
      <c r="R988" s="4"/>
      <c r="S988" s="4"/>
    </row>
    <row r="989">
      <c r="A989" s="4">
        <v>197</v>
      </c>
      <c r="B989" s="4" t="str">
        <v>65 CD</v>
      </c>
      <c r="C989" s="4" t="str">
        <v>DV_Gội</v>
      </c>
      <c r="D989" s="4">
        <v>934</v>
      </c>
      <c r="E989" s="4" t="str">
        <v>Gội combo 3 - Dưỡng sinh</v>
      </c>
      <c r="F989" s="21">
        <v>229000</v>
      </c>
      <c r="G989" s="21">
        <v>231000</v>
      </c>
      <c r="H989" s="21">
        <v>231000</v>
      </c>
      <c r="I989" s="4">
        <f>A989&amp;D989</f>
      </c>
      <c r="J989" s="4">
        <v>231000</v>
      </c>
      <c r="K989" s="4"/>
      <c r="L989" s="4"/>
      <c r="M989" s="4"/>
      <c r="N989" s="4"/>
      <c r="O989" s="4"/>
      <c r="P989" s="4"/>
      <c r="Q989" s="4"/>
      <c r="R989" s="4"/>
      <c r="S989" s="4"/>
    </row>
    <row r="990">
      <c r="A990" s="4">
        <v>197</v>
      </c>
      <c r="B990" s="4" t="str">
        <v>65 CD</v>
      </c>
      <c r="C990" s="4" t="str">
        <v>DV_Gội</v>
      </c>
      <c r="D990" s="4">
        <v>940</v>
      </c>
      <c r="E990" s="4" t="str">
        <v>[NEW] Gội dưỡng sinh</v>
      </c>
      <c r="F990" s="21">
        <v>59000</v>
      </c>
      <c r="G990" s="21">
        <v>60000</v>
      </c>
      <c r="H990" s="21">
        <v>60000</v>
      </c>
      <c r="I990" s="4">
        <f>A990&amp;D990</f>
      </c>
      <c r="J990" s="4">
        <v>60000</v>
      </c>
      <c r="K990" s="4"/>
      <c r="L990" s="4"/>
      <c r="M990" s="4"/>
      <c r="N990" s="4"/>
      <c r="O990" s="4"/>
      <c r="P990" s="4"/>
      <c r="Q990" s="4"/>
      <c r="R990" s="4"/>
      <c r="S990" s="4"/>
    </row>
    <row r="991">
      <c r="A991" s="4">
        <v>197</v>
      </c>
      <c r="B991" s="4" t="str">
        <v>65 CD</v>
      </c>
      <c r="C991" s="4" t="str">
        <v>DV_Gội</v>
      </c>
      <c r="D991" s="4">
        <v>1058</v>
      </c>
      <c r="E991" s="4" t="str">
        <v>Gội Combo 2</v>
      </c>
      <c r="F991" s="21">
        <v>159000</v>
      </c>
      <c r="G991" s="21">
        <v>161000</v>
      </c>
      <c r="H991" s="21">
        <v>161000</v>
      </c>
      <c r="I991" s="4">
        <f>A991&amp;D991</f>
      </c>
      <c r="J991" s="4">
        <v>161000</v>
      </c>
      <c r="K991" s="4"/>
      <c r="L991" s="4"/>
      <c r="M991" s="4"/>
      <c r="N991" s="4"/>
      <c r="O991" s="4"/>
      <c r="P991" s="4"/>
      <c r="Q991" s="4"/>
      <c r="R991" s="4"/>
      <c r="S991" s="4"/>
    </row>
    <row r="992">
      <c r="A992" s="4">
        <v>197</v>
      </c>
      <c r="B992" s="4" t="str">
        <v>65 CD</v>
      </c>
      <c r="C992" s="4" t="str">
        <v>DV_Gội</v>
      </c>
      <c r="D992" s="4">
        <v>1059</v>
      </c>
      <c r="E992" s="4" t="str">
        <v>Gội Combo 3 - Chăm da</v>
      </c>
      <c r="F992" s="21">
        <v>239000</v>
      </c>
      <c r="G992" s="21">
        <v>241000</v>
      </c>
      <c r="H992" s="21">
        <v>241000</v>
      </c>
      <c r="I992" s="4">
        <f>A992&amp;D992</f>
      </c>
      <c r="J992" s="4">
        <v>241000</v>
      </c>
      <c r="K992" s="4"/>
      <c r="L992" s="4"/>
      <c r="M992" s="4"/>
      <c r="N992" s="4"/>
      <c r="O992" s="4"/>
      <c r="P992" s="4"/>
      <c r="Q992" s="4"/>
      <c r="R992" s="4"/>
      <c r="S992" s="4"/>
    </row>
    <row r="993">
      <c r="A993" s="4">
        <v>197</v>
      </c>
      <c r="B993" s="4" t="str">
        <v>65 CD</v>
      </c>
      <c r="C993" s="4" t="str">
        <v>DV_Gội</v>
      </c>
      <c r="D993" s="4">
        <v>1060</v>
      </c>
      <c r="E993" s="4" t="str">
        <v>Gội Combo 4</v>
      </c>
      <c r="F993" s="21">
        <v>289000</v>
      </c>
      <c r="G993" s="21">
        <v>292000</v>
      </c>
      <c r="H993" s="21">
        <v>292000</v>
      </c>
      <c r="I993" s="4">
        <f>A993&amp;D993</f>
      </c>
      <c r="J993" s="4">
        <v>292000</v>
      </c>
      <c r="K993" s="4"/>
      <c r="L993" s="4"/>
      <c r="M993" s="4"/>
      <c r="N993" s="4"/>
      <c r="O993" s="4"/>
      <c r="P993" s="4"/>
      <c r="Q993" s="4"/>
      <c r="R993" s="4"/>
      <c r="S993" s="4"/>
    </row>
    <row r="994">
      <c r="A994" s="4">
        <v>197</v>
      </c>
      <c r="B994" s="4" t="str">
        <v>65 CD</v>
      </c>
      <c r="C994" s="4" t="str">
        <v>DV_Gội</v>
      </c>
      <c r="D994" s="4">
        <v>1066</v>
      </c>
      <c r="E994" s="4" t="str">
        <v>Gội trải nghiệm 75p</v>
      </c>
      <c r="F994" s="21">
        <v>589000</v>
      </c>
      <c r="G994" s="21">
        <v>595000</v>
      </c>
      <c r="H994" s="21">
        <v>595000</v>
      </c>
      <c r="I994" s="4">
        <f>A994&amp;D994</f>
      </c>
      <c r="J994" s="4">
        <v>595000</v>
      </c>
      <c r="K994" s="4"/>
      <c r="L994" s="4"/>
      <c r="M994" s="4"/>
      <c r="N994" s="4"/>
      <c r="O994" s="4"/>
      <c r="P994" s="4"/>
      <c r="Q994" s="4"/>
      <c r="R994" s="4"/>
      <c r="S994" s="4"/>
    </row>
    <row r="995">
      <c r="A995" s="4">
        <v>197</v>
      </c>
      <c r="B995" s="4" t="str">
        <v>65 CD</v>
      </c>
      <c r="C995" s="4" t="str">
        <v>DV_Gội</v>
      </c>
      <c r="D995" s="4">
        <v>1067</v>
      </c>
      <c r="E995" s="4" t="str">
        <v>Gội trải nghiệm 90p</v>
      </c>
      <c r="F995" s="21">
        <v>789000</v>
      </c>
      <c r="G995" s="21">
        <v>797000</v>
      </c>
      <c r="H995" s="21">
        <v>797000</v>
      </c>
      <c r="I995" s="4">
        <f>A995&amp;D995</f>
      </c>
      <c r="J995" s="4">
        <v>797000</v>
      </c>
      <c r="K995" s="4"/>
      <c r="L995" s="4"/>
      <c r="M995" s="4"/>
      <c r="N995" s="4"/>
      <c r="O995" s="4"/>
      <c r="P995" s="4"/>
      <c r="Q995" s="4"/>
      <c r="R995" s="4"/>
      <c r="S995" s="4"/>
    </row>
    <row r="996">
      <c r="A996" s="4">
        <v>197</v>
      </c>
      <c r="B996" s="4" t="str">
        <v>65 CD</v>
      </c>
      <c r="C996" s="4" t="str">
        <v>DV_Gội</v>
      </c>
      <c r="D996" s="4">
        <v>1068</v>
      </c>
      <c r="E996" s="4" t="str">
        <v>Gội trải nghiệm 115p</v>
      </c>
      <c r="F996" s="21">
        <v>999000</v>
      </c>
      <c r="G996" s="21">
        <v>1009000</v>
      </c>
      <c r="H996" s="21">
        <v>1009000</v>
      </c>
      <c r="I996" s="4">
        <f>A996&amp;D996</f>
      </c>
      <c r="J996" s="4">
        <v>1009000</v>
      </c>
      <c r="K996" s="4"/>
      <c r="L996" s="4"/>
      <c r="M996" s="4"/>
      <c r="N996" s="4"/>
      <c r="O996" s="4"/>
      <c r="P996" s="4"/>
      <c r="Q996" s="4"/>
      <c r="R996" s="4"/>
      <c r="S996" s="4"/>
    </row>
    <row r="997">
      <c r="A997" s="4">
        <v>197</v>
      </c>
      <c r="B997" s="4" t="str">
        <v>65 CD</v>
      </c>
      <c r="C997" s="4" t="str">
        <v>DV_Gội</v>
      </c>
      <c r="D997" s="4">
        <v>1069</v>
      </c>
      <c r="E997" s="4" t="str">
        <v>Gội trải nghiệm 140p</v>
      </c>
      <c r="F997" s="21">
        <v>1199000</v>
      </c>
      <c r="G997" s="21">
        <v>1211000</v>
      </c>
      <c r="H997" s="21">
        <v>1211000</v>
      </c>
      <c r="I997" s="4">
        <f>A997&amp;D997</f>
      </c>
      <c r="J997" s="4">
        <v>1211000</v>
      </c>
      <c r="K997" s="4"/>
      <c r="L997" s="4"/>
      <c r="M997" s="4"/>
      <c r="N997" s="4"/>
      <c r="O997" s="4"/>
      <c r="P997" s="4"/>
      <c r="Q997" s="4"/>
      <c r="R997" s="4"/>
      <c r="S997" s="4"/>
    </row>
    <row r="998">
      <c r="A998" s="4">
        <v>240</v>
      </c>
      <c r="B998" s="4" t="str">
        <v>68 LN NA</v>
      </c>
      <c r="C998" s="4" t="str">
        <v>DV_Cắt</v>
      </c>
      <c r="D998" s="4">
        <v>513</v>
      </c>
      <c r="E998" s="4" t="str">
        <v>[DV] ShineCombo 10 bước Ultra Care 2023</v>
      </c>
      <c r="F998" s="21">
        <v>122000</v>
      </c>
      <c r="G998" s="21">
        <v>122000</v>
      </c>
      <c r="H998" s="21">
        <v>122000</v>
      </c>
      <c r="I998" s="4">
        <f>A998&amp;D998</f>
      </c>
      <c r="J998" s="4">
        <v>122000</v>
      </c>
      <c r="K998" s="4"/>
      <c r="L998" s="4"/>
      <c r="M998" s="4"/>
      <c r="N998" s="4"/>
      <c r="O998" s="4"/>
      <c r="P998" s="4"/>
      <c r="Q998" s="4"/>
      <c r="R998" s="4"/>
      <c r="S998" s="4"/>
    </row>
    <row r="999">
      <c r="A999" s="4">
        <v>240</v>
      </c>
      <c r="B999" s="4" t="str">
        <v>68 LN NA</v>
      </c>
      <c r="C999" s="4" t="str">
        <v>DV_Cắt</v>
      </c>
      <c r="D999" s="4">
        <v>891</v>
      </c>
      <c r="E999" s="4" t="str">
        <v>Cắt xả tạo kiểu</v>
      </c>
      <c r="F999" s="21">
        <v>103000</v>
      </c>
      <c r="G999" s="21">
        <v>106000</v>
      </c>
      <c r="H999" s="21">
        <v>94000</v>
      </c>
      <c r="I999" s="4">
        <f>A999&amp;D999</f>
      </c>
      <c r="J999" s="4">
        <f>VLOOKUP(I999,#REF!,2,0)</f>
      </c>
      <c r="K999" s="4"/>
      <c r="L999" s="4"/>
      <c r="M999" s="4"/>
      <c r="N999" s="4"/>
      <c r="O999" s="4"/>
      <c r="P999" s="4"/>
      <c r="Q999" s="4"/>
      <c r="R999" s="4"/>
      <c r="S999" s="4"/>
    </row>
    <row r="1000">
      <c r="A1000" s="4">
        <v>240</v>
      </c>
      <c r="B1000" s="4" t="str">
        <v>68 LN NA</v>
      </c>
      <c r="C1000" s="4" t="str">
        <v>DV_Cắt</v>
      </c>
      <c r="D1000" s="4">
        <v>1002</v>
      </c>
      <c r="E1000" s="4" t="str">
        <v>Kid Cắt</v>
      </c>
      <c r="F1000" s="21">
        <v>84000</v>
      </c>
      <c r="G1000" s="21">
        <v>86000</v>
      </c>
      <c r="H1000" s="21">
        <v>75000</v>
      </c>
      <c r="I1000" s="4">
        <f>A1000&amp;D1000</f>
      </c>
      <c r="J1000" s="4">
        <f>VLOOKUP(I1000,#REF!,2,0)</f>
      </c>
      <c r="K1000" s="4"/>
      <c r="L1000" s="4"/>
      <c r="M1000" s="4"/>
      <c r="N1000" s="4"/>
      <c r="O1000" s="4"/>
      <c r="P1000" s="4"/>
      <c r="Q1000" s="4"/>
      <c r="R1000" s="4"/>
      <c r="S1000" s="4"/>
    </row>
    <row r="1001">
      <c r="A1001" s="4">
        <v>240</v>
      </c>
      <c r="B1001" s="4" t="str">
        <v>68 LN NA</v>
      </c>
      <c r="C1001" s="4" t="str">
        <v>DV_Cắt</v>
      </c>
      <c r="D1001" s="4">
        <v>1070</v>
      </c>
      <c r="E1001" s="4" t="str">
        <v>Combo Cắt gội Kid</v>
      </c>
      <c r="F1001" s="21">
        <v>100000</v>
      </c>
      <c r="G1001" s="21">
        <v>103000</v>
      </c>
      <c r="H1001" s="21">
        <v>100000</v>
      </c>
      <c r="I1001" s="4">
        <f>A1001&amp;D1001</f>
      </c>
      <c r="J1001" s="4">
        <f>VLOOKUP(I1001,#REF!,2,0)</f>
      </c>
      <c r="K1001" s="4"/>
      <c r="L1001" s="4"/>
      <c r="M1001" s="4"/>
      <c r="N1001" s="4"/>
      <c r="O1001" s="4"/>
      <c r="P1001" s="4"/>
      <c r="Q1001" s="4"/>
      <c r="R1001" s="4"/>
      <c r="S1001" s="4"/>
    </row>
    <row r="1002">
      <c r="A1002" s="4">
        <v>240</v>
      </c>
      <c r="B1002" s="4" t="str">
        <v>68 LN NA</v>
      </c>
      <c r="C1002" s="4" t="str">
        <v>DV_Cắt</v>
      </c>
      <c r="D1002" s="4">
        <v>1255</v>
      </c>
      <c r="E1002" s="4" t="str">
        <v>VH Cắt gội dưỡng sinh Vip</v>
      </c>
      <c r="F1002" s="21">
        <v>258000</v>
      </c>
      <c r="G1002" s="21">
        <v>266000</v>
      </c>
      <c r="H1002" s="21">
        <v>249000</v>
      </c>
      <c r="I1002" s="4">
        <f>A1002&amp;D1002</f>
      </c>
      <c r="J1002" s="4">
        <f>VLOOKUP(I1002,#REF!,2,0)</f>
      </c>
      <c r="K1002" s="4"/>
      <c r="L1002" s="4"/>
      <c r="M1002" s="4"/>
      <c r="N1002" s="4"/>
      <c r="O1002" s="4"/>
      <c r="P1002" s="4"/>
      <c r="Q1002" s="4"/>
      <c r="R1002" s="4"/>
      <c r="S1002" s="4"/>
    </row>
    <row r="1003">
      <c r="A1003" s="4">
        <v>240</v>
      </c>
      <c r="B1003" s="4" t="str">
        <v>68 LN NA</v>
      </c>
      <c r="C1003" s="4" t="str">
        <v>DV_Cắt_Vip</v>
      </c>
      <c r="D1003" s="4">
        <v>1046</v>
      </c>
      <c r="E1003" s="4" t="str">
        <v>Shinecombo 2</v>
      </c>
      <c r="F1003" s="21">
        <v>208000</v>
      </c>
      <c r="G1003" s="21">
        <v>214000</v>
      </c>
      <c r="H1003" s="21">
        <v>199000</v>
      </c>
      <c r="I1003" s="4">
        <f>A1003&amp;D1003</f>
      </c>
      <c r="J1003" s="4">
        <f>VLOOKUP(I1003,#REF!,2,0)</f>
      </c>
      <c r="K1003" s="4"/>
      <c r="L1003" s="4"/>
      <c r="M1003" s="4"/>
      <c r="N1003" s="4"/>
      <c r="O1003" s="4"/>
      <c r="P1003" s="4"/>
      <c r="Q1003" s="4"/>
      <c r="R1003" s="4"/>
      <c r="S1003" s="4"/>
    </row>
    <row r="1004">
      <c r="A1004" s="4">
        <v>240</v>
      </c>
      <c r="B1004" s="4" t="str">
        <v>68 LN NA</v>
      </c>
      <c r="C1004" s="4" t="str">
        <v>DV_Cắt_Vip</v>
      </c>
      <c r="D1004" s="4">
        <v>1047</v>
      </c>
      <c r="E1004" s="4" t="str">
        <v>Cắt Gội Combo 3 - Chăm da</v>
      </c>
      <c r="F1004" s="21">
        <v>308000</v>
      </c>
      <c r="G1004" s="21">
        <v>317000</v>
      </c>
      <c r="H1004" s="21">
        <v>299000</v>
      </c>
      <c r="I1004" s="4">
        <f>A1004&amp;D1004</f>
      </c>
      <c r="J1004" s="4">
        <f>VLOOKUP(I1004,#REF!,2,0)</f>
      </c>
      <c r="K1004" s="4"/>
      <c r="L1004" s="4"/>
      <c r="M1004" s="4"/>
      <c r="N1004" s="4"/>
      <c r="O1004" s="4"/>
      <c r="P1004" s="4"/>
      <c r="Q1004" s="4"/>
      <c r="R1004" s="4"/>
      <c r="S1004" s="4"/>
    </row>
    <row r="1005">
      <c r="A1005" s="4">
        <v>240</v>
      </c>
      <c r="B1005" s="4" t="str">
        <v>68 LN NA</v>
      </c>
      <c r="C1005" s="4" t="str">
        <v>DV_Cắt_Vip</v>
      </c>
      <c r="D1005" s="4">
        <v>1048</v>
      </c>
      <c r="E1005" s="4" t="str">
        <v>Combo 4</v>
      </c>
      <c r="F1005" s="21">
        <v>398000</v>
      </c>
      <c r="G1005" s="21">
        <v>410000</v>
      </c>
      <c r="H1005" s="21">
        <v>389000</v>
      </c>
      <c r="I1005" s="4">
        <f>A1005&amp;D1005</f>
      </c>
      <c r="J1005" s="4">
        <f>VLOOKUP(I1005,#REF!,2,0)</f>
      </c>
      <c r="K1005" s="4"/>
      <c r="L1005" s="4"/>
      <c r="M1005" s="4"/>
      <c r="N1005" s="4"/>
      <c r="O1005" s="4"/>
      <c r="P1005" s="4"/>
      <c r="Q1005" s="4"/>
      <c r="R1005" s="4"/>
      <c r="S1005" s="4"/>
    </row>
    <row r="1006">
      <c r="A1006" s="4">
        <v>240</v>
      </c>
      <c r="B1006" s="4" t="str">
        <v>68 LN NA</v>
      </c>
      <c r="C1006" s="4" t="str">
        <v>DV_Cắt_Vip</v>
      </c>
      <c r="D1006" s="4">
        <v>1064</v>
      </c>
      <c r="E1006" s="4" t="str">
        <v>Cắt Gội Combo 5 - Dưỡng sinh</v>
      </c>
      <c r="F1006" s="21">
        <v>459000</v>
      </c>
      <c r="G1006" s="21">
        <v>472000</v>
      </c>
      <c r="H1006" s="21">
        <v>459000</v>
      </c>
      <c r="I1006" s="4">
        <f>A1006&amp;D1006</f>
      </c>
      <c r="J1006" s="4">
        <f>VLOOKUP(I1006,#REF!,2,0)</f>
      </c>
      <c r="K1006" s="4"/>
      <c r="L1006" s="4"/>
      <c r="M1006" s="4"/>
      <c r="N1006" s="4"/>
      <c r="O1006" s="4"/>
      <c r="P1006" s="4"/>
      <c r="Q1006" s="4"/>
      <c r="R1006" s="4"/>
      <c r="S1006" s="4"/>
    </row>
    <row r="1007">
      <c r="A1007" s="4">
        <v>240</v>
      </c>
      <c r="B1007" s="4" t="str">
        <v>68 LN NA</v>
      </c>
      <c r="C1007" s="4" t="str">
        <v>DV_Cắt_Vip</v>
      </c>
      <c r="D1007" s="4">
        <v>1065</v>
      </c>
      <c r="E1007" s="4" t="str">
        <v>Cắt Gội Combo 3 - Dưỡng sinh</v>
      </c>
      <c r="F1007" s="21">
        <v>308000</v>
      </c>
      <c r="G1007" s="21">
        <v>317000</v>
      </c>
      <c r="H1007" s="21">
        <v>299000</v>
      </c>
      <c r="I1007" s="4">
        <f>A1007&amp;D1007</f>
      </c>
      <c r="J1007" s="4">
        <f>VLOOKUP(I1007,#REF!,2,0)</f>
      </c>
      <c r="K1007" s="4"/>
      <c r="L1007" s="4"/>
      <c r="M1007" s="4"/>
      <c r="N1007" s="4"/>
      <c r="O1007" s="4"/>
      <c r="P1007" s="4"/>
      <c r="Q1007" s="4"/>
      <c r="R1007" s="4"/>
      <c r="S1007" s="4"/>
    </row>
    <row r="1008">
      <c r="A1008" s="4">
        <v>240</v>
      </c>
      <c r="B1008" s="4" t="str">
        <v>68 LN NA</v>
      </c>
      <c r="C1008" s="4" t="str">
        <v>DV_Gội</v>
      </c>
      <c r="D1008" s="4">
        <v>867</v>
      </c>
      <c r="E1008" s="4" t="str">
        <v>Gội dưỡng sinh cổ vai gáy</v>
      </c>
      <c r="F1008" s="21">
        <v>99000</v>
      </c>
      <c r="G1008" s="21">
        <v>102000</v>
      </c>
      <c r="H1008" s="21">
        <v>99000</v>
      </c>
      <c r="I1008" s="4">
        <f>A1008&amp;D1008</f>
      </c>
      <c r="J1008" s="4">
        <f>VLOOKUP(I1008,#REF!,2,0)</f>
      </c>
      <c r="K1008" s="4"/>
      <c r="L1008" s="4"/>
      <c r="M1008" s="4"/>
      <c r="N1008" s="4"/>
      <c r="O1008" s="4"/>
      <c r="P1008" s="4"/>
      <c r="Q1008" s="4"/>
      <c r="R1008" s="4"/>
      <c r="S1008" s="4"/>
    </row>
    <row r="1009">
      <c r="A1009" s="4">
        <v>240</v>
      </c>
      <c r="B1009" s="4" t="str">
        <v>68 LN NA</v>
      </c>
      <c r="C1009" s="4" t="str">
        <v>DV_Gội</v>
      </c>
      <c r="D1009" s="4">
        <v>930</v>
      </c>
      <c r="E1009" s="4" t="str">
        <v>[NEW] Gội dưỡng sinh cổ vai gáy và chăm sóc da</v>
      </c>
      <c r="F1009" s="21">
        <v>139000</v>
      </c>
      <c r="G1009" s="21">
        <v>143000</v>
      </c>
      <c r="H1009" s="21">
        <v>139000</v>
      </c>
      <c r="I1009" s="4">
        <f>A1009&amp;D1009</f>
      </c>
      <c r="J1009" s="4">
        <f>VLOOKUP(I1009,#REF!,2,0)</f>
      </c>
      <c r="K1009" s="4"/>
      <c r="L1009" s="4"/>
      <c r="M1009" s="4"/>
      <c r="N1009" s="4"/>
      <c r="O1009" s="4"/>
      <c r="P1009" s="4"/>
      <c r="Q1009" s="4"/>
      <c r="R1009" s="4"/>
      <c r="S1009" s="4"/>
    </row>
    <row r="1010">
      <c r="A1010" s="4">
        <v>240</v>
      </c>
      <c r="B1010" s="4" t="str">
        <v>68 LN NA</v>
      </c>
      <c r="C1010" s="4" t="str">
        <v>DV_Gội</v>
      </c>
      <c r="D1010" s="4">
        <v>934</v>
      </c>
      <c r="E1010" s="4" t="str">
        <v>Gội combo 3 - Dưỡng sinh</v>
      </c>
      <c r="F1010" s="21">
        <v>229000</v>
      </c>
      <c r="G1010" s="21">
        <v>236000</v>
      </c>
      <c r="H1010" s="21">
        <v>229000</v>
      </c>
      <c r="I1010" s="4">
        <f>A1010&amp;D1010</f>
      </c>
      <c r="J1010" s="4">
        <f>VLOOKUP(I1010,#REF!,2,0)</f>
      </c>
      <c r="K1010" s="4"/>
      <c r="L1010" s="4"/>
      <c r="M1010" s="4"/>
      <c r="N1010" s="4"/>
      <c r="O1010" s="4"/>
      <c r="P1010" s="4"/>
      <c r="Q1010" s="4"/>
      <c r="R1010" s="4"/>
      <c r="S1010" s="4"/>
    </row>
    <row r="1011">
      <c r="A1011" s="4">
        <v>240</v>
      </c>
      <c r="B1011" s="4" t="str">
        <v>68 LN NA</v>
      </c>
      <c r="C1011" s="4" t="str">
        <v>DV_Gội</v>
      </c>
      <c r="D1011" s="4">
        <v>940</v>
      </c>
      <c r="E1011" s="4" t="str">
        <v>[NEW] Gội dưỡng sinh</v>
      </c>
      <c r="F1011" s="21">
        <v>59000</v>
      </c>
      <c r="G1011" s="21">
        <v>61000</v>
      </c>
      <c r="H1011" s="21">
        <v>59000</v>
      </c>
      <c r="I1011" s="4">
        <f>A1011&amp;D1011</f>
      </c>
      <c r="J1011" s="4">
        <f>VLOOKUP(I1011,#REF!,2,0)</f>
      </c>
      <c r="K1011" s="4"/>
      <c r="L1011" s="4"/>
      <c r="M1011" s="4"/>
      <c r="N1011" s="4"/>
      <c r="O1011" s="4"/>
      <c r="P1011" s="4"/>
      <c r="Q1011" s="4"/>
      <c r="R1011" s="4"/>
      <c r="S1011" s="4"/>
    </row>
    <row r="1012">
      <c r="A1012" s="4">
        <v>240</v>
      </c>
      <c r="B1012" s="4" t="str">
        <v>68 LN NA</v>
      </c>
      <c r="C1012" s="4" t="str">
        <v>DV_Gội</v>
      </c>
      <c r="D1012" s="4">
        <v>1058</v>
      </c>
      <c r="E1012" s="4" t="str">
        <v>Gội Combo 2</v>
      </c>
      <c r="F1012" s="21">
        <v>159000</v>
      </c>
      <c r="G1012" s="21">
        <v>164000</v>
      </c>
      <c r="H1012" s="21">
        <v>159000</v>
      </c>
      <c r="I1012" s="4">
        <f>A1012&amp;D1012</f>
      </c>
      <c r="J1012" s="4">
        <f>VLOOKUP(I1012,#REF!,2,0)</f>
      </c>
      <c r="K1012" s="4"/>
      <c r="L1012" s="4"/>
      <c r="M1012" s="4"/>
      <c r="N1012" s="4"/>
      <c r="O1012" s="4"/>
      <c r="P1012" s="4"/>
      <c r="Q1012" s="4"/>
      <c r="R1012" s="4"/>
      <c r="S1012" s="4"/>
    </row>
    <row r="1013">
      <c r="A1013" s="4">
        <v>240</v>
      </c>
      <c r="B1013" s="4" t="str">
        <v>68 LN NA</v>
      </c>
      <c r="C1013" s="4" t="str">
        <v>DV_Gội</v>
      </c>
      <c r="D1013" s="4">
        <v>1059</v>
      </c>
      <c r="E1013" s="4" t="str">
        <v>Gội Combo 3 - Chăm da</v>
      </c>
      <c r="F1013" s="21">
        <v>219000</v>
      </c>
      <c r="G1013" s="21">
        <v>225000</v>
      </c>
      <c r="H1013" s="21">
        <v>219000</v>
      </c>
      <c r="I1013" s="4">
        <f>A1013&amp;D1013</f>
      </c>
      <c r="J1013" s="4">
        <f>VLOOKUP(I1013,#REF!,2,0)</f>
      </c>
      <c r="K1013" s="4"/>
      <c r="L1013" s="4"/>
      <c r="M1013" s="4"/>
      <c r="N1013" s="4"/>
      <c r="O1013" s="4"/>
      <c r="P1013" s="4"/>
      <c r="Q1013" s="4"/>
      <c r="R1013" s="4"/>
      <c r="S1013" s="4"/>
    </row>
    <row r="1014">
      <c r="A1014" s="4">
        <v>240</v>
      </c>
      <c r="B1014" s="4" t="str">
        <v>68 LN NA</v>
      </c>
      <c r="C1014" s="4" t="str">
        <v>DV_Gội</v>
      </c>
      <c r="D1014" s="4">
        <v>1060</v>
      </c>
      <c r="E1014" s="4" t="str">
        <v>Gội Combo 4</v>
      </c>
      <c r="F1014" s="21">
        <v>289000</v>
      </c>
      <c r="G1014" s="21">
        <v>297000</v>
      </c>
      <c r="H1014" s="21">
        <v>289000</v>
      </c>
      <c r="I1014" s="4">
        <f>A1014&amp;D1014</f>
      </c>
      <c r="J1014" s="4">
        <f>VLOOKUP(I1014,#REF!,2,0)</f>
      </c>
      <c r="K1014" s="4"/>
      <c r="L1014" s="4"/>
      <c r="M1014" s="4"/>
      <c r="N1014" s="4"/>
      <c r="O1014" s="4"/>
      <c r="P1014" s="4"/>
      <c r="Q1014" s="4"/>
      <c r="R1014" s="4"/>
      <c r="S1014" s="4"/>
    </row>
    <row r="1015">
      <c r="A1015" s="4">
        <v>240</v>
      </c>
      <c r="B1015" s="4" t="str">
        <v>68 LN NA</v>
      </c>
      <c r="C1015" s="4" t="str">
        <v>DV_Gội</v>
      </c>
      <c r="D1015" s="4">
        <v>1066</v>
      </c>
      <c r="E1015" s="4" t="str">
        <v>Gội trải nghiệm 75p</v>
      </c>
      <c r="F1015" s="21">
        <v>589000</v>
      </c>
      <c r="G1015" s="21">
        <v>606000</v>
      </c>
      <c r="H1015" s="21">
        <v>589000</v>
      </c>
      <c r="I1015" s="4">
        <f>A1015&amp;D1015</f>
      </c>
      <c r="J1015" s="4">
        <f>VLOOKUP(I1015,#REF!,2,0)</f>
      </c>
      <c r="K1015" s="4"/>
      <c r="L1015" s="4"/>
      <c r="M1015" s="4"/>
      <c r="N1015" s="4"/>
      <c r="O1015" s="4"/>
      <c r="P1015" s="4"/>
      <c r="Q1015" s="4"/>
      <c r="R1015" s="4"/>
      <c r="S1015" s="4"/>
    </row>
    <row r="1016">
      <c r="A1016" s="4">
        <v>240</v>
      </c>
      <c r="B1016" s="4" t="str">
        <v>68 LN NA</v>
      </c>
      <c r="C1016" s="4" t="str">
        <v>DV_Gội</v>
      </c>
      <c r="D1016" s="4">
        <v>1067</v>
      </c>
      <c r="E1016" s="4" t="str">
        <v>Gội trải nghiệm 90p</v>
      </c>
      <c r="F1016" s="21">
        <v>789000</v>
      </c>
      <c r="G1016" s="21">
        <v>812000</v>
      </c>
      <c r="H1016" s="21">
        <v>789000</v>
      </c>
      <c r="I1016" s="4">
        <f>A1016&amp;D1016</f>
      </c>
      <c r="J1016" s="4">
        <f>VLOOKUP(I1016,#REF!,2,0)</f>
      </c>
      <c r="K1016" s="4"/>
      <c r="L1016" s="4"/>
      <c r="M1016" s="4"/>
      <c r="N1016" s="4"/>
      <c r="O1016" s="4"/>
      <c r="P1016" s="4"/>
      <c r="Q1016" s="4"/>
      <c r="R1016" s="4"/>
      <c r="S1016" s="4"/>
    </row>
    <row r="1017">
      <c r="A1017" s="4">
        <v>240</v>
      </c>
      <c r="B1017" s="4" t="str">
        <v>68 LN NA</v>
      </c>
      <c r="C1017" s="4" t="str">
        <v>DV_Gội</v>
      </c>
      <c r="D1017" s="4">
        <v>1068</v>
      </c>
      <c r="E1017" s="4" t="str">
        <v>Gội trải nghiệm 115p</v>
      </c>
      <c r="F1017" s="21">
        <v>999000</v>
      </c>
      <c r="G1017" s="21">
        <v>1028000</v>
      </c>
      <c r="H1017" s="21">
        <v>999000</v>
      </c>
      <c r="I1017" s="4">
        <f>A1017&amp;D1017</f>
      </c>
      <c r="J1017" s="4">
        <f>VLOOKUP(I1017,#REF!,2,0)</f>
      </c>
      <c r="K1017" s="4"/>
      <c r="L1017" s="4"/>
      <c r="M1017" s="4"/>
      <c r="N1017" s="4"/>
      <c r="O1017" s="4"/>
      <c r="P1017" s="4"/>
      <c r="Q1017" s="4"/>
      <c r="R1017" s="4"/>
      <c r="S1017" s="4"/>
    </row>
    <row r="1018">
      <c r="A1018" s="4">
        <v>199</v>
      </c>
      <c r="B1018" s="4" t="str">
        <v>7 DTP LA</v>
      </c>
      <c r="C1018" s="4" t="str">
        <v>DV_Cắt</v>
      </c>
      <c r="D1018" s="4">
        <v>513</v>
      </c>
      <c r="E1018" s="4" t="str">
        <v>[DV] ShineCombo 10 bước Ultra Care 2023</v>
      </c>
      <c r="F1018" s="21">
        <v>122000</v>
      </c>
      <c r="G1018" s="21">
        <v>122000</v>
      </c>
      <c r="H1018" s="21">
        <v>122000</v>
      </c>
      <c r="I1018" s="4">
        <f>A1018&amp;D1018</f>
      </c>
      <c r="J1018" s="4">
        <v>122000</v>
      </c>
      <c r="K1018" s="4"/>
      <c r="L1018" s="4"/>
      <c r="M1018" s="4"/>
      <c r="N1018" s="4"/>
      <c r="O1018" s="4"/>
      <c r="P1018" s="4"/>
      <c r="Q1018" s="4"/>
      <c r="R1018" s="4"/>
      <c r="S1018" s="4"/>
    </row>
    <row r="1019">
      <c r="A1019" s="4">
        <v>199</v>
      </c>
      <c r="B1019" s="4" t="str">
        <v>7 DTP LA</v>
      </c>
      <c r="C1019" s="4" t="str">
        <v>DV_Cắt</v>
      </c>
      <c r="D1019" s="4">
        <v>891</v>
      </c>
      <c r="E1019" s="4" t="str">
        <v>Cắt xả tạo kiểu</v>
      </c>
      <c r="F1019" s="21">
        <v>103000</v>
      </c>
      <c r="G1019" s="21">
        <v>110000</v>
      </c>
      <c r="H1019" s="21">
        <v>106000</v>
      </c>
      <c r="I1019" s="4">
        <f>A1019&amp;D1019</f>
      </c>
      <c r="J1019" s="4">
        <f>VLOOKUP(I1019,#REF!,2,0)</f>
      </c>
      <c r="K1019" s="4"/>
      <c r="L1019" s="4"/>
      <c r="M1019" s="4"/>
      <c r="N1019" s="4"/>
      <c r="O1019" s="4"/>
      <c r="P1019" s="4"/>
      <c r="Q1019" s="4"/>
      <c r="R1019" s="4"/>
      <c r="S1019" s="4"/>
    </row>
    <row r="1020">
      <c r="A1020" s="4">
        <v>199</v>
      </c>
      <c r="B1020" s="4" t="str">
        <v>7 DTP LA</v>
      </c>
      <c r="C1020" s="4" t="str">
        <v>DV_Cắt</v>
      </c>
      <c r="D1020" s="4">
        <v>1002</v>
      </c>
      <c r="E1020" s="4" t="str">
        <v>Kid Cắt</v>
      </c>
      <c r="F1020" s="21">
        <v>84000</v>
      </c>
      <c r="G1020" s="21">
        <v>90000</v>
      </c>
      <c r="H1020" s="21">
        <v>89000</v>
      </c>
      <c r="I1020" s="4">
        <f>A1020&amp;D1020</f>
      </c>
      <c r="J1020" s="4">
        <f>VLOOKUP(I1020,#REF!,2,0)</f>
      </c>
      <c r="K1020" s="4"/>
      <c r="L1020" s="4"/>
      <c r="M1020" s="4"/>
      <c r="N1020" s="4"/>
      <c r="O1020" s="4"/>
      <c r="P1020" s="4"/>
      <c r="Q1020" s="4"/>
      <c r="R1020" s="4"/>
      <c r="S1020" s="4"/>
    </row>
    <row r="1021">
      <c r="A1021" s="4">
        <v>199</v>
      </c>
      <c r="B1021" s="4" t="str">
        <v>7 DTP LA</v>
      </c>
      <c r="C1021" s="4" t="str">
        <v>DV_Cắt</v>
      </c>
      <c r="D1021" s="4">
        <v>1070</v>
      </c>
      <c r="E1021" s="4" t="str">
        <v>Combo Cắt gội Kid</v>
      </c>
      <c r="F1021" s="21">
        <v>100000</v>
      </c>
      <c r="G1021" s="21">
        <v>107000</v>
      </c>
      <c r="H1021" s="21">
        <v>105000</v>
      </c>
      <c r="I1021" s="4">
        <f>A1021&amp;D1021</f>
      </c>
      <c r="J1021" s="4">
        <f>VLOOKUP(I1021,#REF!,2,0)</f>
      </c>
      <c r="K1021" s="4"/>
      <c r="L1021" s="4"/>
      <c r="M1021" s="4"/>
      <c r="N1021" s="4"/>
      <c r="O1021" s="4"/>
      <c r="P1021" s="4"/>
      <c r="Q1021" s="4"/>
      <c r="R1021" s="4"/>
      <c r="S1021" s="4"/>
    </row>
    <row r="1022">
      <c r="A1022" s="4">
        <v>199</v>
      </c>
      <c r="B1022" s="4" t="str">
        <v>7 DTP LA</v>
      </c>
      <c r="C1022" s="4" t="str">
        <v>DV_Cắt_Vip</v>
      </c>
      <c r="D1022" s="4">
        <v>1046</v>
      </c>
      <c r="E1022" s="4" t="str">
        <v>Shinecombo 2</v>
      </c>
      <c r="F1022" s="21">
        <v>208000</v>
      </c>
      <c r="G1022" s="21">
        <v>222000</v>
      </c>
      <c r="H1022" s="21">
        <v>213000</v>
      </c>
      <c r="I1022" s="4">
        <f>A1022&amp;D1022</f>
      </c>
      <c r="J1022" s="4">
        <f>VLOOKUP(I1022,#REF!,2,0)</f>
      </c>
      <c r="K1022" s="4"/>
      <c r="L1022" s="4"/>
      <c r="M1022" s="4"/>
      <c r="N1022" s="4"/>
      <c r="O1022" s="4"/>
      <c r="P1022" s="4"/>
      <c r="Q1022" s="4"/>
      <c r="R1022" s="4"/>
      <c r="S1022" s="4"/>
    </row>
    <row r="1023">
      <c r="A1023" s="4">
        <v>199</v>
      </c>
      <c r="B1023" s="4" t="str">
        <v>7 DTP LA</v>
      </c>
      <c r="C1023" s="4" t="str">
        <v>DV_Cắt_Vip</v>
      </c>
      <c r="D1023" s="4">
        <v>1047</v>
      </c>
      <c r="E1023" s="4" t="str">
        <v>Cắt Gội Combo 3 - Chăm da</v>
      </c>
      <c r="F1023" s="21">
        <v>308000</v>
      </c>
      <c r="G1023" s="21">
        <v>329000</v>
      </c>
      <c r="H1023" s="21">
        <v>313000</v>
      </c>
      <c r="I1023" s="4">
        <f>A1023&amp;D1023</f>
      </c>
      <c r="J1023" s="4">
        <f>VLOOKUP(I1023,#REF!,2,0)</f>
      </c>
      <c r="K1023" s="4"/>
      <c r="L1023" s="4"/>
      <c r="M1023" s="4"/>
      <c r="N1023" s="4"/>
      <c r="O1023" s="4"/>
      <c r="P1023" s="4"/>
      <c r="Q1023" s="4"/>
      <c r="R1023" s="4"/>
      <c r="S1023" s="4"/>
    </row>
    <row r="1024">
      <c r="A1024" s="4">
        <v>199</v>
      </c>
      <c r="B1024" s="4" t="str">
        <v>7 DTP LA</v>
      </c>
      <c r="C1024" s="4" t="str">
        <v>DV_Cắt_Vip</v>
      </c>
      <c r="D1024" s="4">
        <v>1048</v>
      </c>
      <c r="E1024" s="4" t="str">
        <v>Combo 4</v>
      </c>
      <c r="F1024" s="21">
        <v>398000</v>
      </c>
      <c r="G1024" s="21">
        <v>425000</v>
      </c>
      <c r="H1024" s="21">
        <v>403000</v>
      </c>
      <c r="I1024" s="4">
        <f>A1024&amp;D1024</f>
      </c>
      <c r="J1024" s="4">
        <f>VLOOKUP(I1024,#REF!,2,0)</f>
      </c>
      <c r="K1024" s="4"/>
      <c r="L1024" s="4"/>
      <c r="M1024" s="4"/>
      <c r="N1024" s="4"/>
      <c r="O1024" s="4"/>
      <c r="P1024" s="4"/>
      <c r="Q1024" s="4"/>
      <c r="R1024" s="4"/>
      <c r="S1024" s="4"/>
    </row>
    <row r="1025">
      <c r="A1025" s="4">
        <v>199</v>
      </c>
      <c r="B1025" s="4" t="str">
        <v>7 DTP LA</v>
      </c>
      <c r="C1025" s="4" t="str">
        <v>DV_Cắt_Vip</v>
      </c>
      <c r="D1025" s="4">
        <v>1064</v>
      </c>
      <c r="E1025" s="4" t="str">
        <v>Cắt Gội Combo 5 - Dưỡng sinh</v>
      </c>
      <c r="F1025" s="21">
        <v>459000</v>
      </c>
      <c r="G1025" s="21">
        <v>490000</v>
      </c>
      <c r="H1025" s="21">
        <v>464000</v>
      </c>
      <c r="I1025" s="4">
        <f>A1025&amp;D1025</f>
      </c>
      <c r="J1025" s="4">
        <f>VLOOKUP(I1025,#REF!,2,0)</f>
      </c>
      <c r="K1025" s="4"/>
      <c r="L1025" s="4"/>
      <c r="M1025" s="4"/>
      <c r="N1025" s="4"/>
      <c r="O1025" s="4"/>
      <c r="P1025" s="4"/>
      <c r="Q1025" s="4"/>
      <c r="R1025" s="4"/>
      <c r="S1025" s="4"/>
    </row>
    <row r="1026">
      <c r="A1026" s="4">
        <v>199</v>
      </c>
      <c r="B1026" s="4" t="str">
        <v>7 DTP LA</v>
      </c>
      <c r="C1026" s="4" t="str">
        <v>DV_Gội</v>
      </c>
      <c r="D1026" s="4">
        <v>867</v>
      </c>
      <c r="E1026" s="4" t="str">
        <v>Gội dưỡng sinh cổ vai gáy</v>
      </c>
      <c r="F1026" s="21">
        <v>99000</v>
      </c>
      <c r="G1026" s="21">
        <v>106000</v>
      </c>
      <c r="H1026" s="21">
        <v>104000</v>
      </c>
      <c r="I1026" s="4">
        <f>A1026&amp;D1026</f>
      </c>
      <c r="J1026" s="4">
        <f>VLOOKUP(I1026,#REF!,2,0)</f>
      </c>
      <c r="K1026" s="4"/>
      <c r="L1026" s="4"/>
      <c r="M1026" s="4"/>
      <c r="N1026" s="4"/>
      <c r="O1026" s="4"/>
      <c r="P1026" s="4"/>
      <c r="Q1026" s="4"/>
      <c r="R1026" s="4"/>
      <c r="S1026" s="4"/>
    </row>
    <row r="1027">
      <c r="A1027" s="4">
        <v>199</v>
      </c>
      <c r="B1027" s="4" t="str">
        <v>7 DTP LA</v>
      </c>
      <c r="C1027" s="4" t="str">
        <v>DV_Gội</v>
      </c>
      <c r="D1027" s="4">
        <v>930</v>
      </c>
      <c r="E1027" s="4" t="str">
        <v>[NEW] Gội dưỡng sinh cổ vai gáy và chăm sóc da</v>
      </c>
      <c r="F1027" s="21">
        <v>139000</v>
      </c>
      <c r="G1027" s="21">
        <v>148000</v>
      </c>
      <c r="H1027" s="21">
        <v>144000</v>
      </c>
      <c r="I1027" s="4">
        <f>A1027&amp;D1027</f>
      </c>
      <c r="J1027" s="4">
        <f>VLOOKUP(I1027,#REF!,2,0)</f>
      </c>
      <c r="K1027" s="4"/>
      <c r="L1027" s="4"/>
      <c r="M1027" s="4"/>
      <c r="N1027" s="4"/>
      <c r="O1027" s="4"/>
      <c r="P1027" s="4"/>
      <c r="Q1027" s="4"/>
      <c r="R1027" s="4"/>
      <c r="S1027" s="4"/>
    </row>
    <row r="1028">
      <c r="A1028" s="4">
        <v>199</v>
      </c>
      <c r="B1028" s="4" t="str">
        <v>7 DTP LA</v>
      </c>
      <c r="C1028" s="4" t="str">
        <v>DV_Gội</v>
      </c>
      <c r="D1028" s="4">
        <v>932</v>
      </c>
      <c r="E1028" s="4" t="str">
        <v>Gội combo 5 dưỡng sinh</v>
      </c>
      <c r="F1028" s="21">
        <v>399000</v>
      </c>
      <c r="G1028" s="21">
        <v>426000</v>
      </c>
      <c r="H1028" s="21">
        <v>404000</v>
      </c>
      <c r="I1028" s="4">
        <f>A1028&amp;D1028</f>
      </c>
      <c r="J1028" s="4">
        <f>VLOOKUP(I1028,#REF!,2,0)</f>
      </c>
      <c r="K1028" s="4"/>
      <c r="L1028" s="4"/>
      <c r="M1028" s="4"/>
      <c r="N1028" s="4"/>
      <c r="O1028" s="4"/>
      <c r="P1028" s="4"/>
      <c r="Q1028" s="4"/>
      <c r="R1028" s="4"/>
      <c r="S1028" s="4"/>
    </row>
    <row r="1029">
      <c r="A1029" s="4">
        <v>199</v>
      </c>
      <c r="B1029" s="4" t="str">
        <v>7 DTP LA</v>
      </c>
      <c r="C1029" s="4" t="str">
        <v>DV_Gội</v>
      </c>
      <c r="D1029" s="4">
        <v>934</v>
      </c>
      <c r="E1029" s="4" t="str">
        <v>Gội combo 3 - Dưỡng sinh</v>
      </c>
      <c r="F1029" s="21">
        <v>229000</v>
      </c>
      <c r="G1029" s="21">
        <v>245000</v>
      </c>
      <c r="H1029" s="21">
        <v>234000</v>
      </c>
      <c r="I1029" s="4">
        <f>A1029&amp;D1029</f>
      </c>
      <c r="J1029" s="4">
        <f>VLOOKUP(I1029,#REF!,2,0)</f>
      </c>
      <c r="K1029" s="4"/>
      <c r="L1029" s="4"/>
      <c r="M1029" s="4"/>
      <c r="N1029" s="4"/>
      <c r="O1029" s="4"/>
      <c r="P1029" s="4"/>
      <c r="Q1029" s="4"/>
      <c r="R1029" s="4"/>
      <c r="S1029" s="4"/>
    </row>
    <row r="1030">
      <c r="A1030" s="4">
        <v>199</v>
      </c>
      <c r="B1030" s="4" t="str">
        <v>7 DTP LA</v>
      </c>
      <c r="C1030" s="4" t="str">
        <v>DV_Gội</v>
      </c>
      <c r="D1030" s="4">
        <v>940</v>
      </c>
      <c r="E1030" s="4" t="str">
        <v>[NEW] Gội dưỡng sinh</v>
      </c>
      <c r="F1030" s="21">
        <v>59000</v>
      </c>
      <c r="G1030" s="21">
        <v>63000</v>
      </c>
      <c r="H1030" s="21">
        <v>63000</v>
      </c>
      <c r="I1030" s="4">
        <f>A1030&amp;D1030</f>
      </c>
      <c r="J1030" s="4">
        <v>63000</v>
      </c>
      <c r="K1030" s="4"/>
      <c r="L1030" s="4"/>
      <c r="M1030" s="4"/>
      <c r="N1030" s="4"/>
      <c r="O1030" s="4"/>
      <c r="P1030" s="4"/>
      <c r="Q1030" s="4"/>
      <c r="R1030" s="4"/>
      <c r="S1030" s="4"/>
    </row>
    <row r="1031">
      <c r="A1031" s="4">
        <v>199</v>
      </c>
      <c r="B1031" s="4" t="str">
        <v>7 DTP LA</v>
      </c>
      <c r="C1031" s="4" t="str">
        <v>DV_Gội</v>
      </c>
      <c r="D1031" s="4">
        <v>1058</v>
      </c>
      <c r="E1031" s="4" t="str">
        <v>Gội Combo 2</v>
      </c>
      <c r="F1031" s="21">
        <v>159000</v>
      </c>
      <c r="G1031" s="21">
        <v>170000</v>
      </c>
      <c r="H1031" s="21">
        <v>159000</v>
      </c>
      <c r="I1031" s="4">
        <f>A1031&amp;D1031</f>
      </c>
      <c r="J1031" s="4">
        <f>VLOOKUP(I1031,#REF!,2,0)</f>
      </c>
      <c r="K1031" s="4"/>
      <c r="L1031" s="4"/>
      <c r="M1031" s="4"/>
      <c r="N1031" s="4"/>
      <c r="O1031" s="4"/>
      <c r="P1031" s="4"/>
      <c r="Q1031" s="4"/>
      <c r="R1031" s="4"/>
      <c r="S1031" s="4"/>
    </row>
    <row r="1032">
      <c r="A1032" s="4">
        <v>199</v>
      </c>
      <c r="B1032" s="4" t="str">
        <v>7 DTP LA</v>
      </c>
      <c r="C1032" s="4" t="str">
        <v>DV_Gội</v>
      </c>
      <c r="D1032" s="4">
        <v>1059</v>
      </c>
      <c r="E1032" s="4" t="str">
        <v>Gội Combo 3 - Chăm da</v>
      </c>
      <c r="F1032" s="21">
        <v>239000</v>
      </c>
      <c r="G1032" s="21">
        <v>255000</v>
      </c>
      <c r="H1032" s="21">
        <v>244000</v>
      </c>
      <c r="I1032" s="4">
        <f>A1032&amp;D1032</f>
      </c>
      <c r="J1032" s="4">
        <f>VLOOKUP(I1032,#REF!,2,0)</f>
      </c>
      <c r="K1032" s="4"/>
      <c r="L1032" s="4"/>
      <c r="M1032" s="4"/>
      <c r="N1032" s="4"/>
      <c r="O1032" s="4"/>
      <c r="P1032" s="4"/>
      <c r="Q1032" s="4"/>
      <c r="R1032" s="4"/>
      <c r="S1032" s="4"/>
    </row>
    <row r="1033">
      <c r="A1033" s="4">
        <v>199</v>
      </c>
      <c r="B1033" s="4" t="str">
        <v>7 DTP LA</v>
      </c>
      <c r="C1033" s="4" t="str">
        <v>DV_Gội</v>
      </c>
      <c r="D1033" s="4">
        <v>1060</v>
      </c>
      <c r="E1033" s="4" t="str">
        <v>Gội Combo 4</v>
      </c>
      <c r="F1033" s="21">
        <v>289000</v>
      </c>
      <c r="G1033" s="21">
        <v>309000</v>
      </c>
      <c r="H1033" s="21">
        <v>289000</v>
      </c>
      <c r="I1033" s="4">
        <f>A1033&amp;D1033</f>
      </c>
      <c r="J1033" s="4">
        <f>VLOOKUP(I1033,#REF!,2,0)</f>
      </c>
      <c r="K1033" s="4"/>
      <c r="L1033" s="4"/>
      <c r="M1033" s="4"/>
      <c r="N1033" s="4"/>
      <c r="O1033" s="4"/>
      <c r="P1033" s="4"/>
      <c r="Q1033" s="4"/>
      <c r="R1033" s="4"/>
      <c r="S1033" s="4"/>
    </row>
    <row r="1034">
      <c r="A1034" s="4">
        <v>199</v>
      </c>
      <c r="B1034" s="4" t="str">
        <v>7 DTP LA</v>
      </c>
      <c r="C1034" s="4" t="str">
        <v>DV_Gội</v>
      </c>
      <c r="D1034" s="4">
        <v>1066</v>
      </c>
      <c r="E1034" s="4" t="str">
        <v>Gội trải nghiệm 75p</v>
      </c>
      <c r="F1034" s="21">
        <v>589000</v>
      </c>
      <c r="G1034" s="21">
        <v>629000</v>
      </c>
      <c r="H1034" s="21">
        <v>594000</v>
      </c>
      <c r="I1034" s="4">
        <f>A1034&amp;D1034</f>
      </c>
      <c r="J1034" s="4">
        <f>VLOOKUP(I1034,#REF!,2,0)</f>
      </c>
      <c r="K1034" s="4"/>
      <c r="L1034" s="4"/>
      <c r="M1034" s="4"/>
      <c r="N1034" s="4"/>
      <c r="O1034" s="4"/>
      <c r="P1034" s="4"/>
      <c r="Q1034" s="4"/>
      <c r="R1034" s="4"/>
      <c r="S1034" s="4"/>
    </row>
    <row r="1035">
      <c r="A1035" s="4">
        <v>199</v>
      </c>
      <c r="B1035" s="4" t="str">
        <v>7 DTP LA</v>
      </c>
      <c r="C1035" s="4" t="str">
        <v>DV_Gội</v>
      </c>
      <c r="D1035" s="4">
        <v>1067</v>
      </c>
      <c r="E1035" s="4" t="str">
        <v>Gội trải nghiệm 90p</v>
      </c>
      <c r="F1035" s="21">
        <v>789000</v>
      </c>
      <c r="G1035" s="21">
        <v>843000</v>
      </c>
      <c r="H1035" s="21">
        <v>794000</v>
      </c>
      <c r="I1035" s="4">
        <f>A1035&amp;D1035</f>
      </c>
      <c r="J1035" s="4">
        <f>VLOOKUP(I1035,#REF!,2,0)</f>
      </c>
      <c r="K1035" s="4"/>
      <c r="L1035" s="4"/>
      <c r="M1035" s="4"/>
      <c r="N1035" s="4"/>
      <c r="O1035" s="4"/>
      <c r="P1035" s="4"/>
      <c r="Q1035" s="4"/>
      <c r="R1035" s="4"/>
      <c r="S1035" s="4"/>
    </row>
    <row r="1036">
      <c r="A1036" s="4">
        <v>199</v>
      </c>
      <c r="B1036" s="4" t="str">
        <v>7 DTP LA</v>
      </c>
      <c r="C1036" s="4" t="str">
        <v>DV_Gội</v>
      </c>
      <c r="D1036" s="4">
        <v>1068</v>
      </c>
      <c r="E1036" s="4" t="str">
        <v>Gội trải nghiệm 115p</v>
      </c>
      <c r="F1036" s="21">
        <v>999000</v>
      </c>
      <c r="G1036" s="21">
        <v>1067000</v>
      </c>
      <c r="H1036" s="21">
        <v>1004000</v>
      </c>
      <c r="I1036" s="4">
        <f>A1036&amp;D1036</f>
      </c>
      <c r="J1036" s="4">
        <f>VLOOKUP(I1036,#REF!,2,0)</f>
      </c>
      <c r="K1036" s="4"/>
      <c r="L1036" s="4"/>
      <c r="M1036" s="4"/>
      <c r="N1036" s="4"/>
      <c r="O1036" s="4"/>
      <c r="P1036" s="4"/>
      <c r="Q1036" s="4"/>
      <c r="R1036" s="4"/>
      <c r="S1036" s="4"/>
    </row>
    <row r="1037">
      <c r="A1037" s="4">
        <v>47</v>
      </c>
      <c r="B1037" s="4" t="str">
        <v>708 LTT</v>
      </c>
      <c r="C1037" s="4" t="str">
        <v>DV_Cắt</v>
      </c>
      <c r="D1037" s="4">
        <v>513</v>
      </c>
      <c r="E1037" s="4" t="str">
        <v>[DV] ShineCombo 10 bước Ultra Care 2023</v>
      </c>
      <c r="F1037" s="21">
        <v>122000</v>
      </c>
      <c r="G1037" s="21">
        <v>122000</v>
      </c>
      <c r="H1037" s="21">
        <v>122000</v>
      </c>
      <c r="I1037" s="4">
        <f>A1037&amp;D1037</f>
      </c>
      <c r="J1037" s="4">
        <v>122000</v>
      </c>
      <c r="K1037" s="4"/>
      <c r="L1037" s="4"/>
      <c r="M1037" s="4"/>
      <c r="N1037" s="4"/>
      <c r="O1037" s="4"/>
      <c r="P1037" s="4"/>
      <c r="Q1037" s="4"/>
      <c r="R1037" s="4"/>
      <c r="S1037" s="4"/>
    </row>
    <row r="1038">
      <c r="A1038" s="4">
        <v>47</v>
      </c>
      <c r="B1038" s="4" t="str">
        <v>708 LTT</v>
      </c>
      <c r="C1038" s="4" t="str">
        <v>DV_Cắt</v>
      </c>
      <c r="D1038" s="4">
        <v>891</v>
      </c>
      <c r="E1038" s="4" t="str">
        <v>Cắt xả tạo kiểu</v>
      </c>
      <c r="F1038" s="21">
        <v>103000</v>
      </c>
      <c r="G1038" s="21">
        <v>110000</v>
      </c>
      <c r="H1038" s="21">
        <v>110000</v>
      </c>
      <c r="I1038" s="4">
        <f>A1038&amp;D1038</f>
      </c>
      <c r="J1038" s="4">
        <v>110000</v>
      </c>
      <c r="K1038" s="4"/>
      <c r="L1038" s="4"/>
      <c r="M1038" s="4"/>
      <c r="N1038" s="4"/>
      <c r="O1038" s="4"/>
      <c r="P1038" s="4"/>
      <c r="Q1038" s="4"/>
      <c r="R1038" s="4"/>
      <c r="S1038" s="4"/>
    </row>
    <row r="1039">
      <c r="A1039" s="4">
        <v>47</v>
      </c>
      <c r="B1039" s="4" t="str">
        <v>708 LTT</v>
      </c>
      <c r="C1039" s="4" t="str">
        <v>DV_Cắt</v>
      </c>
      <c r="D1039" s="4">
        <v>1002</v>
      </c>
      <c r="E1039" s="4" t="str">
        <v>Kid Cắt</v>
      </c>
      <c r="F1039" s="21">
        <v>84000</v>
      </c>
      <c r="G1039" s="21">
        <v>90000</v>
      </c>
      <c r="H1039" s="21">
        <v>90000</v>
      </c>
      <c r="I1039" s="4">
        <f>A1039&amp;D1039</f>
      </c>
      <c r="J1039" s="4">
        <v>90000</v>
      </c>
      <c r="K1039" s="4"/>
      <c r="L1039" s="4"/>
      <c r="M1039" s="4"/>
      <c r="N1039" s="4"/>
      <c r="O1039" s="4"/>
      <c r="P1039" s="4"/>
      <c r="Q1039" s="4"/>
      <c r="R1039" s="4"/>
      <c r="S1039" s="4"/>
    </row>
    <row r="1040">
      <c r="A1040" s="4">
        <v>47</v>
      </c>
      <c r="B1040" s="4" t="str">
        <v>708 LTT</v>
      </c>
      <c r="C1040" s="4" t="str">
        <v>DV_Cắt</v>
      </c>
      <c r="D1040" s="4">
        <v>1070</v>
      </c>
      <c r="E1040" s="4" t="str">
        <v>Combo Cắt gội Kid</v>
      </c>
      <c r="F1040" s="21">
        <v>100000</v>
      </c>
      <c r="G1040" s="21">
        <v>107000</v>
      </c>
      <c r="H1040" s="21">
        <v>107000</v>
      </c>
      <c r="I1040" s="4">
        <f>A1040&amp;D1040</f>
      </c>
      <c r="J1040" s="4">
        <v>107000</v>
      </c>
      <c r="K1040" s="4"/>
      <c r="L1040" s="4"/>
      <c r="M1040" s="4"/>
      <c r="N1040" s="4"/>
      <c r="O1040" s="4"/>
      <c r="P1040" s="4"/>
      <c r="Q1040" s="4"/>
      <c r="R1040" s="4"/>
      <c r="S1040" s="4"/>
    </row>
    <row r="1041">
      <c r="A1041" s="4">
        <v>47</v>
      </c>
      <c r="B1041" s="4" t="str">
        <v>708 LTT</v>
      </c>
      <c r="C1041" s="4" t="str">
        <v>DV_Cắt_Vip</v>
      </c>
      <c r="D1041" s="4">
        <v>1046</v>
      </c>
      <c r="E1041" s="4" t="str">
        <v>Shinecombo 2</v>
      </c>
      <c r="F1041" s="21">
        <v>208000</v>
      </c>
      <c r="G1041" s="21">
        <v>222000</v>
      </c>
      <c r="H1041" s="21">
        <v>215000</v>
      </c>
      <c r="I1041" s="4">
        <f>A1041&amp;D1041</f>
      </c>
      <c r="J1041" s="4">
        <f>VLOOKUP(I1041,#REF!,2,0)</f>
      </c>
      <c r="K1041" s="4"/>
      <c r="L1041" s="4"/>
      <c r="M1041" s="4"/>
      <c r="N1041" s="4"/>
      <c r="O1041" s="4"/>
      <c r="P1041" s="4"/>
      <c r="Q1041" s="4"/>
      <c r="R1041" s="4"/>
      <c r="S1041" s="4"/>
    </row>
    <row r="1042">
      <c r="A1042" s="4">
        <v>47</v>
      </c>
      <c r="B1042" s="4" t="str">
        <v>708 LTT</v>
      </c>
      <c r="C1042" s="4" t="str">
        <v>DV_Cắt_Vip</v>
      </c>
      <c r="D1042" s="4">
        <v>1047</v>
      </c>
      <c r="E1042" s="4" t="str">
        <v>Cắt Gội Combo 3 - Chăm da</v>
      </c>
      <c r="F1042" s="21">
        <v>308000</v>
      </c>
      <c r="G1042" s="21">
        <v>329000</v>
      </c>
      <c r="H1042" s="21">
        <v>308000</v>
      </c>
      <c r="I1042" s="4">
        <f>A1042&amp;D1042</f>
      </c>
      <c r="J1042" s="4">
        <f>VLOOKUP(I1042,#REF!,2,0)</f>
      </c>
      <c r="K1042" s="4"/>
      <c r="L1042" s="4"/>
      <c r="M1042" s="4"/>
      <c r="N1042" s="4"/>
      <c r="O1042" s="4"/>
      <c r="P1042" s="4"/>
      <c r="Q1042" s="4"/>
      <c r="R1042" s="4"/>
      <c r="S1042" s="4"/>
    </row>
    <row r="1043">
      <c r="A1043" s="4">
        <v>47</v>
      </c>
      <c r="B1043" s="4" t="str">
        <v>708 LTT</v>
      </c>
      <c r="C1043" s="4" t="str">
        <v>DV_Cắt_Vip</v>
      </c>
      <c r="D1043" s="4">
        <v>1048</v>
      </c>
      <c r="E1043" s="4" t="str">
        <v>Combo 4</v>
      </c>
      <c r="F1043" s="21">
        <v>398000</v>
      </c>
      <c r="G1043" s="21">
        <v>425000</v>
      </c>
      <c r="H1043" s="21">
        <v>405000</v>
      </c>
      <c r="I1043" s="4">
        <f>A1043&amp;D1043</f>
      </c>
      <c r="J1043" s="4">
        <f>VLOOKUP(I1043,#REF!,2,0)</f>
      </c>
      <c r="K1043" s="4"/>
      <c r="L1043" s="4"/>
      <c r="M1043" s="4"/>
      <c r="N1043" s="4"/>
      <c r="O1043" s="4"/>
      <c r="P1043" s="4"/>
      <c r="Q1043" s="4"/>
      <c r="R1043" s="4"/>
      <c r="S1043" s="4"/>
    </row>
    <row r="1044">
      <c r="A1044" s="4">
        <v>47</v>
      </c>
      <c r="B1044" s="4" t="str">
        <v>708 LTT</v>
      </c>
      <c r="C1044" s="4" t="str">
        <v>DV_Cắt_Vip</v>
      </c>
      <c r="D1044" s="4">
        <v>1049</v>
      </c>
      <c r="E1044" s="4" t="str">
        <v>Cắt Gội Combo 5 - Chăm da</v>
      </c>
      <c r="F1044" s="21">
        <v>399000</v>
      </c>
      <c r="G1044" s="21">
        <v>426000</v>
      </c>
      <c r="H1044" s="21">
        <v>406000</v>
      </c>
      <c r="I1044" s="4">
        <f>A1044&amp;D1044</f>
      </c>
      <c r="J1044" s="4">
        <f>VLOOKUP(I1044,#REF!,2,0)</f>
      </c>
      <c r="K1044" s="4"/>
      <c r="L1044" s="4"/>
      <c r="M1044" s="4"/>
      <c r="N1044" s="4"/>
      <c r="O1044" s="4"/>
      <c r="P1044" s="4"/>
      <c r="Q1044" s="4"/>
      <c r="R1044" s="4"/>
      <c r="S1044" s="4"/>
    </row>
    <row r="1045">
      <c r="A1045" s="4">
        <v>47</v>
      </c>
      <c r="B1045" s="4" t="str">
        <v>708 LTT</v>
      </c>
      <c r="C1045" s="4" t="str">
        <v>DV_Cắt_Vip</v>
      </c>
      <c r="D1045" s="4">
        <v>1064</v>
      </c>
      <c r="E1045" s="4" t="str">
        <v>Cắt Gội Combo 5 - Dưỡng sinh</v>
      </c>
      <c r="F1045" s="21">
        <v>459000</v>
      </c>
      <c r="G1045" s="21">
        <v>490000</v>
      </c>
      <c r="H1045" s="21">
        <v>466000</v>
      </c>
      <c r="I1045" s="4">
        <f>A1045&amp;D1045</f>
      </c>
      <c r="J1045" s="4">
        <f>VLOOKUP(I1045,#REF!,2,0)</f>
      </c>
      <c r="K1045" s="4"/>
      <c r="L1045" s="4"/>
      <c r="M1045" s="4"/>
      <c r="N1045" s="4"/>
      <c r="O1045" s="4"/>
      <c r="P1045" s="4"/>
      <c r="Q1045" s="4"/>
      <c r="R1045" s="4"/>
      <c r="S1045" s="4"/>
    </row>
    <row r="1046">
      <c r="A1046" s="4">
        <v>47</v>
      </c>
      <c r="B1046" s="4" t="str">
        <v>708 LTT</v>
      </c>
      <c r="C1046" s="4" t="str">
        <v>DV_Cắt_Vip</v>
      </c>
      <c r="D1046" s="4">
        <v>1065</v>
      </c>
      <c r="E1046" s="4" t="str">
        <v>Cắt Gội Combo 3 - Dưỡng sinh</v>
      </c>
      <c r="F1046" s="21">
        <v>308000</v>
      </c>
      <c r="G1046" s="21">
        <v>329000</v>
      </c>
      <c r="H1046" s="21">
        <v>315000</v>
      </c>
      <c r="I1046" s="4">
        <f>A1046&amp;D1046</f>
      </c>
      <c r="J1046" s="4">
        <f>VLOOKUP(I1046,#REF!,2,0)</f>
      </c>
      <c r="K1046" s="4"/>
      <c r="L1046" s="4"/>
      <c r="M1046" s="4"/>
      <c r="N1046" s="4"/>
      <c r="O1046" s="4"/>
      <c r="P1046" s="4"/>
      <c r="Q1046" s="4"/>
      <c r="R1046" s="4"/>
      <c r="S1046" s="4"/>
    </row>
    <row r="1047">
      <c r="A1047" s="4">
        <v>47</v>
      </c>
      <c r="B1047" s="4" t="str">
        <v>708 LTT</v>
      </c>
      <c r="C1047" s="4" t="str">
        <v>DV_Cắt_Vip</v>
      </c>
      <c r="D1047" s="4">
        <v>1194</v>
      </c>
      <c r="E1047" s="4" t="str">
        <v>Combo Best choice</v>
      </c>
      <c r="F1047" s="21">
        <v>308000</v>
      </c>
      <c r="G1047" s="21">
        <v>329000</v>
      </c>
      <c r="H1047" s="21">
        <v>315000</v>
      </c>
      <c r="I1047" s="4">
        <f>A1047&amp;D1047</f>
      </c>
      <c r="J1047" s="4">
        <f>VLOOKUP(I1047,#REF!,2,0)</f>
      </c>
      <c r="K1047" s="4"/>
      <c r="L1047" s="4"/>
      <c r="M1047" s="4"/>
      <c r="N1047" s="4"/>
      <c r="O1047" s="4"/>
      <c r="P1047" s="4"/>
      <c r="Q1047" s="4"/>
      <c r="R1047" s="4"/>
      <c r="S1047" s="4"/>
    </row>
    <row r="1048">
      <c r="A1048" s="4">
        <v>47</v>
      </c>
      <c r="B1048" s="4" t="str">
        <v>708 LTT</v>
      </c>
      <c r="C1048" s="4" t="str">
        <v>DV_Gội</v>
      </c>
      <c r="D1048" s="4">
        <v>867</v>
      </c>
      <c r="E1048" s="4" t="str">
        <v>Gội dưỡng sinh cổ vai gáy</v>
      </c>
      <c r="F1048" s="21">
        <v>100000</v>
      </c>
      <c r="G1048" s="21">
        <v>107000</v>
      </c>
      <c r="H1048" s="21">
        <v>107000</v>
      </c>
      <c r="I1048" s="4">
        <f>A1048&amp;D1048</f>
      </c>
      <c r="J1048" s="4">
        <v>107000</v>
      </c>
      <c r="K1048" s="4"/>
      <c r="L1048" s="4"/>
      <c r="M1048" s="4"/>
      <c r="N1048" s="4"/>
      <c r="O1048" s="4"/>
      <c r="P1048" s="4"/>
      <c r="Q1048" s="4"/>
      <c r="R1048" s="4"/>
      <c r="S1048" s="4"/>
    </row>
    <row r="1049">
      <c r="A1049" s="4">
        <v>47</v>
      </c>
      <c r="B1049" s="4" t="str">
        <v>708 LTT</v>
      </c>
      <c r="C1049" s="4" t="str">
        <v>DV_Gội</v>
      </c>
      <c r="D1049" s="4">
        <v>930</v>
      </c>
      <c r="E1049" s="4" t="str">
        <v>[NEW] Gội dưỡng sinh cổ vai gáy và chăm sóc da</v>
      </c>
      <c r="F1049" s="21">
        <v>139000</v>
      </c>
      <c r="G1049" s="21">
        <v>148000</v>
      </c>
      <c r="H1049" s="21">
        <v>146000</v>
      </c>
      <c r="I1049" s="4">
        <f>A1049&amp;D1049</f>
      </c>
      <c r="J1049" s="4">
        <f>VLOOKUP(I1049,#REF!,2,0)</f>
      </c>
      <c r="K1049" s="4"/>
      <c r="L1049" s="4"/>
      <c r="M1049" s="4"/>
      <c r="N1049" s="4"/>
      <c r="O1049" s="4"/>
      <c r="P1049" s="4"/>
      <c r="Q1049" s="4"/>
      <c r="R1049" s="4"/>
      <c r="S1049" s="4"/>
    </row>
    <row r="1050">
      <c r="A1050" s="4">
        <v>47</v>
      </c>
      <c r="B1050" s="4" t="str">
        <v>708 LTT</v>
      </c>
      <c r="C1050" s="4" t="str">
        <v>DV_Gội</v>
      </c>
      <c r="D1050" s="4">
        <v>932</v>
      </c>
      <c r="E1050" s="4" t="str">
        <v>Gội combo 5 dưỡng sinh</v>
      </c>
      <c r="F1050" s="21">
        <v>389000</v>
      </c>
      <c r="G1050" s="21">
        <v>415000</v>
      </c>
      <c r="H1050" s="21">
        <v>396000</v>
      </c>
      <c r="I1050" s="4">
        <f>A1050&amp;D1050</f>
      </c>
      <c r="J1050" s="4">
        <f>VLOOKUP(I1050,#REF!,2,0)</f>
      </c>
      <c r="K1050" s="4"/>
      <c r="L1050" s="4"/>
      <c r="M1050" s="4"/>
      <c r="N1050" s="4"/>
      <c r="O1050" s="4"/>
      <c r="P1050" s="4"/>
      <c r="Q1050" s="4"/>
      <c r="R1050" s="4"/>
      <c r="S1050" s="4"/>
    </row>
    <row r="1051">
      <c r="A1051" s="4">
        <v>47</v>
      </c>
      <c r="B1051" s="4" t="str">
        <v>708 LTT</v>
      </c>
      <c r="C1051" s="4" t="str">
        <v>DV_Gội</v>
      </c>
      <c r="D1051" s="4">
        <v>934</v>
      </c>
      <c r="E1051" s="4" t="str">
        <v>Gội combo 3 - Dưỡng sinh</v>
      </c>
      <c r="F1051" s="21">
        <v>229000</v>
      </c>
      <c r="G1051" s="21">
        <v>245000</v>
      </c>
      <c r="H1051" s="21">
        <v>229000</v>
      </c>
      <c r="I1051" s="4">
        <f>A1051&amp;D1051</f>
      </c>
      <c r="J1051" s="4">
        <f>VLOOKUP(I1051,#REF!,2,0)</f>
      </c>
      <c r="K1051" s="4"/>
      <c r="L1051" s="4"/>
      <c r="M1051" s="4"/>
      <c r="N1051" s="4"/>
      <c r="O1051" s="4"/>
      <c r="P1051" s="4"/>
      <c r="Q1051" s="4"/>
      <c r="R1051" s="4"/>
      <c r="S1051" s="4"/>
    </row>
    <row r="1052">
      <c r="A1052" s="4">
        <v>47</v>
      </c>
      <c r="B1052" s="4" t="str">
        <v>708 LTT</v>
      </c>
      <c r="C1052" s="4" t="str">
        <v>DV_Gội</v>
      </c>
      <c r="D1052" s="4">
        <v>940</v>
      </c>
      <c r="E1052" s="4" t="str">
        <v>[NEW] Gội dưỡng sinh</v>
      </c>
      <c r="F1052" s="21">
        <v>59000</v>
      </c>
      <c r="G1052" s="21">
        <v>63000</v>
      </c>
      <c r="H1052" s="21">
        <v>63000</v>
      </c>
      <c r="I1052" s="4">
        <f>A1052&amp;D1052</f>
      </c>
      <c r="J1052" s="4">
        <v>63000</v>
      </c>
      <c r="K1052" s="4"/>
      <c r="L1052" s="4"/>
      <c r="M1052" s="4"/>
      <c r="N1052" s="4"/>
      <c r="O1052" s="4"/>
      <c r="P1052" s="4"/>
      <c r="Q1052" s="4"/>
      <c r="R1052" s="4"/>
      <c r="S1052" s="4"/>
    </row>
    <row r="1053">
      <c r="A1053" s="4">
        <v>47</v>
      </c>
      <c r="B1053" s="4" t="str">
        <v>708 LTT</v>
      </c>
      <c r="C1053" s="4" t="str">
        <v>DV_Gội</v>
      </c>
      <c r="D1053" s="4">
        <v>1058</v>
      </c>
      <c r="E1053" s="4" t="str">
        <v>Gội Combo 2</v>
      </c>
      <c r="F1053" s="21">
        <v>159000</v>
      </c>
      <c r="G1053" s="21">
        <v>170000</v>
      </c>
      <c r="H1053" s="21">
        <v>166000</v>
      </c>
      <c r="I1053" s="4">
        <f>A1053&amp;D1053</f>
      </c>
      <c r="J1053" s="4">
        <f>VLOOKUP(I1053,#REF!,2,0)</f>
      </c>
      <c r="K1053" s="4"/>
      <c r="L1053" s="4"/>
      <c r="M1053" s="4"/>
      <c r="N1053" s="4"/>
      <c r="O1053" s="4"/>
      <c r="P1053" s="4"/>
      <c r="Q1053" s="4"/>
      <c r="R1053" s="4"/>
      <c r="S1053" s="4"/>
    </row>
    <row r="1054">
      <c r="A1054" s="4">
        <v>47</v>
      </c>
      <c r="B1054" s="4" t="str">
        <v>708 LTT</v>
      </c>
      <c r="C1054" s="4" t="str">
        <v>DV_Gội</v>
      </c>
      <c r="D1054" s="4">
        <v>1059</v>
      </c>
      <c r="E1054" s="4" t="str">
        <v>Gội Combo 3 - Chăm da</v>
      </c>
      <c r="F1054" s="21">
        <v>239000</v>
      </c>
      <c r="G1054" s="21">
        <v>255000</v>
      </c>
      <c r="H1054" s="21">
        <v>239000</v>
      </c>
      <c r="I1054" s="4">
        <f>A1054&amp;D1054</f>
      </c>
      <c r="J1054" s="4">
        <f>VLOOKUP(I1054,#REF!,2,0)</f>
      </c>
      <c r="K1054" s="4"/>
      <c r="L1054" s="4"/>
      <c r="M1054" s="4"/>
      <c r="N1054" s="4"/>
      <c r="O1054" s="4"/>
      <c r="P1054" s="4"/>
      <c r="Q1054" s="4"/>
      <c r="R1054" s="4"/>
      <c r="S1054" s="4"/>
    </row>
    <row r="1055">
      <c r="A1055" s="4">
        <v>47</v>
      </c>
      <c r="B1055" s="4" t="str">
        <v>708 LTT</v>
      </c>
      <c r="C1055" s="4" t="str">
        <v>DV_Gội</v>
      </c>
      <c r="D1055" s="4">
        <v>1060</v>
      </c>
      <c r="E1055" s="4" t="str">
        <v>Gội Combo 4</v>
      </c>
      <c r="F1055" s="21">
        <v>289000</v>
      </c>
      <c r="G1055" s="21">
        <v>311000</v>
      </c>
      <c r="H1055" s="21">
        <v>289000</v>
      </c>
      <c r="I1055" s="4">
        <f>A1055&amp;D1055</f>
      </c>
      <c r="J1055" s="4">
        <f>VLOOKUP(I1055,#REF!,2,0)</f>
      </c>
      <c r="K1055" s="4"/>
      <c r="L1055" s="4"/>
      <c r="M1055" s="4"/>
      <c r="N1055" s="4"/>
      <c r="O1055" s="4"/>
      <c r="P1055" s="4"/>
      <c r="Q1055" s="4"/>
      <c r="R1055" s="4"/>
      <c r="S1055" s="4"/>
    </row>
    <row r="1056">
      <c r="A1056" s="4">
        <v>47</v>
      </c>
      <c r="B1056" s="4" t="str">
        <v>708 LTT</v>
      </c>
      <c r="C1056" s="4" t="str">
        <v>DV_Gội</v>
      </c>
      <c r="D1056" s="4">
        <v>1061</v>
      </c>
      <c r="E1056" s="4" t="str">
        <v>Gội Combo 5 - Chăm da</v>
      </c>
      <c r="F1056" s="21">
        <v>359000</v>
      </c>
      <c r="G1056" s="21">
        <v>383000</v>
      </c>
      <c r="H1056" s="21">
        <v>366000</v>
      </c>
      <c r="I1056" s="4">
        <f>A1056&amp;D1056</f>
      </c>
      <c r="J1056" s="4">
        <f>VLOOKUP(I1056,#REF!,2,0)</f>
      </c>
      <c r="K1056" s="4"/>
      <c r="L1056" s="4"/>
      <c r="M1056" s="4"/>
      <c r="N1056" s="4"/>
      <c r="O1056" s="4"/>
      <c r="P1056" s="4"/>
      <c r="Q1056" s="4"/>
      <c r="R1056" s="4"/>
      <c r="S1056" s="4"/>
    </row>
    <row r="1057">
      <c r="A1057" s="4">
        <v>47</v>
      </c>
      <c r="B1057" s="4" t="str">
        <v>708 LTT</v>
      </c>
      <c r="C1057" s="4" t="str">
        <v>DV_Gội</v>
      </c>
      <c r="D1057" s="4">
        <v>1066</v>
      </c>
      <c r="E1057" s="4" t="str">
        <v>Gội trải nghiệm 75p</v>
      </c>
      <c r="F1057" s="21">
        <v>459000</v>
      </c>
      <c r="G1057" s="21">
        <v>490000</v>
      </c>
      <c r="H1057" s="21">
        <v>466000</v>
      </c>
      <c r="I1057" s="4">
        <f>A1057&amp;D1057</f>
      </c>
      <c r="J1057" s="4">
        <f>VLOOKUP(I1057,#REF!,2,0)</f>
      </c>
      <c r="K1057" s="4"/>
      <c r="L1057" s="4"/>
      <c r="M1057" s="4"/>
      <c r="N1057" s="4"/>
      <c r="O1057" s="4"/>
      <c r="P1057" s="4"/>
      <c r="Q1057" s="4"/>
      <c r="R1057" s="4"/>
      <c r="S1057" s="4"/>
    </row>
    <row r="1058">
      <c r="A1058" s="4">
        <v>47</v>
      </c>
      <c r="B1058" s="4" t="str">
        <v>708 LTT</v>
      </c>
      <c r="C1058" s="4" t="str">
        <v>DV_Gội</v>
      </c>
      <c r="D1058" s="4">
        <v>1067</v>
      </c>
      <c r="E1058" s="4" t="str">
        <v>Gội trải nghiệm 90p</v>
      </c>
      <c r="F1058" s="21">
        <v>789000</v>
      </c>
      <c r="G1058" s="21">
        <v>843000</v>
      </c>
      <c r="H1058" s="21">
        <v>789000</v>
      </c>
      <c r="I1058" s="4">
        <f>A1058&amp;D1058</f>
      </c>
      <c r="J1058" s="4">
        <f>VLOOKUP(I1058,#REF!,2,0)</f>
      </c>
      <c r="K1058" s="4"/>
      <c r="L1058" s="4"/>
      <c r="M1058" s="4"/>
      <c r="N1058" s="4"/>
      <c r="O1058" s="4"/>
      <c r="P1058" s="4"/>
      <c r="Q1058" s="4"/>
      <c r="R1058" s="4"/>
      <c r="S1058" s="4"/>
    </row>
    <row r="1059">
      <c r="A1059" s="4">
        <v>47</v>
      </c>
      <c r="B1059" s="4" t="str">
        <v>708 LTT</v>
      </c>
      <c r="C1059" s="4" t="str">
        <v>DV_Gội</v>
      </c>
      <c r="D1059" s="4">
        <v>1068</v>
      </c>
      <c r="E1059" s="4" t="str">
        <v>Gội trải nghiệm 115p</v>
      </c>
      <c r="F1059" s="21">
        <v>999000</v>
      </c>
      <c r="G1059" s="21">
        <v>1067000</v>
      </c>
      <c r="H1059" s="21">
        <v>999000</v>
      </c>
      <c r="I1059" s="4">
        <f>A1059&amp;D1059</f>
      </c>
      <c r="J1059" s="4">
        <f>VLOOKUP(I1059,#REF!,2,0)</f>
      </c>
      <c r="K1059" s="4"/>
      <c r="L1059" s="4"/>
      <c r="M1059" s="4"/>
      <c r="N1059" s="4"/>
      <c r="O1059" s="4"/>
      <c r="P1059" s="4"/>
      <c r="Q1059" s="4"/>
      <c r="R1059" s="4"/>
      <c r="S1059" s="4"/>
    </row>
    <row r="1060">
      <c r="A1060" s="4">
        <v>58</v>
      </c>
      <c r="B1060" s="4" t="str">
        <v>730 TL10</v>
      </c>
      <c r="C1060" s="4" t="str">
        <v>DV_Cắt</v>
      </c>
      <c r="D1060" s="4">
        <v>513</v>
      </c>
      <c r="E1060" s="4" t="str">
        <v>[DV] ShineCombo 10 bước Ultra Care 2023</v>
      </c>
      <c r="F1060" s="21">
        <v>122000</v>
      </c>
      <c r="G1060" s="21">
        <v>122000</v>
      </c>
      <c r="H1060" s="21">
        <v>122000</v>
      </c>
      <c r="I1060" s="4">
        <f>A1060&amp;D1060</f>
      </c>
      <c r="J1060" s="4">
        <v>122000</v>
      </c>
      <c r="K1060" s="4"/>
      <c r="L1060" s="4"/>
      <c r="M1060" s="4"/>
      <c r="N1060" s="4"/>
      <c r="O1060" s="4"/>
      <c r="P1060" s="4"/>
      <c r="Q1060" s="4"/>
      <c r="R1060" s="4"/>
      <c r="S1060" s="4"/>
    </row>
    <row r="1061">
      <c r="A1061" s="4">
        <v>58</v>
      </c>
      <c r="B1061" s="4" t="str">
        <v>730 TL10</v>
      </c>
      <c r="C1061" s="4" t="str">
        <v>DV_Cắt</v>
      </c>
      <c r="D1061" s="4">
        <v>891</v>
      </c>
      <c r="E1061" s="4" t="str">
        <v>Cắt xả tạo kiểu</v>
      </c>
      <c r="F1061" s="21">
        <v>100000</v>
      </c>
      <c r="G1061" s="21">
        <v>100000</v>
      </c>
      <c r="H1061" s="21">
        <v>100000</v>
      </c>
      <c r="I1061" s="4">
        <f>A1061&amp;D1061</f>
      </c>
      <c r="J1061" s="4">
        <v>100000</v>
      </c>
      <c r="K1061" s="4"/>
      <c r="L1061" s="4"/>
      <c r="M1061" s="4"/>
      <c r="N1061" s="4"/>
      <c r="O1061" s="4"/>
      <c r="P1061" s="4"/>
      <c r="Q1061" s="4"/>
      <c r="R1061" s="4"/>
      <c r="S1061" s="4"/>
    </row>
    <row r="1062">
      <c r="A1062" s="4">
        <v>58</v>
      </c>
      <c r="B1062" s="4" t="str">
        <v>730 TL10</v>
      </c>
      <c r="C1062" s="4" t="str">
        <v>DV_Cắt</v>
      </c>
      <c r="D1062" s="4">
        <v>1002</v>
      </c>
      <c r="E1062" s="4" t="str">
        <v>Kid Cắt</v>
      </c>
      <c r="F1062" s="21">
        <v>81000</v>
      </c>
      <c r="G1062" s="21">
        <v>81000</v>
      </c>
      <c r="H1062" s="21">
        <v>81000</v>
      </c>
      <c r="I1062" s="4">
        <f>A1062&amp;D1062</f>
      </c>
      <c r="J1062" s="4">
        <v>81000</v>
      </c>
      <c r="K1062" s="4"/>
      <c r="L1062" s="4"/>
      <c r="M1062" s="4"/>
      <c r="N1062" s="4"/>
      <c r="O1062" s="4"/>
      <c r="P1062" s="4"/>
      <c r="Q1062" s="4"/>
      <c r="R1062" s="4"/>
      <c r="S1062" s="4"/>
    </row>
    <row r="1063">
      <c r="A1063" s="4">
        <v>58</v>
      </c>
      <c r="B1063" s="4" t="str">
        <v>730 TL10</v>
      </c>
      <c r="C1063" s="4" t="str">
        <v>DV_Cắt</v>
      </c>
      <c r="D1063" s="4">
        <v>1070</v>
      </c>
      <c r="E1063" s="4" t="str">
        <v>Combo Cắt gội Kid</v>
      </c>
      <c r="F1063" s="21">
        <v>100000</v>
      </c>
      <c r="G1063" s="21">
        <v>100000</v>
      </c>
      <c r="H1063" s="21">
        <v>100000</v>
      </c>
      <c r="I1063" s="4">
        <f>A1063&amp;D1063</f>
      </c>
      <c r="J1063" s="4">
        <v>100000</v>
      </c>
      <c r="K1063" s="4"/>
      <c r="L1063" s="4"/>
      <c r="M1063" s="4"/>
      <c r="N1063" s="4"/>
      <c r="O1063" s="4"/>
      <c r="P1063" s="4"/>
      <c r="Q1063" s="4"/>
      <c r="R1063" s="4"/>
      <c r="S1063" s="4"/>
    </row>
    <row r="1064">
      <c r="A1064" s="4">
        <v>58</v>
      </c>
      <c r="B1064" s="4" t="str">
        <v>730 TL10</v>
      </c>
      <c r="C1064" s="4" t="str">
        <v>DV_Cắt_Vip</v>
      </c>
      <c r="D1064" s="4">
        <v>1046</v>
      </c>
      <c r="E1064" s="4" t="str">
        <v>Shinecombo 2</v>
      </c>
      <c r="F1064" s="21">
        <v>205000</v>
      </c>
      <c r="G1064" s="21">
        <v>205000</v>
      </c>
      <c r="H1064" s="21">
        <v>205000</v>
      </c>
      <c r="I1064" s="4">
        <f>A1064&amp;D1064</f>
      </c>
      <c r="J1064" s="4">
        <v>205000</v>
      </c>
      <c r="K1064" s="4"/>
      <c r="L1064" s="4"/>
      <c r="M1064" s="4"/>
      <c r="N1064" s="4"/>
      <c r="O1064" s="4"/>
      <c r="P1064" s="4"/>
      <c r="Q1064" s="4"/>
      <c r="R1064" s="4"/>
      <c r="S1064" s="4"/>
    </row>
    <row r="1065">
      <c r="A1065" s="4">
        <v>58</v>
      </c>
      <c r="B1065" s="4" t="str">
        <v>730 TL10</v>
      </c>
      <c r="C1065" s="4" t="str">
        <v>DV_Cắt_Vip</v>
      </c>
      <c r="D1065" s="4">
        <v>1047</v>
      </c>
      <c r="E1065" s="4" t="str">
        <v>Cắt Gội Combo 3 - Chăm da</v>
      </c>
      <c r="F1065" s="21">
        <v>305000</v>
      </c>
      <c r="G1065" s="21">
        <v>305000</v>
      </c>
      <c r="H1065" s="21">
        <v>305000</v>
      </c>
      <c r="I1065" s="4">
        <f>A1065&amp;D1065</f>
      </c>
      <c r="J1065" s="4">
        <v>305000</v>
      </c>
      <c r="K1065" s="4"/>
      <c r="L1065" s="4"/>
      <c r="M1065" s="4"/>
      <c r="N1065" s="4"/>
      <c r="O1065" s="4"/>
      <c r="P1065" s="4"/>
      <c r="Q1065" s="4"/>
      <c r="R1065" s="4"/>
      <c r="S1065" s="4"/>
    </row>
    <row r="1066">
      <c r="A1066" s="4">
        <v>58</v>
      </c>
      <c r="B1066" s="4" t="str">
        <v>730 TL10</v>
      </c>
      <c r="C1066" s="4" t="str">
        <v>DV_Cắt_Vip</v>
      </c>
      <c r="D1066" s="4">
        <v>1048</v>
      </c>
      <c r="E1066" s="4" t="str">
        <v>Combo 4</v>
      </c>
      <c r="F1066" s="21">
        <v>395000</v>
      </c>
      <c r="G1066" s="21">
        <v>395000</v>
      </c>
      <c r="H1066" s="21">
        <v>395000</v>
      </c>
      <c r="I1066" s="4">
        <f>A1066&amp;D1066</f>
      </c>
      <c r="J1066" s="4">
        <v>395000</v>
      </c>
      <c r="K1066" s="4"/>
      <c r="L1066" s="4"/>
      <c r="M1066" s="4"/>
      <c r="N1066" s="4"/>
      <c r="O1066" s="4"/>
      <c r="P1066" s="4"/>
      <c r="Q1066" s="4"/>
      <c r="R1066" s="4"/>
      <c r="S1066" s="4"/>
    </row>
    <row r="1067">
      <c r="A1067" s="4">
        <v>58</v>
      </c>
      <c r="B1067" s="4" t="str">
        <v>730 TL10</v>
      </c>
      <c r="C1067" s="4" t="str">
        <v>DV_Cắt_Vip</v>
      </c>
      <c r="D1067" s="4">
        <v>1049</v>
      </c>
      <c r="E1067" s="4" t="str">
        <v>Cắt Gội Combo 5 - Chăm da</v>
      </c>
      <c r="F1067" s="21">
        <v>399000</v>
      </c>
      <c r="G1067" s="21">
        <v>399000</v>
      </c>
      <c r="H1067" s="21">
        <v>399000</v>
      </c>
      <c r="I1067" s="4">
        <f>A1067&amp;D1067</f>
      </c>
      <c r="J1067" s="4">
        <v>399000</v>
      </c>
      <c r="K1067" s="4"/>
      <c r="L1067" s="4"/>
      <c r="M1067" s="4"/>
      <c r="N1067" s="4"/>
      <c r="O1067" s="4"/>
      <c r="P1067" s="4"/>
      <c r="Q1067" s="4"/>
      <c r="R1067" s="4"/>
      <c r="S1067" s="4"/>
    </row>
    <row r="1068">
      <c r="A1068" s="4">
        <v>58</v>
      </c>
      <c r="B1068" s="4" t="str">
        <v>730 TL10</v>
      </c>
      <c r="C1068" s="4" t="str">
        <v>DV_Cắt_Vip</v>
      </c>
      <c r="D1068" s="4">
        <v>1064</v>
      </c>
      <c r="E1068" s="4" t="str">
        <v>Cắt Gội Combo 5 - Dưỡng sinh</v>
      </c>
      <c r="F1068" s="21">
        <v>465000</v>
      </c>
      <c r="G1068" s="21">
        <v>465000</v>
      </c>
      <c r="H1068" s="21">
        <v>465000</v>
      </c>
      <c r="I1068" s="4">
        <f>A1068&amp;D1068</f>
      </c>
      <c r="J1068" s="4">
        <v>465000</v>
      </c>
      <c r="K1068" s="4"/>
      <c r="L1068" s="4"/>
      <c r="M1068" s="4"/>
      <c r="N1068" s="4"/>
      <c r="O1068" s="4"/>
      <c r="P1068" s="4"/>
      <c r="Q1068" s="4"/>
      <c r="R1068" s="4"/>
      <c r="S1068" s="4"/>
    </row>
    <row r="1069">
      <c r="A1069" s="4">
        <v>58</v>
      </c>
      <c r="B1069" s="4" t="str">
        <v>730 TL10</v>
      </c>
      <c r="C1069" s="4" t="str">
        <v>DV_Cắt_Vip</v>
      </c>
      <c r="D1069" s="4">
        <v>1065</v>
      </c>
      <c r="E1069" s="4" t="str">
        <v>Cắt Gội Combo 3 - Dưỡng sinh</v>
      </c>
      <c r="F1069" s="21">
        <v>305000</v>
      </c>
      <c r="G1069" s="21">
        <v>305000</v>
      </c>
      <c r="H1069" s="21">
        <v>305000</v>
      </c>
      <c r="I1069" s="4">
        <f>A1069&amp;D1069</f>
      </c>
      <c r="J1069" s="4">
        <v>305000</v>
      </c>
      <c r="K1069" s="4"/>
      <c r="L1069" s="4"/>
      <c r="M1069" s="4"/>
      <c r="N1069" s="4"/>
      <c r="O1069" s="4"/>
      <c r="P1069" s="4"/>
      <c r="Q1069" s="4"/>
      <c r="R1069" s="4"/>
      <c r="S1069" s="4"/>
    </row>
    <row r="1070">
      <c r="A1070" s="4">
        <v>58</v>
      </c>
      <c r="B1070" s="4" t="str">
        <v>730 TL10</v>
      </c>
      <c r="C1070" s="4" t="str">
        <v>DV_Cắt_Vip</v>
      </c>
      <c r="D1070" s="4">
        <v>1194</v>
      </c>
      <c r="E1070" s="4" t="str">
        <v>Combo Best choice</v>
      </c>
      <c r="F1070" s="21">
        <v>305000</v>
      </c>
      <c r="G1070" s="21">
        <v>305000</v>
      </c>
      <c r="H1070" s="21">
        <v>305000</v>
      </c>
      <c r="I1070" s="4">
        <f>A1070&amp;D1070</f>
      </c>
      <c r="J1070" s="4">
        <v>305000</v>
      </c>
      <c r="K1070" s="4"/>
      <c r="L1070" s="4"/>
      <c r="M1070" s="4"/>
      <c r="N1070" s="4"/>
      <c r="O1070" s="4"/>
      <c r="P1070" s="4"/>
      <c r="Q1070" s="4"/>
      <c r="R1070" s="4"/>
      <c r="S1070" s="4"/>
    </row>
    <row r="1071">
      <c r="A1071" s="4">
        <v>58</v>
      </c>
      <c r="B1071" s="4" t="str">
        <v>730 TL10</v>
      </c>
      <c r="C1071" s="4" t="str">
        <v>DV_Gội</v>
      </c>
      <c r="D1071" s="4">
        <v>867</v>
      </c>
      <c r="E1071" s="4" t="str">
        <v>Gội dưỡng sinh cổ vai gáy</v>
      </c>
      <c r="F1071" s="21">
        <v>99000</v>
      </c>
      <c r="G1071" s="21">
        <v>99000</v>
      </c>
      <c r="H1071" s="21">
        <v>99000</v>
      </c>
      <c r="I1071" s="4">
        <f>A1071&amp;D1071</f>
      </c>
      <c r="J1071" s="4">
        <v>99000</v>
      </c>
      <c r="K1071" s="4"/>
      <c r="L1071" s="4"/>
      <c r="M1071" s="4"/>
      <c r="N1071" s="4"/>
      <c r="O1071" s="4"/>
      <c r="P1071" s="4"/>
      <c r="Q1071" s="4"/>
      <c r="R1071" s="4"/>
      <c r="S1071" s="4"/>
    </row>
    <row r="1072">
      <c r="A1072" s="4">
        <v>58</v>
      </c>
      <c r="B1072" s="4" t="str">
        <v>730 TL10</v>
      </c>
      <c r="C1072" s="4" t="str">
        <v>DV_Gội</v>
      </c>
      <c r="D1072" s="4">
        <v>930</v>
      </c>
      <c r="E1072" s="4" t="str">
        <v>[NEW] Gội dưỡng sinh cổ vai gáy và chăm sóc da</v>
      </c>
      <c r="F1072" s="21">
        <v>139000</v>
      </c>
      <c r="G1072" s="21">
        <v>139000</v>
      </c>
      <c r="H1072" s="21">
        <v>139000</v>
      </c>
      <c r="I1072" s="4">
        <f>A1072&amp;D1072</f>
      </c>
      <c r="J1072" s="4">
        <v>139000</v>
      </c>
      <c r="K1072" s="4"/>
      <c r="L1072" s="4"/>
      <c r="M1072" s="4"/>
      <c r="N1072" s="4"/>
      <c r="O1072" s="4"/>
      <c r="P1072" s="4"/>
      <c r="Q1072" s="4"/>
      <c r="R1072" s="4"/>
      <c r="S1072" s="4"/>
    </row>
    <row r="1073">
      <c r="A1073" s="4">
        <v>58</v>
      </c>
      <c r="B1073" s="4" t="str">
        <v>730 TL10</v>
      </c>
      <c r="C1073" s="4" t="str">
        <v>DV_Gội</v>
      </c>
      <c r="D1073" s="4">
        <v>932</v>
      </c>
      <c r="E1073" s="4" t="str">
        <v>Gội combo 5 dưỡng sinh</v>
      </c>
      <c r="F1073" s="21">
        <v>399000</v>
      </c>
      <c r="G1073" s="21">
        <v>399000</v>
      </c>
      <c r="H1073" s="21">
        <v>399000</v>
      </c>
      <c r="I1073" s="4">
        <f>A1073&amp;D1073</f>
      </c>
      <c r="J1073" s="4">
        <v>399000</v>
      </c>
      <c r="K1073" s="4"/>
      <c r="L1073" s="4"/>
      <c r="M1073" s="4"/>
      <c r="N1073" s="4"/>
      <c r="O1073" s="4"/>
      <c r="P1073" s="4"/>
      <c r="Q1073" s="4"/>
      <c r="R1073" s="4"/>
      <c r="S1073" s="4"/>
    </row>
    <row r="1074">
      <c r="A1074" s="4">
        <v>58</v>
      </c>
      <c r="B1074" s="4" t="str">
        <v>730 TL10</v>
      </c>
      <c r="C1074" s="4" t="str">
        <v>DV_Gội</v>
      </c>
      <c r="D1074" s="4">
        <v>934</v>
      </c>
      <c r="E1074" s="4" t="str">
        <v>Gội combo 3 - Dưỡng sinh</v>
      </c>
      <c r="F1074" s="21">
        <v>229000</v>
      </c>
      <c r="G1074" s="21">
        <v>229000</v>
      </c>
      <c r="H1074" s="21">
        <v>229000</v>
      </c>
      <c r="I1074" s="4">
        <f>A1074&amp;D1074</f>
      </c>
      <c r="J1074" s="4">
        <v>229000</v>
      </c>
      <c r="K1074" s="4"/>
      <c r="L1074" s="4"/>
      <c r="M1074" s="4"/>
      <c r="N1074" s="4"/>
      <c r="O1074" s="4"/>
      <c r="P1074" s="4"/>
      <c r="Q1074" s="4"/>
      <c r="R1074" s="4"/>
      <c r="S1074" s="4"/>
    </row>
    <row r="1075">
      <c r="A1075" s="4">
        <v>58</v>
      </c>
      <c r="B1075" s="4" t="str">
        <v>730 TL10</v>
      </c>
      <c r="C1075" s="4" t="str">
        <v>DV_Gội</v>
      </c>
      <c r="D1075" s="4">
        <v>940</v>
      </c>
      <c r="E1075" s="4" t="str">
        <v>[NEW] Gội dưỡng sinh</v>
      </c>
      <c r="F1075" s="21">
        <v>59000</v>
      </c>
      <c r="G1075" s="21">
        <v>59000</v>
      </c>
      <c r="H1075" s="21">
        <v>59000</v>
      </c>
      <c r="I1075" s="4">
        <f>A1075&amp;D1075</f>
      </c>
      <c r="J1075" s="4">
        <v>59000</v>
      </c>
      <c r="K1075" s="4"/>
      <c r="L1075" s="4"/>
      <c r="M1075" s="4"/>
      <c r="N1075" s="4"/>
      <c r="O1075" s="4"/>
      <c r="P1075" s="4"/>
      <c r="Q1075" s="4"/>
      <c r="R1075" s="4"/>
      <c r="S1075" s="4"/>
    </row>
    <row r="1076">
      <c r="A1076" s="4">
        <v>58</v>
      </c>
      <c r="B1076" s="4" t="str">
        <v>730 TL10</v>
      </c>
      <c r="C1076" s="4" t="str">
        <v>DV_Gội</v>
      </c>
      <c r="D1076" s="4">
        <v>1058</v>
      </c>
      <c r="E1076" s="4" t="str">
        <v>Gội Combo 2</v>
      </c>
      <c r="F1076" s="21">
        <v>159000</v>
      </c>
      <c r="G1076" s="21">
        <v>159000</v>
      </c>
      <c r="H1076" s="21">
        <v>159000</v>
      </c>
      <c r="I1076" s="4">
        <f>A1076&amp;D1076</f>
      </c>
      <c r="J1076" s="4">
        <v>159000</v>
      </c>
      <c r="K1076" s="4"/>
      <c r="L1076" s="4"/>
      <c r="M1076" s="4"/>
      <c r="N1076" s="4"/>
      <c r="O1076" s="4"/>
      <c r="P1076" s="4"/>
      <c r="Q1076" s="4"/>
      <c r="R1076" s="4"/>
      <c r="S1076" s="4"/>
    </row>
    <row r="1077">
      <c r="A1077" s="4">
        <v>58</v>
      </c>
      <c r="B1077" s="4" t="str">
        <v>730 TL10</v>
      </c>
      <c r="C1077" s="4" t="str">
        <v>DV_Gội</v>
      </c>
      <c r="D1077" s="4">
        <v>1059</v>
      </c>
      <c r="E1077" s="4" t="str">
        <v>Gội Combo 3 - Chăm da</v>
      </c>
      <c r="F1077" s="21">
        <v>239000</v>
      </c>
      <c r="G1077" s="21">
        <v>239000</v>
      </c>
      <c r="H1077" s="21">
        <v>239000</v>
      </c>
      <c r="I1077" s="4">
        <f>A1077&amp;D1077</f>
      </c>
      <c r="J1077" s="4">
        <v>239000</v>
      </c>
      <c r="K1077" s="4"/>
      <c r="L1077" s="4"/>
      <c r="M1077" s="4"/>
      <c r="N1077" s="4"/>
      <c r="O1077" s="4"/>
      <c r="P1077" s="4"/>
      <c r="Q1077" s="4"/>
      <c r="R1077" s="4"/>
      <c r="S1077" s="4"/>
    </row>
    <row r="1078">
      <c r="A1078" s="4">
        <v>58</v>
      </c>
      <c r="B1078" s="4" t="str">
        <v>730 TL10</v>
      </c>
      <c r="C1078" s="4" t="str">
        <v>DV_Gội</v>
      </c>
      <c r="D1078" s="4">
        <v>1060</v>
      </c>
      <c r="E1078" s="4" t="str">
        <v>Gội Combo 4</v>
      </c>
      <c r="F1078" s="21">
        <v>289000</v>
      </c>
      <c r="G1078" s="21">
        <v>289000</v>
      </c>
      <c r="H1078" s="21">
        <v>289000</v>
      </c>
      <c r="I1078" s="4">
        <f>A1078&amp;D1078</f>
      </c>
      <c r="J1078" s="4">
        <v>289000</v>
      </c>
      <c r="K1078" s="4"/>
      <c r="L1078" s="4"/>
      <c r="M1078" s="4"/>
      <c r="N1078" s="4"/>
      <c r="O1078" s="4"/>
      <c r="P1078" s="4"/>
      <c r="Q1078" s="4"/>
      <c r="R1078" s="4"/>
      <c r="S1078" s="4"/>
    </row>
    <row r="1079">
      <c r="A1079" s="4">
        <v>58</v>
      </c>
      <c r="B1079" s="4" t="str">
        <v>730 TL10</v>
      </c>
      <c r="C1079" s="4" t="str">
        <v>DV_Gội</v>
      </c>
      <c r="D1079" s="4">
        <v>1061</v>
      </c>
      <c r="E1079" s="4" t="str">
        <v>Gội Combo 5 - Chăm da</v>
      </c>
      <c r="F1079" s="21">
        <v>359000</v>
      </c>
      <c r="G1079" s="21">
        <v>359000</v>
      </c>
      <c r="H1079" s="21">
        <v>359000</v>
      </c>
      <c r="I1079" s="4">
        <f>A1079&amp;D1079</f>
      </c>
      <c r="J1079" s="4">
        <v>359000</v>
      </c>
      <c r="K1079" s="4"/>
      <c r="L1079" s="4"/>
      <c r="M1079" s="4"/>
      <c r="N1079" s="4"/>
      <c r="O1079" s="4"/>
      <c r="P1079" s="4"/>
      <c r="Q1079" s="4"/>
      <c r="R1079" s="4"/>
      <c r="S1079" s="4"/>
    </row>
    <row r="1080">
      <c r="A1080" s="4">
        <v>58</v>
      </c>
      <c r="B1080" s="4" t="str">
        <v>730 TL10</v>
      </c>
      <c r="C1080" s="4" t="str">
        <v>DV_Gội</v>
      </c>
      <c r="D1080" s="4">
        <v>1066</v>
      </c>
      <c r="E1080" s="4" t="str">
        <v>Gội trải nghiệm 75p</v>
      </c>
      <c r="F1080" s="21">
        <v>589000</v>
      </c>
      <c r="G1080" s="21">
        <v>589000</v>
      </c>
      <c r="H1080" s="21">
        <v>589000</v>
      </c>
      <c r="I1080" s="4">
        <f>A1080&amp;D1080</f>
      </c>
      <c r="J1080" s="4">
        <v>589000</v>
      </c>
      <c r="K1080" s="4"/>
      <c r="L1080" s="4"/>
      <c r="M1080" s="4"/>
      <c r="N1080" s="4"/>
      <c r="O1080" s="4"/>
      <c r="P1080" s="4"/>
      <c r="Q1080" s="4"/>
      <c r="R1080" s="4"/>
      <c r="S1080" s="4"/>
    </row>
    <row r="1081">
      <c r="A1081" s="4">
        <v>58</v>
      </c>
      <c r="B1081" s="4" t="str">
        <v>730 TL10</v>
      </c>
      <c r="C1081" s="4" t="str">
        <v>DV_Gội</v>
      </c>
      <c r="D1081" s="4">
        <v>1067</v>
      </c>
      <c r="E1081" s="4" t="str">
        <v>Gội trải nghiệm 90p</v>
      </c>
      <c r="F1081" s="21">
        <v>789000</v>
      </c>
      <c r="G1081" s="21">
        <v>789000</v>
      </c>
      <c r="H1081" s="21">
        <v>789000</v>
      </c>
      <c r="I1081" s="4">
        <f>A1081&amp;D1081</f>
      </c>
      <c r="J1081" s="4">
        <v>789000</v>
      </c>
      <c r="K1081" s="4"/>
      <c r="L1081" s="4"/>
      <c r="M1081" s="4"/>
      <c r="N1081" s="4"/>
      <c r="O1081" s="4"/>
      <c r="P1081" s="4"/>
      <c r="Q1081" s="4"/>
      <c r="R1081" s="4"/>
      <c r="S1081" s="4"/>
    </row>
    <row r="1082">
      <c r="A1082" s="4">
        <v>58</v>
      </c>
      <c r="B1082" s="4" t="str">
        <v>730 TL10</v>
      </c>
      <c r="C1082" s="4" t="str">
        <v>DV_Gội</v>
      </c>
      <c r="D1082" s="4">
        <v>1068</v>
      </c>
      <c r="E1082" s="4" t="str">
        <v>Gội trải nghiệm 115p</v>
      </c>
      <c r="F1082" s="21">
        <v>999000</v>
      </c>
      <c r="G1082" s="21">
        <v>999000</v>
      </c>
      <c r="H1082" s="21">
        <v>999000</v>
      </c>
      <c r="I1082" s="4">
        <f>A1082&amp;D1082</f>
      </c>
      <c r="J1082" s="4">
        <v>999000</v>
      </c>
      <c r="K1082" s="4"/>
      <c r="L1082" s="4"/>
      <c r="M1082" s="4"/>
      <c r="N1082" s="4"/>
      <c r="O1082" s="4"/>
      <c r="P1082" s="4"/>
      <c r="Q1082" s="4"/>
      <c r="R1082" s="4"/>
      <c r="S1082" s="4"/>
    </row>
    <row r="1083">
      <c r="A1083" s="4">
        <v>106</v>
      </c>
      <c r="B1083" s="4" t="str">
        <v>76 PVH</v>
      </c>
      <c r="C1083" s="4" t="str">
        <v>DV_Cắt</v>
      </c>
      <c r="D1083" s="4">
        <v>513</v>
      </c>
      <c r="E1083" s="4" t="str">
        <v>[DV] ShineCombo 10 bước Ultra Care 2023</v>
      </c>
      <c r="F1083" s="21">
        <v>122000</v>
      </c>
      <c r="G1083" s="21">
        <v>122000</v>
      </c>
      <c r="H1083" s="21">
        <v>122000</v>
      </c>
      <c r="I1083" s="4">
        <f>A1083&amp;D1083</f>
      </c>
      <c r="J1083" s="4">
        <v>122000</v>
      </c>
      <c r="K1083" s="4"/>
      <c r="L1083" s="4"/>
      <c r="M1083" s="4"/>
      <c r="N1083" s="4"/>
      <c r="O1083" s="4"/>
      <c r="P1083" s="4"/>
      <c r="Q1083" s="4"/>
      <c r="R1083" s="4"/>
      <c r="S1083" s="4"/>
    </row>
    <row r="1084">
      <c r="A1084" s="4">
        <v>106</v>
      </c>
      <c r="B1084" s="4" t="str">
        <v>76 PVH</v>
      </c>
      <c r="C1084" s="4" t="str">
        <v>DV_Cắt</v>
      </c>
      <c r="D1084" s="4">
        <v>891</v>
      </c>
      <c r="E1084" s="4" t="str">
        <v>Cắt xả tạo kiểu</v>
      </c>
      <c r="F1084" s="21">
        <v>94000</v>
      </c>
      <c r="G1084" s="21">
        <v>100000</v>
      </c>
      <c r="H1084" s="21">
        <v>100000</v>
      </c>
      <c r="I1084" s="4">
        <f>A1084&amp;D1084</f>
      </c>
      <c r="J1084" s="4">
        <v>100000</v>
      </c>
      <c r="K1084" s="4"/>
      <c r="L1084" s="4"/>
      <c r="M1084" s="4"/>
      <c r="N1084" s="4"/>
      <c r="O1084" s="4"/>
      <c r="P1084" s="4"/>
      <c r="Q1084" s="4"/>
      <c r="R1084" s="4"/>
      <c r="S1084" s="4"/>
    </row>
    <row r="1085">
      <c r="A1085" s="4">
        <v>106</v>
      </c>
      <c r="B1085" s="4" t="str">
        <v>76 PVH</v>
      </c>
      <c r="C1085" s="4" t="str">
        <v>DV_Cắt</v>
      </c>
      <c r="D1085" s="4">
        <v>1002</v>
      </c>
      <c r="E1085" s="4" t="str">
        <v>Kid Cắt</v>
      </c>
      <c r="F1085" s="21">
        <v>75000</v>
      </c>
      <c r="G1085" s="21">
        <v>80000</v>
      </c>
      <c r="H1085" s="21">
        <v>80000</v>
      </c>
      <c r="I1085" s="4">
        <f>A1085&amp;D1085</f>
      </c>
      <c r="J1085" s="4">
        <v>80000</v>
      </c>
      <c r="K1085" s="4"/>
      <c r="L1085" s="4"/>
      <c r="M1085" s="4"/>
      <c r="N1085" s="4"/>
      <c r="O1085" s="4"/>
      <c r="P1085" s="4"/>
      <c r="Q1085" s="4"/>
      <c r="R1085" s="4"/>
      <c r="S1085" s="4"/>
    </row>
    <row r="1086">
      <c r="A1086" s="4">
        <v>106</v>
      </c>
      <c r="B1086" s="4" t="str">
        <v>76 PVH</v>
      </c>
      <c r="C1086" s="4" t="str">
        <v>DV_Cắt</v>
      </c>
      <c r="D1086" s="4">
        <v>1070</v>
      </c>
      <c r="E1086" s="4" t="str">
        <v>Combo Cắt gội Kid</v>
      </c>
      <c r="F1086" s="21">
        <v>100000</v>
      </c>
      <c r="G1086" s="21">
        <v>106000</v>
      </c>
      <c r="H1086" s="21">
        <v>106000</v>
      </c>
      <c r="I1086" s="4">
        <f>A1086&amp;D1086</f>
      </c>
      <c r="J1086" s="4">
        <v>106000</v>
      </c>
      <c r="K1086" s="4"/>
      <c r="L1086" s="4"/>
      <c r="M1086" s="4"/>
      <c r="N1086" s="4"/>
      <c r="O1086" s="4"/>
      <c r="P1086" s="4"/>
      <c r="Q1086" s="4"/>
      <c r="R1086" s="4"/>
      <c r="S1086" s="4"/>
    </row>
    <row r="1087">
      <c r="A1087" s="4">
        <v>106</v>
      </c>
      <c r="B1087" s="4" t="str">
        <v>76 PVH</v>
      </c>
      <c r="C1087" s="4" t="str">
        <v>DV_Cắt_Vip</v>
      </c>
      <c r="D1087" s="4">
        <v>1046</v>
      </c>
      <c r="E1087" s="4" t="str">
        <v>Shinecombo 2</v>
      </c>
      <c r="F1087" s="21">
        <v>199000</v>
      </c>
      <c r="G1087" s="21">
        <v>212000</v>
      </c>
      <c r="H1087" s="21">
        <v>212000</v>
      </c>
      <c r="I1087" s="4">
        <f>A1087&amp;D1087</f>
      </c>
      <c r="J1087" s="4">
        <v>212000</v>
      </c>
      <c r="K1087" s="4"/>
      <c r="L1087" s="4"/>
      <c r="M1087" s="4"/>
      <c r="N1087" s="4"/>
      <c r="O1087" s="4"/>
      <c r="P1087" s="4"/>
      <c r="Q1087" s="4"/>
      <c r="R1087" s="4"/>
      <c r="S1087" s="4"/>
    </row>
    <row r="1088">
      <c r="A1088" s="4">
        <v>106</v>
      </c>
      <c r="B1088" s="4" t="str">
        <v>76 PVH</v>
      </c>
      <c r="C1088" s="4" t="str">
        <v>DV_Cắt_Vip</v>
      </c>
      <c r="D1088" s="4">
        <v>1047</v>
      </c>
      <c r="E1088" s="4" t="str">
        <v>Cắt Gội Combo 3 - Chăm da</v>
      </c>
      <c r="F1088" s="21">
        <v>299000</v>
      </c>
      <c r="G1088" s="21">
        <v>318000</v>
      </c>
      <c r="H1088" s="21">
        <v>307000</v>
      </c>
      <c r="I1088" s="4">
        <f>A1088&amp;D1088</f>
      </c>
      <c r="J1088" s="4">
        <f>VLOOKUP(I1088,#REF!,2,0)</f>
      </c>
      <c r="K1088" s="4"/>
      <c r="L1088" s="4"/>
      <c r="M1088" s="4"/>
      <c r="N1088" s="4"/>
      <c r="O1088" s="4"/>
      <c r="P1088" s="4"/>
      <c r="Q1088" s="4"/>
      <c r="R1088" s="4"/>
      <c r="S1088" s="4"/>
    </row>
    <row r="1089">
      <c r="A1089" s="4">
        <v>106</v>
      </c>
      <c r="B1089" s="4" t="str">
        <v>76 PVH</v>
      </c>
      <c r="C1089" s="4" t="str">
        <v>DV_Cắt_Vip</v>
      </c>
      <c r="D1089" s="4">
        <v>1048</v>
      </c>
      <c r="E1089" s="4" t="str">
        <v>Combo 4</v>
      </c>
      <c r="F1089" s="21">
        <v>389000</v>
      </c>
      <c r="G1089" s="21">
        <v>414000</v>
      </c>
      <c r="H1089" s="21">
        <v>397000</v>
      </c>
      <c r="I1089" s="4">
        <f>A1089&amp;D1089</f>
      </c>
      <c r="J1089" s="4">
        <f>VLOOKUP(I1089,#REF!,2,0)</f>
      </c>
      <c r="K1089" s="4"/>
      <c r="L1089" s="4"/>
      <c r="M1089" s="4"/>
      <c r="N1089" s="4"/>
      <c r="O1089" s="4"/>
      <c r="P1089" s="4"/>
      <c r="Q1089" s="4"/>
      <c r="R1089" s="4"/>
      <c r="S1089" s="4"/>
    </row>
    <row r="1090">
      <c r="A1090" s="4">
        <v>106</v>
      </c>
      <c r="B1090" s="4" t="str">
        <v>76 PVH</v>
      </c>
      <c r="C1090" s="4" t="str">
        <v>DV_Cắt_Vip</v>
      </c>
      <c r="D1090" s="4">
        <v>1064</v>
      </c>
      <c r="E1090" s="4" t="str">
        <v>Cắt Gội Combo 5 - Dưỡng sinh</v>
      </c>
      <c r="F1090" s="21">
        <v>459000</v>
      </c>
      <c r="G1090" s="21">
        <v>488000</v>
      </c>
      <c r="H1090" s="21">
        <v>488000</v>
      </c>
      <c r="I1090" s="4">
        <f>A1090&amp;D1090</f>
      </c>
      <c r="J1090" s="4">
        <v>488000</v>
      </c>
      <c r="K1090" s="4"/>
      <c r="L1090" s="4"/>
      <c r="M1090" s="4"/>
      <c r="N1090" s="4"/>
      <c r="O1090" s="4"/>
      <c r="P1090" s="4"/>
      <c r="Q1090" s="4"/>
      <c r="R1090" s="4"/>
      <c r="S1090" s="4"/>
    </row>
    <row r="1091">
      <c r="A1091" s="4">
        <v>106</v>
      </c>
      <c r="B1091" s="4" t="str">
        <v>76 PVH</v>
      </c>
      <c r="C1091" s="4" t="str">
        <v>DV_Cắt_Vip</v>
      </c>
      <c r="D1091" s="4">
        <v>1065</v>
      </c>
      <c r="E1091" s="4" t="str">
        <v>Cắt Gội Combo 3 - Dưỡng sinh</v>
      </c>
      <c r="F1091" s="21">
        <v>299000</v>
      </c>
      <c r="G1091" s="21">
        <v>318000</v>
      </c>
      <c r="H1091" s="21">
        <v>304000</v>
      </c>
      <c r="I1091" s="4">
        <f>A1091&amp;D1091</f>
      </c>
      <c r="J1091" s="4">
        <f>VLOOKUP(I1091,#REF!,2,0)</f>
      </c>
      <c r="K1091" s="4"/>
      <c r="L1091" s="4"/>
      <c r="M1091" s="4"/>
      <c r="N1091" s="4"/>
      <c r="O1091" s="4"/>
      <c r="P1091" s="4"/>
      <c r="Q1091" s="4"/>
      <c r="R1091" s="4"/>
      <c r="S1091" s="4"/>
    </row>
    <row r="1092">
      <c r="A1092" s="4">
        <v>106</v>
      </c>
      <c r="B1092" s="4" t="str">
        <v>76 PVH</v>
      </c>
      <c r="C1092" s="4" t="str">
        <v>DV_Cắt_Vip</v>
      </c>
      <c r="D1092" s="4">
        <v>1194</v>
      </c>
      <c r="E1092" s="4" t="str">
        <v>Combo Best choice</v>
      </c>
      <c r="F1092" s="21">
        <v>299000</v>
      </c>
      <c r="G1092" s="21">
        <v>318000</v>
      </c>
      <c r="H1092" s="21">
        <v>318000</v>
      </c>
      <c r="I1092" s="4">
        <f>A1092&amp;D1092</f>
      </c>
      <c r="J1092" s="4">
        <v>318000</v>
      </c>
      <c r="K1092" s="4"/>
      <c r="L1092" s="4"/>
      <c r="M1092" s="4"/>
      <c r="N1092" s="4"/>
      <c r="O1092" s="4"/>
      <c r="P1092" s="4"/>
      <c r="Q1092" s="4"/>
      <c r="R1092" s="4"/>
      <c r="S1092" s="4"/>
    </row>
    <row r="1093">
      <c r="A1093" s="4">
        <v>106</v>
      </c>
      <c r="B1093" s="4" t="str">
        <v>76 PVH</v>
      </c>
      <c r="C1093" s="4" t="str">
        <v>DV_Gội</v>
      </c>
      <c r="D1093" s="4">
        <v>867</v>
      </c>
      <c r="E1093" s="4" t="str">
        <v>Gội dưỡng sinh cổ vai gáy</v>
      </c>
      <c r="F1093" s="21">
        <v>99000</v>
      </c>
      <c r="G1093" s="21">
        <v>105000</v>
      </c>
      <c r="H1093" s="21">
        <v>105000</v>
      </c>
      <c r="I1093" s="4">
        <f>A1093&amp;D1093</f>
      </c>
      <c r="J1093" s="4">
        <v>105000</v>
      </c>
      <c r="K1093" s="4"/>
      <c r="L1093" s="4"/>
      <c r="M1093" s="4"/>
      <c r="N1093" s="4"/>
      <c r="O1093" s="4"/>
      <c r="P1093" s="4"/>
      <c r="Q1093" s="4"/>
      <c r="R1093" s="4"/>
      <c r="S1093" s="4"/>
    </row>
    <row r="1094">
      <c r="A1094" s="4">
        <v>106</v>
      </c>
      <c r="B1094" s="4" t="str">
        <v>76 PVH</v>
      </c>
      <c r="C1094" s="4" t="str">
        <v>DV_Gội</v>
      </c>
      <c r="D1094" s="4">
        <v>930</v>
      </c>
      <c r="E1094" s="4" t="str">
        <v>[NEW] Gội dưỡng sinh cổ vai gáy và chăm sóc da</v>
      </c>
      <c r="F1094" s="21">
        <v>139000</v>
      </c>
      <c r="G1094" s="21">
        <v>148000</v>
      </c>
      <c r="H1094" s="21">
        <v>148000</v>
      </c>
      <c r="I1094" s="4">
        <f>A1094&amp;D1094</f>
      </c>
      <c r="J1094" s="4">
        <v>148000</v>
      </c>
      <c r="K1094" s="4"/>
      <c r="L1094" s="4"/>
      <c r="M1094" s="4"/>
      <c r="N1094" s="4"/>
      <c r="O1094" s="4"/>
      <c r="P1094" s="4"/>
      <c r="Q1094" s="4"/>
      <c r="R1094" s="4"/>
      <c r="S1094" s="4"/>
    </row>
    <row r="1095">
      <c r="A1095" s="4">
        <v>106</v>
      </c>
      <c r="B1095" s="4" t="str">
        <v>76 PVH</v>
      </c>
      <c r="C1095" s="4" t="str">
        <v>DV_Gội</v>
      </c>
      <c r="D1095" s="4">
        <v>934</v>
      </c>
      <c r="E1095" s="4" t="str">
        <v>Gội combo 3 - Dưỡng sinh</v>
      </c>
      <c r="F1095" s="21">
        <v>229000</v>
      </c>
      <c r="G1095" s="21">
        <v>244000</v>
      </c>
      <c r="H1095" s="21">
        <v>234000</v>
      </c>
      <c r="I1095" s="4">
        <f>A1095&amp;D1095</f>
      </c>
      <c r="J1095" s="4">
        <f>VLOOKUP(I1095,#REF!,2,0)</f>
      </c>
      <c r="K1095" s="4"/>
      <c r="L1095" s="4"/>
      <c r="M1095" s="4"/>
      <c r="N1095" s="4"/>
      <c r="O1095" s="4"/>
      <c r="P1095" s="4"/>
      <c r="Q1095" s="4"/>
      <c r="R1095" s="4"/>
      <c r="S1095" s="4"/>
    </row>
    <row r="1096">
      <c r="A1096" s="4">
        <v>106</v>
      </c>
      <c r="B1096" s="4" t="str">
        <v>76 PVH</v>
      </c>
      <c r="C1096" s="4" t="str">
        <v>DV_Gội</v>
      </c>
      <c r="D1096" s="4">
        <v>940</v>
      </c>
      <c r="E1096" s="4" t="str">
        <v>[NEW] Gội dưỡng sinh</v>
      </c>
      <c r="F1096" s="21">
        <v>59000</v>
      </c>
      <c r="G1096" s="21">
        <v>63000</v>
      </c>
      <c r="H1096" s="21">
        <v>63000</v>
      </c>
      <c r="I1096" s="4">
        <f>A1096&amp;D1096</f>
      </c>
      <c r="J1096" s="4">
        <v>63000</v>
      </c>
      <c r="K1096" s="4"/>
      <c r="L1096" s="4"/>
      <c r="M1096" s="4"/>
      <c r="N1096" s="4"/>
      <c r="O1096" s="4"/>
      <c r="P1096" s="4"/>
      <c r="Q1096" s="4"/>
      <c r="R1096" s="4"/>
      <c r="S1096" s="4"/>
    </row>
    <row r="1097">
      <c r="A1097" s="4">
        <v>106</v>
      </c>
      <c r="B1097" s="4" t="str">
        <v>76 PVH</v>
      </c>
      <c r="C1097" s="4" t="str">
        <v>DV_Gội</v>
      </c>
      <c r="D1097" s="4">
        <v>1058</v>
      </c>
      <c r="E1097" s="4" t="str">
        <v>Gội Combo 2</v>
      </c>
      <c r="F1097" s="21">
        <v>159000</v>
      </c>
      <c r="G1097" s="21">
        <v>169000</v>
      </c>
      <c r="H1097" s="21">
        <v>169000</v>
      </c>
      <c r="I1097" s="4">
        <f>A1097&amp;D1097</f>
      </c>
      <c r="J1097" s="4">
        <v>169000</v>
      </c>
      <c r="K1097" s="4"/>
      <c r="L1097" s="4"/>
      <c r="M1097" s="4"/>
      <c r="N1097" s="4"/>
      <c r="O1097" s="4"/>
      <c r="P1097" s="4"/>
      <c r="Q1097" s="4"/>
      <c r="R1097" s="4"/>
      <c r="S1097" s="4"/>
    </row>
    <row r="1098">
      <c r="A1098" s="4">
        <v>106</v>
      </c>
      <c r="B1098" s="4" t="str">
        <v>76 PVH</v>
      </c>
      <c r="C1098" s="4" t="str">
        <v>DV_Gội</v>
      </c>
      <c r="D1098" s="4">
        <v>1059</v>
      </c>
      <c r="E1098" s="4" t="str">
        <v>Gội Combo 3 - Chăm da</v>
      </c>
      <c r="F1098" s="21">
        <v>239000</v>
      </c>
      <c r="G1098" s="21">
        <v>254000</v>
      </c>
      <c r="H1098" s="21">
        <v>244000</v>
      </c>
      <c r="I1098" s="4">
        <f>A1098&amp;D1098</f>
      </c>
      <c r="J1098" s="4">
        <f>VLOOKUP(I1098,#REF!,2,0)</f>
      </c>
      <c r="K1098" s="4"/>
      <c r="L1098" s="4"/>
      <c r="M1098" s="4"/>
      <c r="N1098" s="4"/>
      <c r="O1098" s="4"/>
      <c r="P1098" s="4"/>
      <c r="Q1098" s="4"/>
      <c r="R1098" s="4"/>
      <c r="S1098" s="4"/>
    </row>
    <row r="1099">
      <c r="A1099" s="4">
        <v>106</v>
      </c>
      <c r="B1099" s="4" t="str">
        <v>76 PVH</v>
      </c>
      <c r="C1099" s="4" t="str">
        <v>DV_Gội</v>
      </c>
      <c r="D1099" s="4">
        <v>1060</v>
      </c>
      <c r="E1099" s="4" t="str">
        <v>Gội Combo 4</v>
      </c>
      <c r="F1099" s="21">
        <v>289000</v>
      </c>
      <c r="G1099" s="21">
        <v>309000</v>
      </c>
      <c r="H1099" s="21">
        <v>297000</v>
      </c>
      <c r="I1099" s="4">
        <f>A1099&amp;D1099</f>
      </c>
      <c r="J1099" s="4">
        <f>VLOOKUP(I1099,#REF!,2,0)</f>
      </c>
      <c r="K1099" s="4"/>
      <c r="L1099" s="4"/>
      <c r="M1099" s="4"/>
      <c r="N1099" s="4"/>
      <c r="O1099" s="4"/>
      <c r="P1099" s="4"/>
      <c r="Q1099" s="4"/>
      <c r="R1099" s="4"/>
      <c r="S1099" s="4"/>
    </row>
    <row r="1100">
      <c r="A1100" s="4">
        <v>106</v>
      </c>
      <c r="B1100" s="4" t="str">
        <v>76 PVH</v>
      </c>
      <c r="C1100" s="4" t="str">
        <v>DV_Gội</v>
      </c>
      <c r="D1100" s="4">
        <v>1061</v>
      </c>
      <c r="E1100" s="4" t="str">
        <v>Gội Combo 5 - Chăm da</v>
      </c>
      <c r="F1100" s="21">
        <v>359000</v>
      </c>
      <c r="G1100" s="21">
        <v>382000</v>
      </c>
      <c r="H1100" s="21">
        <v>382000</v>
      </c>
      <c r="I1100" s="4">
        <f>A1100&amp;D1100</f>
      </c>
      <c r="J1100" s="4">
        <v>382000</v>
      </c>
      <c r="K1100" s="4"/>
      <c r="L1100" s="4"/>
      <c r="M1100" s="4"/>
      <c r="N1100" s="4"/>
      <c r="O1100" s="4"/>
      <c r="P1100" s="4"/>
      <c r="Q1100" s="4"/>
      <c r="R1100" s="4"/>
      <c r="S1100" s="4"/>
    </row>
    <row r="1101">
      <c r="A1101" s="4">
        <v>106</v>
      </c>
      <c r="B1101" s="4" t="str">
        <v>76 PVH</v>
      </c>
      <c r="C1101" s="4" t="str">
        <v>DV_Gội</v>
      </c>
      <c r="D1101" s="4">
        <v>1066</v>
      </c>
      <c r="E1101" s="4" t="str">
        <v>Gội trải nghiệm 75p</v>
      </c>
      <c r="F1101" s="21">
        <v>589000</v>
      </c>
      <c r="G1101" s="21">
        <v>627000</v>
      </c>
      <c r="H1101" s="21">
        <v>599000</v>
      </c>
      <c r="I1101" s="4">
        <f>A1101&amp;D1101</f>
      </c>
      <c r="J1101" s="4">
        <f>VLOOKUP(I1101,#REF!,2,0)</f>
      </c>
      <c r="K1101" s="4"/>
      <c r="L1101" s="4"/>
      <c r="M1101" s="4"/>
      <c r="N1101" s="4"/>
      <c r="O1101" s="4"/>
      <c r="P1101" s="4"/>
      <c r="Q1101" s="4"/>
      <c r="R1101" s="4"/>
      <c r="S1101" s="4"/>
    </row>
    <row r="1102">
      <c r="A1102" s="4">
        <v>106</v>
      </c>
      <c r="B1102" s="4" t="str">
        <v>76 PVH</v>
      </c>
      <c r="C1102" s="4" t="str">
        <v>DV_Gội</v>
      </c>
      <c r="D1102" s="4">
        <v>1067</v>
      </c>
      <c r="E1102" s="4" t="str">
        <v>Gội trải nghiệm 90p</v>
      </c>
      <c r="F1102" s="21">
        <v>789000</v>
      </c>
      <c r="G1102" s="21">
        <v>839000</v>
      </c>
      <c r="H1102" s="21">
        <v>839000</v>
      </c>
      <c r="I1102" s="4">
        <f>A1102&amp;D1102</f>
      </c>
      <c r="J1102" s="4">
        <v>839000</v>
      </c>
      <c r="K1102" s="4"/>
      <c r="L1102" s="4"/>
      <c r="M1102" s="4"/>
      <c r="N1102" s="4"/>
      <c r="O1102" s="4"/>
      <c r="P1102" s="4"/>
      <c r="Q1102" s="4"/>
      <c r="R1102" s="4"/>
      <c r="S1102" s="4"/>
    </row>
    <row r="1103">
      <c r="A1103" s="4">
        <v>106</v>
      </c>
      <c r="B1103" s="4" t="str">
        <v>76 PVH</v>
      </c>
      <c r="C1103" s="4" t="str">
        <v>DV_Gội</v>
      </c>
      <c r="D1103" s="4">
        <v>1068</v>
      </c>
      <c r="E1103" s="4" t="str">
        <v>Gội trải nghiệm 115p</v>
      </c>
      <c r="F1103" s="21">
        <v>999000</v>
      </c>
      <c r="G1103" s="21">
        <v>1063000</v>
      </c>
      <c r="H1103" s="21">
        <v>1063000</v>
      </c>
      <c r="I1103" s="4">
        <f>A1103&amp;D1103</f>
      </c>
      <c r="J1103" s="4">
        <v>1063000</v>
      </c>
      <c r="K1103" s="4"/>
      <c r="L1103" s="4"/>
      <c r="M1103" s="4"/>
      <c r="N1103" s="4"/>
      <c r="O1103" s="4"/>
      <c r="P1103" s="4"/>
      <c r="Q1103" s="4"/>
      <c r="R1103" s="4"/>
      <c r="S1103" s="4"/>
    </row>
    <row r="1104">
      <c r="A1104" s="4">
        <v>11</v>
      </c>
      <c r="B1104" s="4" t="str">
        <v>8 CVL</v>
      </c>
      <c r="C1104" s="4" t="str">
        <v>DV_Cắt</v>
      </c>
      <c r="D1104" s="4">
        <v>513</v>
      </c>
      <c r="E1104" s="4" t="str">
        <v>[DV] ShineCombo 10 bước Ultra Care 2023</v>
      </c>
      <c r="F1104" s="21">
        <v>122000</v>
      </c>
      <c r="G1104" s="21">
        <v>122000</v>
      </c>
      <c r="H1104" s="21">
        <v>122000</v>
      </c>
      <c r="I1104" s="4">
        <f>A1104&amp;D1104</f>
      </c>
      <c r="J1104" s="4">
        <v>122000</v>
      </c>
      <c r="K1104" s="4"/>
      <c r="L1104" s="4"/>
      <c r="M1104" s="4"/>
      <c r="N1104" s="4"/>
      <c r="O1104" s="4"/>
      <c r="P1104" s="4"/>
      <c r="Q1104" s="4"/>
      <c r="R1104" s="4"/>
      <c r="S1104" s="4"/>
    </row>
    <row r="1105">
      <c r="A1105" s="4">
        <v>11</v>
      </c>
      <c r="B1105" s="4" t="str">
        <v>8 CVL</v>
      </c>
      <c r="C1105" s="4" t="str">
        <v>DV_Cắt</v>
      </c>
      <c r="D1105" s="4">
        <v>891</v>
      </c>
      <c r="E1105" s="4" t="str">
        <v>Cắt xả tạo kiểu</v>
      </c>
      <c r="F1105" s="21">
        <v>100000</v>
      </c>
      <c r="G1105" s="21">
        <v>100000</v>
      </c>
      <c r="H1105" s="21">
        <v>100000</v>
      </c>
      <c r="I1105" s="4">
        <f>A1105&amp;D1105</f>
      </c>
      <c r="J1105" s="4">
        <v>100000</v>
      </c>
      <c r="K1105" s="4"/>
      <c r="L1105" s="4"/>
      <c r="M1105" s="4"/>
      <c r="N1105" s="4"/>
      <c r="O1105" s="4"/>
      <c r="P1105" s="4"/>
      <c r="Q1105" s="4"/>
      <c r="R1105" s="4"/>
      <c r="S1105" s="4"/>
    </row>
    <row r="1106">
      <c r="A1106" s="4">
        <v>11</v>
      </c>
      <c r="B1106" s="4" t="str">
        <v>8 CVL</v>
      </c>
      <c r="C1106" s="4" t="str">
        <v>DV_Cắt</v>
      </c>
      <c r="D1106" s="4">
        <v>1002</v>
      </c>
      <c r="E1106" s="4" t="str">
        <v>Kid Cắt</v>
      </c>
      <c r="F1106" s="21">
        <v>81000</v>
      </c>
      <c r="G1106" s="21">
        <v>81000</v>
      </c>
      <c r="H1106" s="21">
        <v>81000</v>
      </c>
      <c r="I1106" s="4">
        <f>A1106&amp;D1106</f>
      </c>
      <c r="J1106" s="4">
        <v>81000</v>
      </c>
      <c r="K1106" s="4"/>
      <c r="L1106" s="4"/>
      <c r="M1106" s="4"/>
      <c r="N1106" s="4"/>
      <c r="O1106" s="4"/>
      <c r="P1106" s="4"/>
      <c r="Q1106" s="4"/>
      <c r="R1106" s="4"/>
      <c r="S1106" s="4"/>
    </row>
    <row r="1107">
      <c r="A1107" s="4">
        <v>11</v>
      </c>
      <c r="B1107" s="4" t="str">
        <v>8 CVL</v>
      </c>
      <c r="C1107" s="4" t="str">
        <v>DV_Cắt</v>
      </c>
      <c r="D1107" s="4">
        <v>1070</v>
      </c>
      <c r="E1107" s="4" t="str">
        <v>Combo Cắt gội Kid</v>
      </c>
      <c r="F1107" s="21">
        <v>100000</v>
      </c>
      <c r="G1107" s="21">
        <v>100000</v>
      </c>
      <c r="H1107" s="21">
        <v>100000</v>
      </c>
      <c r="I1107" s="4">
        <f>A1107&amp;D1107</f>
      </c>
      <c r="J1107" s="4">
        <v>100000</v>
      </c>
      <c r="K1107" s="4"/>
      <c r="L1107" s="4"/>
      <c r="M1107" s="4"/>
      <c r="N1107" s="4"/>
      <c r="O1107" s="4"/>
      <c r="P1107" s="4"/>
      <c r="Q1107" s="4"/>
      <c r="R1107" s="4"/>
      <c r="S1107" s="4"/>
    </row>
    <row r="1108">
      <c r="A1108" s="4">
        <v>11</v>
      </c>
      <c r="B1108" s="4" t="str">
        <v>8 CVL</v>
      </c>
      <c r="C1108" s="4" t="str">
        <v>DV_Cắt_Vip</v>
      </c>
      <c r="D1108" s="4">
        <v>1046</v>
      </c>
      <c r="E1108" s="4" t="str">
        <v>Shinecombo 2</v>
      </c>
      <c r="F1108" s="21">
        <v>205000</v>
      </c>
      <c r="G1108" s="21">
        <v>205000</v>
      </c>
      <c r="H1108" s="21">
        <v>205000</v>
      </c>
      <c r="I1108" s="4">
        <f>A1108&amp;D1108</f>
      </c>
      <c r="J1108" s="4">
        <v>205000</v>
      </c>
      <c r="K1108" s="4"/>
      <c r="L1108" s="4"/>
      <c r="M1108" s="4"/>
      <c r="N1108" s="4"/>
      <c r="O1108" s="4"/>
      <c r="P1108" s="4"/>
      <c r="Q1108" s="4"/>
      <c r="R1108" s="4"/>
      <c r="S1108" s="4"/>
    </row>
    <row r="1109">
      <c r="A1109" s="4">
        <v>11</v>
      </c>
      <c r="B1109" s="4" t="str">
        <v>8 CVL</v>
      </c>
      <c r="C1109" s="4" t="str">
        <v>DV_Cắt_Vip</v>
      </c>
      <c r="D1109" s="4">
        <v>1047</v>
      </c>
      <c r="E1109" s="4" t="str">
        <v>Cắt Gội Combo 3 - Chăm da</v>
      </c>
      <c r="F1109" s="21">
        <v>293000</v>
      </c>
      <c r="G1109" s="21">
        <v>293000</v>
      </c>
      <c r="H1109" s="21">
        <v>293000</v>
      </c>
      <c r="I1109" s="4">
        <f>A1109&amp;D1109</f>
      </c>
      <c r="J1109" s="4">
        <v>293000</v>
      </c>
      <c r="K1109" s="4"/>
      <c r="L1109" s="4"/>
      <c r="M1109" s="4"/>
      <c r="N1109" s="4"/>
      <c r="O1109" s="4"/>
      <c r="P1109" s="4"/>
      <c r="Q1109" s="4"/>
      <c r="R1109" s="4"/>
      <c r="S1109" s="4"/>
    </row>
    <row r="1110">
      <c r="A1110" s="4">
        <v>11</v>
      </c>
      <c r="B1110" s="4" t="str">
        <v>8 CVL</v>
      </c>
      <c r="C1110" s="4" t="str">
        <v>DV_Cắt_Vip</v>
      </c>
      <c r="D1110" s="4">
        <v>1048</v>
      </c>
      <c r="E1110" s="4" t="str">
        <v>Combo 4</v>
      </c>
      <c r="F1110" s="21">
        <v>395000</v>
      </c>
      <c r="G1110" s="21">
        <v>395000</v>
      </c>
      <c r="H1110" s="21">
        <v>395000</v>
      </c>
      <c r="I1110" s="4">
        <f>A1110&amp;D1110</f>
      </c>
      <c r="J1110" s="4">
        <v>395000</v>
      </c>
      <c r="K1110" s="4"/>
      <c r="L1110" s="4"/>
      <c r="M1110" s="4"/>
      <c r="N1110" s="4"/>
      <c r="O1110" s="4"/>
      <c r="P1110" s="4"/>
      <c r="Q1110" s="4"/>
      <c r="R1110" s="4"/>
      <c r="S1110" s="4"/>
    </row>
    <row r="1111">
      <c r="A1111" s="4">
        <v>11</v>
      </c>
      <c r="B1111" s="4" t="str">
        <v>8 CVL</v>
      </c>
      <c r="C1111" s="4" t="str">
        <v>DV_Cắt_Vip</v>
      </c>
      <c r="D1111" s="4">
        <v>1049</v>
      </c>
      <c r="E1111" s="4" t="str">
        <v>Cắt Gội Combo 5 - Chăm da</v>
      </c>
      <c r="F1111" s="21">
        <v>399000</v>
      </c>
      <c r="G1111" s="21">
        <v>399000</v>
      </c>
      <c r="H1111" s="21">
        <v>399000</v>
      </c>
      <c r="I1111" s="4">
        <f>A1111&amp;D1111</f>
      </c>
      <c r="J1111" s="4">
        <v>399000</v>
      </c>
      <c r="K1111" s="4"/>
      <c r="L1111" s="4"/>
      <c r="M1111" s="4"/>
      <c r="N1111" s="4"/>
      <c r="O1111" s="4"/>
      <c r="P1111" s="4"/>
      <c r="Q1111" s="4"/>
      <c r="R1111" s="4"/>
      <c r="S1111" s="4"/>
    </row>
    <row r="1112">
      <c r="A1112" s="4">
        <v>11</v>
      </c>
      <c r="B1112" s="4" t="str">
        <v>8 CVL</v>
      </c>
      <c r="C1112" s="4" t="str">
        <v>DV_Cắt_Vip</v>
      </c>
      <c r="D1112" s="4">
        <v>1064</v>
      </c>
      <c r="E1112" s="4" t="str">
        <v>Cắt Gội Combo 5 - Dưỡng sinh</v>
      </c>
      <c r="F1112" s="21">
        <v>465000</v>
      </c>
      <c r="G1112" s="21">
        <v>465000</v>
      </c>
      <c r="H1112" s="21">
        <v>465000</v>
      </c>
      <c r="I1112" s="4">
        <f>A1112&amp;D1112</f>
      </c>
      <c r="J1112" s="4">
        <v>465000</v>
      </c>
      <c r="K1112" s="4"/>
      <c r="L1112" s="4"/>
      <c r="M1112" s="4"/>
      <c r="N1112" s="4"/>
      <c r="O1112" s="4"/>
      <c r="P1112" s="4"/>
      <c r="Q1112" s="4"/>
      <c r="R1112" s="4"/>
      <c r="S1112" s="4"/>
    </row>
    <row r="1113">
      <c r="A1113" s="4">
        <v>11</v>
      </c>
      <c r="B1113" s="4" t="str">
        <v>8 CVL</v>
      </c>
      <c r="C1113" s="4" t="str">
        <v>DV_Cắt_Vip</v>
      </c>
      <c r="D1113" s="4">
        <v>1065</v>
      </c>
      <c r="E1113" s="4" t="str">
        <v>Cắt Gội Combo 3 - Dưỡng sinh</v>
      </c>
      <c r="F1113" s="21">
        <v>305000</v>
      </c>
      <c r="G1113" s="21">
        <v>305000</v>
      </c>
      <c r="H1113" s="21">
        <v>305000</v>
      </c>
      <c r="I1113" s="4">
        <f>A1113&amp;D1113</f>
      </c>
      <c r="J1113" s="4">
        <v>305000</v>
      </c>
      <c r="K1113" s="4"/>
      <c r="L1113" s="4"/>
      <c r="M1113" s="4"/>
      <c r="N1113" s="4"/>
      <c r="O1113" s="4"/>
      <c r="P1113" s="4"/>
      <c r="Q1113" s="4"/>
      <c r="R1113" s="4"/>
      <c r="S1113" s="4"/>
    </row>
    <row r="1114">
      <c r="A1114" s="4">
        <v>11</v>
      </c>
      <c r="B1114" s="4" t="str">
        <v>8 CVL</v>
      </c>
      <c r="C1114" s="4" t="str">
        <v>DV_Cắt_Vip</v>
      </c>
      <c r="D1114" s="4">
        <v>1194</v>
      </c>
      <c r="E1114" s="4" t="str">
        <v>Combo Best choice</v>
      </c>
      <c r="F1114" s="21">
        <v>305000</v>
      </c>
      <c r="G1114" s="21">
        <v>305000</v>
      </c>
      <c r="H1114" s="21">
        <v>305000</v>
      </c>
      <c r="I1114" s="4">
        <f>A1114&amp;D1114</f>
      </c>
      <c r="J1114" s="4">
        <v>305000</v>
      </c>
      <c r="K1114" s="4"/>
      <c r="L1114" s="4"/>
      <c r="M1114" s="4"/>
      <c r="N1114" s="4"/>
      <c r="O1114" s="4"/>
      <c r="P1114" s="4"/>
      <c r="Q1114" s="4"/>
      <c r="R1114" s="4"/>
      <c r="S1114" s="4"/>
    </row>
    <row r="1115">
      <c r="A1115" s="4">
        <v>11</v>
      </c>
      <c r="B1115" s="4" t="str">
        <v>8 CVL</v>
      </c>
      <c r="C1115" s="4" t="str">
        <v>DV_Gội</v>
      </c>
      <c r="D1115" s="4">
        <v>867</v>
      </c>
      <c r="E1115" s="4" t="str">
        <v>Gội dưỡng sinh cổ vai gáy</v>
      </c>
      <c r="F1115" s="21">
        <v>99000</v>
      </c>
      <c r="G1115" s="21">
        <v>99000</v>
      </c>
      <c r="H1115" s="21">
        <v>99000</v>
      </c>
      <c r="I1115" s="4">
        <f>A1115&amp;D1115</f>
      </c>
      <c r="J1115" s="4">
        <v>99000</v>
      </c>
      <c r="K1115" s="4"/>
      <c r="L1115" s="4"/>
      <c r="M1115" s="4"/>
      <c r="N1115" s="4"/>
      <c r="O1115" s="4"/>
      <c r="P1115" s="4"/>
      <c r="Q1115" s="4"/>
      <c r="R1115" s="4"/>
      <c r="S1115" s="4"/>
    </row>
    <row r="1116">
      <c r="A1116" s="4">
        <v>11</v>
      </c>
      <c r="B1116" s="4" t="str">
        <v>8 CVL</v>
      </c>
      <c r="C1116" s="4" t="str">
        <v>DV_Gội</v>
      </c>
      <c r="D1116" s="4">
        <v>930</v>
      </c>
      <c r="E1116" s="4" t="str">
        <v>[NEW] Gội dưỡng sinh cổ vai gáy và chăm sóc da</v>
      </c>
      <c r="F1116" s="21">
        <v>139000</v>
      </c>
      <c r="G1116" s="21">
        <v>139000</v>
      </c>
      <c r="H1116" s="21">
        <v>139000</v>
      </c>
      <c r="I1116" s="4">
        <f>A1116&amp;D1116</f>
      </c>
      <c r="J1116" s="4">
        <v>139000</v>
      </c>
      <c r="K1116" s="4"/>
      <c r="L1116" s="4"/>
      <c r="M1116" s="4"/>
      <c r="N1116" s="4"/>
      <c r="O1116" s="4"/>
      <c r="P1116" s="4"/>
      <c r="Q1116" s="4"/>
      <c r="R1116" s="4"/>
      <c r="S1116" s="4"/>
    </row>
    <row r="1117">
      <c r="A1117" s="4">
        <v>11</v>
      </c>
      <c r="B1117" s="4" t="str">
        <v>8 CVL</v>
      </c>
      <c r="C1117" s="4" t="str">
        <v>DV_Gội</v>
      </c>
      <c r="D1117" s="4">
        <v>932</v>
      </c>
      <c r="E1117" s="4" t="str">
        <v>Gội combo 5 dưỡng sinh</v>
      </c>
      <c r="F1117" s="21">
        <v>389000</v>
      </c>
      <c r="G1117" s="21">
        <v>389000</v>
      </c>
      <c r="H1117" s="21">
        <v>389000</v>
      </c>
      <c r="I1117" s="4">
        <f>A1117&amp;D1117</f>
      </c>
      <c r="J1117" s="4">
        <v>389000</v>
      </c>
      <c r="K1117" s="4"/>
      <c r="L1117" s="4"/>
      <c r="M1117" s="4"/>
      <c r="N1117" s="4"/>
      <c r="O1117" s="4"/>
      <c r="P1117" s="4"/>
      <c r="Q1117" s="4"/>
      <c r="R1117" s="4"/>
      <c r="S1117" s="4"/>
    </row>
    <row r="1118">
      <c r="A1118" s="4">
        <v>11</v>
      </c>
      <c r="B1118" s="4" t="str">
        <v>8 CVL</v>
      </c>
      <c r="C1118" s="4" t="str">
        <v>DV_Gội</v>
      </c>
      <c r="D1118" s="4">
        <v>934</v>
      </c>
      <c r="E1118" s="4" t="str">
        <v>Gội combo 3 - Dưỡng sinh</v>
      </c>
      <c r="F1118" s="21">
        <v>229000</v>
      </c>
      <c r="G1118" s="21">
        <v>229000</v>
      </c>
      <c r="H1118" s="21">
        <v>229000</v>
      </c>
      <c r="I1118" s="4">
        <f>A1118&amp;D1118</f>
      </c>
      <c r="J1118" s="4">
        <v>229000</v>
      </c>
      <c r="K1118" s="4"/>
      <c r="L1118" s="4"/>
      <c r="M1118" s="4"/>
      <c r="N1118" s="4"/>
      <c r="O1118" s="4"/>
      <c r="P1118" s="4"/>
      <c r="Q1118" s="4"/>
      <c r="R1118" s="4"/>
      <c r="S1118" s="4"/>
    </row>
    <row r="1119">
      <c r="A1119" s="4">
        <v>11</v>
      </c>
      <c r="B1119" s="4" t="str">
        <v>8 CVL</v>
      </c>
      <c r="C1119" s="4" t="str">
        <v>DV_Gội</v>
      </c>
      <c r="D1119" s="4">
        <v>940</v>
      </c>
      <c r="E1119" s="4" t="str">
        <v>[NEW] Gội dưỡng sinh</v>
      </c>
      <c r="F1119" s="21">
        <v>59000</v>
      </c>
      <c r="G1119" s="21">
        <v>59000</v>
      </c>
      <c r="H1119" s="21">
        <v>59000</v>
      </c>
      <c r="I1119" s="4">
        <f>A1119&amp;D1119</f>
      </c>
      <c r="J1119" s="4">
        <v>59000</v>
      </c>
      <c r="K1119" s="4"/>
      <c r="L1119" s="4"/>
      <c r="M1119" s="4"/>
      <c r="N1119" s="4"/>
      <c r="O1119" s="4"/>
      <c r="P1119" s="4"/>
      <c r="Q1119" s="4"/>
      <c r="R1119" s="4"/>
      <c r="S1119" s="4"/>
    </row>
    <row r="1120">
      <c r="A1120" s="4">
        <v>11</v>
      </c>
      <c r="B1120" s="4" t="str">
        <v>8 CVL</v>
      </c>
      <c r="C1120" s="4" t="str">
        <v>DV_Gội</v>
      </c>
      <c r="D1120" s="4">
        <v>1058</v>
      </c>
      <c r="E1120" s="4" t="str">
        <v>Gội Combo 2</v>
      </c>
      <c r="F1120" s="21">
        <v>159000</v>
      </c>
      <c r="G1120" s="21">
        <v>159000</v>
      </c>
      <c r="H1120" s="21">
        <v>159000</v>
      </c>
      <c r="I1120" s="4">
        <f>A1120&amp;D1120</f>
      </c>
      <c r="J1120" s="4">
        <v>159000</v>
      </c>
      <c r="K1120" s="4"/>
      <c r="L1120" s="4"/>
      <c r="M1120" s="4"/>
      <c r="N1120" s="4"/>
      <c r="O1120" s="4"/>
      <c r="P1120" s="4"/>
      <c r="Q1120" s="4"/>
      <c r="R1120" s="4"/>
      <c r="S1120" s="4"/>
    </row>
    <row r="1121">
      <c r="A1121" s="4">
        <v>11</v>
      </c>
      <c r="B1121" s="4" t="str">
        <v>8 CVL</v>
      </c>
      <c r="C1121" s="4" t="str">
        <v>DV_Gội</v>
      </c>
      <c r="D1121" s="4">
        <v>1059</v>
      </c>
      <c r="E1121" s="4" t="str">
        <v>Gội Combo 3 - Chăm da</v>
      </c>
      <c r="F1121" s="21">
        <v>219000</v>
      </c>
      <c r="G1121" s="21">
        <v>219000</v>
      </c>
      <c r="H1121" s="21">
        <v>219000</v>
      </c>
      <c r="I1121" s="4">
        <f>A1121&amp;D1121</f>
      </c>
      <c r="J1121" s="4">
        <v>219000</v>
      </c>
      <c r="K1121" s="4"/>
      <c r="L1121" s="4"/>
      <c r="M1121" s="4"/>
      <c r="N1121" s="4"/>
      <c r="O1121" s="4"/>
      <c r="P1121" s="4"/>
      <c r="Q1121" s="4"/>
      <c r="R1121" s="4"/>
      <c r="S1121" s="4"/>
    </row>
    <row r="1122">
      <c r="A1122" s="4">
        <v>11</v>
      </c>
      <c r="B1122" s="4" t="str">
        <v>8 CVL</v>
      </c>
      <c r="C1122" s="4" t="str">
        <v>DV_Gội</v>
      </c>
      <c r="D1122" s="4">
        <v>1060</v>
      </c>
      <c r="E1122" s="4" t="str">
        <v>Gội Combo 4</v>
      </c>
      <c r="F1122" s="21">
        <v>289000</v>
      </c>
      <c r="G1122" s="21">
        <v>289000</v>
      </c>
      <c r="H1122" s="21">
        <v>289000</v>
      </c>
      <c r="I1122" s="4">
        <f>A1122&amp;D1122</f>
      </c>
      <c r="J1122" s="4">
        <v>289000</v>
      </c>
      <c r="K1122" s="4"/>
      <c r="L1122" s="4"/>
      <c r="M1122" s="4"/>
      <c r="N1122" s="4"/>
      <c r="O1122" s="4"/>
      <c r="P1122" s="4"/>
      <c r="Q1122" s="4"/>
      <c r="R1122" s="4"/>
      <c r="S1122" s="4"/>
    </row>
    <row r="1123">
      <c r="A1123" s="4">
        <v>11</v>
      </c>
      <c r="B1123" s="4" t="str">
        <v>8 CVL</v>
      </c>
      <c r="C1123" s="4" t="str">
        <v>DV_Gội</v>
      </c>
      <c r="D1123" s="4">
        <v>1061</v>
      </c>
      <c r="E1123" s="4" t="str">
        <v>Gội Combo 5 - Chăm da</v>
      </c>
      <c r="F1123" s="21">
        <v>359000</v>
      </c>
      <c r="G1123" s="21">
        <v>359000</v>
      </c>
      <c r="H1123" s="21">
        <v>359000</v>
      </c>
      <c r="I1123" s="4">
        <f>A1123&amp;D1123</f>
      </c>
      <c r="J1123" s="4">
        <v>359000</v>
      </c>
      <c r="K1123" s="4"/>
      <c r="L1123" s="4"/>
      <c r="M1123" s="4"/>
      <c r="N1123" s="4"/>
      <c r="O1123" s="4"/>
      <c r="P1123" s="4"/>
      <c r="Q1123" s="4"/>
      <c r="R1123" s="4"/>
      <c r="S1123" s="4"/>
    </row>
    <row r="1124">
      <c r="A1124" s="4">
        <v>11</v>
      </c>
      <c r="B1124" s="4" t="str">
        <v>8 CVL</v>
      </c>
      <c r="C1124" s="4" t="str">
        <v>DV_Gội</v>
      </c>
      <c r="D1124" s="4">
        <v>1066</v>
      </c>
      <c r="E1124" s="4" t="str">
        <v>Gội trải nghiệm 75p</v>
      </c>
      <c r="F1124" s="21">
        <v>459000</v>
      </c>
      <c r="G1124" s="21">
        <v>459000</v>
      </c>
      <c r="H1124" s="21">
        <v>459000</v>
      </c>
      <c r="I1124" s="4">
        <f>A1124&amp;D1124</f>
      </c>
      <c r="J1124" s="4">
        <v>459000</v>
      </c>
      <c r="K1124" s="4"/>
      <c r="L1124" s="4"/>
      <c r="M1124" s="4"/>
      <c r="N1124" s="4"/>
      <c r="O1124" s="4"/>
      <c r="P1124" s="4"/>
      <c r="Q1124" s="4"/>
      <c r="R1124" s="4"/>
      <c r="S1124" s="4"/>
    </row>
    <row r="1125">
      <c r="A1125" s="4">
        <v>11</v>
      </c>
      <c r="B1125" s="4" t="str">
        <v>8 CVL</v>
      </c>
      <c r="C1125" s="4" t="str">
        <v>DV_Gội</v>
      </c>
      <c r="D1125" s="4">
        <v>1067</v>
      </c>
      <c r="E1125" s="4" t="str">
        <v>Gội trải nghiệm 90p</v>
      </c>
      <c r="F1125" s="21">
        <v>789000</v>
      </c>
      <c r="G1125" s="21">
        <v>789000</v>
      </c>
      <c r="H1125" s="21">
        <v>789000</v>
      </c>
      <c r="I1125" s="4">
        <f>A1125&amp;D1125</f>
      </c>
      <c r="J1125" s="4">
        <v>789000</v>
      </c>
      <c r="K1125" s="4"/>
      <c r="L1125" s="4"/>
      <c r="M1125" s="4"/>
      <c r="N1125" s="4"/>
      <c r="O1125" s="4"/>
      <c r="P1125" s="4"/>
      <c r="Q1125" s="4"/>
      <c r="R1125" s="4"/>
      <c r="S1125" s="4"/>
    </row>
    <row r="1126">
      <c r="A1126" s="4">
        <v>11</v>
      </c>
      <c r="B1126" s="4" t="str">
        <v>8 CVL</v>
      </c>
      <c r="C1126" s="4" t="str">
        <v>DV_Gội</v>
      </c>
      <c r="D1126" s="4">
        <v>1068</v>
      </c>
      <c r="E1126" s="4" t="str">
        <v>Gội trải nghiệm 115p</v>
      </c>
      <c r="F1126" s="21">
        <v>999000</v>
      </c>
      <c r="G1126" s="21">
        <v>999000</v>
      </c>
      <c r="H1126" s="21">
        <v>999000</v>
      </c>
      <c r="I1126" s="4">
        <f>A1126&amp;D1126</f>
      </c>
      <c r="J1126" s="4">
        <v>999000</v>
      </c>
      <c r="K1126" s="4"/>
      <c r="L1126" s="4"/>
      <c r="M1126" s="4"/>
      <c r="N1126" s="4"/>
      <c r="O1126" s="4"/>
      <c r="P1126" s="4"/>
      <c r="Q1126" s="4"/>
      <c r="R1126" s="4"/>
      <c r="S1126" s="4"/>
    </row>
    <row r="1127">
      <c r="A1127" s="4">
        <v>60</v>
      </c>
      <c r="B1127" s="4" t="str">
        <v>80 PL BD</v>
      </c>
      <c r="C1127" s="4" t="str">
        <v>DV_Cắt</v>
      </c>
      <c r="D1127" s="4">
        <v>513</v>
      </c>
      <c r="E1127" s="4" t="str">
        <v>[DV] ShineCombo 10 bước Ultra Care 2023</v>
      </c>
      <c r="F1127" s="21">
        <v>122000</v>
      </c>
      <c r="G1127" s="21">
        <v>122000</v>
      </c>
      <c r="H1127" s="21">
        <v>122000</v>
      </c>
      <c r="I1127" s="4">
        <f>A1127&amp;D1127</f>
      </c>
      <c r="J1127" s="4">
        <v>122000</v>
      </c>
      <c r="K1127" s="4"/>
      <c r="L1127" s="4"/>
      <c r="M1127" s="4"/>
      <c r="N1127" s="4"/>
      <c r="O1127" s="4"/>
      <c r="P1127" s="4"/>
      <c r="Q1127" s="4"/>
      <c r="R1127" s="4"/>
      <c r="S1127" s="4"/>
    </row>
    <row r="1128">
      <c r="A1128" s="4">
        <v>60</v>
      </c>
      <c r="B1128" s="4" t="str">
        <v>80 PL BD</v>
      </c>
      <c r="C1128" s="4" t="str">
        <v>DV_Cắt</v>
      </c>
      <c r="D1128" s="4">
        <v>891</v>
      </c>
      <c r="E1128" s="4" t="str">
        <v>Cắt xả tạo kiểu</v>
      </c>
      <c r="F1128" s="21">
        <v>94000</v>
      </c>
      <c r="G1128" s="21">
        <v>96000</v>
      </c>
      <c r="H1128" s="21">
        <v>96000</v>
      </c>
      <c r="I1128" s="4">
        <f>A1128&amp;D1128</f>
      </c>
      <c r="J1128" s="4">
        <v>96000</v>
      </c>
      <c r="K1128" s="4"/>
      <c r="L1128" s="4"/>
      <c r="M1128" s="4"/>
      <c r="N1128" s="4"/>
      <c r="O1128" s="4"/>
      <c r="P1128" s="4"/>
      <c r="Q1128" s="4"/>
      <c r="R1128" s="4"/>
      <c r="S1128" s="4"/>
    </row>
    <row r="1129">
      <c r="A1129" s="4">
        <v>60</v>
      </c>
      <c r="B1129" s="4" t="str">
        <v>80 PL BD</v>
      </c>
      <c r="C1129" s="4" t="str">
        <v>DV_Cắt</v>
      </c>
      <c r="D1129" s="4">
        <v>1002</v>
      </c>
      <c r="E1129" s="4" t="str">
        <v>Kid Cắt</v>
      </c>
      <c r="F1129" s="21">
        <v>75000</v>
      </c>
      <c r="G1129" s="21">
        <v>77000</v>
      </c>
      <c r="H1129" s="21">
        <v>77000</v>
      </c>
      <c r="I1129" s="4">
        <f>A1129&amp;D1129</f>
      </c>
      <c r="J1129" s="4">
        <v>77000</v>
      </c>
      <c r="K1129" s="4"/>
      <c r="L1129" s="4"/>
      <c r="M1129" s="4"/>
      <c r="N1129" s="4"/>
      <c r="O1129" s="4"/>
      <c r="P1129" s="4"/>
      <c r="Q1129" s="4"/>
      <c r="R1129" s="4"/>
      <c r="S1129" s="4"/>
    </row>
    <row r="1130">
      <c r="A1130" s="4">
        <v>60</v>
      </c>
      <c r="B1130" s="4" t="str">
        <v>80 PL BD</v>
      </c>
      <c r="C1130" s="4" t="str">
        <v>DV_Cắt</v>
      </c>
      <c r="D1130" s="4">
        <v>1070</v>
      </c>
      <c r="E1130" s="4" t="str">
        <v>Combo Cắt gội Kid</v>
      </c>
      <c r="F1130" s="21">
        <v>100000</v>
      </c>
      <c r="G1130" s="21">
        <v>102000</v>
      </c>
      <c r="H1130" s="21">
        <v>102000</v>
      </c>
      <c r="I1130" s="4">
        <f>A1130&amp;D1130</f>
      </c>
      <c r="J1130" s="4">
        <v>102000</v>
      </c>
      <c r="K1130" s="4"/>
      <c r="L1130" s="4"/>
      <c r="M1130" s="4"/>
      <c r="N1130" s="4"/>
      <c r="O1130" s="4"/>
      <c r="P1130" s="4"/>
      <c r="Q1130" s="4"/>
      <c r="R1130" s="4"/>
      <c r="S1130" s="4"/>
    </row>
    <row r="1131">
      <c r="A1131" s="4">
        <v>60</v>
      </c>
      <c r="B1131" s="4" t="str">
        <v>80 PL BD</v>
      </c>
      <c r="C1131" s="4" t="str">
        <v>DV_Cắt_Vip</v>
      </c>
      <c r="D1131" s="4">
        <v>1046</v>
      </c>
      <c r="E1131" s="4" t="str">
        <v>Shinecombo 2</v>
      </c>
      <c r="F1131" s="21">
        <v>199000</v>
      </c>
      <c r="G1131" s="21">
        <v>203000</v>
      </c>
      <c r="H1131" s="21">
        <v>203000</v>
      </c>
      <c r="I1131" s="4">
        <f>A1131&amp;D1131</f>
      </c>
      <c r="J1131" s="4">
        <v>203000</v>
      </c>
      <c r="K1131" s="4"/>
      <c r="L1131" s="4"/>
      <c r="M1131" s="4"/>
      <c r="N1131" s="4"/>
      <c r="O1131" s="4"/>
      <c r="P1131" s="4"/>
      <c r="Q1131" s="4"/>
      <c r="R1131" s="4"/>
      <c r="S1131" s="4"/>
    </row>
    <row r="1132">
      <c r="A1132" s="4">
        <v>60</v>
      </c>
      <c r="B1132" s="4" t="str">
        <v>80 PL BD</v>
      </c>
      <c r="C1132" s="4" t="str">
        <v>DV_Cắt_Vip</v>
      </c>
      <c r="D1132" s="4">
        <v>1047</v>
      </c>
      <c r="E1132" s="4" t="str">
        <v>Cắt Gội Combo 3 - Chăm da</v>
      </c>
      <c r="F1132" s="21">
        <v>299000</v>
      </c>
      <c r="G1132" s="21">
        <v>305000</v>
      </c>
      <c r="H1132" s="21">
        <v>305000</v>
      </c>
      <c r="I1132" s="4">
        <f>A1132&amp;D1132</f>
      </c>
      <c r="J1132" s="4">
        <v>305000</v>
      </c>
      <c r="K1132" s="4"/>
      <c r="L1132" s="4"/>
      <c r="M1132" s="4"/>
      <c r="N1132" s="4"/>
      <c r="O1132" s="4"/>
      <c r="P1132" s="4"/>
      <c r="Q1132" s="4"/>
      <c r="R1132" s="4"/>
      <c r="S1132" s="4"/>
    </row>
    <row r="1133">
      <c r="A1133" s="4">
        <v>60</v>
      </c>
      <c r="B1133" s="4" t="str">
        <v>80 PL BD</v>
      </c>
      <c r="C1133" s="4" t="str">
        <v>DV_Cắt_Vip</v>
      </c>
      <c r="D1133" s="4">
        <v>1048</v>
      </c>
      <c r="E1133" s="4" t="str">
        <v>Combo 4</v>
      </c>
      <c r="F1133" s="21">
        <v>389000</v>
      </c>
      <c r="G1133" s="21">
        <v>397000</v>
      </c>
      <c r="H1133" s="21">
        <v>397000</v>
      </c>
      <c r="I1133" s="4">
        <f>A1133&amp;D1133</f>
      </c>
      <c r="J1133" s="4">
        <v>397000</v>
      </c>
      <c r="K1133" s="4"/>
      <c r="L1133" s="4"/>
      <c r="M1133" s="4"/>
      <c r="N1133" s="4"/>
      <c r="O1133" s="4"/>
      <c r="P1133" s="4"/>
      <c r="Q1133" s="4"/>
      <c r="R1133" s="4"/>
      <c r="S1133" s="4"/>
    </row>
    <row r="1134">
      <c r="A1134" s="4">
        <v>60</v>
      </c>
      <c r="B1134" s="4" t="str">
        <v>80 PL BD</v>
      </c>
      <c r="C1134" s="4" t="str">
        <v>DV_Cắt_Vip</v>
      </c>
      <c r="D1134" s="4">
        <v>1064</v>
      </c>
      <c r="E1134" s="4" t="str">
        <v>Cắt Gội Combo 5 - Dưỡng sinh</v>
      </c>
      <c r="F1134" s="21">
        <v>459000</v>
      </c>
      <c r="G1134" s="21">
        <v>469000</v>
      </c>
      <c r="H1134" s="21">
        <v>469000</v>
      </c>
      <c r="I1134" s="4">
        <f>A1134&amp;D1134</f>
      </c>
      <c r="J1134" s="4">
        <v>469000</v>
      </c>
      <c r="K1134" s="4"/>
      <c r="L1134" s="4"/>
      <c r="M1134" s="4"/>
      <c r="N1134" s="4"/>
      <c r="O1134" s="4"/>
      <c r="P1134" s="4"/>
      <c r="Q1134" s="4"/>
      <c r="R1134" s="4"/>
      <c r="S1134" s="4"/>
    </row>
    <row r="1135">
      <c r="A1135" s="4">
        <v>60</v>
      </c>
      <c r="B1135" s="4" t="str">
        <v>80 PL BD</v>
      </c>
      <c r="C1135" s="4" t="str">
        <v>DV_Cắt_Vip</v>
      </c>
      <c r="D1135" s="4">
        <v>1065</v>
      </c>
      <c r="E1135" s="4" t="str">
        <v>Cắt Gội Combo 3 - Dưỡng sinh</v>
      </c>
      <c r="F1135" s="21">
        <v>299000</v>
      </c>
      <c r="G1135" s="21">
        <v>305000</v>
      </c>
      <c r="H1135" s="21">
        <v>305000</v>
      </c>
      <c r="I1135" s="4">
        <f>A1135&amp;D1135</f>
      </c>
      <c r="J1135" s="4">
        <v>305000</v>
      </c>
      <c r="K1135" s="4"/>
      <c r="L1135" s="4"/>
      <c r="M1135" s="4"/>
      <c r="N1135" s="4"/>
      <c r="O1135" s="4"/>
      <c r="P1135" s="4"/>
      <c r="Q1135" s="4"/>
      <c r="R1135" s="4"/>
      <c r="S1135" s="4"/>
    </row>
    <row r="1136">
      <c r="A1136" s="4">
        <v>60</v>
      </c>
      <c r="B1136" s="4" t="str">
        <v>80 PL BD</v>
      </c>
      <c r="C1136" s="4" t="str">
        <v>DV_Cắt_Vip</v>
      </c>
      <c r="D1136" s="4">
        <v>1150</v>
      </c>
      <c r="E1136" s="4" t="str">
        <v>Combo cắt gội đỉnh cao thư giãn vip</v>
      </c>
      <c r="F1136" s="21">
        <v>500000</v>
      </c>
      <c r="G1136" s="21">
        <v>511000</v>
      </c>
      <c r="H1136" s="21">
        <v>511000</v>
      </c>
      <c r="I1136" s="4">
        <f>A1136&amp;D1136</f>
      </c>
      <c r="J1136" s="4">
        <v>511000</v>
      </c>
      <c r="K1136" s="4"/>
      <c r="L1136" s="4"/>
      <c r="M1136" s="4"/>
      <c r="N1136" s="4"/>
      <c r="O1136" s="4"/>
      <c r="P1136" s="4"/>
      <c r="Q1136" s="4"/>
      <c r="R1136" s="4"/>
      <c r="S1136" s="4"/>
    </row>
    <row r="1137">
      <c r="A1137" s="4">
        <v>60</v>
      </c>
      <c r="B1137" s="4" t="str">
        <v>80 PL BD</v>
      </c>
      <c r="C1137" s="4" t="str">
        <v>DV_Gội</v>
      </c>
      <c r="D1137" s="4">
        <v>867</v>
      </c>
      <c r="E1137" s="4" t="str">
        <v>Gội dưỡng sinh cổ vai gáy</v>
      </c>
      <c r="F1137" s="21">
        <v>95000</v>
      </c>
      <c r="G1137" s="21">
        <v>97000</v>
      </c>
      <c r="H1137" s="21">
        <v>97000</v>
      </c>
      <c r="I1137" s="4">
        <f>A1137&amp;D1137</f>
      </c>
      <c r="J1137" s="4">
        <v>97000</v>
      </c>
      <c r="K1137" s="4"/>
      <c r="L1137" s="4"/>
      <c r="M1137" s="4"/>
      <c r="N1137" s="4"/>
      <c r="O1137" s="4"/>
      <c r="P1137" s="4"/>
      <c r="Q1137" s="4"/>
      <c r="R1137" s="4"/>
      <c r="S1137" s="4"/>
    </row>
    <row r="1138">
      <c r="A1138" s="4">
        <v>60</v>
      </c>
      <c r="B1138" s="4" t="str">
        <v>80 PL BD</v>
      </c>
      <c r="C1138" s="4" t="str">
        <v>DV_Gội</v>
      </c>
      <c r="D1138" s="4">
        <v>930</v>
      </c>
      <c r="E1138" s="4" t="str">
        <v>[NEW] Gội dưỡng sinh cổ vai gáy và chăm sóc da</v>
      </c>
      <c r="F1138" s="21">
        <v>139000</v>
      </c>
      <c r="G1138" s="21">
        <v>142000</v>
      </c>
      <c r="H1138" s="21">
        <v>142000</v>
      </c>
      <c r="I1138" s="4">
        <f>A1138&amp;D1138</f>
      </c>
      <c r="J1138" s="4">
        <v>142000</v>
      </c>
      <c r="K1138" s="4"/>
      <c r="L1138" s="4"/>
      <c r="M1138" s="4"/>
      <c r="N1138" s="4"/>
      <c r="O1138" s="4"/>
      <c r="P1138" s="4"/>
      <c r="Q1138" s="4"/>
      <c r="R1138" s="4"/>
      <c r="S1138" s="4"/>
    </row>
    <row r="1139">
      <c r="A1139" s="4">
        <v>60</v>
      </c>
      <c r="B1139" s="4" t="str">
        <v>80 PL BD</v>
      </c>
      <c r="C1139" s="4" t="str">
        <v>DV_Gội</v>
      </c>
      <c r="D1139" s="4">
        <v>934</v>
      </c>
      <c r="E1139" s="4" t="str">
        <v>Gội combo 3 - Dưỡng sinh</v>
      </c>
      <c r="F1139" s="21">
        <v>229000</v>
      </c>
      <c r="G1139" s="21">
        <v>234000</v>
      </c>
      <c r="H1139" s="21">
        <v>234000</v>
      </c>
      <c r="I1139" s="4">
        <f>A1139&amp;D1139</f>
      </c>
      <c r="J1139" s="4">
        <v>234000</v>
      </c>
      <c r="K1139" s="4"/>
      <c r="L1139" s="4"/>
      <c r="M1139" s="4"/>
      <c r="N1139" s="4"/>
      <c r="O1139" s="4"/>
      <c r="P1139" s="4"/>
      <c r="Q1139" s="4"/>
      <c r="R1139" s="4"/>
      <c r="S1139" s="4"/>
    </row>
    <row r="1140">
      <c r="A1140" s="4">
        <v>60</v>
      </c>
      <c r="B1140" s="4" t="str">
        <v>80 PL BD</v>
      </c>
      <c r="C1140" s="4" t="str">
        <v>DV_Gội</v>
      </c>
      <c r="D1140" s="4">
        <v>940</v>
      </c>
      <c r="E1140" s="4" t="str">
        <v>[NEW] Gội dưỡng sinh</v>
      </c>
      <c r="F1140" s="21">
        <v>59000</v>
      </c>
      <c r="G1140" s="21">
        <v>60000</v>
      </c>
      <c r="H1140" s="21">
        <v>60000</v>
      </c>
      <c r="I1140" s="4">
        <f>A1140&amp;D1140</f>
      </c>
      <c r="J1140" s="4">
        <v>60000</v>
      </c>
      <c r="K1140" s="4"/>
      <c r="L1140" s="4"/>
      <c r="M1140" s="4"/>
      <c r="N1140" s="4"/>
      <c r="O1140" s="4"/>
      <c r="P1140" s="4"/>
      <c r="Q1140" s="4"/>
      <c r="R1140" s="4"/>
      <c r="S1140" s="4"/>
    </row>
    <row r="1141">
      <c r="A1141" s="4">
        <v>60</v>
      </c>
      <c r="B1141" s="4" t="str">
        <v>80 PL BD</v>
      </c>
      <c r="C1141" s="4" t="str">
        <v>DV_Gội</v>
      </c>
      <c r="D1141" s="4">
        <v>1058</v>
      </c>
      <c r="E1141" s="4" t="str">
        <v>Gội Combo 2</v>
      </c>
      <c r="F1141" s="21">
        <v>159000</v>
      </c>
      <c r="G1141" s="21">
        <v>162000</v>
      </c>
      <c r="H1141" s="21">
        <v>162000</v>
      </c>
      <c r="I1141" s="4">
        <f>A1141&amp;D1141</f>
      </c>
      <c r="J1141" s="4">
        <v>162000</v>
      </c>
      <c r="K1141" s="4"/>
      <c r="L1141" s="4"/>
      <c r="M1141" s="4"/>
      <c r="N1141" s="4"/>
      <c r="O1141" s="4"/>
      <c r="P1141" s="4"/>
      <c r="Q1141" s="4"/>
      <c r="R1141" s="4"/>
      <c r="S1141" s="4"/>
    </row>
    <row r="1142">
      <c r="A1142" s="4">
        <v>60</v>
      </c>
      <c r="B1142" s="4" t="str">
        <v>80 PL BD</v>
      </c>
      <c r="C1142" s="4" t="str">
        <v>DV_Gội</v>
      </c>
      <c r="D1142" s="4">
        <v>1059</v>
      </c>
      <c r="E1142" s="4" t="str">
        <v>Gội Combo 3 - Chăm da</v>
      </c>
      <c r="F1142" s="21">
        <v>239000</v>
      </c>
      <c r="G1142" s="21">
        <v>244000</v>
      </c>
      <c r="H1142" s="21">
        <v>244000</v>
      </c>
      <c r="I1142" s="4">
        <f>A1142&amp;D1142</f>
      </c>
      <c r="J1142" s="4">
        <v>244000</v>
      </c>
      <c r="K1142" s="4"/>
      <c r="L1142" s="4"/>
      <c r="M1142" s="4"/>
      <c r="N1142" s="4"/>
      <c r="O1142" s="4"/>
      <c r="P1142" s="4"/>
      <c r="Q1142" s="4"/>
      <c r="R1142" s="4"/>
      <c r="S1142" s="4"/>
    </row>
    <row r="1143">
      <c r="A1143" s="4">
        <v>60</v>
      </c>
      <c r="B1143" s="4" t="str">
        <v>80 PL BD</v>
      </c>
      <c r="C1143" s="4" t="str">
        <v>DV_Gội</v>
      </c>
      <c r="D1143" s="4">
        <v>1060</v>
      </c>
      <c r="E1143" s="4" t="str">
        <v>Gội Combo 4</v>
      </c>
      <c r="F1143" s="21">
        <v>289000</v>
      </c>
      <c r="G1143" s="21">
        <v>295000</v>
      </c>
      <c r="H1143" s="21">
        <v>295000</v>
      </c>
      <c r="I1143" s="4">
        <f>A1143&amp;D1143</f>
      </c>
      <c r="J1143" s="4">
        <v>295000</v>
      </c>
      <c r="K1143" s="4"/>
      <c r="L1143" s="4"/>
      <c r="M1143" s="4"/>
      <c r="N1143" s="4"/>
      <c r="O1143" s="4"/>
      <c r="P1143" s="4"/>
      <c r="Q1143" s="4"/>
      <c r="R1143" s="4"/>
      <c r="S1143" s="4"/>
    </row>
    <row r="1144">
      <c r="A1144" s="4">
        <v>60</v>
      </c>
      <c r="B1144" s="4" t="str">
        <v>80 PL BD</v>
      </c>
      <c r="C1144" s="4" t="str">
        <v>DV_Gội</v>
      </c>
      <c r="D1144" s="4">
        <v>1066</v>
      </c>
      <c r="E1144" s="4" t="str">
        <v>Gội trải nghiệm 75p</v>
      </c>
      <c r="F1144" s="21">
        <v>589000</v>
      </c>
      <c r="G1144" s="21">
        <v>602000</v>
      </c>
      <c r="H1144" s="21">
        <v>602000</v>
      </c>
      <c r="I1144" s="4">
        <f>A1144&amp;D1144</f>
      </c>
      <c r="J1144" s="4">
        <v>602000</v>
      </c>
      <c r="K1144" s="4"/>
      <c r="L1144" s="4"/>
      <c r="M1144" s="4"/>
      <c r="N1144" s="4"/>
      <c r="O1144" s="4"/>
      <c r="P1144" s="4"/>
      <c r="Q1144" s="4"/>
      <c r="R1144" s="4"/>
      <c r="S1144" s="4"/>
    </row>
    <row r="1145">
      <c r="A1145" s="4">
        <v>60</v>
      </c>
      <c r="B1145" s="4" t="str">
        <v>80 PL BD</v>
      </c>
      <c r="C1145" s="4" t="str">
        <v>DV_Gội</v>
      </c>
      <c r="D1145" s="4">
        <v>1067</v>
      </c>
      <c r="E1145" s="4" t="str">
        <v>Gội trải nghiệm 90p</v>
      </c>
      <c r="F1145" s="21">
        <v>789000</v>
      </c>
      <c r="G1145" s="21">
        <v>806000</v>
      </c>
      <c r="H1145" s="21">
        <v>806000</v>
      </c>
      <c r="I1145" s="4">
        <f>A1145&amp;D1145</f>
      </c>
      <c r="J1145" s="4">
        <v>806000</v>
      </c>
      <c r="K1145" s="4"/>
      <c r="L1145" s="4"/>
      <c r="M1145" s="4"/>
      <c r="N1145" s="4"/>
      <c r="O1145" s="4"/>
      <c r="P1145" s="4"/>
      <c r="Q1145" s="4"/>
      <c r="R1145" s="4"/>
      <c r="S1145" s="4"/>
    </row>
    <row r="1146">
      <c r="A1146" s="4">
        <v>60</v>
      </c>
      <c r="B1146" s="4" t="str">
        <v>80 PL BD</v>
      </c>
      <c r="C1146" s="4" t="str">
        <v>DV_Gội</v>
      </c>
      <c r="D1146" s="4">
        <v>1068</v>
      </c>
      <c r="E1146" s="4" t="str">
        <v>Gội trải nghiệm 115p</v>
      </c>
      <c r="F1146" s="21">
        <v>999000</v>
      </c>
      <c r="G1146" s="21">
        <v>1020000</v>
      </c>
      <c r="H1146" s="21">
        <v>1020000</v>
      </c>
      <c r="I1146" s="4">
        <f>A1146&amp;D1146</f>
      </c>
      <c r="J1146" s="4">
        <v>1020000</v>
      </c>
      <c r="K1146" s="4"/>
      <c r="L1146" s="4"/>
      <c r="M1146" s="4"/>
      <c r="N1146" s="4"/>
      <c r="O1146" s="4"/>
      <c r="P1146" s="4"/>
      <c r="Q1146" s="4"/>
      <c r="R1146" s="4"/>
      <c r="S1146" s="4"/>
    </row>
    <row r="1147">
      <c r="A1147" s="4">
        <v>232</v>
      </c>
      <c r="B1147" s="4" t="str">
        <v>80 TP TH</v>
      </c>
      <c r="C1147" s="4" t="str">
        <v>DV_Cắt</v>
      </c>
      <c r="D1147" s="4">
        <v>513</v>
      </c>
      <c r="E1147" s="4" t="str">
        <v>[DV] ShineCombo 10 bước Ultra Care 2023</v>
      </c>
      <c r="F1147" s="21">
        <v>122000</v>
      </c>
      <c r="G1147" s="21">
        <v>122000</v>
      </c>
      <c r="H1147" s="21">
        <v>122000</v>
      </c>
      <c r="I1147" s="4">
        <f>A1147&amp;D1147</f>
      </c>
      <c r="J1147" s="4">
        <v>122000</v>
      </c>
      <c r="K1147" s="4"/>
      <c r="L1147" s="4"/>
      <c r="M1147" s="4"/>
      <c r="N1147" s="4"/>
      <c r="O1147" s="4"/>
      <c r="P1147" s="4"/>
      <c r="Q1147" s="4"/>
      <c r="R1147" s="4"/>
      <c r="S1147" s="4"/>
    </row>
    <row r="1148">
      <c r="A1148" s="4">
        <v>232</v>
      </c>
      <c r="B1148" s="4" t="str">
        <v>80 TP TH</v>
      </c>
      <c r="C1148" s="4" t="str">
        <v>DV_Cắt</v>
      </c>
      <c r="D1148" s="4">
        <v>891</v>
      </c>
      <c r="E1148" s="4" t="str">
        <v>Cắt xả tạo kiểu</v>
      </c>
      <c r="F1148" s="21">
        <v>103000</v>
      </c>
      <c r="G1148" s="21">
        <v>110000</v>
      </c>
      <c r="H1148" s="21">
        <v>110000</v>
      </c>
      <c r="I1148" s="4">
        <f>A1148&amp;D1148</f>
      </c>
      <c r="J1148" s="4">
        <v>110000</v>
      </c>
      <c r="K1148" s="4"/>
      <c r="L1148" s="4"/>
      <c r="M1148" s="4"/>
      <c r="N1148" s="4"/>
      <c r="O1148" s="4"/>
      <c r="P1148" s="4"/>
      <c r="Q1148" s="4"/>
      <c r="R1148" s="4"/>
      <c r="S1148" s="4"/>
    </row>
    <row r="1149">
      <c r="A1149" s="4">
        <v>232</v>
      </c>
      <c r="B1149" s="4" t="str">
        <v>80 TP TH</v>
      </c>
      <c r="C1149" s="4" t="str">
        <v>DV_Cắt</v>
      </c>
      <c r="D1149" s="4">
        <v>1002</v>
      </c>
      <c r="E1149" s="4" t="str">
        <v>Kid Cắt</v>
      </c>
      <c r="F1149" s="21">
        <v>84000</v>
      </c>
      <c r="G1149" s="21">
        <v>90000</v>
      </c>
      <c r="H1149" s="21">
        <v>90000</v>
      </c>
      <c r="I1149" s="4">
        <f>A1149&amp;D1149</f>
      </c>
      <c r="J1149" s="4">
        <v>90000</v>
      </c>
      <c r="K1149" s="4"/>
      <c r="L1149" s="4"/>
      <c r="M1149" s="4"/>
      <c r="N1149" s="4"/>
      <c r="O1149" s="4"/>
      <c r="P1149" s="4"/>
      <c r="Q1149" s="4"/>
      <c r="R1149" s="4"/>
      <c r="S1149" s="4"/>
    </row>
    <row r="1150">
      <c r="A1150" s="4">
        <v>232</v>
      </c>
      <c r="B1150" s="4" t="str">
        <v>80 TP TH</v>
      </c>
      <c r="C1150" s="4" t="str">
        <v>DV_Cắt</v>
      </c>
      <c r="D1150" s="4">
        <v>1070</v>
      </c>
      <c r="E1150" s="4" t="str">
        <v>Combo Cắt gội Kid</v>
      </c>
      <c r="F1150" s="21">
        <v>100000</v>
      </c>
      <c r="G1150" s="21">
        <v>107000</v>
      </c>
      <c r="H1150" s="21">
        <v>107000</v>
      </c>
      <c r="I1150" s="4">
        <f>A1150&amp;D1150</f>
      </c>
      <c r="J1150" s="4">
        <v>107000</v>
      </c>
      <c r="K1150" s="4"/>
      <c r="L1150" s="4"/>
      <c r="M1150" s="4"/>
      <c r="N1150" s="4"/>
      <c r="O1150" s="4"/>
      <c r="P1150" s="4"/>
      <c r="Q1150" s="4"/>
      <c r="R1150" s="4"/>
      <c r="S1150" s="4"/>
    </row>
    <row r="1151">
      <c r="A1151" s="4">
        <v>232</v>
      </c>
      <c r="B1151" s="4" t="str">
        <v>80 TP TH</v>
      </c>
      <c r="C1151" s="4" t="str">
        <v>DV_Cắt</v>
      </c>
      <c r="D1151" s="4">
        <v>1255</v>
      </c>
      <c r="E1151" s="4" t="str">
        <v>VH Cắt gội dưỡng sinh Vip</v>
      </c>
      <c r="F1151" s="21">
        <v>258000</v>
      </c>
      <c r="G1151" s="21">
        <v>276000</v>
      </c>
      <c r="H1151" s="21">
        <v>265000</v>
      </c>
      <c r="I1151" s="4">
        <f>A1151&amp;D1151</f>
      </c>
      <c r="J1151" s="4">
        <f>VLOOKUP(I1151,#REF!,2,0)</f>
      </c>
      <c r="K1151" s="4"/>
      <c r="L1151" s="4"/>
      <c r="M1151" s="4"/>
      <c r="N1151" s="4"/>
      <c r="O1151" s="4"/>
      <c r="P1151" s="4"/>
      <c r="Q1151" s="4"/>
      <c r="R1151" s="4"/>
      <c r="S1151" s="4"/>
    </row>
    <row r="1152">
      <c r="A1152" s="4">
        <v>232</v>
      </c>
      <c r="B1152" s="4" t="str">
        <v>80 TP TH</v>
      </c>
      <c r="C1152" s="4" t="str">
        <v>DV_Cắt_Vip</v>
      </c>
      <c r="D1152" s="4">
        <v>1046</v>
      </c>
      <c r="E1152" s="4" t="str">
        <v>Shinecombo 2</v>
      </c>
      <c r="F1152" s="21">
        <v>208000</v>
      </c>
      <c r="G1152" s="21">
        <v>222000</v>
      </c>
      <c r="H1152" s="21">
        <v>215000</v>
      </c>
      <c r="I1152" s="4">
        <f>A1152&amp;D1152</f>
      </c>
      <c r="J1152" s="4">
        <f>VLOOKUP(I1152,#REF!,2,0)</f>
      </c>
      <c r="K1152" s="4"/>
      <c r="L1152" s="4"/>
      <c r="M1152" s="4"/>
      <c r="N1152" s="4"/>
      <c r="O1152" s="4"/>
      <c r="P1152" s="4"/>
      <c r="Q1152" s="4"/>
      <c r="R1152" s="4"/>
      <c r="S1152" s="4"/>
    </row>
    <row r="1153">
      <c r="A1153" s="4">
        <v>232</v>
      </c>
      <c r="B1153" s="4" t="str">
        <v>80 TP TH</v>
      </c>
      <c r="C1153" s="4" t="str">
        <v>DV_Cắt_Vip</v>
      </c>
      <c r="D1153" s="4">
        <v>1047</v>
      </c>
      <c r="E1153" s="4" t="str">
        <v>Cắt Gội Combo 3 - Chăm da</v>
      </c>
      <c r="F1153" s="21">
        <v>308000</v>
      </c>
      <c r="G1153" s="21">
        <v>329000</v>
      </c>
      <c r="H1153" s="21">
        <v>315000</v>
      </c>
      <c r="I1153" s="4">
        <f>A1153&amp;D1153</f>
      </c>
      <c r="J1153" s="4">
        <f>VLOOKUP(I1153,#REF!,2,0)</f>
      </c>
      <c r="K1153" s="4"/>
      <c r="L1153" s="4"/>
      <c r="M1153" s="4"/>
      <c r="N1153" s="4"/>
      <c r="O1153" s="4"/>
      <c r="P1153" s="4"/>
      <c r="Q1153" s="4"/>
      <c r="R1153" s="4"/>
      <c r="S1153" s="4"/>
    </row>
    <row r="1154">
      <c r="A1154" s="4">
        <v>232</v>
      </c>
      <c r="B1154" s="4" t="str">
        <v>80 TP TH</v>
      </c>
      <c r="C1154" s="4" t="str">
        <v>DV_Cắt_Vip</v>
      </c>
      <c r="D1154" s="4">
        <v>1048</v>
      </c>
      <c r="E1154" s="4" t="str">
        <v>Combo 4</v>
      </c>
      <c r="F1154" s="21">
        <v>398000</v>
      </c>
      <c r="G1154" s="21">
        <v>425000</v>
      </c>
      <c r="H1154" s="21">
        <v>405000</v>
      </c>
      <c r="I1154" s="4">
        <f>A1154&amp;D1154</f>
      </c>
      <c r="J1154" s="4">
        <f>VLOOKUP(I1154,#REF!,2,0)</f>
      </c>
      <c r="K1154" s="4"/>
      <c r="L1154" s="4"/>
      <c r="M1154" s="4"/>
      <c r="N1154" s="4"/>
      <c r="O1154" s="4"/>
      <c r="P1154" s="4"/>
      <c r="Q1154" s="4"/>
      <c r="R1154" s="4"/>
      <c r="S1154" s="4"/>
    </row>
    <row r="1155">
      <c r="A1155" s="4">
        <v>232</v>
      </c>
      <c r="B1155" s="4" t="str">
        <v>80 TP TH</v>
      </c>
      <c r="C1155" s="4" t="str">
        <v>DV_Cắt_Vip</v>
      </c>
      <c r="D1155" s="4">
        <v>1064</v>
      </c>
      <c r="E1155" s="4" t="str">
        <v>Cắt Gội Combo 5 - Dưỡng sinh</v>
      </c>
      <c r="F1155" s="21">
        <v>459000</v>
      </c>
      <c r="G1155" s="21">
        <v>490000</v>
      </c>
      <c r="H1155" s="21">
        <v>466000</v>
      </c>
      <c r="I1155" s="4">
        <f>A1155&amp;D1155</f>
      </c>
      <c r="J1155" s="4">
        <f>VLOOKUP(I1155,#REF!,2,0)</f>
      </c>
      <c r="K1155" s="4"/>
      <c r="L1155" s="4"/>
      <c r="M1155" s="4"/>
      <c r="N1155" s="4"/>
      <c r="O1155" s="4"/>
      <c r="P1155" s="4"/>
      <c r="Q1155" s="4"/>
      <c r="R1155" s="4"/>
      <c r="S1155" s="4"/>
    </row>
    <row r="1156">
      <c r="A1156" s="4">
        <v>232</v>
      </c>
      <c r="B1156" s="4" t="str">
        <v>80 TP TH</v>
      </c>
      <c r="C1156" s="4" t="str">
        <v>DV_Cắt_Vip</v>
      </c>
      <c r="D1156" s="4">
        <v>1065</v>
      </c>
      <c r="E1156" s="4" t="str">
        <v>Cắt Gội Combo 3 - Dưỡng sinh</v>
      </c>
      <c r="F1156" s="21">
        <v>308000</v>
      </c>
      <c r="G1156" s="21">
        <v>329000</v>
      </c>
      <c r="H1156" s="21">
        <v>315000</v>
      </c>
      <c r="I1156" s="4">
        <f>A1156&amp;D1156</f>
      </c>
      <c r="J1156" s="4">
        <f>VLOOKUP(I1156,#REF!,2,0)</f>
      </c>
      <c r="K1156" s="4"/>
      <c r="L1156" s="4"/>
      <c r="M1156" s="4"/>
      <c r="N1156" s="4"/>
      <c r="O1156" s="4"/>
      <c r="P1156" s="4"/>
      <c r="Q1156" s="4"/>
      <c r="R1156" s="4"/>
      <c r="S1156" s="4"/>
    </row>
    <row r="1157">
      <c r="A1157" s="4">
        <v>232</v>
      </c>
      <c r="B1157" s="4" t="str">
        <v>80 TP TH</v>
      </c>
      <c r="C1157" s="4" t="str">
        <v>DV_Cắt_Vip</v>
      </c>
      <c r="D1157" s="4">
        <v>1256</v>
      </c>
      <c r="E1157" s="4" t="str">
        <v>VH Cắt gội dưỡng sinh Vip LRT</v>
      </c>
      <c r="F1157" s="21">
        <v>308000</v>
      </c>
      <c r="G1157" s="21">
        <v>329000</v>
      </c>
      <c r="H1157" s="21">
        <v>315000</v>
      </c>
      <c r="I1157" s="4">
        <f>A1157&amp;D1157</f>
      </c>
      <c r="J1157" s="4">
        <f>VLOOKUP(I1157,#REF!,2,0)</f>
      </c>
      <c r="K1157" s="4"/>
      <c r="L1157" s="4"/>
      <c r="M1157" s="4"/>
      <c r="N1157" s="4"/>
      <c r="O1157" s="4"/>
      <c r="P1157" s="4"/>
      <c r="Q1157" s="4"/>
      <c r="R1157" s="4"/>
      <c r="S1157" s="4"/>
    </row>
    <row r="1158">
      <c r="A1158" s="4">
        <v>232</v>
      </c>
      <c r="B1158" s="4" t="str">
        <v>80 TP TH</v>
      </c>
      <c r="C1158" s="4" t="str">
        <v>DV_Cắt_Vip</v>
      </c>
      <c r="D1158" s="4">
        <v>1257</v>
      </c>
      <c r="E1158" s="4" t="str">
        <v>VH Cắt gội thư giãn phục hồi</v>
      </c>
      <c r="F1158" s="21">
        <v>458000</v>
      </c>
      <c r="G1158" s="21">
        <v>489000</v>
      </c>
      <c r="H1158" s="21">
        <v>465000</v>
      </c>
      <c r="I1158" s="4">
        <f>A1158&amp;D1158</f>
      </c>
      <c r="J1158" s="4">
        <f>VLOOKUP(I1158,#REF!,2,0)</f>
      </c>
      <c r="K1158" s="4"/>
      <c r="L1158" s="4"/>
      <c r="M1158" s="4"/>
      <c r="N1158" s="4"/>
      <c r="O1158" s="4"/>
      <c r="P1158" s="4"/>
      <c r="Q1158" s="4"/>
      <c r="R1158" s="4"/>
      <c r="S1158" s="4"/>
    </row>
    <row r="1159">
      <c r="A1159" s="4">
        <v>232</v>
      </c>
      <c r="B1159" s="4" t="str">
        <v>80 TP TH</v>
      </c>
      <c r="C1159" s="4" t="str">
        <v>DV_Gội</v>
      </c>
      <c r="D1159" s="4">
        <v>867</v>
      </c>
      <c r="E1159" s="4" t="str">
        <v>Gội dưỡng sinh cổ vai gáy</v>
      </c>
      <c r="F1159" s="21">
        <v>99000</v>
      </c>
      <c r="G1159" s="21">
        <v>106000</v>
      </c>
      <c r="H1159" s="21">
        <v>106000</v>
      </c>
      <c r="I1159" s="4">
        <f>A1159&amp;D1159</f>
      </c>
      <c r="J1159" s="4">
        <v>106000</v>
      </c>
      <c r="K1159" s="4"/>
      <c r="L1159" s="4"/>
      <c r="M1159" s="4"/>
      <c r="N1159" s="4"/>
      <c r="O1159" s="4"/>
      <c r="P1159" s="4"/>
      <c r="Q1159" s="4"/>
      <c r="R1159" s="4"/>
      <c r="S1159" s="4"/>
    </row>
    <row r="1160">
      <c r="A1160" s="4">
        <v>232</v>
      </c>
      <c r="B1160" s="4" t="str">
        <v>80 TP TH</v>
      </c>
      <c r="C1160" s="4" t="str">
        <v>DV_Gội</v>
      </c>
      <c r="D1160" s="4">
        <v>930</v>
      </c>
      <c r="E1160" s="4" t="str">
        <v>[NEW] Gội dưỡng sinh cổ vai gáy và chăm sóc da</v>
      </c>
      <c r="F1160" s="21">
        <v>139000</v>
      </c>
      <c r="G1160" s="21">
        <v>148000</v>
      </c>
      <c r="H1160" s="21">
        <v>146000</v>
      </c>
      <c r="I1160" s="4">
        <f>A1160&amp;D1160</f>
      </c>
      <c r="J1160" s="4">
        <f>VLOOKUP(I1160,#REF!,2,0)</f>
      </c>
      <c r="K1160" s="4"/>
      <c r="L1160" s="4"/>
      <c r="M1160" s="4"/>
      <c r="N1160" s="4"/>
      <c r="O1160" s="4"/>
      <c r="P1160" s="4"/>
      <c r="Q1160" s="4"/>
      <c r="R1160" s="4"/>
      <c r="S1160" s="4"/>
    </row>
    <row r="1161">
      <c r="A1161" s="4">
        <v>232</v>
      </c>
      <c r="B1161" s="4" t="str">
        <v>80 TP TH</v>
      </c>
      <c r="C1161" s="4" t="str">
        <v>DV_Gội</v>
      </c>
      <c r="D1161" s="4">
        <v>934</v>
      </c>
      <c r="E1161" s="4" t="str">
        <v>Gội combo 3 - Dưỡng sinh</v>
      </c>
      <c r="F1161" s="21">
        <v>229000</v>
      </c>
      <c r="G1161" s="21">
        <v>245000</v>
      </c>
      <c r="H1161" s="21">
        <v>236000</v>
      </c>
      <c r="I1161" s="4">
        <f>A1161&amp;D1161</f>
      </c>
      <c r="J1161" s="4">
        <f>VLOOKUP(I1161,#REF!,2,0)</f>
      </c>
      <c r="K1161" s="4"/>
      <c r="L1161" s="4"/>
      <c r="M1161" s="4"/>
      <c r="N1161" s="4"/>
      <c r="O1161" s="4"/>
      <c r="P1161" s="4"/>
      <c r="Q1161" s="4"/>
      <c r="R1161" s="4"/>
      <c r="S1161" s="4"/>
    </row>
    <row r="1162">
      <c r="A1162" s="4">
        <v>232</v>
      </c>
      <c r="B1162" s="4" t="str">
        <v>80 TP TH</v>
      </c>
      <c r="C1162" s="4" t="str">
        <v>DV_Gội</v>
      </c>
      <c r="D1162" s="4">
        <v>940</v>
      </c>
      <c r="E1162" s="4" t="str">
        <v>[NEW] Gội dưỡng sinh</v>
      </c>
      <c r="F1162" s="21">
        <v>59000</v>
      </c>
      <c r="G1162" s="21">
        <v>63000</v>
      </c>
      <c r="H1162" s="21">
        <v>63000</v>
      </c>
      <c r="I1162" s="4">
        <f>A1162&amp;D1162</f>
      </c>
      <c r="J1162" s="4">
        <v>63000</v>
      </c>
      <c r="K1162" s="4"/>
      <c r="L1162" s="4"/>
      <c r="M1162" s="4"/>
      <c r="N1162" s="4"/>
      <c r="O1162" s="4"/>
      <c r="P1162" s="4"/>
      <c r="Q1162" s="4"/>
      <c r="R1162" s="4"/>
      <c r="S1162" s="4"/>
    </row>
    <row r="1163">
      <c r="A1163" s="4">
        <v>232</v>
      </c>
      <c r="B1163" s="4" t="str">
        <v>80 TP TH</v>
      </c>
      <c r="C1163" s="4" t="str">
        <v>DV_Gội</v>
      </c>
      <c r="D1163" s="4">
        <v>1058</v>
      </c>
      <c r="E1163" s="4" t="str">
        <v>Gội Combo 2</v>
      </c>
      <c r="F1163" s="21">
        <v>159000</v>
      </c>
      <c r="G1163" s="21">
        <v>170000</v>
      </c>
      <c r="H1163" s="21">
        <v>164000</v>
      </c>
      <c r="I1163" s="4">
        <f>A1163&amp;D1163</f>
      </c>
      <c r="J1163" s="4">
        <f>VLOOKUP(I1163,#REF!,2,0)</f>
      </c>
      <c r="K1163" s="4"/>
      <c r="L1163" s="4"/>
      <c r="M1163" s="4"/>
      <c r="N1163" s="4"/>
      <c r="O1163" s="4"/>
      <c r="P1163" s="4"/>
      <c r="Q1163" s="4"/>
      <c r="R1163" s="4"/>
      <c r="S1163" s="4"/>
    </row>
    <row r="1164">
      <c r="A1164" s="4">
        <v>232</v>
      </c>
      <c r="B1164" s="4" t="str">
        <v>80 TP TH</v>
      </c>
      <c r="C1164" s="4" t="str">
        <v>DV_Gội</v>
      </c>
      <c r="D1164" s="4">
        <v>1059</v>
      </c>
      <c r="E1164" s="4" t="str">
        <v>Gội Combo 3 - Chăm da</v>
      </c>
      <c r="F1164" s="21">
        <v>219000</v>
      </c>
      <c r="G1164" s="21">
        <v>234000</v>
      </c>
      <c r="H1164" s="21">
        <v>226000</v>
      </c>
      <c r="I1164" s="4">
        <f>A1164&amp;D1164</f>
      </c>
      <c r="J1164" s="4">
        <f>VLOOKUP(I1164,#REF!,2,0)</f>
      </c>
      <c r="K1164" s="4"/>
      <c r="L1164" s="4"/>
      <c r="M1164" s="4"/>
      <c r="N1164" s="4"/>
      <c r="O1164" s="4"/>
      <c r="P1164" s="4"/>
      <c r="Q1164" s="4"/>
      <c r="R1164" s="4"/>
      <c r="S1164" s="4"/>
    </row>
    <row r="1165">
      <c r="A1165" s="4">
        <v>232</v>
      </c>
      <c r="B1165" s="4" t="str">
        <v>80 TP TH</v>
      </c>
      <c r="C1165" s="4" t="str">
        <v>DV_Gội</v>
      </c>
      <c r="D1165" s="4">
        <v>1060</v>
      </c>
      <c r="E1165" s="4" t="str">
        <v>Gội Combo 4</v>
      </c>
      <c r="F1165" s="21">
        <v>289000</v>
      </c>
      <c r="G1165" s="21">
        <v>309000</v>
      </c>
      <c r="H1165" s="21">
        <v>296000</v>
      </c>
      <c r="I1165" s="4">
        <f>A1165&amp;D1165</f>
      </c>
      <c r="J1165" s="4">
        <f>VLOOKUP(I1165,#REF!,2,0)</f>
      </c>
      <c r="K1165" s="4"/>
      <c r="L1165" s="4"/>
      <c r="M1165" s="4"/>
      <c r="N1165" s="4"/>
      <c r="O1165" s="4"/>
      <c r="P1165" s="4"/>
      <c r="Q1165" s="4"/>
      <c r="R1165" s="4"/>
      <c r="S1165" s="4"/>
    </row>
    <row r="1166">
      <c r="A1166" s="4">
        <v>232</v>
      </c>
      <c r="B1166" s="4" t="str">
        <v>80 TP TH</v>
      </c>
      <c r="C1166" s="4" t="str">
        <v>DV_Gội</v>
      </c>
      <c r="D1166" s="4">
        <v>1066</v>
      </c>
      <c r="E1166" s="4" t="str">
        <v>Gội trải nghiệm 75p</v>
      </c>
      <c r="F1166" s="21">
        <v>589000</v>
      </c>
      <c r="G1166" s="21">
        <v>629000</v>
      </c>
      <c r="H1166" s="21">
        <v>599000</v>
      </c>
      <c r="I1166" s="4">
        <f>A1166&amp;D1166</f>
      </c>
      <c r="J1166" s="4">
        <f>VLOOKUP(I1166,#REF!,2,0)</f>
      </c>
      <c r="K1166" s="4"/>
      <c r="L1166" s="4"/>
      <c r="M1166" s="4"/>
      <c r="N1166" s="4"/>
      <c r="O1166" s="4"/>
      <c r="P1166" s="4"/>
      <c r="Q1166" s="4"/>
      <c r="R1166" s="4"/>
      <c r="S1166" s="4"/>
    </row>
    <row r="1167">
      <c r="A1167" s="4">
        <v>232</v>
      </c>
      <c r="B1167" s="4" t="str">
        <v>80 TP TH</v>
      </c>
      <c r="C1167" s="4" t="str">
        <v>DV_Gội</v>
      </c>
      <c r="D1167" s="4">
        <v>1067</v>
      </c>
      <c r="E1167" s="4" t="str">
        <v>Gội trải nghiệm 90p</v>
      </c>
      <c r="F1167" s="21">
        <v>789000</v>
      </c>
      <c r="G1167" s="21">
        <v>843000</v>
      </c>
      <c r="H1167" s="21">
        <v>799000</v>
      </c>
      <c r="I1167" s="4">
        <f>A1167&amp;D1167</f>
      </c>
      <c r="J1167" s="4">
        <f>VLOOKUP(I1167,#REF!,2,0)</f>
      </c>
      <c r="K1167" s="4"/>
      <c r="L1167" s="4"/>
      <c r="M1167" s="4"/>
      <c r="N1167" s="4"/>
      <c r="O1167" s="4"/>
      <c r="P1167" s="4"/>
      <c r="Q1167" s="4"/>
      <c r="R1167" s="4"/>
      <c r="S1167" s="4"/>
    </row>
    <row r="1168">
      <c r="A1168" s="4">
        <v>232</v>
      </c>
      <c r="B1168" s="4" t="str">
        <v>80 TP TH</v>
      </c>
      <c r="C1168" s="4" t="str">
        <v>DV_Gội</v>
      </c>
      <c r="D1168" s="4">
        <v>1068</v>
      </c>
      <c r="E1168" s="4" t="str">
        <v>Gội trải nghiệm 115p</v>
      </c>
      <c r="F1168" s="21">
        <v>999000</v>
      </c>
      <c r="G1168" s="21">
        <v>1067000</v>
      </c>
      <c r="H1168" s="21">
        <v>999000</v>
      </c>
      <c r="I1168" s="4">
        <f>A1168&amp;D1168</f>
      </c>
      <c r="J1168" s="4">
        <f>VLOOKUP(I1168,#REF!,2,0)</f>
      </c>
      <c r="K1168" s="4"/>
      <c r="L1168" s="4"/>
      <c r="M1168" s="4"/>
      <c r="N1168" s="4"/>
      <c r="O1168" s="4"/>
      <c r="P1168" s="4"/>
      <c r="Q1168" s="4"/>
      <c r="R1168" s="4"/>
      <c r="S1168" s="4"/>
    </row>
    <row r="1169">
      <c r="A1169" s="4">
        <v>232</v>
      </c>
      <c r="B1169" s="4" t="str">
        <v>80 TP TH</v>
      </c>
      <c r="C1169" s="4" t="str">
        <v>DV_Gội</v>
      </c>
      <c r="D1169" s="4">
        <v>1258</v>
      </c>
      <c r="E1169" s="4" t="str">
        <v>VH Gội Vip Dưỡng Sinh</v>
      </c>
      <c r="F1169" s="21">
        <v>199000</v>
      </c>
      <c r="G1169" s="21">
        <v>213000</v>
      </c>
      <c r="H1169" s="21">
        <v>206000</v>
      </c>
      <c r="I1169" s="4">
        <f>A1169&amp;D1169</f>
      </c>
      <c r="J1169" s="4">
        <f>VLOOKUP(I1169,#REF!,2,0)</f>
      </c>
      <c r="K1169" s="4"/>
      <c r="L1169" s="4"/>
      <c r="M1169" s="4"/>
      <c r="N1169" s="4"/>
      <c r="O1169" s="4"/>
      <c r="P1169" s="4"/>
      <c r="Q1169" s="4"/>
      <c r="R1169" s="4"/>
      <c r="S1169" s="4"/>
    </row>
    <row r="1170">
      <c r="A1170" s="4">
        <v>232</v>
      </c>
      <c r="B1170" s="4" t="str">
        <v>80 TP TH</v>
      </c>
      <c r="C1170" s="4" t="str">
        <v>DV_Gội</v>
      </c>
      <c r="D1170" s="4">
        <v>1259</v>
      </c>
      <c r="E1170" s="4" t="str">
        <v>VH Gội Vip Dưỡng Sinh LRT</v>
      </c>
      <c r="F1170" s="21">
        <v>259000</v>
      </c>
      <c r="G1170" s="21">
        <v>277000</v>
      </c>
      <c r="H1170" s="21">
        <v>266000</v>
      </c>
      <c r="I1170" s="4">
        <f>A1170&amp;D1170</f>
      </c>
      <c r="J1170" s="4">
        <f>VLOOKUP(I1170,#REF!,2,0)</f>
      </c>
      <c r="K1170" s="4"/>
      <c r="L1170" s="4"/>
      <c r="M1170" s="4"/>
      <c r="N1170" s="4"/>
      <c r="O1170" s="4"/>
      <c r="P1170" s="4"/>
      <c r="Q1170" s="4"/>
      <c r="R1170" s="4"/>
      <c r="S1170" s="4"/>
    </row>
    <row r="1171">
      <c r="A1171" s="4">
        <v>232</v>
      </c>
      <c r="B1171" s="4" t="str">
        <v>80 TP TH</v>
      </c>
      <c r="C1171" s="4" t="str">
        <v>DV_Gội</v>
      </c>
      <c r="D1171" s="4">
        <v>1260</v>
      </c>
      <c r="E1171" s="4" t="str">
        <v>VH Combo Gội Dưỡng Sinh Phục Hồi</v>
      </c>
      <c r="F1171" s="21">
        <v>399000</v>
      </c>
      <c r="G1171" s="21">
        <v>426000</v>
      </c>
      <c r="H1171" s="21">
        <v>406000</v>
      </c>
      <c r="I1171" s="4">
        <f>A1171&amp;D1171</f>
      </c>
      <c r="J1171" s="4">
        <f>VLOOKUP(I1171,#REF!,2,0)</f>
      </c>
      <c r="K1171" s="4"/>
      <c r="L1171" s="4"/>
      <c r="M1171" s="4"/>
      <c r="N1171" s="4"/>
      <c r="O1171" s="4"/>
      <c r="P1171" s="4"/>
      <c r="Q1171" s="4"/>
      <c r="R1171" s="4"/>
      <c r="S1171" s="4"/>
    </row>
    <row r="1172">
      <c r="A1172" s="4">
        <v>194</v>
      </c>
      <c r="B1172" s="4" t="str">
        <v>90 NH</v>
      </c>
      <c r="C1172" s="4" t="str">
        <v>DV_Cắt</v>
      </c>
      <c r="D1172" s="4">
        <v>513</v>
      </c>
      <c r="E1172" s="4" t="str">
        <v>[DV] ShineCombo 10 bước Ultra Care 2023</v>
      </c>
      <c r="F1172" s="21">
        <v>122000</v>
      </c>
      <c r="G1172" s="21">
        <v>122000</v>
      </c>
      <c r="H1172" s="21">
        <v>122000</v>
      </c>
      <c r="I1172" s="4">
        <f>A1172&amp;D1172</f>
      </c>
      <c r="J1172" s="4">
        <v>122000</v>
      </c>
      <c r="K1172" s="4"/>
      <c r="L1172" s="4"/>
      <c r="M1172" s="4"/>
      <c r="N1172" s="4"/>
      <c r="O1172" s="4"/>
      <c r="P1172" s="4"/>
      <c r="Q1172" s="4"/>
      <c r="R1172" s="4"/>
      <c r="S1172" s="4"/>
    </row>
    <row r="1173">
      <c r="A1173" s="4">
        <v>194</v>
      </c>
      <c r="B1173" s="4" t="str">
        <v>90 NH</v>
      </c>
      <c r="C1173" s="4" t="str">
        <v>DV_Cắt</v>
      </c>
      <c r="D1173" s="4">
        <v>891</v>
      </c>
      <c r="E1173" s="4" t="str">
        <v>Cắt xả tạo kiểu</v>
      </c>
      <c r="F1173" s="21">
        <v>94000</v>
      </c>
      <c r="G1173" s="21">
        <v>100000</v>
      </c>
      <c r="H1173" s="21">
        <v>100000</v>
      </c>
      <c r="I1173" s="4">
        <f>A1173&amp;D1173</f>
      </c>
      <c r="J1173" s="4">
        <v>100000</v>
      </c>
      <c r="K1173" s="4"/>
      <c r="L1173" s="4"/>
      <c r="M1173" s="4"/>
      <c r="N1173" s="4"/>
      <c r="O1173" s="4"/>
      <c r="P1173" s="4"/>
      <c r="Q1173" s="4"/>
      <c r="R1173" s="4"/>
      <c r="S1173" s="4"/>
    </row>
    <row r="1174">
      <c r="A1174" s="4">
        <v>194</v>
      </c>
      <c r="B1174" s="4" t="str">
        <v>90 NH</v>
      </c>
      <c r="C1174" s="4" t="str">
        <v>DV_Cắt</v>
      </c>
      <c r="D1174" s="4">
        <v>1002</v>
      </c>
      <c r="E1174" s="4" t="str">
        <v>Kid Cắt</v>
      </c>
      <c r="F1174" s="21">
        <v>75000</v>
      </c>
      <c r="G1174" s="21">
        <v>80000</v>
      </c>
      <c r="H1174" s="21">
        <v>80000</v>
      </c>
      <c r="I1174" s="4">
        <f>A1174&amp;D1174</f>
      </c>
      <c r="J1174" s="4">
        <v>80000</v>
      </c>
      <c r="K1174" s="4"/>
      <c r="L1174" s="4"/>
      <c r="M1174" s="4"/>
      <c r="N1174" s="4"/>
      <c r="O1174" s="4"/>
      <c r="P1174" s="4"/>
      <c r="Q1174" s="4"/>
      <c r="R1174" s="4"/>
      <c r="S1174" s="4"/>
    </row>
    <row r="1175">
      <c r="A1175" s="4">
        <v>194</v>
      </c>
      <c r="B1175" s="4" t="str">
        <v>90 NH</v>
      </c>
      <c r="C1175" s="4" t="str">
        <v>DV_Cắt</v>
      </c>
      <c r="D1175" s="4">
        <v>1070</v>
      </c>
      <c r="E1175" s="4" t="str">
        <v>Combo Cắt gội Kid</v>
      </c>
      <c r="F1175" s="21">
        <v>100000</v>
      </c>
      <c r="G1175" s="21">
        <v>106000</v>
      </c>
      <c r="H1175" s="21">
        <v>106000</v>
      </c>
      <c r="I1175" s="4">
        <f>A1175&amp;D1175</f>
      </c>
      <c r="J1175" s="4">
        <v>106000</v>
      </c>
      <c r="K1175" s="4"/>
      <c r="L1175" s="4"/>
      <c r="M1175" s="4"/>
      <c r="N1175" s="4"/>
      <c r="O1175" s="4"/>
      <c r="P1175" s="4"/>
      <c r="Q1175" s="4"/>
      <c r="R1175" s="4"/>
      <c r="S1175" s="4"/>
    </row>
    <row r="1176">
      <c r="A1176" s="4">
        <v>194</v>
      </c>
      <c r="B1176" s="4" t="str">
        <v>90 NH</v>
      </c>
      <c r="C1176" s="4" t="str">
        <v>DV_Cắt_Vip</v>
      </c>
      <c r="D1176" s="4">
        <v>1046</v>
      </c>
      <c r="E1176" s="4" t="str">
        <v>Shinecombo 2</v>
      </c>
      <c r="F1176" s="21">
        <v>199000</v>
      </c>
      <c r="G1176" s="21">
        <v>212000</v>
      </c>
      <c r="H1176" s="21">
        <v>212000</v>
      </c>
      <c r="I1176" s="4">
        <f>A1176&amp;D1176</f>
      </c>
      <c r="J1176" s="4">
        <v>212000</v>
      </c>
      <c r="K1176" s="4"/>
      <c r="L1176" s="4"/>
      <c r="M1176" s="4"/>
      <c r="N1176" s="4"/>
      <c r="O1176" s="4"/>
      <c r="P1176" s="4"/>
      <c r="Q1176" s="4"/>
      <c r="R1176" s="4"/>
      <c r="S1176" s="4"/>
    </row>
    <row r="1177">
      <c r="A1177" s="4">
        <v>194</v>
      </c>
      <c r="B1177" s="4" t="str">
        <v>90 NH</v>
      </c>
      <c r="C1177" s="4" t="str">
        <v>DV_Cắt_Vip</v>
      </c>
      <c r="D1177" s="4">
        <v>1047</v>
      </c>
      <c r="E1177" s="4" t="str">
        <v>Cắt Gội Combo 3 - Chăm da</v>
      </c>
      <c r="F1177" s="21">
        <v>299000</v>
      </c>
      <c r="G1177" s="21">
        <v>318000</v>
      </c>
      <c r="H1177" s="21">
        <v>318000</v>
      </c>
      <c r="I1177" s="4">
        <f>A1177&amp;D1177</f>
      </c>
      <c r="J1177" s="4">
        <v>318000</v>
      </c>
      <c r="K1177" s="4"/>
      <c r="L1177" s="4"/>
      <c r="M1177" s="4"/>
      <c r="N1177" s="4"/>
      <c r="O1177" s="4"/>
      <c r="P1177" s="4"/>
      <c r="Q1177" s="4"/>
      <c r="R1177" s="4"/>
      <c r="S1177" s="4"/>
    </row>
    <row r="1178">
      <c r="A1178" s="4">
        <v>194</v>
      </c>
      <c r="B1178" s="4" t="str">
        <v>90 NH</v>
      </c>
      <c r="C1178" s="4" t="str">
        <v>DV_Cắt_Vip</v>
      </c>
      <c r="D1178" s="4">
        <v>1048</v>
      </c>
      <c r="E1178" s="4" t="str">
        <v>Combo 4</v>
      </c>
      <c r="F1178" s="21">
        <v>389000</v>
      </c>
      <c r="G1178" s="21">
        <v>414000</v>
      </c>
      <c r="H1178" s="21">
        <v>414000</v>
      </c>
      <c r="I1178" s="4">
        <f>A1178&amp;D1178</f>
      </c>
      <c r="J1178" s="4">
        <v>414000</v>
      </c>
      <c r="K1178" s="4"/>
      <c r="L1178" s="4"/>
      <c r="M1178" s="4"/>
      <c r="N1178" s="4"/>
      <c r="O1178" s="4"/>
      <c r="P1178" s="4"/>
      <c r="Q1178" s="4"/>
      <c r="R1178" s="4"/>
      <c r="S1178" s="4"/>
    </row>
    <row r="1179">
      <c r="A1179" s="4">
        <v>194</v>
      </c>
      <c r="B1179" s="4" t="str">
        <v>90 NH</v>
      </c>
      <c r="C1179" s="4" t="str">
        <v>DV_Cắt_Vip</v>
      </c>
      <c r="D1179" s="4">
        <v>1064</v>
      </c>
      <c r="E1179" s="4" t="str">
        <v>Cắt Gội Combo 5 - Dưỡng sinh</v>
      </c>
      <c r="F1179" s="21">
        <v>459000</v>
      </c>
      <c r="G1179" s="21">
        <v>488000</v>
      </c>
      <c r="H1179" s="21">
        <v>488000</v>
      </c>
      <c r="I1179" s="4">
        <f>A1179&amp;D1179</f>
      </c>
      <c r="J1179" s="4">
        <v>488000</v>
      </c>
      <c r="K1179" s="4"/>
      <c r="L1179" s="4"/>
      <c r="M1179" s="4"/>
      <c r="N1179" s="4"/>
      <c r="O1179" s="4"/>
      <c r="P1179" s="4"/>
      <c r="Q1179" s="4"/>
      <c r="R1179" s="4"/>
      <c r="S1179" s="4"/>
    </row>
    <row r="1180">
      <c r="A1180" s="4">
        <v>194</v>
      </c>
      <c r="B1180" s="4" t="str">
        <v>90 NH</v>
      </c>
      <c r="C1180" s="4" t="str">
        <v>DV_Cắt_Vip</v>
      </c>
      <c r="D1180" s="4">
        <v>1065</v>
      </c>
      <c r="E1180" s="4" t="str">
        <v>Cắt Gội Combo 3 - Dưỡng sinh</v>
      </c>
      <c r="F1180" s="21">
        <v>299000</v>
      </c>
      <c r="G1180" s="21">
        <v>318000</v>
      </c>
      <c r="H1180" s="21">
        <v>318000</v>
      </c>
      <c r="I1180" s="4">
        <f>A1180&amp;D1180</f>
      </c>
      <c r="J1180" s="4">
        <v>318000</v>
      </c>
      <c r="K1180" s="4"/>
      <c r="L1180" s="4"/>
      <c r="M1180" s="4"/>
      <c r="N1180" s="4"/>
      <c r="O1180" s="4"/>
      <c r="P1180" s="4"/>
      <c r="Q1180" s="4"/>
      <c r="R1180" s="4"/>
      <c r="S1180" s="4"/>
    </row>
    <row r="1181">
      <c r="A1181" s="4">
        <v>194</v>
      </c>
      <c r="B1181" s="4" t="str">
        <v>90 NH</v>
      </c>
      <c r="C1181" s="4" t="str">
        <v>DV_Gội</v>
      </c>
      <c r="D1181" s="4">
        <v>867</v>
      </c>
      <c r="E1181" s="4" t="str">
        <v>Gội dưỡng sinh cổ vai gáy</v>
      </c>
      <c r="F1181" s="21">
        <v>99000</v>
      </c>
      <c r="G1181" s="21">
        <v>105000</v>
      </c>
      <c r="H1181" s="21">
        <v>105000</v>
      </c>
      <c r="I1181" s="4">
        <f>A1181&amp;D1181</f>
      </c>
      <c r="J1181" s="4">
        <v>105000</v>
      </c>
      <c r="K1181" s="4"/>
      <c r="L1181" s="4"/>
      <c r="M1181" s="4"/>
      <c r="N1181" s="4"/>
      <c r="O1181" s="4"/>
      <c r="P1181" s="4"/>
      <c r="Q1181" s="4"/>
      <c r="R1181" s="4"/>
      <c r="S1181" s="4"/>
    </row>
    <row r="1182">
      <c r="A1182" s="4">
        <v>194</v>
      </c>
      <c r="B1182" s="4" t="str">
        <v>90 NH</v>
      </c>
      <c r="C1182" s="4" t="str">
        <v>DV_Gội</v>
      </c>
      <c r="D1182" s="4">
        <v>930</v>
      </c>
      <c r="E1182" s="4" t="str">
        <v>[NEW] Gội dưỡng sinh cổ vai gáy và chăm sóc da</v>
      </c>
      <c r="F1182" s="21">
        <v>139000</v>
      </c>
      <c r="G1182" s="21">
        <v>148000</v>
      </c>
      <c r="H1182" s="21">
        <v>148000</v>
      </c>
      <c r="I1182" s="4">
        <f>A1182&amp;D1182</f>
      </c>
      <c r="J1182" s="4">
        <v>148000</v>
      </c>
      <c r="K1182" s="4"/>
      <c r="L1182" s="4"/>
      <c r="M1182" s="4"/>
      <c r="N1182" s="4"/>
      <c r="O1182" s="4"/>
      <c r="P1182" s="4"/>
      <c r="Q1182" s="4"/>
      <c r="R1182" s="4"/>
      <c r="S1182" s="4"/>
    </row>
    <row r="1183">
      <c r="A1183" s="4">
        <v>194</v>
      </c>
      <c r="B1183" s="4" t="str">
        <v>90 NH</v>
      </c>
      <c r="C1183" s="4" t="str">
        <v>DV_Gội</v>
      </c>
      <c r="D1183" s="4">
        <v>934</v>
      </c>
      <c r="E1183" s="4" t="str">
        <v>Gội combo 3 - Dưỡng sinh</v>
      </c>
      <c r="F1183" s="21">
        <v>229000</v>
      </c>
      <c r="G1183" s="21">
        <v>244000</v>
      </c>
      <c r="H1183" s="21">
        <v>244000</v>
      </c>
      <c r="I1183" s="4">
        <f>A1183&amp;D1183</f>
      </c>
      <c r="J1183" s="4">
        <v>244000</v>
      </c>
      <c r="K1183" s="4"/>
      <c r="L1183" s="4"/>
      <c r="M1183" s="4"/>
      <c r="N1183" s="4"/>
      <c r="O1183" s="4"/>
      <c r="P1183" s="4"/>
      <c r="Q1183" s="4"/>
      <c r="R1183" s="4"/>
      <c r="S1183" s="4"/>
    </row>
    <row r="1184">
      <c r="A1184" s="4">
        <v>194</v>
      </c>
      <c r="B1184" s="4" t="str">
        <v>90 NH</v>
      </c>
      <c r="C1184" s="4" t="str">
        <v>DV_Gội</v>
      </c>
      <c r="D1184" s="4">
        <v>940</v>
      </c>
      <c r="E1184" s="4" t="str">
        <v>[NEW] Gội dưỡng sinh</v>
      </c>
      <c r="F1184" s="21">
        <v>59000</v>
      </c>
      <c r="G1184" s="21">
        <v>63000</v>
      </c>
      <c r="H1184" s="21">
        <v>63000</v>
      </c>
      <c r="I1184" s="4">
        <f>A1184&amp;D1184</f>
      </c>
      <c r="J1184" s="4">
        <v>63000</v>
      </c>
      <c r="K1184" s="4"/>
      <c r="L1184" s="4"/>
      <c r="M1184" s="4"/>
      <c r="N1184" s="4"/>
      <c r="O1184" s="4"/>
      <c r="P1184" s="4"/>
      <c r="Q1184" s="4"/>
      <c r="R1184" s="4"/>
      <c r="S1184" s="4"/>
    </row>
    <row r="1185">
      <c r="A1185" s="4">
        <v>194</v>
      </c>
      <c r="B1185" s="4" t="str">
        <v>90 NH</v>
      </c>
      <c r="C1185" s="4" t="str">
        <v>DV_Gội</v>
      </c>
      <c r="D1185" s="4">
        <v>1058</v>
      </c>
      <c r="E1185" s="4" t="str">
        <v>Gội Combo 2</v>
      </c>
      <c r="F1185" s="21">
        <v>159000</v>
      </c>
      <c r="G1185" s="21">
        <v>169000</v>
      </c>
      <c r="H1185" s="21">
        <v>169000</v>
      </c>
      <c r="I1185" s="4">
        <f>A1185&amp;D1185</f>
      </c>
      <c r="J1185" s="4">
        <v>169000</v>
      </c>
      <c r="K1185" s="4"/>
      <c r="L1185" s="4"/>
      <c r="M1185" s="4"/>
      <c r="N1185" s="4"/>
      <c r="O1185" s="4"/>
      <c r="P1185" s="4"/>
      <c r="Q1185" s="4"/>
      <c r="R1185" s="4"/>
      <c r="S1185" s="4"/>
    </row>
    <row r="1186">
      <c r="A1186" s="4">
        <v>194</v>
      </c>
      <c r="B1186" s="4" t="str">
        <v>90 NH</v>
      </c>
      <c r="C1186" s="4" t="str">
        <v>DV_Gội</v>
      </c>
      <c r="D1186" s="4">
        <v>1059</v>
      </c>
      <c r="E1186" s="4" t="str">
        <v>Gội Combo 3 - Chăm da</v>
      </c>
      <c r="F1186" s="21">
        <v>239000</v>
      </c>
      <c r="G1186" s="21">
        <v>254000</v>
      </c>
      <c r="H1186" s="21">
        <v>254000</v>
      </c>
      <c r="I1186" s="4">
        <f>A1186&amp;D1186</f>
      </c>
      <c r="J1186" s="4">
        <v>254000</v>
      </c>
      <c r="K1186" s="4"/>
      <c r="L1186" s="4"/>
      <c r="M1186" s="4"/>
      <c r="N1186" s="4"/>
      <c r="O1186" s="4"/>
      <c r="P1186" s="4"/>
      <c r="Q1186" s="4"/>
      <c r="R1186" s="4"/>
      <c r="S1186" s="4"/>
    </row>
    <row r="1187">
      <c r="A1187" s="4">
        <v>194</v>
      </c>
      <c r="B1187" s="4" t="str">
        <v>90 NH</v>
      </c>
      <c r="C1187" s="4" t="str">
        <v>DV_Gội</v>
      </c>
      <c r="D1187" s="4">
        <v>1060</v>
      </c>
      <c r="E1187" s="4" t="str">
        <v>Gội Combo 4</v>
      </c>
      <c r="F1187" s="21">
        <v>289000</v>
      </c>
      <c r="G1187" s="21">
        <v>309000</v>
      </c>
      <c r="H1187" s="21">
        <v>309000</v>
      </c>
      <c r="I1187" s="4">
        <f>A1187&amp;D1187</f>
      </c>
      <c r="J1187" s="4">
        <v>309000</v>
      </c>
      <c r="K1187" s="4"/>
      <c r="L1187" s="4"/>
      <c r="M1187" s="4"/>
      <c r="N1187" s="4"/>
      <c r="O1187" s="4"/>
      <c r="P1187" s="4"/>
      <c r="Q1187" s="4"/>
      <c r="R1187" s="4"/>
      <c r="S1187" s="4"/>
    </row>
    <row r="1188">
      <c r="A1188" s="4">
        <v>194</v>
      </c>
      <c r="B1188" s="4" t="str">
        <v>90 NH</v>
      </c>
      <c r="C1188" s="4" t="str">
        <v>DV_Gội</v>
      </c>
      <c r="D1188" s="4">
        <v>1066</v>
      </c>
      <c r="E1188" s="4" t="str">
        <v>Gội trải nghiệm 75p</v>
      </c>
      <c r="F1188" s="21">
        <v>589000</v>
      </c>
      <c r="G1188" s="21">
        <v>627000</v>
      </c>
      <c r="H1188" s="21">
        <v>627000</v>
      </c>
      <c r="I1188" s="4">
        <f>A1188&amp;D1188</f>
      </c>
      <c r="J1188" s="4">
        <v>627000</v>
      </c>
      <c r="K1188" s="4"/>
      <c r="L1188" s="4"/>
      <c r="M1188" s="4"/>
      <c r="N1188" s="4"/>
      <c r="O1188" s="4"/>
      <c r="P1188" s="4"/>
      <c r="Q1188" s="4"/>
      <c r="R1188" s="4"/>
      <c r="S1188" s="4"/>
    </row>
    <row r="1189">
      <c r="A1189" s="4">
        <v>194</v>
      </c>
      <c r="B1189" s="4" t="str">
        <v>90 NH</v>
      </c>
      <c r="C1189" s="4" t="str">
        <v>DV_Gội</v>
      </c>
      <c r="D1189" s="4">
        <v>1067</v>
      </c>
      <c r="E1189" s="4" t="str">
        <v>Gội trải nghiệm 90p</v>
      </c>
      <c r="F1189" s="21">
        <v>789000</v>
      </c>
      <c r="G1189" s="21">
        <v>839000</v>
      </c>
      <c r="H1189" s="21">
        <v>839000</v>
      </c>
      <c r="I1189" s="4">
        <f>A1189&amp;D1189</f>
      </c>
      <c r="J1189" s="4">
        <v>839000</v>
      </c>
      <c r="K1189" s="4"/>
      <c r="L1189" s="4"/>
      <c r="M1189" s="4"/>
      <c r="N1189" s="4"/>
      <c r="O1189" s="4"/>
      <c r="P1189" s="4"/>
      <c r="Q1189" s="4"/>
      <c r="R1189" s="4"/>
      <c r="S1189" s="4"/>
    </row>
    <row r="1190">
      <c r="A1190" s="4">
        <v>194</v>
      </c>
      <c r="B1190" s="4" t="str">
        <v>90 NH</v>
      </c>
      <c r="C1190" s="4" t="str">
        <v>DV_Gội</v>
      </c>
      <c r="D1190" s="4">
        <v>1068</v>
      </c>
      <c r="E1190" s="4" t="str">
        <v>Gội trải nghiệm 115p</v>
      </c>
      <c r="F1190" s="21">
        <v>999000</v>
      </c>
      <c r="G1190" s="21">
        <v>1063000</v>
      </c>
      <c r="H1190" s="21">
        <v>1063000</v>
      </c>
      <c r="I1190" s="4">
        <f>A1190&amp;D1190</f>
      </c>
      <c r="J1190" s="4">
        <v>1063000</v>
      </c>
      <c r="K1190" s="4"/>
      <c r="L1190" s="4"/>
      <c r="M1190" s="4"/>
      <c r="N1190" s="4"/>
      <c r="O1190" s="4"/>
      <c r="P1190" s="4"/>
      <c r="Q1190" s="4"/>
      <c r="R1190" s="4"/>
      <c r="S1190" s="4"/>
    </row>
    <row r="1191">
      <c r="A1191" s="4">
        <v>194</v>
      </c>
      <c r="B1191" s="4" t="str">
        <v>90 NH</v>
      </c>
      <c r="C1191" s="4" t="str">
        <v>DV_Gội</v>
      </c>
      <c r="D1191" s="4">
        <v>1069</v>
      </c>
      <c r="E1191" s="4" t="str">
        <v>Gội trải nghiệm 140p</v>
      </c>
      <c r="F1191" s="21">
        <v>1199000</v>
      </c>
      <c r="G1191" s="21">
        <v>1276000</v>
      </c>
      <c r="H1191" s="21">
        <v>1276000</v>
      </c>
      <c r="I1191" s="4">
        <f>A1191&amp;D1191</f>
      </c>
      <c r="J1191" s="4">
        <v>1276000</v>
      </c>
      <c r="K1191" s="4"/>
      <c r="L1191" s="4"/>
      <c r="M1191" s="4"/>
      <c r="N1191" s="4"/>
      <c r="O1191" s="4"/>
      <c r="P1191" s="4"/>
      <c r="Q1191" s="4"/>
      <c r="R1191" s="4"/>
      <c r="S1191" s="4"/>
    </row>
    <row r="1192">
      <c r="A1192" s="4">
        <v>22</v>
      </c>
      <c r="B1192" s="4" t="str">
        <v>927 HG</v>
      </c>
      <c r="C1192" s="4" t="str">
        <v>DV_Cắt</v>
      </c>
      <c r="D1192" s="4">
        <v>513</v>
      </c>
      <c r="E1192" s="4" t="str">
        <v>[DV] ShineCombo 10 bước Ultra Care 2023</v>
      </c>
      <c r="F1192" s="21">
        <v>122000</v>
      </c>
      <c r="G1192" s="21">
        <v>122000</v>
      </c>
      <c r="H1192" s="21">
        <v>122000</v>
      </c>
      <c r="I1192" s="4">
        <f>A1192&amp;D1192</f>
      </c>
      <c r="J1192" s="4">
        <v>122000</v>
      </c>
      <c r="K1192" s="4"/>
      <c r="L1192" s="4"/>
      <c r="M1192" s="4"/>
      <c r="N1192" s="4"/>
      <c r="O1192" s="4"/>
      <c r="P1192" s="4"/>
      <c r="Q1192" s="4"/>
      <c r="R1192" s="4"/>
      <c r="S1192" s="4"/>
    </row>
    <row r="1193">
      <c r="A1193" s="4">
        <v>22</v>
      </c>
      <c r="B1193" s="4" t="str">
        <v>927 HG</v>
      </c>
      <c r="C1193" s="4" t="str">
        <v>DV_Cắt</v>
      </c>
      <c r="D1193" s="4">
        <v>891</v>
      </c>
      <c r="E1193" s="4" t="str">
        <v>Cắt xả tạo kiểu</v>
      </c>
      <c r="F1193" s="21">
        <v>100000</v>
      </c>
      <c r="G1193" s="21">
        <v>100000</v>
      </c>
      <c r="H1193" s="21">
        <v>100000</v>
      </c>
      <c r="I1193" s="4">
        <f>A1193&amp;D1193</f>
      </c>
      <c r="J1193" s="4">
        <v>100000</v>
      </c>
      <c r="K1193" s="4"/>
      <c r="L1193" s="4"/>
      <c r="M1193" s="4"/>
      <c r="N1193" s="4"/>
      <c r="O1193" s="4"/>
      <c r="P1193" s="4"/>
      <c r="Q1193" s="4"/>
      <c r="R1193" s="4"/>
      <c r="S1193" s="4"/>
    </row>
    <row r="1194">
      <c r="A1194" s="4">
        <v>22</v>
      </c>
      <c r="B1194" s="4" t="str">
        <v>927 HG</v>
      </c>
      <c r="C1194" s="4" t="str">
        <v>DV_Cắt</v>
      </c>
      <c r="D1194" s="4">
        <v>1002</v>
      </c>
      <c r="E1194" s="4" t="str">
        <v>Kid Cắt</v>
      </c>
      <c r="F1194" s="21">
        <v>81000</v>
      </c>
      <c r="G1194" s="21">
        <v>81000</v>
      </c>
      <c r="H1194" s="21">
        <v>81000</v>
      </c>
      <c r="I1194" s="4">
        <f>A1194&amp;D1194</f>
      </c>
      <c r="J1194" s="4">
        <v>81000</v>
      </c>
      <c r="K1194" s="4"/>
      <c r="L1194" s="4"/>
      <c r="M1194" s="4"/>
      <c r="N1194" s="4"/>
      <c r="O1194" s="4"/>
      <c r="P1194" s="4"/>
      <c r="Q1194" s="4"/>
      <c r="R1194" s="4"/>
      <c r="S1194" s="4"/>
    </row>
    <row r="1195">
      <c r="A1195" s="4">
        <v>22</v>
      </c>
      <c r="B1195" s="4" t="str">
        <v>927 HG</v>
      </c>
      <c r="C1195" s="4" t="str">
        <v>DV_Cắt</v>
      </c>
      <c r="D1195" s="4">
        <v>1052</v>
      </c>
      <c r="E1195" s="4" t="str">
        <v>Combo 1 - First Class 1</v>
      </c>
      <c r="F1195" s="21">
        <v>139000</v>
      </c>
      <c r="G1195" s="21">
        <v>139000</v>
      </c>
      <c r="H1195" s="21">
        <v>139000</v>
      </c>
      <c r="I1195" s="4">
        <f>A1195&amp;D1195</f>
      </c>
      <c r="J1195" s="4">
        <v>139000</v>
      </c>
      <c r="K1195" s="4"/>
      <c r="L1195" s="4"/>
      <c r="M1195" s="4"/>
      <c r="N1195" s="4"/>
      <c r="O1195" s="4"/>
      <c r="P1195" s="4"/>
      <c r="Q1195" s="4"/>
      <c r="R1195" s="4"/>
      <c r="S1195" s="4"/>
    </row>
    <row r="1196">
      <c r="A1196" s="4">
        <v>22</v>
      </c>
      <c r="B1196" s="4" t="str">
        <v>927 HG</v>
      </c>
      <c r="C1196" s="4" t="str">
        <v>DV_Cắt</v>
      </c>
      <c r="D1196" s="4">
        <v>1070</v>
      </c>
      <c r="E1196" s="4" t="str">
        <v>Combo Cắt gội Kid</v>
      </c>
      <c r="F1196" s="21">
        <v>100000</v>
      </c>
      <c r="G1196" s="21">
        <v>100000</v>
      </c>
      <c r="H1196" s="21">
        <v>100000</v>
      </c>
      <c r="I1196" s="4">
        <f>A1196&amp;D1196</f>
      </c>
      <c r="J1196" s="4">
        <v>100000</v>
      </c>
      <c r="K1196" s="4"/>
      <c r="L1196" s="4"/>
      <c r="M1196" s="4"/>
      <c r="N1196" s="4"/>
      <c r="O1196" s="4"/>
      <c r="P1196" s="4"/>
      <c r="Q1196" s="4"/>
      <c r="R1196" s="4"/>
      <c r="S1196" s="4"/>
    </row>
    <row r="1197">
      <c r="A1197" s="4">
        <v>22</v>
      </c>
      <c r="B1197" s="4" t="str">
        <v>927 HG</v>
      </c>
      <c r="C1197" s="4" t="str">
        <v>DV_Cắt_Vip</v>
      </c>
      <c r="D1197" s="4">
        <v>1046</v>
      </c>
      <c r="E1197" s="4" t="str">
        <v>Shinecombo 2</v>
      </c>
      <c r="F1197" s="21">
        <v>205000</v>
      </c>
      <c r="G1197" s="21">
        <v>205000</v>
      </c>
      <c r="H1197" s="21">
        <v>205000</v>
      </c>
      <c r="I1197" s="4">
        <f>A1197&amp;D1197</f>
      </c>
      <c r="J1197" s="4">
        <v>205000</v>
      </c>
      <c r="K1197" s="4"/>
      <c r="L1197" s="4"/>
      <c r="M1197" s="4"/>
      <c r="N1197" s="4"/>
      <c r="O1197" s="4"/>
      <c r="P1197" s="4"/>
      <c r="Q1197" s="4"/>
      <c r="R1197" s="4"/>
      <c r="S1197" s="4"/>
    </row>
    <row r="1198">
      <c r="A1198" s="4">
        <v>22</v>
      </c>
      <c r="B1198" s="4" t="str">
        <v>927 HG</v>
      </c>
      <c r="C1198" s="4" t="str">
        <v>DV_Cắt_Vip</v>
      </c>
      <c r="D1198" s="4">
        <v>1047</v>
      </c>
      <c r="E1198" s="4" t="str">
        <v>Cắt Gội Combo 3 - Chăm da</v>
      </c>
      <c r="F1198" s="21">
        <v>305000</v>
      </c>
      <c r="G1198" s="21">
        <v>305000</v>
      </c>
      <c r="H1198" s="21">
        <v>305000</v>
      </c>
      <c r="I1198" s="4">
        <f>A1198&amp;D1198</f>
      </c>
      <c r="J1198" s="4">
        <v>305000</v>
      </c>
      <c r="K1198" s="4"/>
      <c r="L1198" s="4"/>
      <c r="M1198" s="4"/>
      <c r="N1198" s="4"/>
      <c r="O1198" s="4"/>
      <c r="P1198" s="4"/>
      <c r="Q1198" s="4"/>
      <c r="R1198" s="4"/>
      <c r="S1198" s="4"/>
    </row>
    <row r="1199">
      <c r="A1199" s="4">
        <v>22</v>
      </c>
      <c r="B1199" s="4" t="str">
        <v>927 HG</v>
      </c>
      <c r="C1199" s="4" t="str">
        <v>DV_Cắt_Vip</v>
      </c>
      <c r="D1199" s="4">
        <v>1048</v>
      </c>
      <c r="E1199" s="4" t="str">
        <v>Combo 4</v>
      </c>
      <c r="F1199" s="21">
        <v>395000</v>
      </c>
      <c r="G1199" s="21">
        <v>395000</v>
      </c>
      <c r="H1199" s="21">
        <v>395000</v>
      </c>
      <c r="I1199" s="4">
        <f>A1199&amp;D1199</f>
      </c>
      <c r="J1199" s="4">
        <v>395000</v>
      </c>
      <c r="K1199" s="4"/>
      <c r="L1199" s="4"/>
      <c r="M1199" s="4"/>
      <c r="N1199" s="4"/>
      <c r="O1199" s="4"/>
      <c r="P1199" s="4"/>
      <c r="Q1199" s="4"/>
      <c r="R1199" s="4"/>
      <c r="S1199" s="4"/>
    </row>
    <row r="1200">
      <c r="A1200" s="4">
        <v>22</v>
      </c>
      <c r="B1200" s="4" t="str">
        <v>927 HG</v>
      </c>
      <c r="C1200" s="4" t="str">
        <v>DV_Cắt_Vip</v>
      </c>
      <c r="D1200" s="4">
        <v>1049</v>
      </c>
      <c r="E1200" s="4" t="str">
        <v>Cắt Gội Combo 5 - Chăm da</v>
      </c>
      <c r="F1200" s="21">
        <v>399000</v>
      </c>
      <c r="G1200" s="21">
        <v>399000</v>
      </c>
      <c r="H1200" s="21">
        <v>399000</v>
      </c>
      <c r="I1200" s="4">
        <f>A1200&amp;D1200</f>
      </c>
      <c r="J1200" s="4">
        <v>399000</v>
      </c>
      <c r="K1200" s="4"/>
      <c r="L1200" s="4"/>
      <c r="M1200" s="4"/>
      <c r="N1200" s="4"/>
      <c r="O1200" s="4"/>
      <c r="P1200" s="4"/>
      <c r="Q1200" s="4"/>
      <c r="R1200" s="4"/>
      <c r="S1200" s="4"/>
    </row>
    <row r="1201">
      <c r="A1201" s="4">
        <v>22</v>
      </c>
      <c r="B1201" s="4" t="str">
        <v>927 HG</v>
      </c>
      <c r="C1201" s="4" t="str">
        <v>DV_Cắt_Vip</v>
      </c>
      <c r="D1201" s="4">
        <v>1053</v>
      </c>
      <c r="E1201" s="4" t="str">
        <v>Combo 2 - First Class 2</v>
      </c>
      <c r="F1201" s="21">
        <v>245000</v>
      </c>
      <c r="G1201" s="21">
        <v>245000</v>
      </c>
      <c r="H1201" s="21">
        <v>245000</v>
      </c>
      <c r="I1201" s="4">
        <f>A1201&amp;D1201</f>
      </c>
      <c r="J1201" s="4">
        <v>245000</v>
      </c>
      <c r="K1201" s="4"/>
      <c r="L1201" s="4"/>
      <c r="M1201" s="4"/>
      <c r="N1201" s="4"/>
      <c r="O1201" s="4"/>
      <c r="P1201" s="4"/>
      <c r="Q1201" s="4"/>
      <c r="R1201" s="4"/>
      <c r="S1201" s="4"/>
    </row>
    <row r="1202">
      <c r="A1202" s="4">
        <v>22</v>
      </c>
      <c r="B1202" s="4" t="str">
        <v>927 HG</v>
      </c>
      <c r="C1202" s="4" t="str">
        <v>DV_Cắt_Vip</v>
      </c>
      <c r="D1202" s="4">
        <v>1054</v>
      </c>
      <c r="E1202" s="4" t="str">
        <v>Combo 3 - First Class 3</v>
      </c>
      <c r="F1202" s="21">
        <v>315000</v>
      </c>
      <c r="G1202" s="21">
        <v>315000</v>
      </c>
      <c r="H1202" s="21">
        <v>315000</v>
      </c>
      <c r="I1202" s="4">
        <f>A1202&amp;D1202</f>
      </c>
      <c r="J1202" s="4">
        <v>315000</v>
      </c>
      <c r="K1202" s="4"/>
      <c r="L1202" s="4"/>
      <c r="M1202" s="4"/>
      <c r="N1202" s="4"/>
      <c r="O1202" s="4"/>
      <c r="P1202" s="4"/>
      <c r="Q1202" s="4"/>
      <c r="R1202" s="4"/>
      <c r="S1202" s="4"/>
    </row>
    <row r="1203">
      <c r="A1203" s="4">
        <v>22</v>
      </c>
      <c r="B1203" s="4" t="str">
        <v>927 HG</v>
      </c>
      <c r="C1203" s="4" t="str">
        <v>DV_Cắt_Vip</v>
      </c>
      <c r="D1203" s="4">
        <v>1055</v>
      </c>
      <c r="E1203" s="4" t="str">
        <v>Combo 4- First Class 4</v>
      </c>
      <c r="F1203" s="21">
        <v>415000</v>
      </c>
      <c r="G1203" s="21">
        <v>415000</v>
      </c>
      <c r="H1203" s="21">
        <v>415000</v>
      </c>
      <c r="I1203" s="4">
        <f>A1203&amp;D1203</f>
      </c>
      <c r="J1203" s="4">
        <v>415000</v>
      </c>
      <c r="K1203" s="4"/>
      <c r="L1203" s="4"/>
      <c r="M1203" s="4"/>
      <c r="N1203" s="4"/>
      <c r="O1203" s="4"/>
      <c r="P1203" s="4"/>
      <c r="Q1203" s="4"/>
      <c r="R1203" s="4"/>
      <c r="S1203" s="4"/>
    </row>
    <row r="1204">
      <c r="A1204" s="4">
        <v>22</v>
      </c>
      <c r="B1204" s="4" t="str">
        <v>927 HG</v>
      </c>
      <c r="C1204" s="4" t="str">
        <v>DV_Cắt_Vip</v>
      </c>
      <c r="D1204" s="4">
        <v>1064</v>
      </c>
      <c r="E1204" s="4" t="str">
        <v>Cắt Gội Combo 5 - Dưỡng sinh</v>
      </c>
      <c r="F1204" s="21">
        <v>459000</v>
      </c>
      <c r="G1204" s="21">
        <v>459000</v>
      </c>
      <c r="H1204" s="21">
        <v>459000</v>
      </c>
      <c r="I1204" s="4">
        <f>A1204&amp;D1204</f>
      </c>
      <c r="J1204" s="4">
        <v>459000</v>
      </c>
      <c r="K1204" s="4"/>
      <c r="L1204" s="4"/>
      <c r="M1204" s="4"/>
      <c r="N1204" s="4"/>
      <c r="O1204" s="4"/>
      <c r="P1204" s="4"/>
      <c r="Q1204" s="4"/>
      <c r="R1204" s="4"/>
      <c r="S1204" s="4"/>
    </row>
    <row r="1205">
      <c r="A1205" s="4">
        <v>22</v>
      </c>
      <c r="B1205" s="4" t="str">
        <v>927 HG</v>
      </c>
      <c r="C1205" s="4" t="str">
        <v>DV_Cắt_Vip</v>
      </c>
      <c r="D1205" s="4">
        <v>1065</v>
      </c>
      <c r="E1205" s="4" t="str">
        <v>Cắt Gội Combo 3 - Dưỡng sinh</v>
      </c>
      <c r="F1205" s="21">
        <v>299000</v>
      </c>
      <c r="G1205" s="21">
        <v>299000</v>
      </c>
      <c r="H1205" s="21">
        <v>299000</v>
      </c>
      <c r="I1205" s="4">
        <f>A1205&amp;D1205</f>
      </c>
      <c r="J1205" s="4">
        <v>299000</v>
      </c>
      <c r="K1205" s="4"/>
      <c r="L1205" s="4"/>
      <c r="M1205" s="4"/>
      <c r="N1205" s="4"/>
      <c r="O1205" s="4"/>
      <c r="P1205" s="4"/>
      <c r="Q1205" s="4"/>
      <c r="R1205" s="4"/>
      <c r="S1205" s="4"/>
    </row>
    <row r="1206">
      <c r="A1206" s="4">
        <v>22</v>
      </c>
      <c r="B1206" s="4" t="str">
        <v>927 HG</v>
      </c>
      <c r="C1206" s="4" t="str">
        <v>DV_Gội</v>
      </c>
      <c r="D1206" s="4">
        <v>867</v>
      </c>
      <c r="E1206" s="4" t="str">
        <v>Gội dưỡng sinh cổ vai gáy</v>
      </c>
      <c r="F1206" s="21">
        <v>99000</v>
      </c>
      <c r="G1206" s="21">
        <v>99000</v>
      </c>
      <c r="H1206" s="21">
        <v>99000</v>
      </c>
      <c r="I1206" s="4">
        <f>A1206&amp;D1206</f>
      </c>
      <c r="J1206" s="4">
        <v>99000</v>
      </c>
      <c r="K1206" s="4"/>
      <c r="L1206" s="4"/>
      <c r="M1206" s="4"/>
      <c r="N1206" s="4"/>
      <c r="O1206" s="4"/>
      <c r="P1206" s="4"/>
      <c r="Q1206" s="4"/>
      <c r="R1206" s="4"/>
      <c r="S1206" s="4"/>
    </row>
    <row r="1207">
      <c r="A1207" s="4">
        <v>22</v>
      </c>
      <c r="B1207" s="4" t="str">
        <v>927 HG</v>
      </c>
      <c r="C1207" s="4" t="str">
        <v>DV_Gội</v>
      </c>
      <c r="D1207" s="4">
        <v>930</v>
      </c>
      <c r="E1207" s="4" t="str">
        <v>[NEW] Gội dưỡng sinh cổ vai gáy và chăm sóc da</v>
      </c>
      <c r="F1207" s="21">
        <v>139000</v>
      </c>
      <c r="G1207" s="21">
        <v>139000</v>
      </c>
      <c r="H1207" s="21">
        <v>139000</v>
      </c>
      <c r="I1207" s="4">
        <f>A1207&amp;D1207</f>
      </c>
      <c r="J1207" s="4">
        <v>139000</v>
      </c>
      <c r="K1207" s="4"/>
      <c r="L1207" s="4"/>
      <c r="M1207" s="4"/>
      <c r="N1207" s="4"/>
      <c r="O1207" s="4"/>
      <c r="P1207" s="4"/>
      <c r="Q1207" s="4"/>
      <c r="R1207" s="4"/>
      <c r="S1207" s="4"/>
    </row>
    <row r="1208">
      <c r="A1208" s="4">
        <v>22</v>
      </c>
      <c r="B1208" s="4" t="str">
        <v>927 HG</v>
      </c>
      <c r="C1208" s="4" t="str">
        <v>DV_Gội</v>
      </c>
      <c r="D1208" s="4">
        <v>932</v>
      </c>
      <c r="E1208" s="4" t="str">
        <v>Gội combo 5 dưỡng sinh</v>
      </c>
      <c r="F1208" s="21">
        <v>399000</v>
      </c>
      <c r="G1208" s="21">
        <v>399000</v>
      </c>
      <c r="H1208" s="21">
        <v>399000</v>
      </c>
      <c r="I1208" s="4">
        <f>A1208&amp;D1208</f>
      </c>
      <c r="J1208" s="4">
        <v>399000</v>
      </c>
      <c r="K1208" s="4"/>
      <c r="L1208" s="4"/>
      <c r="M1208" s="4"/>
      <c r="N1208" s="4"/>
      <c r="O1208" s="4"/>
      <c r="P1208" s="4"/>
      <c r="Q1208" s="4"/>
      <c r="R1208" s="4"/>
      <c r="S1208" s="4"/>
    </row>
    <row r="1209">
      <c r="A1209" s="4">
        <v>22</v>
      </c>
      <c r="B1209" s="4" t="str">
        <v>927 HG</v>
      </c>
      <c r="C1209" s="4" t="str">
        <v>DV_Gội</v>
      </c>
      <c r="D1209" s="4">
        <v>934</v>
      </c>
      <c r="E1209" s="4" t="str">
        <v>Gội combo 3 - Dưỡng sinh</v>
      </c>
      <c r="F1209" s="21">
        <v>229000</v>
      </c>
      <c r="G1209" s="21">
        <v>229000</v>
      </c>
      <c r="H1209" s="21">
        <v>229000</v>
      </c>
      <c r="I1209" s="4">
        <f>A1209&amp;D1209</f>
      </c>
      <c r="J1209" s="4">
        <v>229000</v>
      </c>
      <c r="K1209" s="4"/>
      <c r="L1209" s="4"/>
      <c r="M1209" s="4"/>
      <c r="N1209" s="4"/>
      <c r="O1209" s="4"/>
      <c r="P1209" s="4"/>
      <c r="Q1209" s="4"/>
      <c r="R1209" s="4"/>
      <c r="S1209" s="4"/>
    </row>
    <row r="1210">
      <c r="A1210" s="4">
        <v>22</v>
      </c>
      <c r="B1210" s="4" t="str">
        <v>927 HG</v>
      </c>
      <c r="C1210" s="4" t="str">
        <v>DV_Gội</v>
      </c>
      <c r="D1210" s="4">
        <v>940</v>
      </c>
      <c r="E1210" s="4" t="str">
        <v>[NEW] Gội dưỡng sinh</v>
      </c>
      <c r="F1210" s="21">
        <v>50000</v>
      </c>
      <c r="G1210" s="21">
        <v>50000</v>
      </c>
      <c r="H1210" s="21">
        <v>50000</v>
      </c>
      <c r="I1210" s="4">
        <f>A1210&amp;D1210</f>
      </c>
      <c r="J1210" s="4">
        <v>50000</v>
      </c>
      <c r="K1210" s="4"/>
      <c r="L1210" s="4"/>
      <c r="M1210" s="4"/>
      <c r="N1210" s="4"/>
      <c r="O1210" s="4"/>
      <c r="P1210" s="4"/>
      <c r="Q1210" s="4"/>
      <c r="R1210" s="4"/>
      <c r="S1210" s="4"/>
    </row>
    <row r="1211">
      <c r="A1211" s="4">
        <v>22</v>
      </c>
      <c r="B1211" s="4" t="str">
        <v>927 HG</v>
      </c>
      <c r="C1211" s="4" t="str">
        <v>DV_Gội</v>
      </c>
      <c r="D1211" s="4">
        <v>1058</v>
      </c>
      <c r="E1211" s="4" t="str">
        <v>Gội Combo 2</v>
      </c>
      <c r="F1211" s="21">
        <v>159000</v>
      </c>
      <c r="G1211" s="21">
        <v>159000</v>
      </c>
      <c r="H1211" s="21">
        <v>159000</v>
      </c>
      <c r="I1211" s="4">
        <f>A1211&amp;D1211</f>
      </c>
      <c r="J1211" s="4">
        <v>159000</v>
      </c>
      <c r="K1211" s="4"/>
      <c r="L1211" s="4"/>
      <c r="M1211" s="4"/>
      <c r="N1211" s="4"/>
      <c r="O1211" s="4"/>
      <c r="P1211" s="4"/>
      <c r="Q1211" s="4"/>
      <c r="R1211" s="4"/>
      <c r="S1211" s="4"/>
    </row>
    <row r="1212">
      <c r="A1212" s="4">
        <v>22</v>
      </c>
      <c r="B1212" s="4" t="str">
        <v>927 HG</v>
      </c>
      <c r="C1212" s="4" t="str">
        <v>DV_Gội</v>
      </c>
      <c r="D1212" s="4">
        <v>1059</v>
      </c>
      <c r="E1212" s="4" t="str">
        <v>Gội Combo 3 - Chăm da</v>
      </c>
      <c r="F1212" s="21">
        <v>239000</v>
      </c>
      <c r="G1212" s="21">
        <v>239000</v>
      </c>
      <c r="H1212" s="21">
        <v>239000</v>
      </c>
      <c r="I1212" s="4">
        <f>A1212&amp;D1212</f>
      </c>
      <c r="J1212" s="4">
        <v>239000</v>
      </c>
      <c r="K1212" s="4"/>
      <c r="L1212" s="4"/>
      <c r="M1212" s="4"/>
      <c r="N1212" s="4"/>
      <c r="O1212" s="4"/>
      <c r="P1212" s="4"/>
      <c r="Q1212" s="4"/>
      <c r="R1212" s="4"/>
      <c r="S1212" s="4"/>
    </row>
    <row r="1213">
      <c r="A1213" s="4">
        <v>22</v>
      </c>
      <c r="B1213" s="4" t="str">
        <v>927 HG</v>
      </c>
      <c r="C1213" s="4" t="str">
        <v>DV_Gội</v>
      </c>
      <c r="D1213" s="4">
        <v>1060</v>
      </c>
      <c r="E1213" s="4" t="str">
        <v>Gội Combo 4</v>
      </c>
      <c r="F1213" s="21">
        <v>329000</v>
      </c>
      <c r="G1213" s="21">
        <v>329000</v>
      </c>
      <c r="H1213" s="21">
        <v>329000</v>
      </c>
      <c r="I1213" s="4">
        <f>A1213&amp;D1213</f>
      </c>
      <c r="J1213" s="4">
        <v>329000</v>
      </c>
      <c r="K1213" s="4"/>
      <c r="L1213" s="4"/>
      <c r="M1213" s="4"/>
      <c r="N1213" s="4"/>
      <c r="O1213" s="4"/>
      <c r="P1213" s="4"/>
      <c r="Q1213" s="4"/>
      <c r="R1213" s="4"/>
      <c r="S1213" s="4"/>
    </row>
    <row r="1214">
      <c r="A1214" s="4">
        <v>22</v>
      </c>
      <c r="B1214" s="4" t="str">
        <v>927 HG</v>
      </c>
      <c r="C1214" s="4" t="str">
        <v>DV_Gội</v>
      </c>
      <c r="D1214" s="4">
        <v>1061</v>
      </c>
      <c r="E1214" s="4" t="str">
        <v>Gội Combo 5 - Chăm da</v>
      </c>
      <c r="F1214" s="21">
        <v>359000</v>
      </c>
      <c r="G1214" s="21">
        <v>359000</v>
      </c>
      <c r="H1214" s="21">
        <v>359000</v>
      </c>
      <c r="I1214" s="4">
        <f>A1214&amp;D1214</f>
      </c>
      <c r="J1214" s="4">
        <v>359000</v>
      </c>
      <c r="K1214" s="4"/>
      <c r="L1214" s="4"/>
      <c r="M1214" s="4"/>
      <c r="N1214" s="4"/>
      <c r="O1214" s="4"/>
      <c r="P1214" s="4"/>
      <c r="Q1214" s="4"/>
      <c r="R1214" s="4"/>
      <c r="S1214" s="4"/>
    </row>
    <row r="1215">
      <c r="A1215" s="4">
        <v>22</v>
      </c>
      <c r="B1215" s="4" t="str">
        <v>927 HG</v>
      </c>
      <c r="C1215" s="4" t="str">
        <v>DV_Gội</v>
      </c>
      <c r="D1215" s="4">
        <v>1066</v>
      </c>
      <c r="E1215" s="4" t="str">
        <v>Gội trải nghiệm 75p</v>
      </c>
      <c r="F1215" s="21">
        <v>589000</v>
      </c>
      <c r="G1215" s="21">
        <v>589000</v>
      </c>
      <c r="H1215" s="21">
        <v>589000</v>
      </c>
      <c r="I1215" s="4">
        <f>A1215&amp;D1215</f>
      </c>
      <c r="J1215" s="4">
        <v>589000</v>
      </c>
      <c r="K1215" s="4"/>
      <c r="L1215" s="4"/>
      <c r="M1215" s="4"/>
      <c r="N1215" s="4"/>
      <c r="O1215" s="4"/>
      <c r="P1215" s="4"/>
      <c r="Q1215" s="4"/>
      <c r="R1215" s="4"/>
      <c r="S1215" s="4"/>
    </row>
    <row r="1216">
      <c r="A1216" s="4">
        <v>22</v>
      </c>
      <c r="B1216" s="4" t="str">
        <v>927 HG</v>
      </c>
      <c r="C1216" s="4" t="str">
        <v>DV_Gội</v>
      </c>
      <c r="D1216" s="4">
        <v>1067</v>
      </c>
      <c r="E1216" s="4" t="str">
        <v>Gội trải nghiệm 90p</v>
      </c>
      <c r="F1216" s="21">
        <v>789000</v>
      </c>
      <c r="G1216" s="21">
        <v>789000</v>
      </c>
      <c r="H1216" s="21">
        <v>789000</v>
      </c>
      <c r="I1216" s="4">
        <f>A1216&amp;D1216</f>
      </c>
      <c r="J1216" s="4">
        <v>789000</v>
      </c>
      <c r="K1216" s="4"/>
      <c r="L1216" s="4"/>
      <c r="M1216" s="4"/>
      <c r="N1216" s="4"/>
      <c r="O1216" s="4"/>
      <c r="P1216" s="4"/>
      <c r="Q1216" s="4"/>
      <c r="R1216" s="4"/>
      <c r="S1216" s="4"/>
    </row>
    <row r="1217">
      <c r="A1217" s="4">
        <v>22</v>
      </c>
      <c r="B1217" s="4" t="str">
        <v>927 HG</v>
      </c>
      <c r="C1217" s="4" t="str">
        <v>DV_Gội</v>
      </c>
      <c r="D1217" s="4">
        <v>1068</v>
      </c>
      <c r="E1217" s="4" t="str">
        <v>Gội trải nghiệm 115p</v>
      </c>
      <c r="F1217" s="21">
        <v>999000</v>
      </c>
      <c r="G1217" s="21">
        <v>999000</v>
      </c>
      <c r="H1217" s="21">
        <v>999000</v>
      </c>
      <c r="I1217" s="4">
        <f>A1217&amp;D1217</f>
      </c>
      <c r="J1217" s="4">
        <v>999000</v>
      </c>
      <c r="K1217" s="4"/>
      <c r="L1217" s="4"/>
      <c r="M1217" s="4"/>
      <c r="N1217" s="4"/>
      <c r="O1217" s="4"/>
      <c r="P1217" s="4"/>
      <c r="Q1217" s="4"/>
      <c r="R1217" s="4"/>
      <c r="S1217" s="4"/>
    </row>
    <row r="1218">
      <c r="A1218" s="4">
        <v>22</v>
      </c>
      <c r="B1218" s="4" t="str">
        <v>927 HG</v>
      </c>
      <c r="C1218" s="4" t="str">
        <v>DV_Gội</v>
      </c>
      <c r="D1218" s="4">
        <v>1069</v>
      </c>
      <c r="E1218" s="4" t="str">
        <v>Gội trải nghiệm 140p</v>
      </c>
      <c r="F1218" s="21">
        <v>1199000</v>
      </c>
      <c r="G1218" s="21">
        <v>1199000</v>
      </c>
      <c r="H1218" s="21">
        <v>1199000</v>
      </c>
      <c r="I1218" s="4">
        <f>A1218&amp;D1218</f>
      </c>
      <c r="J1218" s="4">
        <v>1199000</v>
      </c>
      <c r="K1218" s="4"/>
      <c r="L1218" s="4"/>
      <c r="M1218" s="4"/>
      <c r="N1218" s="4"/>
      <c r="O1218" s="4"/>
      <c r="P1218" s="4"/>
      <c r="Q1218" s="4"/>
      <c r="R1218" s="4"/>
      <c r="S1218" s="4"/>
    </row>
    <row r="1219">
      <c r="A1219" s="4">
        <v>147</v>
      </c>
      <c r="B1219" s="4" t="str">
        <v>99 TSN</v>
      </c>
      <c r="C1219" s="4" t="str">
        <v>DV_Cắt</v>
      </c>
      <c r="D1219" s="4">
        <v>513</v>
      </c>
      <c r="E1219" s="4" t="str">
        <v>[DV] ShineCombo 10 bước Ultra Care 2023</v>
      </c>
      <c r="F1219" s="21">
        <v>122000</v>
      </c>
      <c r="G1219" s="21">
        <v>122000</v>
      </c>
      <c r="H1219" s="21">
        <v>122000</v>
      </c>
      <c r="I1219" s="4">
        <f>A1219&amp;D1219</f>
      </c>
      <c r="J1219" s="4">
        <v>122000</v>
      </c>
      <c r="K1219" s="4"/>
      <c r="L1219" s="4"/>
      <c r="M1219" s="4"/>
      <c r="N1219" s="4"/>
      <c r="O1219" s="4"/>
      <c r="P1219" s="4"/>
      <c r="Q1219" s="4"/>
      <c r="R1219" s="4"/>
      <c r="S1219" s="4"/>
    </row>
    <row r="1220">
      <c r="A1220" s="4">
        <v>147</v>
      </c>
      <c r="B1220" s="4" t="str">
        <v>99 TSN</v>
      </c>
      <c r="C1220" s="4" t="str">
        <v>DV_Cắt</v>
      </c>
      <c r="D1220" s="4">
        <v>891</v>
      </c>
      <c r="E1220" s="4" t="str">
        <v>Cắt xả tạo kiểu</v>
      </c>
      <c r="F1220" s="21">
        <v>100000</v>
      </c>
      <c r="G1220" s="21">
        <v>104000</v>
      </c>
      <c r="H1220" s="21">
        <v>104000</v>
      </c>
      <c r="I1220" s="4">
        <f>A1220&amp;D1220</f>
      </c>
      <c r="J1220" s="4">
        <v>104000</v>
      </c>
      <c r="K1220" s="4"/>
      <c r="L1220" s="4"/>
      <c r="M1220" s="4"/>
      <c r="N1220" s="4"/>
      <c r="O1220" s="4"/>
      <c r="P1220" s="4"/>
      <c r="Q1220" s="4"/>
      <c r="R1220" s="4"/>
      <c r="S1220" s="4"/>
    </row>
    <row r="1221">
      <c r="A1221" s="4">
        <v>147</v>
      </c>
      <c r="B1221" s="4" t="str">
        <v>99 TSN</v>
      </c>
      <c r="C1221" s="4" t="str">
        <v>DV_Cắt</v>
      </c>
      <c r="D1221" s="4">
        <v>1002</v>
      </c>
      <c r="E1221" s="4" t="str">
        <v>Kid Cắt</v>
      </c>
      <c r="F1221" s="21">
        <v>81000</v>
      </c>
      <c r="G1221" s="21">
        <v>84000</v>
      </c>
      <c r="H1221" s="21">
        <v>84000</v>
      </c>
      <c r="I1221" s="4">
        <f>A1221&amp;D1221</f>
      </c>
      <c r="J1221" s="4">
        <v>84000</v>
      </c>
      <c r="K1221" s="4"/>
      <c r="L1221" s="4"/>
      <c r="M1221" s="4"/>
      <c r="N1221" s="4"/>
      <c r="O1221" s="4"/>
      <c r="P1221" s="4"/>
      <c r="Q1221" s="4"/>
      <c r="R1221" s="4"/>
      <c r="S1221" s="4"/>
    </row>
    <row r="1222">
      <c r="A1222" s="4">
        <v>147</v>
      </c>
      <c r="B1222" s="4" t="str">
        <v>99 TSN</v>
      </c>
      <c r="C1222" s="4" t="str">
        <v>DV_Cắt</v>
      </c>
      <c r="D1222" s="4">
        <v>1070</v>
      </c>
      <c r="E1222" s="4" t="str">
        <v>Combo Cắt gội Kid</v>
      </c>
      <c r="F1222" s="21">
        <v>100000</v>
      </c>
      <c r="G1222" s="21">
        <v>104000</v>
      </c>
      <c r="H1222" s="21">
        <v>104000</v>
      </c>
      <c r="I1222" s="4">
        <f>A1222&amp;D1222</f>
      </c>
      <c r="J1222" s="4">
        <v>104000</v>
      </c>
      <c r="K1222" s="4"/>
      <c r="L1222" s="4"/>
      <c r="M1222" s="4"/>
      <c r="N1222" s="4"/>
      <c r="O1222" s="4"/>
      <c r="P1222" s="4"/>
      <c r="Q1222" s="4"/>
      <c r="R1222" s="4"/>
      <c r="S1222" s="4"/>
    </row>
    <row r="1223">
      <c r="A1223" s="4">
        <v>147</v>
      </c>
      <c r="B1223" s="4" t="str">
        <v>99 TSN</v>
      </c>
      <c r="C1223" s="4" t="str">
        <v>DV_Cắt_Vip</v>
      </c>
      <c r="D1223" s="4">
        <v>1046</v>
      </c>
      <c r="E1223" s="4" t="str">
        <v>Shinecombo 2</v>
      </c>
      <c r="F1223" s="21">
        <v>205000</v>
      </c>
      <c r="G1223" s="21">
        <v>213000</v>
      </c>
      <c r="H1223" s="21">
        <v>213000</v>
      </c>
      <c r="I1223" s="4">
        <f>A1223&amp;D1223</f>
      </c>
      <c r="J1223" s="4">
        <v>213000</v>
      </c>
      <c r="K1223" s="4"/>
      <c r="L1223" s="4"/>
      <c r="M1223" s="4"/>
      <c r="N1223" s="4"/>
      <c r="O1223" s="4"/>
      <c r="P1223" s="4"/>
      <c r="Q1223" s="4"/>
      <c r="R1223" s="4"/>
      <c r="S1223" s="4"/>
    </row>
    <row r="1224">
      <c r="A1224" s="4">
        <v>147</v>
      </c>
      <c r="B1224" s="4" t="str">
        <v>99 TSN</v>
      </c>
      <c r="C1224" s="4" t="str">
        <v>DV_Cắt_Vip</v>
      </c>
      <c r="D1224" s="4">
        <v>1047</v>
      </c>
      <c r="E1224" s="4" t="str">
        <v>Cắt Gội Combo 3 - Chăm da</v>
      </c>
      <c r="F1224" s="21">
        <v>305000</v>
      </c>
      <c r="G1224" s="21">
        <v>317000</v>
      </c>
      <c r="H1224" s="21">
        <v>317000</v>
      </c>
      <c r="I1224" s="4">
        <f>A1224&amp;D1224</f>
      </c>
      <c r="J1224" s="4">
        <v>317000</v>
      </c>
      <c r="K1224" s="4"/>
      <c r="L1224" s="4"/>
      <c r="M1224" s="4"/>
      <c r="N1224" s="4"/>
      <c r="O1224" s="4"/>
      <c r="P1224" s="4"/>
      <c r="Q1224" s="4"/>
      <c r="R1224" s="4"/>
      <c r="S1224" s="4"/>
    </row>
    <row r="1225">
      <c r="A1225" s="4">
        <v>147</v>
      </c>
      <c r="B1225" s="4" t="str">
        <v>99 TSN</v>
      </c>
      <c r="C1225" s="4" t="str">
        <v>DV_Cắt_Vip</v>
      </c>
      <c r="D1225" s="4">
        <v>1048</v>
      </c>
      <c r="E1225" s="4" t="str">
        <v>Combo 4</v>
      </c>
      <c r="F1225" s="21">
        <v>395000</v>
      </c>
      <c r="G1225" s="21">
        <v>411000</v>
      </c>
      <c r="H1225" s="21">
        <v>411000</v>
      </c>
      <c r="I1225" s="4">
        <f>A1225&amp;D1225</f>
      </c>
      <c r="J1225" s="4">
        <v>411000</v>
      </c>
      <c r="K1225" s="4"/>
      <c r="L1225" s="4"/>
      <c r="M1225" s="4"/>
      <c r="N1225" s="4"/>
      <c r="O1225" s="4"/>
      <c r="P1225" s="4"/>
      <c r="Q1225" s="4"/>
      <c r="R1225" s="4"/>
      <c r="S1225" s="4"/>
    </row>
    <row r="1226">
      <c r="A1226" s="4">
        <v>147</v>
      </c>
      <c r="B1226" s="4" t="str">
        <v>99 TSN</v>
      </c>
      <c r="C1226" s="4" t="str">
        <v>DV_Cắt_Vip</v>
      </c>
      <c r="D1226" s="4">
        <v>1049</v>
      </c>
      <c r="E1226" s="4" t="str">
        <v>Cắt Gội Combo 5 - Chăm da</v>
      </c>
      <c r="F1226" s="21">
        <v>399000</v>
      </c>
      <c r="G1226" s="21">
        <v>415000</v>
      </c>
      <c r="H1226" s="21">
        <v>415000</v>
      </c>
      <c r="I1226" s="4">
        <f>A1226&amp;D1226</f>
      </c>
      <c r="J1226" s="4">
        <v>415000</v>
      </c>
      <c r="K1226" s="4"/>
      <c r="L1226" s="4"/>
      <c r="M1226" s="4"/>
      <c r="N1226" s="4"/>
      <c r="O1226" s="4"/>
      <c r="P1226" s="4"/>
      <c r="Q1226" s="4"/>
      <c r="R1226" s="4"/>
      <c r="S1226" s="4"/>
    </row>
    <row r="1227">
      <c r="A1227" s="4">
        <v>147</v>
      </c>
      <c r="B1227" s="4" t="str">
        <v>99 TSN</v>
      </c>
      <c r="C1227" s="4" t="str">
        <v>DV_Cắt_Vip</v>
      </c>
      <c r="D1227" s="4">
        <v>1064</v>
      </c>
      <c r="E1227" s="4" t="str">
        <v>Cắt Gội Combo 5 - Dưỡng sinh</v>
      </c>
      <c r="F1227" s="21">
        <v>465000</v>
      </c>
      <c r="G1227" s="21">
        <v>484000</v>
      </c>
      <c r="H1227" s="21">
        <v>484000</v>
      </c>
      <c r="I1227" s="4">
        <f>A1227&amp;D1227</f>
      </c>
      <c r="J1227" s="4">
        <v>484000</v>
      </c>
      <c r="K1227" s="4"/>
      <c r="L1227" s="4"/>
      <c r="M1227" s="4"/>
      <c r="N1227" s="4"/>
      <c r="O1227" s="4"/>
      <c r="P1227" s="4"/>
      <c r="Q1227" s="4"/>
      <c r="R1227" s="4"/>
      <c r="S1227" s="4"/>
    </row>
    <row r="1228">
      <c r="A1228" s="4">
        <v>147</v>
      </c>
      <c r="B1228" s="4" t="str">
        <v>99 TSN</v>
      </c>
      <c r="C1228" s="4" t="str">
        <v>DV_Cắt_Vip</v>
      </c>
      <c r="D1228" s="4">
        <v>1065</v>
      </c>
      <c r="E1228" s="4" t="str">
        <v>Cắt Gội Combo 3 - Dưỡng sinh</v>
      </c>
      <c r="F1228" s="21">
        <v>305000</v>
      </c>
      <c r="G1228" s="21">
        <v>317000</v>
      </c>
      <c r="H1228" s="21">
        <v>317000</v>
      </c>
      <c r="I1228" s="4">
        <f>A1228&amp;D1228</f>
      </c>
      <c r="J1228" s="4">
        <v>317000</v>
      </c>
      <c r="K1228" s="4"/>
      <c r="L1228" s="4"/>
      <c r="M1228" s="4"/>
      <c r="N1228" s="4"/>
      <c r="O1228" s="4"/>
      <c r="P1228" s="4"/>
      <c r="Q1228" s="4"/>
      <c r="R1228" s="4"/>
      <c r="S1228" s="4"/>
    </row>
    <row r="1229">
      <c r="A1229" s="4">
        <v>147</v>
      </c>
      <c r="B1229" s="4" t="str">
        <v>99 TSN</v>
      </c>
      <c r="C1229" s="4" t="str">
        <v>DV_Gội</v>
      </c>
      <c r="D1229" s="4">
        <v>867</v>
      </c>
      <c r="E1229" s="4" t="str">
        <v>Gội dưỡng sinh cổ vai gáy</v>
      </c>
      <c r="F1229" s="21">
        <v>100000</v>
      </c>
      <c r="G1229" s="21">
        <v>104000</v>
      </c>
      <c r="H1229" s="21">
        <v>104000</v>
      </c>
      <c r="I1229" s="4">
        <f>A1229&amp;D1229</f>
      </c>
      <c r="J1229" s="4">
        <v>104000</v>
      </c>
      <c r="K1229" s="4"/>
      <c r="L1229" s="4"/>
      <c r="M1229" s="4"/>
      <c r="N1229" s="4"/>
      <c r="O1229" s="4"/>
      <c r="P1229" s="4"/>
      <c r="Q1229" s="4"/>
      <c r="R1229" s="4"/>
      <c r="S1229" s="4"/>
    </row>
    <row r="1230">
      <c r="A1230" s="4">
        <v>147</v>
      </c>
      <c r="B1230" s="4" t="str">
        <v>99 TSN</v>
      </c>
      <c r="C1230" s="4" t="str">
        <v>DV_Gội</v>
      </c>
      <c r="D1230" s="4">
        <v>930</v>
      </c>
      <c r="E1230" s="4" t="str">
        <v>[NEW] Gội dưỡng sinh cổ vai gáy và chăm sóc da</v>
      </c>
      <c r="F1230" s="21">
        <v>139000</v>
      </c>
      <c r="G1230" s="21">
        <v>145000</v>
      </c>
      <c r="H1230" s="21">
        <v>145000</v>
      </c>
      <c r="I1230" s="4">
        <f>A1230&amp;D1230</f>
      </c>
      <c r="J1230" s="4">
        <v>145000</v>
      </c>
      <c r="K1230" s="4"/>
      <c r="L1230" s="4"/>
      <c r="M1230" s="4"/>
      <c r="N1230" s="4"/>
      <c r="O1230" s="4"/>
      <c r="P1230" s="4"/>
      <c r="Q1230" s="4"/>
      <c r="R1230" s="4"/>
      <c r="S1230" s="4"/>
    </row>
    <row r="1231">
      <c r="A1231" s="4">
        <v>147</v>
      </c>
      <c r="B1231" s="4" t="str">
        <v>99 TSN</v>
      </c>
      <c r="C1231" s="4" t="str">
        <v>DV_Gội</v>
      </c>
      <c r="D1231" s="4">
        <v>932</v>
      </c>
      <c r="E1231" s="4" t="str">
        <v>Gội combo 5 dưỡng sinh</v>
      </c>
      <c r="F1231" s="21">
        <v>399000</v>
      </c>
      <c r="G1231" s="21">
        <v>415000</v>
      </c>
      <c r="H1231" s="21">
        <v>415000</v>
      </c>
      <c r="I1231" s="4">
        <f>A1231&amp;D1231</f>
      </c>
      <c r="J1231" s="4">
        <v>415000</v>
      </c>
      <c r="K1231" s="4"/>
      <c r="L1231" s="4"/>
      <c r="M1231" s="4"/>
      <c r="N1231" s="4"/>
      <c r="O1231" s="4"/>
      <c r="P1231" s="4"/>
      <c r="Q1231" s="4"/>
      <c r="R1231" s="4"/>
      <c r="S1231" s="4"/>
    </row>
    <row r="1232">
      <c r="A1232" s="4">
        <v>147</v>
      </c>
      <c r="B1232" s="4" t="str">
        <v>99 TSN</v>
      </c>
      <c r="C1232" s="4" t="str">
        <v>DV_Gội</v>
      </c>
      <c r="D1232" s="4">
        <v>934</v>
      </c>
      <c r="E1232" s="4" t="str">
        <v>Gội combo 3 - Dưỡng sinh</v>
      </c>
      <c r="F1232" s="21">
        <v>229000</v>
      </c>
      <c r="G1232" s="21">
        <v>238000</v>
      </c>
      <c r="H1232" s="21">
        <v>238000</v>
      </c>
      <c r="I1232" s="4">
        <f>A1232&amp;D1232</f>
      </c>
      <c r="J1232" s="4">
        <v>238000</v>
      </c>
      <c r="K1232" s="4"/>
      <c r="L1232" s="4"/>
      <c r="M1232" s="4"/>
      <c r="N1232" s="4"/>
      <c r="O1232" s="4"/>
      <c r="P1232" s="4"/>
      <c r="Q1232" s="4"/>
      <c r="R1232" s="4"/>
      <c r="S1232" s="4"/>
    </row>
    <row r="1233">
      <c r="A1233" s="4">
        <v>147</v>
      </c>
      <c r="B1233" s="4" t="str">
        <v>99 TSN</v>
      </c>
      <c r="C1233" s="4" t="str">
        <v>DV_Gội</v>
      </c>
      <c r="D1233" s="4">
        <v>940</v>
      </c>
      <c r="E1233" s="4" t="str">
        <v>[NEW] Gội dưỡng sinh</v>
      </c>
      <c r="F1233" s="21">
        <v>59000</v>
      </c>
      <c r="G1233" s="21">
        <v>61000</v>
      </c>
      <c r="H1233" s="21">
        <v>61000</v>
      </c>
      <c r="I1233" s="4">
        <f>A1233&amp;D1233</f>
      </c>
      <c r="J1233" s="4">
        <v>61000</v>
      </c>
      <c r="K1233" s="4"/>
      <c r="L1233" s="4"/>
      <c r="M1233" s="4"/>
      <c r="N1233" s="4"/>
      <c r="O1233" s="4"/>
      <c r="P1233" s="4"/>
      <c r="Q1233" s="4"/>
      <c r="R1233" s="4"/>
      <c r="S1233" s="4"/>
    </row>
    <row r="1234">
      <c r="A1234" s="4">
        <v>147</v>
      </c>
      <c r="B1234" s="4" t="str">
        <v>99 TSN</v>
      </c>
      <c r="C1234" s="4" t="str">
        <v>DV_Gội</v>
      </c>
      <c r="D1234" s="4">
        <v>1058</v>
      </c>
      <c r="E1234" s="4" t="str">
        <v>Gội Combo 2</v>
      </c>
      <c r="F1234" s="21">
        <v>159000</v>
      </c>
      <c r="G1234" s="21">
        <v>165000</v>
      </c>
      <c r="H1234" s="21">
        <v>165000</v>
      </c>
      <c r="I1234" s="4">
        <f>A1234&amp;D1234</f>
      </c>
      <c r="J1234" s="4">
        <v>165000</v>
      </c>
      <c r="K1234" s="4"/>
      <c r="L1234" s="4"/>
      <c r="M1234" s="4"/>
      <c r="N1234" s="4"/>
      <c r="O1234" s="4"/>
      <c r="P1234" s="4"/>
      <c r="Q1234" s="4"/>
      <c r="R1234" s="4"/>
      <c r="S1234" s="4"/>
    </row>
    <row r="1235">
      <c r="A1235" s="4">
        <v>147</v>
      </c>
      <c r="B1235" s="4" t="str">
        <v>99 TSN</v>
      </c>
      <c r="C1235" s="4" t="str">
        <v>DV_Gội</v>
      </c>
      <c r="D1235" s="4">
        <v>1059</v>
      </c>
      <c r="E1235" s="4" t="str">
        <v>Gội Combo 3 - Chăm da</v>
      </c>
      <c r="F1235" s="21">
        <v>239000</v>
      </c>
      <c r="G1235" s="21">
        <v>249000</v>
      </c>
      <c r="H1235" s="21">
        <v>249000</v>
      </c>
      <c r="I1235" s="4">
        <f>A1235&amp;D1235</f>
      </c>
      <c r="J1235" s="4">
        <v>249000</v>
      </c>
      <c r="K1235" s="4"/>
      <c r="L1235" s="4"/>
      <c r="M1235" s="4"/>
      <c r="N1235" s="4"/>
      <c r="O1235" s="4"/>
      <c r="P1235" s="4"/>
      <c r="Q1235" s="4"/>
      <c r="R1235" s="4"/>
      <c r="S1235" s="4"/>
    </row>
    <row r="1236">
      <c r="A1236" s="4">
        <v>147</v>
      </c>
      <c r="B1236" s="4" t="str">
        <v>99 TSN</v>
      </c>
      <c r="C1236" s="4" t="str">
        <v>DV_Gội</v>
      </c>
      <c r="D1236" s="4">
        <v>1060</v>
      </c>
      <c r="E1236" s="4" t="str">
        <v>Gội Combo 4</v>
      </c>
      <c r="F1236" s="21">
        <v>289000</v>
      </c>
      <c r="G1236" s="21">
        <v>302000</v>
      </c>
      <c r="H1236" s="21">
        <v>302000</v>
      </c>
      <c r="I1236" s="4">
        <f>A1236&amp;D1236</f>
      </c>
      <c r="J1236" s="4">
        <v>302000</v>
      </c>
      <c r="K1236" s="4"/>
      <c r="L1236" s="4"/>
      <c r="M1236" s="4"/>
      <c r="N1236" s="4"/>
      <c r="O1236" s="4"/>
      <c r="P1236" s="4"/>
      <c r="Q1236" s="4"/>
      <c r="R1236" s="4"/>
      <c r="S1236" s="4"/>
    </row>
    <row r="1237">
      <c r="A1237" s="4">
        <v>147</v>
      </c>
      <c r="B1237" s="4" t="str">
        <v>99 TSN</v>
      </c>
      <c r="C1237" s="4" t="str">
        <v>DV_Gội</v>
      </c>
      <c r="D1237" s="4">
        <v>1061</v>
      </c>
      <c r="E1237" s="4" t="str">
        <v>Gội Combo 5 - Chăm da</v>
      </c>
      <c r="F1237" s="21">
        <v>359000</v>
      </c>
      <c r="G1237" s="21">
        <v>373000</v>
      </c>
      <c r="H1237" s="21">
        <v>373000</v>
      </c>
      <c r="I1237" s="4">
        <f>A1237&amp;D1237</f>
      </c>
      <c r="J1237" s="4">
        <v>373000</v>
      </c>
      <c r="K1237" s="4"/>
      <c r="L1237" s="4"/>
      <c r="M1237" s="4"/>
      <c r="N1237" s="4"/>
      <c r="O1237" s="4"/>
      <c r="P1237" s="4"/>
      <c r="Q1237" s="4"/>
      <c r="R1237" s="4"/>
      <c r="S1237" s="4"/>
    </row>
    <row r="1238">
      <c r="A1238" s="4">
        <v>147</v>
      </c>
      <c r="B1238" s="4" t="str">
        <v>99 TSN</v>
      </c>
      <c r="C1238" s="4" t="str">
        <v>DV_Gội</v>
      </c>
      <c r="D1238" s="4">
        <v>1066</v>
      </c>
      <c r="E1238" s="4" t="str">
        <v>Gội trải nghiệm 75p</v>
      </c>
      <c r="F1238" s="21">
        <v>589000</v>
      </c>
      <c r="G1238" s="21">
        <v>613000</v>
      </c>
      <c r="H1238" s="21">
        <v>613000</v>
      </c>
      <c r="I1238" s="4">
        <f>A1238&amp;D1238</f>
      </c>
      <c r="J1238" s="4">
        <v>613000</v>
      </c>
      <c r="K1238" s="4"/>
      <c r="L1238" s="4"/>
      <c r="M1238" s="4"/>
      <c r="N1238" s="4"/>
      <c r="O1238" s="4"/>
      <c r="P1238" s="4"/>
      <c r="Q1238" s="4"/>
      <c r="R1238" s="4"/>
      <c r="S1238" s="4"/>
    </row>
    <row r="1239">
      <c r="A1239" s="4">
        <v>147</v>
      </c>
      <c r="B1239" s="4" t="str">
        <v>99 TSN</v>
      </c>
      <c r="C1239" s="4" t="str">
        <v>DV_Gội</v>
      </c>
      <c r="D1239" s="4">
        <v>1067</v>
      </c>
      <c r="E1239" s="4" t="str">
        <v>Gội trải nghiệm 90p</v>
      </c>
      <c r="F1239" s="21">
        <v>789000</v>
      </c>
      <c r="G1239" s="21">
        <v>821000</v>
      </c>
      <c r="H1239" s="21">
        <v>821000</v>
      </c>
      <c r="I1239" s="4">
        <f>A1239&amp;D1239</f>
      </c>
      <c r="J1239" s="4">
        <v>821000</v>
      </c>
      <c r="K1239" s="4"/>
      <c r="L1239" s="4"/>
      <c r="M1239" s="4"/>
      <c r="N1239" s="4"/>
      <c r="O1239" s="4"/>
      <c r="P1239" s="4"/>
      <c r="Q1239" s="4"/>
      <c r="R1239" s="4"/>
      <c r="S1239" s="4"/>
    </row>
    <row r="1240">
      <c r="A1240" s="4">
        <v>147</v>
      </c>
      <c r="B1240" s="4" t="str">
        <v>99 TSN</v>
      </c>
      <c r="C1240" s="4" t="str">
        <v>DV_Gội</v>
      </c>
      <c r="D1240" s="4">
        <v>1068</v>
      </c>
      <c r="E1240" s="4" t="str">
        <v>Gội trải nghiệm 115p</v>
      </c>
      <c r="F1240" s="21">
        <v>999000</v>
      </c>
      <c r="G1240" s="21">
        <v>1039000</v>
      </c>
      <c r="H1240" s="21">
        <v>1039000</v>
      </c>
      <c r="I1240" s="4">
        <f>A1240&amp;D1240</f>
      </c>
      <c r="J1240" s="4">
        <v>1039000</v>
      </c>
      <c r="K1240" s="4"/>
      <c r="L1240" s="4"/>
      <c r="M1240" s="4"/>
      <c r="N1240" s="4"/>
      <c r="O1240" s="4"/>
      <c r="P1240" s="4"/>
      <c r="Q1240" s="4"/>
      <c r="R1240" s="4"/>
      <c r="S1240" s="4"/>
    </row>
    <row r="1241">
      <c r="A1241" s="4">
        <v>217</v>
      </c>
      <c r="B1241" s="4" t="str">
        <v>TG 25/4 QN</v>
      </c>
      <c r="C1241" s="4" t="str">
        <v>DV_Cắt</v>
      </c>
      <c r="D1241" s="4">
        <v>513</v>
      </c>
      <c r="E1241" s="4" t="str">
        <v>[DV] ShineCombo 10 bước Ultra Care 2023</v>
      </c>
      <c r="F1241" s="21">
        <v>122000</v>
      </c>
      <c r="G1241" s="21">
        <v>122000</v>
      </c>
      <c r="H1241" s="21">
        <v>122000</v>
      </c>
      <c r="I1241" s="4">
        <f>A1241&amp;D1241</f>
      </c>
      <c r="J1241" s="4">
        <v>122000</v>
      </c>
      <c r="K1241" s="4"/>
      <c r="L1241" s="4"/>
      <c r="M1241" s="4"/>
      <c r="N1241" s="4"/>
      <c r="O1241" s="4"/>
      <c r="P1241" s="4"/>
      <c r="Q1241" s="4"/>
      <c r="R1241" s="4"/>
      <c r="S1241" s="4"/>
    </row>
    <row r="1242">
      <c r="A1242" s="4">
        <v>217</v>
      </c>
      <c r="B1242" s="4" t="str">
        <v>TG 25/4 QN</v>
      </c>
      <c r="C1242" s="4" t="str">
        <v>DV_Cắt</v>
      </c>
      <c r="D1242" s="4">
        <v>891</v>
      </c>
      <c r="E1242" s="4" t="str">
        <v>Cắt xả tạo kiểu</v>
      </c>
      <c r="F1242" s="21">
        <v>94000</v>
      </c>
      <c r="G1242" s="21">
        <v>94000</v>
      </c>
      <c r="H1242" s="21">
        <v>94000</v>
      </c>
      <c r="I1242" s="4">
        <f>A1242&amp;D1242</f>
      </c>
      <c r="J1242" s="4">
        <v>94000</v>
      </c>
      <c r="K1242" s="4"/>
      <c r="L1242" s="4"/>
      <c r="M1242" s="4"/>
      <c r="N1242" s="4"/>
      <c r="O1242" s="4"/>
      <c r="P1242" s="4"/>
      <c r="Q1242" s="4"/>
      <c r="R1242" s="4"/>
      <c r="S1242" s="4"/>
    </row>
    <row r="1243">
      <c r="A1243" s="4">
        <v>217</v>
      </c>
      <c r="B1243" s="4" t="str">
        <v>TG 25/4 QN</v>
      </c>
      <c r="C1243" s="4" t="str">
        <v>DV_Cắt</v>
      </c>
      <c r="D1243" s="4">
        <v>1002</v>
      </c>
      <c r="E1243" s="4" t="str">
        <v>Kid Cắt</v>
      </c>
      <c r="F1243" s="21">
        <v>75000</v>
      </c>
      <c r="G1243" s="21">
        <v>75000</v>
      </c>
      <c r="H1243" s="21">
        <v>75000</v>
      </c>
      <c r="I1243" s="4">
        <f>A1243&amp;D1243</f>
      </c>
      <c r="J1243" s="4">
        <v>75000</v>
      </c>
      <c r="K1243" s="4"/>
      <c r="L1243" s="4"/>
      <c r="M1243" s="4"/>
      <c r="N1243" s="4"/>
      <c r="O1243" s="4"/>
      <c r="P1243" s="4"/>
      <c r="Q1243" s="4"/>
      <c r="R1243" s="4"/>
      <c r="S1243" s="4"/>
    </row>
    <row r="1244">
      <c r="A1244" s="4">
        <v>217</v>
      </c>
      <c r="B1244" s="4" t="str">
        <v>TG 25/4 QN</v>
      </c>
      <c r="C1244" s="4" t="str">
        <v>DV_Cắt</v>
      </c>
      <c r="D1244" s="4">
        <v>1070</v>
      </c>
      <c r="E1244" s="4" t="str">
        <v>Combo Cắt gội Kid</v>
      </c>
      <c r="F1244" s="21">
        <v>100000</v>
      </c>
      <c r="G1244" s="21">
        <v>100000</v>
      </c>
      <c r="H1244" s="21">
        <v>100000</v>
      </c>
      <c r="I1244" s="4">
        <f>A1244&amp;D1244</f>
      </c>
      <c r="J1244" s="4">
        <v>100000</v>
      </c>
      <c r="K1244" s="4"/>
      <c r="L1244" s="4"/>
      <c r="M1244" s="4"/>
      <c r="N1244" s="4"/>
      <c r="O1244" s="4"/>
      <c r="P1244" s="4"/>
      <c r="Q1244" s="4"/>
      <c r="R1244" s="4"/>
      <c r="S1244" s="4"/>
    </row>
    <row r="1245">
      <c r="A1245" s="4">
        <v>217</v>
      </c>
      <c r="B1245" s="4" t="str">
        <v>TG 25/4 QN</v>
      </c>
      <c r="C1245" s="4" t="str">
        <v>DV_Cắt_Vip</v>
      </c>
      <c r="D1245" s="4">
        <v>1046</v>
      </c>
      <c r="E1245" s="4" t="str">
        <v>Shinecombo 2</v>
      </c>
      <c r="F1245" s="21">
        <v>199000</v>
      </c>
      <c r="G1245" s="21">
        <v>199000</v>
      </c>
      <c r="H1245" s="21">
        <v>199000</v>
      </c>
      <c r="I1245" s="4">
        <f>A1245&amp;D1245</f>
      </c>
      <c r="J1245" s="4">
        <v>199000</v>
      </c>
      <c r="K1245" s="4"/>
      <c r="L1245" s="4"/>
      <c r="M1245" s="4"/>
      <c r="N1245" s="4"/>
      <c r="O1245" s="4"/>
      <c r="P1245" s="4"/>
      <c r="Q1245" s="4"/>
      <c r="R1245" s="4"/>
      <c r="S1245" s="4"/>
    </row>
    <row r="1246">
      <c r="A1246" s="4">
        <v>217</v>
      </c>
      <c r="B1246" s="4" t="str">
        <v>TG 25/4 QN</v>
      </c>
      <c r="C1246" s="4" t="str">
        <v>DV_Cắt_Vip</v>
      </c>
      <c r="D1246" s="4">
        <v>1047</v>
      </c>
      <c r="E1246" s="4" t="str">
        <v>Cắt Gội Combo 3 - Chăm da</v>
      </c>
      <c r="F1246" s="21">
        <v>299000</v>
      </c>
      <c r="G1246" s="21">
        <v>299000</v>
      </c>
      <c r="H1246" s="21">
        <v>299000</v>
      </c>
      <c r="I1246" s="4">
        <f>A1246&amp;D1246</f>
      </c>
      <c r="J1246" s="4">
        <v>299000</v>
      </c>
      <c r="K1246" s="4"/>
      <c r="L1246" s="4"/>
      <c r="M1246" s="4"/>
      <c r="N1246" s="4"/>
      <c r="O1246" s="4"/>
      <c r="P1246" s="4"/>
      <c r="Q1246" s="4"/>
      <c r="R1246" s="4"/>
      <c r="S1246" s="4"/>
    </row>
    <row r="1247">
      <c r="A1247" s="4">
        <v>217</v>
      </c>
      <c r="B1247" s="4" t="str">
        <v>TG 25/4 QN</v>
      </c>
      <c r="C1247" s="4" t="str">
        <v>DV_Cắt_Vip</v>
      </c>
      <c r="D1247" s="4">
        <v>1048</v>
      </c>
      <c r="E1247" s="4" t="str">
        <v>Combo 4</v>
      </c>
      <c r="F1247" s="21">
        <v>389000</v>
      </c>
      <c r="G1247" s="21">
        <v>389000</v>
      </c>
      <c r="H1247" s="21">
        <v>389000</v>
      </c>
      <c r="I1247" s="4">
        <f>A1247&amp;D1247</f>
      </c>
      <c r="J1247" s="4">
        <v>389000</v>
      </c>
      <c r="K1247" s="4"/>
      <c r="L1247" s="4"/>
      <c r="M1247" s="4"/>
      <c r="N1247" s="4"/>
      <c r="O1247" s="4"/>
      <c r="P1247" s="4"/>
      <c r="Q1247" s="4"/>
      <c r="R1247" s="4"/>
      <c r="S1247" s="4"/>
    </row>
    <row r="1248">
      <c r="A1248" s="4">
        <v>217</v>
      </c>
      <c r="B1248" s="4" t="str">
        <v>TG 25/4 QN</v>
      </c>
      <c r="C1248" s="4" t="str">
        <v>DV_Cắt_Vip</v>
      </c>
      <c r="D1248" s="4">
        <v>1064</v>
      </c>
      <c r="E1248" s="4" t="str">
        <v>Cắt Gội Combo 5 - Dưỡng sinh</v>
      </c>
      <c r="F1248" s="21">
        <v>459000</v>
      </c>
      <c r="G1248" s="21">
        <v>459000</v>
      </c>
      <c r="H1248" s="21">
        <v>459000</v>
      </c>
      <c r="I1248" s="4">
        <f>A1248&amp;D1248</f>
      </c>
      <c r="J1248" s="4">
        <v>459000</v>
      </c>
      <c r="K1248" s="4"/>
      <c r="L1248" s="4"/>
      <c r="M1248" s="4"/>
      <c r="N1248" s="4"/>
      <c r="O1248" s="4"/>
      <c r="P1248" s="4"/>
      <c r="Q1248" s="4"/>
      <c r="R1248" s="4"/>
      <c r="S1248" s="4"/>
    </row>
    <row r="1249">
      <c r="A1249" s="4">
        <v>217</v>
      </c>
      <c r="B1249" s="4" t="str">
        <v>TG 25/4 QN</v>
      </c>
      <c r="C1249" s="4" t="str">
        <v>DV_Gội</v>
      </c>
      <c r="D1249" s="4">
        <v>867</v>
      </c>
      <c r="E1249" s="4" t="str">
        <v>Gội dưỡng sinh cổ vai gáy</v>
      </c>
      <c r="F1249" s="21">
        <v>99000</v>
      </c>
      <c r="G1249" s="21">
        <v>99000</v>
      </c>
      <c r="H1249" s="21">
        <v>99000</v>
      </c>
      <c r="I1249" s="4">
        <f>A1249&amp;D1249</f>
      </c>
      <c r="J1249" s="4">
        <v>99000</v>
      </c>
      <c r="K1249" s="4"/>
      <c r="L1249" s="4"/>
      <c r="M1249" s="4"/>
      <c r="N1249" s="4"/>
      <c r="O1249" s="4"/>
      <c r="P1249" s="4"/>
      <c r="Q1249" s="4"/>
      <c r="R1249" s="4"/>
      <c r="S1249" s="4"/>
    </row>
    <row r="1250">
      <c r="A1250" s="4">
        <v>217</v>
      </c>
      <c r="B1250" s="4" t="str">
        <v>TG 25/4 QN</v>
      </c>
      <c r="C1250" s="4" t="str">
        <v>DV_Gội</v>
      </c>
      <c r="D1250" s="4">
        <v>930</v>
      </c>
      <c r="E1250" s="4" t="str">
        <v>[NEW] Gội dưỡng sinh cổ vai gáy và chăm sóc da</v>
      </c>
      <c r="F1250" s="21">
        <v>139000</v>
      </c>
      <c r="G1250" s="21">
        <v>139000</v>
      </c>
      <c r="H1250" s="21">
        <v>139000</v>
      </c>
      <c r="I1250" s="4">
        <f>A1250&amp;D1250</f>
      </c>
      <c r="J1250" s="4">
        <v>139000</v>
      </c>
      <c r="K1250" s="4"/>
      <c r="L1250" s="4"/>
      <c r="M1250" s="4"/>
      <c r="N1250" s="4"/>
      <c r="O1250" s="4"/>
      <c r="P1250" s="4"/>
      <c r="Q1250" s="4"/>
      <c r="R1250" s="4"/>
      <c r="S1250" s="4"/>
    </row>
    <row r="1251">
      <c r="A1251" s="4">
        <v>217</v>
      </c>
      <c r="B1251" s="4" t="str">
        <v>TG 25/4 QN</v>
      </c>
      <c r="C1251" s="4" t="str">
        <v>DV_Gội</v>
      </c>
      <c r="D1251" s="4">
        <v>934</v>
      </c>
      <c r="E1251" s="4" t="str">
        <v>Gội combo 3 - Dưỡng sinh</v>
      </c>
      <c r="F1251" s="21">
        <v>229000</v>
      </c>
      <c r="G1251" s="21">
        <v>229000</v>
      </c>
      <c r="H1251" s="21">
        <v>229000</v>
      </c>
      <c r="I1251" s="4">
        <f>A1251&amp;D1251</f>
      </c>
      <c r="J1251" s="4">
        <v>229000</v>
      </c>
      <c r="K1251" s="4"/>
      <c r="L1251" s="4"/>
      <c r="M1251" s="4"/>
      <c r="N1251" s="4"/>
      <c r="O1251" s="4"/>
      <c r="P1251" s="4"/>
      <c r="Q1251" s="4"/>
      <c r="R1251" s="4"/>
      <c r="S1251" s="4"/>
    </row>
    <row r="1252">
      <c r="A1252" s="4">
        <v>217</v>
      </c>
      <c r="B1252" s="4" t="str">
        <v>TG 25/4 QN</v>
      </c>
      <c r="C1252" s="4" t="str">
        <v>DV_Gội</v>
      </c>
      <c r="D1252" s="4">
        <v>940</v>
      </c>
      <c r="E1252" s="4" t="str">
        <v>[NEW] Gội dưỡng sinh</v>
      </c>
      <c r="F1252" s="21">
        <v>59000</v>
      </c>
      <c r="G1252" s="21">
        <v>59000</v>
      </c>
      <c r="H1252" s="21">
        <v>59000</v>
      </c>
      <c r="I1252" s="4">
        <f>A1252&amp;D1252</f>
      </c>
      <c r="J1252" s="4">
        <v>59000</v>
      </c>
      <c r="K1252" s="4"/>
      <c r="L1252" s="4"/>
      <c r="M1252" s="4"/>
      <c r="N1252" s="4"/>
      <c r="O1252" s="4"/>
      <c r="P1252" s="4"/>
      <c r="Q1252" s="4"/>
      <c r="R1252" s="4"/>
      <c r="S1252" s="4"/>
    </row>
    <row r="1253">
      <c r="A1253" s="4">
        <v>217</v>
      </c>
      <c r="B1253" s="4" t="str">
        <v>TG 25/4 QN</v>
      </c>
      <c r="C1253" s="4" t="str">
        <v>DV_Gội</v>
      </c>
      <c r="D1253" s="4">
        <v>1058</v>
      </c>
      <c r="E1253" s="4" t="str">
        <v>Gội Combo 2</v>
      </c>
      <c r="F1253" s="21">
        <v>159000</v>
      </c>
      <c r="G1253" s="21">
        <v>159000</v>
      </c>
      <c r="H1253" s="21">
        <v>159000</v>
      </c>
      <c r="I1253" s="4">
        <f>A1253&amp;D1253</f>
      </c>
      <c r="J1253" s="4">
        <v>159000</v>
      </c>
      <c r="K1253" s="4"/>
      <c r="L1253" s="4"/>
      <c r="M1253" s="4"/>
      <c r="N1253" s="4"/>
      <c r="O1253" s="4"/>
      <c r="P1253" s="4"/>
      <c r="Q1253" s="4"/>
      <c r="R1253" s="4"/>
      <c r="S1253" s="4"/>
    </row>
    <row r="1254">
      <c r="A1254" s="4">
        <v>217</v>
      </c>
      <c r="B1254" s="4" t="str">
        <v>TG 25/4 QN</v>
      </c>
      <c r="C1254" s="4" t="str">
        <v>DV_Gội</v>
      </c>
      <c r="D1254" s="4">
        <v>1059</v>
      </c>
      <c r="E1254" s="4" t="str">
        <v>Gội Combo 3 - Chăm da</v>
      </c>
      <c r="F1254" s="21">
        <v>239000</v>
      </c>
      <c r="G1254" s="21">
        <v>239000</v>
      </c>
      <c r="H1254" s="21">
        <v>239000</v>
      </c>
      <c r="I1254" s="4">
        <f>A1254&amp;D1254</f>
      </c>
      <c r="J1254" s="4">
        <v>239000</v>
      </c>
      <c r="K1254" s="4"/>
      <c r="L1254" s="4"/>
      <c r="M1254" s="4"/>
      <c r="N1254" s="4"/>
      <c r="O1254" s="4"/>
      <c r="P1254" s="4"/>
      <c r="Q1254" s="4"/>
      <c r="R1254" s="4"/>
      <c r="S1254" s="4"/>
    </row>
    <row r="1255">
      <c r="A1255" s="4">
        <v>217</v>
      </c>
      <c r="B1255" s="4" t="str">
        <v>TG 25/4 QN</v>
      </c>
      <c r="C1255" s="4" t="str">
        <v>DV_Gội</v>
      </c>
      <c r="D1255" s="4">
        <v>1060</v>
      </c>
      <c r="E1255" s="4" t="str">
        <v>Gội Combo 4</v>
      </c>
      <c r="F1255" s="21">
        <v>289000</v>
      </c>
      <c r="G1255" s="21">
        <v>289000</v>
      </c>
      <c r="H1255" s="21">
        <v>289000</v>
      </c>
      <c r="I1255" s="4">
        <f>A1255&amp;D1255</f>
      </c>
      <c r="J1255" s="4">
        <v>289000</v>
      </c>
      <c r="K1255" s="4"/>
      <c r="L1255" s="4"/>
      <c r="M1255" s="4"/>
      <c r="N1255" s="4"/>
      <c r="O1255" s="4"/>
      <c r="P1255" s="4"/>
      <c r="Q1255" s="4"/>
      <c r="R1255" s="4"/>
      <c r="S1255" s="4"/>
    </row>
    <row r="1256">
      <c r="A1256" s="4">
        <v>217</v>
      </c>
      <c r="B1256" s="4" t="str">
        <v>TG 25/4 QN</v>
      </c>
      <c r="C1256" s="4" t="str">
        <v>DV_Gội</v>
      </c>
      <c r="D1256" s="4">
        <v>1066</v>
      </c>
      <c r="E1256" s="4" t="str">
        <v>Gội trải nghiệm 75p</v>
      </c>
      <c r="F1256" s="21">
        <v>589000</v>
      </c>
      <c r="G1256" s="21">
        <v>589000</v>
      </c>
      <c r="H1256" s="21">
        <v>589000</v>
      </c>
      <c r="I1256" s="4">
        <f>A1256&amp;D1256</f>
      </c>
      <c r="J1256" s="4">
        <v>589000</v>
      </c>
      <c r="K1256" s="4"/>
      <c r="L1256" s="4"/>
      <c r="M1256" s="4"/>
      <c r="N1256" s="4"/>
      <c r="O1256" s="4"/>
      <c r="P1256" s="4"/>
      <c r="Q1256" s="4"/>
      <c r="R1256" s="4"/>
      <c r="S1256" s="4"/>
    </row>
    <row r="1257">
      <c r="A1257" s="4">
        <v>217</v>
      </c>
      <c r="B1257" s="4" t="str">
        <v>TG 25/4 QN</v>
      </c>
      <c r="C1257" s="4" t="str">
        <v>DV_Gội</v>
      </c>
      <c r="D1257" s="4">
        <v>1067</v>
      </c>
      <c r="E1257" s="4" t="str">
        <v>Gội trải nghiệm 90p</v>
      </c>
      <c r="F1257" s="21">
        <v>789000</v>
      </c>
      <c r="G1257" s="21">
        <v>789000</v>
      </c>
      <c r="H1257" s="21">
        <v>789000</v>
      </c>
      <c r="I1257" s="4">
        <f>A1257&amp;D1257</f>
      </c>
      <c r="J1257" s="4">
        <v>789000</v>
      </c>
      <c r="K1257" s="4"/>
      <c r="L1257" s="4"/>
      <c r="M1257" s="4"/>
      <c r="N1257" s="4"/>
      <c r="O1257" s="4"/>
      <c r="P1257" s="4"/>
      <c r="Q1257" s="4"/>
      <c r="R1257" s="4"/>
      <c r="S1257" s="4"/>
    </row>
    <row r="1258">
      <c r="A1258" s="4">
        <v>217</v>
      </c>
      <c r="B1258" s="4" t="str">
        <v>TG 25/4 QN</v>
      </c>
      <c r="C1258" s="4" t="str">
        <v>DV_Gội</v>
      </c>
      <c r="D1258" s="4">
        <v>1068</v>
      </c>
      <c r="E1258" s="4" t="str">
        <v>Gội trải nghiệm 115p</v>
      </c>
      <c r="F1258" s="21">
        <v>999000</v>
      </c>
      <c r="G1258" s="21">
        <v>999000</v>
      </c>
      <c r="H1258" s="21">
        <v>999000</v>
      </c>
      <c r="I1258" s="4">
        <f>A1258&amp;D1258</f>
      </c>
      <c r="J1258" s="4">
        <v>999000</v>
      </c>
      <c r="K1258" s="4"/>
      <c r="L1258" s="4"/>
      <c r="M1258" s="4"/>
      <c r="N1258" s="4"/>
      <c r="O1258" s="4"/>
      <c r="P1258" s="4"/>
      <c r="Q1258" s="4"/>
      <c r="R1258" s="4"/>
      <c r="S1258" s="4"/>
    </row>
    <row r="1259">
      <c r="F1259" s="24"/>
      <c r="G1259" s="24"/>
      <c r="H1259" s="24"/>
      <c r="I1259" s="4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34"/>
    <col collapsed="false" customWidth="true" hidden="false" max="5" min="5" style="0" width="18"/>
    <col collapsed="false" customWidth="true" hidden="false" max="6" min="6" style="0" width="28"/>
    <col collapsed="false" customWidth="true" hidden="true" max="6" min="6" style="0" width="28"/>
    <col collapsed="false" customWidth="true" hidden="false" max="7" min="7" style="0" width="24"/>
    <col collapsed="false" customWidth="true" hidden="true" max="7" min="7" style="0" width="24"/>
    <col collapsed="false" customWidth="true" hidden="false" max="8" min="8" style="0" width="14"/>
    <col collapsed="false" customWidth="true" hidden="true" max="8" min="8" style="0" width="14"/>
    <col collapsed="false" customWidth="true" hidden="false" max="9" min="9" style="0" width="31"/>
  </cols>
  <sheetData>
    <row customHeight="true" ht="19" r="1">
      <c r="A1" s="29" t="str">
        <v>GIÁ DỊCH VỤ CẮT XẢ VÀ CÁC DỊCH VỤ RELAX CÓ CẮT</v>
      </c>
      <c r="B1" s="29"/>
      <c r="C1" s="29"/>
      <c r="D1" s="29"/>
      <c r="E1" s="30"/>
      <c r="F1" s="32"/>
      <c r="G1" s="29"/>
      <c r="H1" s="29"/>
      <c r="I1" s="31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9" t="str">
        <v>Salon_name</v>
      </c>
      <c r="B2" s="29" t="str">
        <v>P_Category_name</v>
      </c>
      <c r="C2" s="29" t="str">
        <v>service_id</v>
      </c>
      <c r="D2" s="29" t="str">
        <v>service_name</v>
      </c>
      <c r="E2" s="30" t="str">
        <v>Giá cũ</v>
      </c>
      <c r="F2" s="32" t="str">
        <v>Giá mới triển khai 1/2/2026</v>
      </c>
      <c r="G2" s="29" t="str">
        <v>Chênh lệch điều chỉnh</v>
      </c>
      <c r="H2" s="29" t="str">
        <v>Note</v>
      </c>
      <c r="I2" s="31" t="str">
        <v>Giá mới điều chỉnh ngày 07/03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5" t="str">
        <v>10 TP</v>
      </c>
      <c r="B3" s="25" t="str">
        <v>DV_Cắt</v>
      </c>
      <c r="C3" s="25">
        <v>513</v>
      </c>
      <c r="D3" s="25" t="str">
        <v>[DV] ShineCombo 10 bước Ultra Care 2023</v>
      </c>
      <c r="E3" s="27">
        <v>122000</v>
      </c>
      <c r="F3" s="26">
        <v>122000</v>
      </c>
      <c r="G3" s="25">
        <f>F3-E3</f>
      </c>
      <c r="H3" s="25"/>
      <c r="I3" s="24">
        <v>122000</v>
      </c>
    </row>
    <row r="4">
      <c r="A4" s="25" t="str">
        <v>10 TP</v>
      </c>
      <c r="B4" s="25" t="str">
        <v>DV_Cắt</v>
      </c>
      <c r="C4" s="25">
        <v>891</v>
      </c>
      <c r="D4" s="25" t="str">
        <v>Cắt xả tạo kiểu</v>
      </c>
      <c r="E4" s="27">
        <v>94000</v>
      </c>
      <c r="F4" s="26">
        <v>94000</v>
      </c>
      <c r="G4" s="25">
        <f>F4-E4</f>
      </c>
      <c r="H4" s="25"/>
      <c r="I4" s="24">
        <v>94000</v>
      </c>
    </row>
    <row r="5">
      <c r="A5" s="25" t="str">
        <v>10 TP</v>
      </c>
      <c r="B5" s="25" t="str">
        <v>DV_Cắt</v>
      </c>
      <c r="C5" s="25">
        <v>1052</v>
      </c>
      <c r="D5" s="25" t="str">
        <v>Combo 1 - First Class 1</v>
      </c>
      <c r="E5" s="27">
        <v>139000</v>
      </c>
      <c r="F5" s="26">
        <v>139000</v>
      </c>
      <c r="G5" s="25">
        <f>F5-E5</f>
      </c>
      <c r="H5" s="25"/>
      <c r="I5" s="24">
        <v>139000</v>
      </c>
    </row>
    <row r="6">
      <c r="A6" s="25" t="str">
        <v>10 TP</v>
      </c>
      <c r="B6" s="25" t="str">
        <v>DV_Cắt</v>
      </c>
      <c r="C6" s="25">
        <v>1002</v>
      </c>
      <c r="D6" s="25" t="str">
        <v>Kid Cắt</v>
      </c>
      <c r="E6" s="27">
        <v>75000</v>
      </c>
      <c r="F6" s="26">
        <v>75000</v>
      </c>
      <c r="G6" s="25">
        <f>F6-E6</f>
      </c>
      <c r="H6" s="25"/>
      <c r="I6" s="24">
        <v>75000</v>
      </c>
    </row>
    <row r="7">
      <c r="A7" s="25" t="str">
        <v>10 TP</v>
      </c>
      <c r="B7" s="25" t="str">
        <v>DV_Cắt_Vip</v>
      </c>
      <c r="C7" s="25">
        <v>1047</v>
      </c>
      <c r="D7" s="25" t="str">
        <v>Cắt Gội Combo 3 - Chăm da</v>
      </c>
      <c r="E7" s="27">
        <v>299000</v>
      </c>
      <c r="F7" s="26">
        <v>299000</v>
      </c>
      <c r="G7" s="25">
        <f>F7-E7</f>
      </c>
      <c r="H7" s="25"/>
      <c r="I7" s="24">
        <v>299000</v>
      </c>
    </row>
    <row r="8">
      <c r="A8" s="25" t="str">
        <v>10 TP</v>
      </c>
      <c r="B8" s="25" t="str">
        <v>DV_Cắt_Vip</v>
      </c>
      <c r="C8" s="25">
        <v>1053</v>
      </c>
      <c r="D8" s="25" t="str">
        <v>Combo 2 - First Class 2</v>
      </c>
      <c r="E8" s="27">
        <v>239000</v>
      </c>
      <c r="F8" s="26">
        <v>239000</v>
      </c>
      <c r="G8" s="25">
        <f>F8-E8</f>
      </c>
      <c r="H8" s="25"/>
      <c r="I8" s="24">
        <v>239000</v>
      </c>
    </row>
    <row r="9">
      <c r="A9" s="25" t="str">
        <v>10 TP</v>
      </c>
      <c r="B9" s="25" t="str">
        <v>DV_Cắt_Vip</v>
      </c>
      <c r="C9" s="25">
        <v>1054</v>
      </c>
      <c r="D9" s="25" t="str">
        <v>Combo 3 - First Class 3</v>
      </c>
      <c r="E9" s="27">
        <v>309000</v>
      </c>
      <c r="F9" s="26">
        <v>309000</v>
      </c>
      <c r="G9" s="25">
        <f>F9-E9</f>
      </c>
      <c r="H9" s="25"/>
      <c r="I9" s="24">
        <v>309000</v>
      </c>
    </row>
    <row r="10">
      <c r="A10" s="25" t="str">
        <v>10 TP</v>
      </c>
      <c r="B10" s="25" t="str">
        <v>DV_Cắt_Vip</v>
      </c>
      <c r="C10" s="25">
        <v>1055</v>
      </c>
      <c r="D10" s="25" t="str">
        <v>Combo 4- First Class 4</v>
      </c>
      <c r="E10" s="27">
        <v>409000</v>
      </c>
      <c r="F10" s="26">
        <v>409000</v>
      </c>
      <c r="G10" s="25">
        <f>F10-E10</f>
      </c>
      <c r="H10" s="25"/>
      <c r="I10" s="24">
        <v>409000</v>
      </c>
    </row>
    <row r="11">
      <c r="A11" s="25" t="str">
        <v>10 TP</v>
      </c>
      <c r="B11" s="25" t="str">
        <v>DV_Cắt_Vip</v>
      </c>
      <c r="C11" s="25">
        <v>1046</v>
      </c>
      <c r="D11" s="25" t="str">
        <v>Shinecombo 2</v>
      </c>
      <c r="E11" s="27">
        <v>199000</v>
      </c>
      <c r="F11" s="26">
        <v>199000</v>
      </c>
      <c r="G11" s="25">
        <f>F11-E11</f>
      </c>
      <c r="H11" s="25"/>
      <c r="I11" s="24">
        <v>199000</v>
      </c>
    </row>
    <row r="12">
      <c r="A12" s="25" t="str">
        <v>103 TN</v>
      </c>
      <c r="B12" s="25" t="str">
        <v>DV_Cắt</v>
      </c>
      <c r="C12" s="25">
        <v>513</v>
      </c>
      <c r="D12" s="25" t="str">
        <v>[DV] ShineCombo 10 bước Ultra Care 2023</v>
      </c>
      <c r="E12" s="27">
        <v>122000</v>
      </c>
      <c r="F12" s="26">
        <v>122000</v>
      </c>
      <c r="G12" s="25">
        <f>F12-E12</f>
      </c>
      <c r="H12" s="25"/>
      <c r="I12" s="24">
        <v>122000</v>
      </c>
    </row>
    <row r="13">
      <c r="A13" s="25" t="str">
        <v>103 TN</v>
      </c>
      <c r="B13" s="25" t="str">
        <v>DV_Cắt</v>
      </c>
      <c r="C13" s="25">
        <v>1070</v>
      </c>
      <c r="D13" s="25" t="str">
        <v>Combo Cắt gội Kid</v>
      </c>
      <c r="E13" s="27">
        <v>100000</v>
      </c>
      <c r="F13" s="26">
        <v>100000</v>
      </c>
      <c r="G13" s="25">
        <f>F13-E13</f>
      </c>
      <c r="H13" s="25"/>
      <c r="I13" s="24">
        <v>100000</v>
      </c>
    </row>
    <row r="14">
      <c r="A14" s="25" t="str">
        <v>103 TN</v>
      </c>
      <c r="B14" s="25" t="str">
        <v>DV_Cắt</v>
      </c>
      <c r="C14" s="25">
        <v>891</v>
      </c>
      <c r="D14" s="25" t="str">
        <v>Cắt xả tạo kiểu</v>
      </c>
      <c r="E14" s="27">
        <v>94000</v>
      </c>
      <c r="F14" s="28">
        <v>95000</v>
      </c>
      <c r="G14" s="25">
        <f>F14-E14</f>
      </c>
      <c r="H14" s="25" t="str">
        <v>điều chỉnh giá</v>
      </c>
      <c r="I14" s="24">
        <v>95000</v>
      </c>
    </row>
    <row r="15">
      <c r="A15" s="25" t="str">
        <v>103 TN</v>
      </c>
      <c r="B15" s="25" t="str">
        <v>DV_Cắt</v>
      </c>
      <c r="C15" s="25">
        <v>1052</v>
      </c>
      <c r="D15" s="25" t="str">
        <v>Combo 1 - First Class 1</v>
      </c>
      <c r="E15" s="27">
        <v>139000</v>
      </c>
      <c r="F15" s="26">
        <v>139000</v>
      </c>
      <c r="G15" s="25">
        <f>F15-E15</f>
      </c>
      <c r="H15" s="25"/>
      <c r="I15" s="24">
        <v>139000</v>
      </c>
    </row>
    <row r="16">
      <c r="A16" s="25" t="str">
        <v>103 TN</v>
      </c>
      <c r="B16" s="25" t="str">
        <v>DV_Cắt</v>
      </c>
      <c r="C16" s="25">
        <v>1002</v>
      </c>
      <c r="D16" s="25" t="str">
        <v>Kid Cắt</v>
      </c>
      <c r="E16" s="27">
        <v>75000</v>
      </c>
      <c r="F16" s="28">
        <v>76000</v>
      </c>
      <c r="G16" s="25">
        <f>F16-E16</f>
      </c>
      <c r="H16" s="25" t="str">
        <v>điều chỉnh giá</v>
      </c>
      <c r="I16" s="24">
        <v>76000</v>
      </c>
    </row>
    <row r="17">
      <c r="A17" s="25" t="str">
        <v>103 TN</v>
      </c>
      <c r="B17" s="25" t="str">
        <v>DV_Cắt_Vip</v>
      </c>
      <c r="C17" s="25">
        <v>1047</v>
      </c>
      <c r="D17" s="25" t="str">
        <v>Cắt Gội Combo 3 - Chăm da</v>
      </c>
      <c r="E17" s="27">
        <v>299000</v>
      </c>
      <c r="F17" s="28">
        <v>300000</v>
      </c>
      <c r="G17" s="25">
        <f>F17-E17</f>
      </c>
      <c r="H17" s="25" t="str">
        <v>điều chỉnh giá</v>
      </c>
      <c r="I17" s="24">
        <v>300000</v>
      </c>
    </row>
    <row r="18">
      <c r="A18" s="25" t="str">
        <v>103 TN</v>
      </c>
      <c r="B18" s="25" t="str">
        <v>DV_Cắt_Vip</v>
      </c>
      <c r="C18" s="25">
        <v>1065</v>
      </c>
      <c r="D18" s="25" t="str">
        <v>Cắt Gội Combo 3 - Dưỡng sinh</v>
      </c>
      <c r="E18" s="27">
        <v>299000</v>
      </c>
      <c r="F18" s="28">
        <v>300000</v>
      </c>
      <c r="G18" s="25">
        <f>F18-E18</f>
      </c>
      <c r="H18" s="25" t="str">
        <v>điều chỉnh giá</v>
      </c>
      <c r="I18" s="24">
        <v>300000</v>
      </c>
    </row>
    <row r="19">
      <c r="A19" s="25" t="str">
        <v>103 TN</v>
      </c>
      <c r="B19" s="25" t="str">
        <v>DV_Cắt_Vip</v>
      </c>
      <c r="C19" s="25">
        <v>1053</v>
      </c>
      <c r="D19" s="25" t="str">
        <v>Combo 2 - First Class 2</v>
      </c>
      <c r="E19" s="27">
        <v>239000</v>
      </c>
      <c r="F19" s="28">
        <v>240000</v>
      </c>
      <c r="G19" s="25">
        <f>F19-E19</f>
      </c>
      <c r="H19" s="25" t="str">
        <v>điều chỉnh giá</v>
      </c>
      <c r="I19" s="24">
        <v>240000</v>
      </c>
    </row>
    <row r="20">
      <c r="A20" s="25" t="str">
        <v>103 TN</v>
      </c>
      <c r="B20" s="25" t="str">
        <v>DV_Cắt_Vip</v>
      </c>
      <c r="C20" s="25">
        <v>1054</v>
      </c>
      <c r="D20" s="25" t="str">
        <v>Combo 3 - First Class 3</v>
      </c>
      <c r="E20" s="27">
        <v>309000</v>
      </c>
      <c r="F20" s="28">
        <v>310000</v>
      </c>
      <c r="G20" s="25">
        <f>F20-E20</f>
      </c>
      <c r="H20" s="25" t="str">
        <v>điều chỉnh giá</v>
      </c>
      <c r="I20" s="24">
        <v>310000</v>
      </c>
    </row>
    <row r="21">
      <c r="A21" s="25" t="str">
        <v>103 TN</v>
      </c>
      <c r="B21" s="25" t="str">
        <v>DV_Cắt_Vip</v>
      </c>
      <c r="C21" s="25">
        <v>1048</v>
      </c>
      <c r="D21" s="25" t="str">
        <v>Combo 4</v>
      </c>
      <c r="E21" s="27">
        <v>389000</v>
      </c>
      <c r="F21" s="28">
        <v>390000</v>
      </c>
      <c r="G21" s="25">
        <f>F21-E21</f>
      </c>
      <c r="H21" s="25" t="str">
        <v>điều chỉnh giá</v>
      </c>
      <c r="I21" s="24">
        <v>390000</v>
      </c>
    </row>
    <row r="22">
      <c r="A22" s="25" t="str">
        <v>103 TN</v>
      </c>
      <c r="B22" s="25" t="str">
        <v>DV_Cắt_Vip</v>
      </c>
      <c r="C22" s="25">
        <v>1055</v>
      </c>
      <c r="D22" s="25" t="str">
        <v>Combo 4- First Class 4</v>
      </c>
      <c r="E22" s="27">
        <v>409000</v>
      </c>
      <c r="F22" s="28">
        <v>410000</v>
      </c>
      <c r="G22" s="25">
        <f>F22-E22</f>
      </c>
      <c r="H22" s="25" t="str">
        <v>điều chỉnh giá</v>
      </c>
      <c r="I22" s="24">
        <v>410000</v>
      </c>
    </row>
    <row r="23">
      <c r="A23" s="25" t="str">
        <v>103 TN</v>
      </c>
      <c r="B23" s="25" t="str">
        <v>DV_Cắt_Vip</v>
      </c>
      <c r="C23" s="25">
        <v>1046</v>
      </c>
      <c r="D23" s="25" t="str">
        <v>Shinecombo 2</v>
      </c>
      <c r="E23" s="27">
        <v>199000</v>
      </c>
      <c r="F23" s="28">
        <v>200000</v>
      </c>
      <c r="G23" s="25">
        <f>F23-E23</f>
      </c>
      <c r="H23" s="25" t="str">
        <v>điều chỉnh giá</v>
      </c>
      <c r="I23" s="24">
        <v>200000</v>
      </c>
    </row>
    <row r="24">
      <c r="A24" s="25" t="str">
        <v>109 TQH</v>
      </c>
      <c r="B24" s="25" t="str">
        <v>DV_Cắt</v>
      </c>
      <c r="C24" s="25">
        <v>513</v>
      </c>
      <c r="D24" s="25" t="str">
        <v>[DV] ShineCombo 10 bước Ultra Care 2023</v>
      </c>
      <c r="E24" s="27">
        <v>122000</v>
      </c>
      <c r="F24" s="26">
        <v>122000</v>
      </c>
      <c r="G24" s="25">
        <f>F24-E24</f>
      </c>
      <c r="H24" s="25"/>
      <c r="I24" s="24">
        <v>122000</v>
      </c>
    </row>
    <row r="25">
      <c r="A25" s="25" t="str">
        <v>109 TQH</v>
      </c>
      <c r="B25" s="25" t="str">
        <v>DV_Cắt</v>
      </c>
      <c r="C25" s="25">
        <v>891</v>
      </c>
      <c r="D25" s="25" t="str">
        <v>Cắt xả tạo kiểu</v>
      </c>
      <c r="E25" s="27">
        <v>94000</v>
      </c>
      <c r="F25" s="26">
        <v>94000</v>
      </c>
      <c r="G25" s="25">
        <f>F25-E25</f>
      </c>
      <c r="H25" s="25"/>
      <c r="I25" s="24">
        <v>94000</v>
      </c>
    </row>
    <row r="26">
      <c r="A26" s="25" t="str">
        <v>109 TQH</v>
      </c>
      <c r="B26" s="25" t="str">
        <v>DV_Cắt</v>
      </c>
      <c r="C26" s="25">
        <v>1002</v>
      </c>
      <c r="D26" s="25" t="str">
        <v>Kid Cắt</v>
      </c>
      <c r="E26" s="27">
        <v>75000</v>
      </c>
      <c r="F26" s="26">
        <v>75000</v>
      </c>
      <c r="G26" s="25">
        <f>F26-E26</f>
      </c>
      <c r="H26" s="25"/>
      <c r="I26" s="24">
        <v>75000</v>
      </c>
    </row>
    <row r="27">
      <c r="A27" s="25" t="str">
        <v>109 TQH</v>
      </c>
      <c r="B27" s="25" t="str">
        <v>DV_Cắt_Vip</v>
      </c>
      <c r="C27" s="25">
        <v>1047</v>
      </c>
      <c r="D27" s="25" t="str">
        <v>Cắt Gội Combo 3 - Chăm da</v>
      </c>
      <c r="E27" s="27">
        <v>299000</v>
      </c>
      <c r="F27" s="26">
        <v>299000</v>
      </c>
      <c r="G27" s="25">
        <f>F27-E27</f>
      </c>
      <c r="H27" s="25"/>
      <c r="I27" s="24">
        <v>299000</v>
      </c>
    </row>
    <row r="28">
      <c r="A28" s="25" t="str">
        <v>109 TQH</v>
      </c>
      <c r="B28" s="25" t="str">
        <v>DV_Cắt_Vip</v>
      </c>
      <c r="C28" s="25">
        <v>1065</v>
      </c>
      <c r="D28" s="25" t="str">
        <v>Cắt Gội Combo 3 - Dưỡng sinh</v>
      </c>
      <c r="E28" s="27">
        <v>299000</v>
      </c>
      <c r="F28" s="26">
        <v>299000</v>
      </c>
      <c r="G28" s="25">
        <f>F28-E28</f>
      </c>
      <c r="H28" s="25"/>
      <c r="I28" s="24">
        <v>299000</v>
      </c>
    </row>
    <row r="29">
      <c r="A29" s="25" t="str">
        <v>109 TQH</v>
      </c>
      <c r="B29" s="25" t="str">
        <v>DV_Cắt_Vip</v>
      </c>
      <c r="C29" s="25">
        <v>1048</v>
      </c>
      <c r="D29" s="25" t="str">
        <v>Combo 4</v>
      </c>
      <c r="E29" s="27">
        <v>389000</v>
      </c>
      <c r="F29" s="26">
        <v>389000</v>
      </c>
      <c r="G29" s="25">
        <f>F29-E29</f>
      </c>
      <c r="H29" s="25"/>
      <c r="I29" s="24">
        <v>389000</v>
      </c>
    </row>
    <row r="30">
      <c r="A30" s="25" t="str">
        <v>109 TQH</v>
      </c>
      <c r="B30" s="25" t="str">
        <v>DV_Cắt_Vip</v>
      </c>
      <c r="C30" s="25">
        <v>1046</v>
      </c>
      <c r="D30" s="25" t="str">
        <v>Shinecombo 2</v>
      </c>
      <c r="E30" s="27">
        <v>199000</v>
      </c>
      <c r="F30" s="26">
        <v>199000</v>
      </c>
      <c r="G30" s="25">
        <f>F30-E30</f>
      </c>
      <c r="H30" s="25"/>
      <c r="I30" s="24">
        <v>199000</v>
      </c>
    </row>
    <row r="31">
      <c r="A31" s="25" t="str">
        <v>11 PKT</v>
      </c>
      <c r="B31" s="25" t="str">
        <v>DV_Cắt</v>
      </c>
      <c r="C31" s="25">
        <v>513</v>
      </c>
      <c r="D31" s="25" t="str">
        <v>[DV] ShineCombo 10 bước Ultra Care 2023</v>
      </c>
      <c r="E31" s="27">
        <v>122000</v>
      </c>
      <c r="F31" s="26">
        <v>122000</v>
      </c>
      <c r="G31" s="25">
        <f>F31-E31</f>
      </c>
      <c r="H31" s="25"/>
      <c r="I31" s="24">
        <v>122000</v>
      </c>
    </row>
    <row r="32">
      <c r="A32" s="25" t="str">
        <v>11 PKT</v>
      </c>
      <c r="B32" s="25" t="str">
        <v>DV_Cắt</v>
      </c>
      <c r="C32" s="25">
        <v>1070</v>
      </c>
      <c r="D32" s="25" t="str">
        <v>Combo Cắt gội Kid</v>
      </c>
      <c r="E32" s="27">
        <v>100000</v>
      </c>
      <c r="F32" s="26">
        <v>100000</v>
      </c>
      <c r="G32" s="25">
        <f>F32-E32</f>
      </c>
      <c r="H32" s="25"/>
      <c r="I32" s="24">
        <v>100000</v>
      </c>
    </row>
    <row r="33">
      <c r="A33" s="25" t="str">
        <v>11 PKT</v>
      </c>
      <c r="B33" s="25" t="str">
        <v>DV_Cắt</v>
      </c>
      <c r="C33" s="25">
        <v>891</v>
      </c>
      <c r="D33" s="25" t="str">
        <v>Cắt xả tạo kiểu</v>
      </c>
      <c r="E33" s="27">
        <v>94000</v>
      </c>
      <c r="F33" s="28">
        <v>100000</v>
      </c>
      <c r="G33" s="25">
        <f>F33-E33</f>
      </c>
      <c r="H33" s="25" t="str">
        <v>điều chỉnh giá</v>
      </c>
      <c r="I33" s="24">
        <v>100000</v>
      </c>
    </row>
    <row r="34">
      <c r="A34" s="25" t="str">
        <v>11 PKT</v>
      </c>
      <c r="B34" s="25" t="str">
        <v>DV_Cắt</v>
      </c>
      <c r="C34" s="25">
        <v>1052</v>
      </c>
      <c r="D34" s="25" t="str">
        <v>Combo 1 - First Class 1</v>
      </c>
      <c r="E34" s="27">
        <v>159000</v>
      </c>
      <c r="F34" s="26">
        <v>159000</v>
      </c>
      <c r="G34" s="25">
        <f>F34-E34</f>
      </c>
      <c r="H34" s="25"/>
      <c r="I34" s="24">
        <v>159000</v>
      </c>
    </row>
    <row r="35">
      <c r="A35" s="25" t="str">
        <v>11 PKT</v>
      </c>
      <c r="B35" s="25" t="str">
        <v>DV_Cắt</v>
      </c>
      <c r="C35" s="25">
        <v>1002</v>
      </c>
      <c r="D35" s="25" t="str">
        <v>Kid Cắt</v>
      </c>
      <c r="E35" s="27">
        <v>75000</v>
      </c>
      <c r="F35" s="28">
        <v>81000</v>
      </c>
      <c r="G35" s="25">
        <f>F35-E35</f>
      </c>
      <c r="H35" s="25" t="str">
        <v>điều chỉnh giá</v>
      </c>
      <c r="I35" s="24">
        <v>81000</v>
      </c>
    </row>
    <row r="36">
      <c r="A36" s="25" t="str">
        <v>11 PKT</v>
      </c>
      <c r="B36" s="25" t="str">
        <v>DV_Cắt_Vip</v>
      </c>
      <c r="C36" s="25">
        <v>1047</v>
      </c>
      <c r="D36" s="25" t="str">
        <v>Cắt Gội Combo 3 - Chăm da</v>
      </c>
      <c r="E36" s="27">
        <v>299000</v>
      </c>
      <c r="F36" s="28">
        <v>305000</v>
      </c>
      <c r="G36" s="25">
        <f>F36-E36</f>
      </c>
      <c r="H36" s="25" t="str">
        <v>điều chỉnh giá</v>
      </c>
      <c r="I36" s="24">
        <v>305000</v>
      </c>
    </row>
    <row r="37">
      <c r="A37" s="25" t="str">
        <v>11 PKT</v>
      </c>
      <c r="B37" s="25" t="str">
        <v>DV_Cắt_Vip</v>
      </c>
      <c r="C37" s="25">
        <v>1065</v>
      </c>
      <c r="D37" s="25" t="str">
        <v>Cắt Gội Combo 3 - Dưỡng sinh</v>
      </c>
      <c r="E37" s="27">
        <v>299000</v>
      </c>
      <c r="F37" s="28">
        <v>305000</v>
      </c>
      <c r="G37" s="25">
        <f>F37-E37</f>
      </c>
      <c r="H37" s="25" t="str">
        <v>điều chỉnh giá</v>
      </c>
      <c r="I37" s="24">
        <v>305000</v>
      </c>
    </row>
    <row r="38">
      <c r="A38" s="25" t="str">
        <v>11 PKT</v>
      </c>
      <c r="B38" s="25" t="str">
        <v>DV_Cắt_Vip</v>
      </c>
      <c r="C38" s="25">
        <v>1053</v>
      </c>
      <c r="D38" s="25" t="str">
        <v>Combo 2 - First Class 2</v>
      </c>
      <c r="E38" s="27">
        <v>229000</v>
      </c>
      <c r="F38" s="28">
        <v>235000</v>
      </c>
      <c r="G38" s="25">
        <f>F38-E38</f>
      </c>
      <c r="H38" s="25" t="str">
        <v>điều chỉnh giá</v>
      </c>
      <c r="I38" s="24">
        <v>235000</v>
      </c>
    </row>
    <row r="39">
      <c r="A39" s="25" t="str">
        <v>11 PKT</v>
      </c>
      <c r="B39" s="25" t="str">
        <v>DV_Cắt_Vip</v>
      </c>
      <c r="C39" s="25">
        <v>1054</v>
      </c>
      <c r="D39" s="25" t="str">
        <v>Combo 3 - First Class 3</v>
      </c>
      <c r="E39" s="27">
        <v>299000</v>
      </c>
      <c r="F39" s="28">
        <v>305000</v>
      </c>
      <c r="G39" s="25">
        <f>F39-E39</f>
      </c>
      <c r="H39" s="25" t="str">
        <v>điều chỉnh giá</v>
      </c>
      <c r="I39" s="24">
        <v>305000</v>
      </c>
    </row>
    <row r="40">
      <c r="A40" s="25" t="str">
        <v>11 PKT</v>
      </c>
      <c r="B40" s="25" t="str">
        <v>DV_Cắt_Vip</v>
      </c>
      <c r="C40" s="25">
        <v>1048</v>
      </c>
      <c r="D40" s="25" t="str">
        <v>Combo 4</v>
      </c>
      <c r="E40" s="27">
        <v>389000</v>
      </c>
      <c r="F40" s="28">
        <v>395000</v>
      </c>
      <c r="G40" s="25">
        <f>F40-E40</f>
      </c>
      <c r="H40" s="25" t="str">
        <v>điều chỉnh giá</v>
      </c>
      <c r="I40" s="24">
        <v>395000</v>
      </c>
    </row>
    <row r="41">
      <c r="A41" s="25" t="str">
        <v>11 PKT</v>
      </c>
      <c r="B41" s="25" t="str">
        <v>DV_Cắt_Vip</v>
      </c>
      <c r="C41" s="25">
        <v>1046</v>
      </c>
      <c r="D41" s="25" t="str">
        <v>Shinecombo 2</v>
      </c>
      <c r="E41" s="27">
        <v>199000</v>
      </c>
      <c r="F41" s="28">
        <v>205000</v>
      </c>
      <c r="G41" s="25">
        <f>F41-E41</f>
      </c>
      <c r="H41" s="25" t="str">
        <v>điều chỉnh giá</v>
      </c>
      <c r="I41" s="24">
        <v>205000</v>
      </c>
    </row>
    <row r="42">
      <c r="A42" s="25" t="str">
        <v>113 THD AG</v>
      </c>
      <c r="B42" s="25" t="str">
        <v>DV_Cắt</v>
      </c>
      <c r="C42" s="25">
        <v>513</v>
      </c>
      <c r="D42" s="25" t="str">
        <v>[DV] ShineCombo 10 bước Ultra Care 2023</v>
      </c>
      <c r="E42" s="27">
        <v>122000</v>
      </c>
      <c r="F42" s="26">
        <v>122000</v>
      </c>
      <c r="G42" s="25">
        <f>F42-E42</f>
      </c>
      <c r="H42" s="25"/>
      <c r="I42" s="24">
        <v>122000</v>
      </c>
    </row>
    <row r="43">
      <c r="A43" s="25" t="str">
        <v>113 THD AG</v>
      </c>
      <c r="B43" s="25" t="str">
        <v>DV_Cắt</v>
      </c>
      <c r="C43" s="25">
        <v>891</v>
      </c>
      <c r="D43" s="25" t="str">
        <v>Cắt xả tạo kiểu</v>
      </c>
      <c r="E43" s="27">
        <v>94000</v>
      </c>
      <c r="F43" s="26">
        <v>94000</v>
      </c>
      <c r="G43" s="25">
        <f>F43-E43</f>
      </c>
      <c r="H43" s="25"/>
      <c r="I43" s="24">
        <v>94000</v>
      </c>
    </row>
    <row r="44">
      <c r="A44" s="25" t="str">
        <v>113 THD AG</v>
      </c>
      <c r="B44" s="25" t="str">
        <v>DV_Cắt</v>
      </c>
      <c r="C44" s="25">
        <v>1002</v>
      </c>
      <c r="D44" s="25" t="str">
        <v>Kid Cắt</v>
      </c>
      <c r="E44" s="27">
        <v>75000</v>
      </c>
      <c r="F44" s="26">
        <v>75000</v>
      </c>
      <c r="G44" s="25">
        <f>F44-E44</f>
      </c>
      <c r="H44" s="25"/>
      <c r="I44" s="24">
        <v>75000</v>
      </c>
    </row>
    <row r="45">
      <c r="A45" s="25" t="str">
        <v>113 THD AG</v>
      </c>
      <c r="B45" s="25" t="str">
        <v>DV_Cắt_Vip</v>
      </c>
      <c r="C45" s="25">
        <v>1047</v>
      </c>
      <c r="D45" s="25" t="str">
        <v>Cắt Gội Combo 3 - Chăm da</v>
      </c>
      <c r="E45" s="27">
        <v>299000</v>
      </c>
      <c r="F45" s="26">
        <v>299000</v>
      </c>
      <c r="G45" s="25">
        <f>F45-E45</f>
      </c>
      <c r="H45" s="25"/>
      <c r="I45" s="24">
        <v>299000</v>
      </c>
    </row>
    <row r="46">
      <c r="A46" s="25" t="str">
        <v>113 THD AG</v>
      </c>
      <c r="B46" s="25" t="str">
        <v>DV_Cắt_Vip</v>
      </c>
      <c r="C46" s="25">
        <v>1065</v>
      </c>
      <c r="D46" s="25" t="str">
        <v>Cắt Gội Combo 3 - Dưỡng sinh</v>
      </c>
      <c r="E46" s="27">
        <v>299000</v>
      </c>
      <c r="F46" s="26">
        <v>299000</v>
      </c>
      <c r="G46" s="25">
        <f>F46-E46</f>
      </c>
      <c r="H46" s="25"/>
      <c r="I46" s="24">
        <v>299000</v>
      </c>
    </row>
    <row r="47">
      <c r="A47" s="25" t="str">
        <v>113 THD AG</v>
      </c>
      <c r="B47" s="25" t="str">
        <v>DV_Cắt_Vip</v>
      </c>
      <c r="C47" s="25">
        <v>1053</v>
      </c>
      <c r="D47" s="25" t="str">
        <v>Combo 2 - First Class 2</v>
      </c>
      <c r="E47" s="27">
        <v>229000</v>
      </c>
      <c r="F47" s="26">
        <v>229000</v>
      </c>
      <c r="G47" s="25">
        <f>F47-E47</f>
      </c>
      <c r="H47" s="25"/>
      <c r="I47" s="24">
        <v>229000</v>
      </c>
    </row>
    <row r="48">
      <c r="A48" s="25" t="str">
        <v>113 THD AG</v>
      </c>
      <c r="B48" s="25" t="str">
        <v>DV_Cắt_Vip</v>
      </c>
      <c r="C48" s="25">
        <v>1054</v>
      </c>
      <c r="D48" s="25" t="str">
        <v>Combo 3 - First Class 3</v>
      </c>
      <c r="E48" s="27">
        <v>299000</v>
      </c>
      <c r="F48" s="26">
        <v>299000</v>
      </c>
      <c r="G48" s="25">
        <f>F48-E48</f>
      </c>
      <c r="H48" s="25"/>
      <c r="I48" s="24">
        <v>299000</v>
      </c>
    </row>
    <row r="49">
      <c r="A49" s="25" t="str">
        <v>113 THD AG</v>
      </c>
      <c r="B49" s="25" t="str">
        <v>DV_Cắt_Vip</v>
      </c>
      <c r="C49" s="25">
        <v>1048</v>
      </c>
      <c r="D49" s="25" t="str">
        <v>Combo 4</v>
      </c>
      <c r="E49" s="27">
        <v>389000</v>
      </c>
      <c r="F49" s="26">
        <v>389000</v>
      </c>
      <c r="G49" s="25">
        <f>F49-E49</f>
      </c>
      <c r="H49" s="25"/>
      <c r="I49" s="24">
        <v>389000</v>
      </c>
    </row>
    <row r="50">
      <c r="A50" s="25" t="str">
        <v>113 THD AG</v>
      </c>
      <c r="B50" s="25" t="str">
        <v>DV_Cắt_Vip</v>
      </c>
      <c r="C50" s="25">
        <v>1150</v>
      </c>
      <c r="D50" s="25" t="str">
        <v>Combo cắt gội đỉnh cao thư giãn vip</v>
      </c>
      <c r="E50" s="27">
        <v>600000</v>
      </c>
      <c r="F50" s="26">
        <v>600000</v>
      </c>
      <c r="G50" s="25">
        <f>F50-E50</f>
      </c>
      <c r="H50" s="25"/>
      <c r="I50" s="24">
        <v>600000</v>
      </c>
    </row>
    <row r="51">
      <c r="A51" s="25" t="str">
        <v>113 THD AG</v>
      </c>
      <c r="B51" s="25" t="str">
        <v>DV_Cắt_Vip</v>
      </c>
      <c r="C51" s="25">
        <v>1046</v>
      </c>
      <c r="D51" s="25" t="str">
        <v>Shinecombo 2</v>
      </c>
      <c r="E51" s="27">
        <v>199000</v>
      </c>
      <c r="F51" s="26">
        <v>199000</v>
      </c>
      <c r="G51" s="25">
        <f>F51-E51</f>
      </c>
      <c r="H51" s="25"/>
      <c r="I51" s="24">
        <v>199000</v>
      </c>
    </row>
    <row r="52">
      <c r="A52" s="25" t="str">
        <v>1146 KVC</v>
      </c>
      <c r="B52" s="25" t="str">
        <v>DV_Cắt</v>
      </c>
      <c r="C52" s="25">
        <v>513</v>
      </c>
      <c r="D52" s="25" t="str">
        <v>[DV] ShineCombo 10 bước Ultra Care 2023</v>
      </c>
      <c r="E52" s="27">
        <v>122000</v>
      </c>
      <c r="F52" s="26">
        <v>122000</v>
      </c>
      <c r="G52" s="25">
        <f>F52-E52</f>
      </c>
      <c r="H52" s="25"/>
      <c r="I52" s="24">
        <v>122000</v>
      </c>
    </row>
    <row r="53">
      <c r="A53" s="25" t="str">
        <v>1146 KVC</v>
      </c>
      <c r="B53" s="25" t="str">
        <v>DV_Cắt</v>
      </c>
      <c r="C53" s="25">
        <v>891</v>
      </c>
      <c r="D53" s="25" t="str">
        <v>Cắt xả tạo kiểu</v>
      </c>
      <c r="E53" s="27">
        <v>94000</v>
      </c>
      <c r="F53" s="26">
        <v>94000</v>
      </c>
      <c r="G53" s="25">
        <f>F53-E53</f>
      </c>
      <c r="H53" s="25"/>
      <c r="I53" s="24">
        <v>94000</v>
      </c>
    </row>
    <row r="54">
      <c r="A54" s="25" t="str">
        <v>1146 KVC</v>
      </c>
      <c r="B54" s="25" t="str">
        <v>DV_Cắt</v>
      </c>
      <c r="C54" s="25">
        <v>1002</v>
      </c>
      <c r="D54" s="25" t="str">
        <v>Kid Cắt</v>
      </c>
      <c r="E54" s="27">
        <v>75000</v>
      </c>
      <c r="F54" s="26">
        <v>75000</v>
      </c>
      <c r="G54" s="25">
        <f>F54-E54</f>
      </c>
      <c r="H54" s="25"/>
      <c r="I54" s="24">
        <v>75000</v>
      </c>
    </row>
    <row r="55">
      <c r="A55" s="25" t="str">
        <v>1146 KVC</v>
      </c>
      <c r="B55" s="25" t="str">
        <v>DV_Cắt_Vip</v>
      </c>
      <c r="C55" s="25">
        <v>1047</v>
      </c>
      <c r="D55" s="25" t="str">
        <v>Cắt Gội Combo 3 - Chăm da</v>
      </c>
      <c r="E55" s="27">
        <v>299000</v>
      </c>
      <c r="F55" s="26">
        <v>299000</v>
      </c>
      <c r="G55" s="25">
        <f>F55-E55</f>
      </c>
      <c r="H55" s="25"/>
      <c r="I55" s="24">
        <v>299000</v>
      </c>
    </row>
    <row r="56">
      <c r="A56" s="25" t="str">
        <v>1146 KVC</v>
      </c>
      <c r="B56" s="25" t="str">
        <v>DV_Cắt_Vip</v>
      </c>
      <c r="C56" s="25">
        <v>1048</v>
      </c>
      <c r="D56" s="25" t="str">
        <v>Combo 4</v>
      </c>
      <c r="E56" s="27">
        <v>389000</v>
      </c>
      <c r="F56" s="26">
        <v>389000</v>
      </c>
      <c r="G56" s="25">
        <f>F56-E56</f>
      </c>
      <c r="H56" s="25"/>
      <c r="I56" s="24">
        <v>389000</v>
      </c>
    </row>
    <row r="57">
      <c r="A57" s="25" t="str">
        <v>1146 KVC</v>
      </c>
      <c r="B57" s="25" t="str">
        <v>DV_Cắt_Vip</v>
      </c>
      <c r="C57" s="25">
        <v>1150</v>
      </c>
      <c r="D57" s="25" t="str">
        <v>Combo cắt gội đỉnh cao thư giãn vip</v>
      </c>
      <c r="E57" s="27">
        <v>500000</v>
      </c>
      <c r="F57" s="26">
        <v>500000</v>
      </c>
      <c r="G57" s="25">
        <f>F57-E57</f>
      </c>
      <c r="H57" s="25"/>
      <c r="I57" s="24">
        <v>500000</v>
      </c>
    </row>
    <row r="58">
      <c r="A58" s="25" t="str">
        <v>1146 KVC</v>
      </c>
      <c r="B58" s="25" t="str">
        <v>DV_Cắt_Vip</v>
      </c>
      <c r="C58" s="25">
        <v>1046</v>
      </c>
      <c r="D58" s="25" t="str">
        <v>Shinecombo 2</v>
      </c>
      <c r="E58" s="27">
        <v>199000</v>
      </c>
      <c r="F58" s="26">
        <v>199000</v>
      </c>
      <c r="G58" s="25">
        <f>F58-E58</f>
      </c>
      <c r="H58" s="25"/>
      <c r="I58" s="24">
        <v>199000</v>
      </c>
    </row>
    <row r="59">
      <c r="A59" s="25" t="str">
        <v>116 TK</v>
      </c>
      <c r="B59" s="25" t="str">
        <v>DV_Cắt</v>
      </c>
      <c r="C59" s="25">
        <v>513</v>
      </c>
      <c r="D59" s="25" t="str">
        <v>[DV] ShineCombo 10 bước Ultra Care 2023</v>
      </c>
      <c r="E59" s="27">
        <v>122000</v>
      </c>
      <c r="F59" s="26">
        <v>122000</v>
      </c>
      <c r="G59" s="25">
        <f>F59-E59</f>
      </c>
      <c r="H59" s="25"/>
      <c r="I59" s="24">
        <v>122000</v>
      </c>
    </row>
    <row r="60">
      <c r="A60" s="25" t="str">
        <v>116 TK</v>
      </c>
      <c r="B60" s="25" t="str">
        <v>DV_Cắt</v>
      </c>
      <c r="C60" s="25">
        <v>891</v>
      </c>
      <c r="D60" s="25" t="str">
        <v>Cắt xả tạo kiểu</v>
      </c>
      <c r="E60" s="27">
        <v>94000</v>
      </c>
      <c r="F60" s="26">
        <v>94000</v>
      </c>
      <c r="G60" s="25">
        <f>F60-E60</f>
      </c>
      <c r="H60" s="25"/>
      <c r="I60" s="24">
        <v>94000</v>
      </c>
    </row>
    <row r="61">
      <c r="A61" s="25" t="str">
        <v>116 TK</v>
      </c>
      <c r="B61" s="25" t="str">
        <v>DV_Cắt</v>
      </c>
      <c r="C61" s="25">
        <v>1052</v>
      </c>
      <c r="D61" s="25" t="str">
        <v>Combo 1 - First Class 1</v>
      </c>
      <c r="E61" s="27">
        <v>159000</v>
      </c>
      <c r="F61" s="26">
        <v>159000</v>
      </c>
      <c r="G61" s="25">
        <f>F61-E61</f>
      </c>
      <c r="H61" s="25"/>
      <c r="I61" s="24">
        <v>159000</v>
      </c>
    </row>
    <row r="62">
      <c r="A62" s="25" t="str">
        <v>116 TK</v>
      </c>
      <c r="B62" s="25" t="str">
        <v>DV_Cắt</v>
      </c>
      <c r="C62" s="25">
        <v>1070</v>
      </c>
      <c r="D62" s="25" t="str">
        <v>Combo Cắt gội Kid</v>
      </c>
      <c r="E62" s="27">
        <v>100000</v>
      </c>
      <c r="F62" s="26">
        <v>100000</v>
      </c>
      <c r="G62" s="25">
        <f>F62-E62</f>
      </c>
      <c r="H62" s="25"/>
      <c r="I62" s="24">
        <v>100000</v>
      </c>
    </row>
    <row r="63">
      <c r="A63" s="25" t="str">
        <v>116 TK</v>
      </c>
      <c r="B63" s="25" t="str">
        <v>DV_Cắt</v>
      </c>
      <c r="C63" s="25">
        <v>1002</v>
      </c>
      <c r="D63" s="25" t="str">
        <v>Kid Cắt</v>
      </c>
      <c r="E63" s="27">
        <v>75000</v>
      </c>
      <c r="F63" s="26">
        <v>75000</v>
      </c>
      <c r="G63" s="25">
        <f>F63-E63</f>
      </c>
      <c r="H63" s="25"/>
      <c r="I63" s="24">
        <v>75000</v>
      </c>
    </row>
    <row r="64">
      <c r="A64" s="25" t="str">
        <v>116 TK</v>
      </c>
      <c r="B64" s="25" t="str">
        <v>DV_Cắt_Vip</v>
      </c>
      <c r="C64" s="25">
        <v>1047</v>
      </c>
      <c r="D64" s="25" t="str">
        <v>Cắt Gội Combo 3 - Chăm da</v>
      </c>
      <c r="E64" s="27">
        <v>299000</v>
      </c>
      <c r="F64" s="26">
        <v>299000</v>
      </c>
      <c r="G64" s="25">
        <f>F64-E64</f>
      </c>
      <c r="H64" s="25"/>
      <c r="I64" s="24">
        <v>299000</v>
      </c>
    </row>
    <row r="65">
      <c r="A65" s="25" t="str">
        <v>116 TK</v>
      </c>
      <c r="B65" s="25" t="str">
        <v>DV_Cắt_Vip</v>
      </c>
      <c r="C65" s="25">
        <v>1065</v>
      </c>
      <c r="D65" s="25" t="str">
        <v>Cắt Gội Combo 3 - Dưỡng sinh</v>
      </c>
      <c r="E65" s="27">
        <v>299000</v>
      </c>
      <c r="F65" s="26">
        <v>299000</v>
      </c>
      <c r="G65" s="25">
        <f>F65-E65</f>
      </c>
      <c r="H65" s="25"/>
      <c r="I65" s="24">
        <v>299000</v>
      </c>
    </row>
    <row r="66">
      <c r="A66" s="25" t="str">
        <v>116 TK</v>
      </c>
      <c r="B66" s="25" t="str">
        <v>DV_Cắt_Vip</v>
      </c>
      <c r="C66" s="25">
        <v>1064</v>
      </c>
      <c r="D66" s="25" t="str">
        <v>Cắt Gội Combo 5 - Dưỡng sinh</v>
      </c>
      <c r="E66" s="27">
        <v>459000</v>
      </c>
      <c r="F66" s="26">
        <v>459000</v>
      </c>
      <c r="G66" s="25">
        <f>F66-E66</f>
      </c>
      <c r="H66" s="25"/>
      <c r="I66" s="24">
        <v>459000</v>
      </c>
    </row>
    <row r="67">
      <c r="A67" s="25" t="str">
        <v>116 TK</v>
      </c>
      <c r="B67" s="25" t="str">
        <v>DV_Cắt_Vip</v>
      </c>
      <c r="C67" s="25">
        <v>1054</v>
      </c>
      <c r="D67" s="25" t="str">
        <v>Combo 3 - First Class 3</v>
      </c>
      <c r="E67" s="27">
        <v>299000</v>
      </c>
      <c r="F67" s="26">
        <v>299000</v>
      </c>
      <c r="G67" s="25">
        <f>F67-E67</f>
      </c>
      <c r="H67" s="25"/>
      <c r="I67" s="24">
        <v>299000</v>
      </c>
    </row>
    <row r="68">
      <c r="A68" s="25" t="str">
        <v>116 TK</v>
      </c>
      <c r="B68" s="25" t="str">
        <v>DV_Cắt_Vip</v>
      </c>
      <c r="C68" s="25">
        <v>1048</v>
      </c>
      <c r="D68" s="25" t="str">
        <v>Combo 4</v>
      </c>
      <c r="E68" s="27">
        <v>389000</v>
      </c>
      <c r="F68" s="26">
        <v>389000</v>
      </c>
      <c r="G68" s="25">
        <f>F68-E68</f>
      </c>
      <c r="H68" s="25"/>
      <c r="I68" s="24">
        <v>389000</v>
      </c>
    </row>
    <row r="69">
      <c r="A69" s="25" t="str">
        <v>116 TK</v>
      </c>
      <c r="B69" s="25" t="str">
        <v>DV_Cắt_Vip</v>
      </c>
      <c r="C69" s="25">
        <v>1046</v>
      </c>
      <c r="D69" s="25" t="str">
        <v>Shinecombo 2</v>
      </c>
      <c r="E69" s="27">
        <v>199000</v>
      </c>
      <c r="F69" s="26">
        <v>199000</v>
      </c>
      <c r="G69" s="25">
        <f>F69-E69</f>
      </c>
      <c r="H69" s="25"/>
      <c r="I69" s="24">
        <v>199000</v>
      </c>
    </row>
    <row r="70">
      <c r="A70" s="25" t="str">
        <v>1180 QT</v>
      </c>
      <c r="B70" s="25" t="str">
        <v>DV_Cắt</v>
      </c>
      <c r="C70" s="25">
        <v>513</v>
      </c>
      <c r="D70" s="25" t="str">
        <v>[DV] ShineCombo 10 bước Ultra Care 2023</v>
      </c>
      <c r="E70" s="27">
        <v>122000</v>
      </c>
      <c r="F70" s="26">
        <v>122000</v>
      </c>
      <c r="G70" s="25">
        <f>F70-E70</f>
      </c>
      <c r="H70" s="25"/>
      <c r="I70" s="24">
        <v>122000</v>
      </c>
    </row>
    <row r="71">
      <c r="A71" s="25" t="str">
        <v>1180 QT</v>
      </c>
      <c r="B71" s="25" t="str">
        <v>DV_Cắt</v>
      </c>
      <c r="C71" s="25">
        <v>891</v>
      </c>
      <c r="D71" s="25" t="str">
        <v>Cắt xả tạo kiểu</v>
      </c>
      <c r="E71" s="27">
        <v>94000</v>
      </c>
      <c r="F71" s="28">
        <v>103000</v>
      </c>
      <c r="G71" s="25">
        <f>F71-E71</f>
      </c>
      <c r="H71" s="25" t="str">
        <v>điều chỉnh giá</v>
      </c>
      <c r="I71" s="24">
        <v>103000</v>
      </c>
    </row>
    <row r="72">
      <c r="A72" s="25" t="str">
        <v>1180 QT</v>
      </c>
      <c r="B72" s="25" t="str">
        <v>DV_Cắt</v>
      </c>
      <c r="C72" s="25">
        <v>1052</v>
      </c>
      <c r="D72" s="25" t="str">
        <v>Combo 1 - First Class 1</v>
      </c>
      <c r="E72" s="27">
        <v>139000</v>
      </c>
      <c r="F72" s="26">
        <v>139000</v>
      </c>
      <c r="G72" s="25">
        <f>F72-E72</f>
      </c>
      <c r="H72" s="25"/>
      <c r="I72" s="24">
        <v>139000</v>
      </c>
    </row>
    <row r="73">
      <c r="A73" s="25" t="str">
        <v>1180 QT</v>
      </c>
      <c r="B73" s="25" t="str">
        <v>DV_Cắt</v>
      </c>
      <c r="C73" s="25">
        <v>1002</v>
      </c>
      <c r="D73" s="25" t="str">
        <v>Kid Cắt</v>
      </c>
      <c r="E73" s="27">
        <v>75000</v>
      </c>
      <c r="F73" s="28">
        <v>84000</v>
      </c>
      <c r="G73" s="25">
        <f>F73-E73</f>
      </c>
      <c r="H73" s="25" t="str">
        <v>điều chỉnh giá</v>
      </c>
      <c r="I73" s="24">
        <v>84000</v>
      </c>
    </row>
    <row r="74">
      <c r="A74" s="25" t="str">
        <v>1180 QT</v>
      </c>
      <c r="B74" s="25" t="str">
        <v>DV_Cắt_Vip</v>
      </c>
      <c r="C74" s="25">
        <v>1064</v>
      </c>
      <c r="D74" s="25" t="str">
        <v>Cắt Gội Combo 5 - Dưỡng sinh</v>
      </c>
      <c r="E74" s="27">
        <v>459000</v>
      </c>
      <c r="F74" s="28">
        <v>468000</v>
      </c>
      <c r="G74" s="25">
        <f>F74-E74</f>
      </c>
      <c r="H74" s="25" t="str">
        <v>điều chỉnh giá</v>
      </c>
      <c r="I74" s="24">
        <v>468000</v>
      </c>
    </row>
    <row r="75">
      <c r="A75" s="25" t="str">
        <v>1180 QT</v>
      </c>
      <c r="B75" s="25" t="str">
        <v>DV_Cắt_Vip</v>
      </c>
      <c r="C75" s="25">
        <v>1053</v>
      </c>
      <c r="D75" s="25" t="str">
        <v>Combo 2 - First Class 2</v>
      </c>
      <c r="E75" s="27">
        <v>239000</v>
      </c>
      <c r="F75" s="28">
        <v>248000</v>
      </c>
      <c r="G75" s="25">
        <f>F75-E75</f>
      </c>
      <c r="H75" s="25" t="str">
        <v>điều chỉnh giá</v>
      </c>
      <c r="I75" s="24">
        <v>248000</v>
      </c>
    </row>
    <row r="76">
      <c r="A76" s="25" t="str">
        <v>1180 QT</v>
      </c>
      <c r="B76" s="25" t="str">
        <v>DV_Cắt_Vip</v>
      </c>
      <c r="C76" s="25">
        <v>1054</v>
      </c>
      <c r="D76" s="25" t="str">
        <v>Combo 3 - First Class 3</v>
      </c>
      <c r="E76" s="27">
        <v>309000</v>
      </c>
      <c r="F76" s="28">
        <v>318000</v>
      </c>
      <c r="G76" s="25">
        <f>F76-E76</f>
      </c>
      <c r="H76" s="25" t="str">
        <v>điều chỉnh giá</v>
      </c>
      <c r="I76" s="24">
        <v>318000</v>
      </c>
    </row>
    <row r="77">
      <c r="A77" s="25" t="str">
        <v>1180 QT</v>
      </c>
      <c r="B77" s="25" t="str">
        <v>DV_Cắt_Vip</v>
      </c>
      <c r="C77" s="25">
        <v>1048</v>
      </c>
      <c r="D77" s="25" t="str">
        <v>Combo 4</v>
      </c>
      <c r="E77" s="27">
        <v>389000</v>
      </c>
      <c r="F77" s="28">
        <v>398000</v>
      </c>
      <c r="G77" s="25">
        <f>F77-E77</f>
      </c>
      <c r="H77" s="25" t="str">
        <v>điều chỉnh giá</v>
      </c>
      <c r="I77" s="24">
        <v>398000</v>
      </c>
    </row>
    <row r="78">
      <c r="A78" s="25" t="str">
        <v>1180 QT</v>
      </c>
      <c r="B78" s="25" t="str">
        <v>DV_Cắt_Vip</v>
      </c>
      <c r="C78" s="25">
        <v>1055</v>
      </c>
      <c r="D78" s="25" t="str">
        <v>Combo 4- First Class 4</v>
      </c>
      <c r="E78" s="27">
        <v>409000</v>
      </c>
      <c r="F78" s="28">
        <v>418000</v>
      </c>
      <c r="G78" s="25">
        <f>F78-E78</f>
      </c>
      <c r="H78" s="25" t="str">
        <v>điều chỉnh giá</v>
      </c>
      <c r="I78" s="24">
        <v>418000</v>
      </c>
    </row>
    <row r="79">
      <c r="A79" s="25" t="str">
        <v>1180 QT</v>
      </c>
      <c r="B79" s="25" t="str">
        <v>DV_Cắt_Vip</v>
      </c>
      <c r="C79" s="25">
        <v>1046</v>
      </c>
      <c r="D79" s="25" t="str">
        <v>Shinecombo 2</v>
      </c>
      <c r="E79" s="27">
        <v>199000</v>
      </c>
      <c r="F79" s="28">
        <v>208000</v>
      </c>
      <c r="G79" s="25">
        <f>F79-E79</f>
      </c>
      <c r="H79" s="25" t="str">
        <v>điều chỉnh giá</v>
      </c>
      <c r="I79" s="24">
        <v>208000</v>
      </c>
    </row>
    <row r="80">
      <c r="A80" s="25" t="str">
        <v>12 LDT</v>
      </c>
      <c r="B80" s="25" t="str">
        <v>DV_Cắt</v>
      </c>
      <c r="C80" s="25">
        <v>513</v>
      </c>
      <c r="D80" s="25" t="str">
        <v>[DV] ShineCombo 10 bước Ultra Care 2023</v>
      </c>
      <c r="E80" s="27">
        <v>122000</v>
      </c>
      <c r="F80" s="26">
        <v>122000</v>
      </c>
      <c r="G80" s="25">
        <f>F80-E80</f>
      </c>
      <c r="H80" s="25"/>
      <c r="I80" s="24">
        <v>122000</v>
      </c>
    </row>
    <row r="81">
      <c r="A81" s="25" t="str">
        <v>12 LDT</v>
      </c>
      <c r="B81" s="25" t="str">
        <v>DV_Cắt</v>
      </c>
      <c r="C81" s="25">
        <v>1070</v>
      </c>
      <c r="D81" s="25" t="str">
        <v>Combo Cắt gội Kid</v>
      </c>
      <c r="E81" s="27">
        <v>100000</v>
      </c>
      <c r="F81" s="26">
        <v>100000</v>
      </c>
      <c r="G81" s="25">
        <f>F81-E81</f>
      </c>
      <c r="H81" s="25"/>
      <c r="I81" s="24">
        <v>100000</v>
      </c>
    </row>
    <row r="82">
      <c r="A82" s="25" t="str">
        <v>12 LDT</v>
      </c>
      <c r="B82" s="25" t="str">
        <v>DV_Cắt</v>
      </c>
      <c r="C82" s="25">
        <v>891</v>
      </c>
      <c r="D82" s="25" t="str">
        <v>Cắt xả tạo kiểu</v>
      </c>
      <c r="E82" s="27">
        <v>94000</v>
      </c>
      <c r="F82" s="28">
        <v>103000</v>
      </c>
      <c r="G82" s="25">
        <f>F82-E82</f>
      </c>
      <c r="H82" s="25" t="str">
        <v>điều chỉnh giá</v>
      </c>
      <c r="I82" s="24">
        <v>103000</v>
      </c>
    </row>
    <row r="83">
      <c r="A83" s="25" t="str">
        <v>12 LDT</v>
      </c>
      <c r="B83" s="25" t="str">
        <v>DV_Cắt</v>
      </c>
      <c r="C83" s="25">
        <v>1052</v>
      </c>
      <c r="D83" s="25" t="str">
        <v>Combo 1 - First Class 1</v>
      </c>
      <c r="E83" s="27">
        <v>139000</v>
      </c>
      <c r="F83" s="26">
        <v>139000</v>
      </c>
      <c r="G83" s="25">
        <f>F83-E83</f>
      </c>
      <c r="H83" s="25"/>
      <c r="I83" s="24">
        <v>139000</v>
      </c>
    </row>
    <row r="84">
      <c r="A84" s="25" t="str">
        <v>12 LDT</v>
      </c>
      <c r="B84" s="25" t="str">
        <v>DV_Cắt</v>
      </c>
      <c r="C84" s="25">
        <v>1002</v>
      </c>
      <c r="D84" s="25" t="str">
        <v>Kid Cắt</v>
      </c>
      <c r="E84" s="27">
        <v>75000</v>
      </c>
      <c r="F84" s="28">
        <v>84000</v>
      </c>
      <c r="G84" s="25">
        <f>F84-E84</f>
      </c>
      <c r="H84" s="25" t="str">
        <v>điều chỉnh giá</v>
      </c>
      <c r="I84" s="24">
        <v>84000</v>
      </c>
    </row>
    <row r="85">
      <c r="A85" s="25" t="str">
        <v>12 LDT</v>
      </c>
      <c r="B85" s="25" t="str">
        <v>DV_Cắt_Vip</v>
      </c>
      <c r="C85" s="25">
        <v>1047</v>
      </c>
      <c r="D85" s="25" t="str">
        <v>Cắt Gội Combo 3 - Chăm da</v>
      </c>
      <c r="E85" s="27">
        <v>299000</v>
      </c>
      <c r="F85" s="28">
        <v>308000</v>
      </c>
      <c r="G85" s="25">
        <f>F85-E85</f>
      </c>
      <c r="H85" s="25" t="str">
        <v>điều chỉnh giá</v>
      </c>
      <c r="I85" s="24">
        <v>308000</v>
      </c>
    </row>
    <row r="86">
      <c r="A86" s="25" t="str">
        <v>12 LDT</v>
      </c>
      <c r="B86" s="25" t="str">
        <v>DV_Cắt_Vip</v>
      </c>
      <c r="C86" s="25">
        <v>1064</v>
      </c>
      <c r="D86" s="25" t="str">
        <v>Cắt Gội Combo 5 - Dưỡng sinh</v>
      </c>
      <c r="E86" s="27">
        <v>459000</v>
      </c>
      <c r="F86" s="28">
        <v>468000</v>
      </c>
      <c r="G86" s="25">
        <f>F86-E86</f>
      </c>
      <c r="H86" s="25" t="str">
        <v>điều chỉnh giá</v>
      </c>
      <c r="I86" s="24">
        <v>468000</v>
      </c>
    </row>
    <row r="87">
      <c r="A87" s="25" t="str">
        <v>12 LDT</v>
      </c>
      <c r="B87" s="25" t="str">
        <v>DV_Cắt_Vip</v>
      </c>
      <c r="C87" s="25">
        <v>1053</v>
      </c>
      <c r="D87" s="25" t="str">
        <v>Combo 2 - First Class 2</v>
      </c>
      <c r="E87" s="27">
        <v>239000</v>
      </c>
      <c r="F87" s="28">
        <v>248000</v>
      </c>
      <c r="G87" s="25">
        <f>F87-E87</f>
      </c>
      <c r="H87" s="25" t="str">
        <v>điều chỉnh giá</v>
      </c>
      <c r="I87" s="24">
        <v>248000</v>
      </c>
    </row>
    <row r="88">
      <c r="A88" s="25" t="str">
        <v>12 LDT</v>
      </c>
      <c r="B88" s="25" t="str">
        <v>DV_Cắt_Vip</v>
      </c>
      <c r="C88" s="25">
        <v>1054</v>
      </c>
      <c r="D88" s="25" t="str">
        <v>Combo 3 - First Class 3</v>
      </c>
      <c r="E88" s="27">
        <v>309000</v>
      </c>
      <c r="F88" s="28">
        <v>318000</v>
      </c>
      <c r="G88" s="25">
        <f>F88-E88</f>
      </c>
      <c r="H88" s="25" t="str">
        <v>điều chỉnh giá</v>
      </c>
      <c r="I88" s="24">
        <v>318000</v>
      </c>
    </row>
    <row r="89">
      <c r="A89" s="25" t="str">
        <v>12 LDT</v>
      </c>
      <c r="B89" s="25" t="str">
        <v>DV_Cắt_Vip</v>
      </c>
      <c r="C89" s="25">
        <v>1048</v>
      </c>
      <c r="D89" s="25" t="str">
        <v>Combo 4</v>
      </c>
      <c r="E89" s="27">
        <v>389000</v>
      </c>
      <c r="F89" s="28">
        <v>398000</v>
      </c>
      <c r="G89" s="25">
        <f>F89-E89</f>
      </c>
      <c r="H89" s="25" t="str">
        <v>điều chỉnh giá</v>
      </c>
      <c r="I89" s="24">
        <v>398000</v>
      </c>
    </row>
    <row r="90">
      <c r="A90" s="25" t="str">
        <v>12 LDT</v>
      </c>
      <c r="B90" s="25" t="str">
        <v>DV_Cắt_Vip</v>
      </c>
      <c r="C90" s="25">
        <v>1055</v>
      </c>
      <c r="D90" s="25" t="str">
        <v>Combo 4- First Class 4</v>
      </c>
      <c r="E90" s="27">
        <v>409000</v>
      </c>
      <c r="F90" s="28">
        <v>418000</v>
      </c>
      <c r="G90" s="25">
        <f>F90-E90</f>
      </c>
      <c r="H90" s="25" t="str">
        <v>điều chỉnh giá</v>
      </c>
      <c r="I90" s="24">
        <v>418000</v>
      </c>
    </row>
    <row r="91">
      <c r="A91" s="25" t="str">
        <v>12 LDT</v>
      </c>
      <c r="B91" s="25" t="str">
        <v>DV_Cắt_Vip</v>
      </c>
      <c r="C91" s="25">
        <v>1046</v>
      </c>
      <c r="D91" s="25" t="str">
        <v>Shinecombo 2</v>
      </c>
      <c r="E91" s="27">
        <v>199000</v>
      </c>
      <c r="F91" s="28">
        <v>208000</v>
      </c>
      <c r="G91" s="25">
        <f>F91-E91</f>
      </c>
      <c r="H91" s="25" t="str">
        <v>điều chỉnh giá</v>
      </c>
      <c r="I91" s="24">
        <v>208000</v>
      </c>
    </row>
    <row r="92">
      <c r="A92" s="25" t="str">
        <v>1371 PVT</v>
      </c>
      <c r="B92" s="25" t="str">
        <v>DV_Cắt</v>
      </c>
      <c r="C92" s="25">
        <v>513</v>
      </c>
      <c r="D92" s="25" t="str">
        <v>[DV] ShineCombo 10 bước Ultra Care 2023</v>
      </c>
      <c r="E92" s="27">
        <v>122000</v>
      </c>
      <c r="F92" s="26">
        <v>122000</v>
      </c>
      <c r="G92" s="25">
        <f>F92-E92</f>
      </c>
      <c r="H92" s="25"/>
      <c r="I92" s="24">
        <v>122000</v>
      </c>
    </row>
    <row r="93">
      <c r="A93" s="25" t="str">
        <v>1371 PVT</v>
      </c>
      <c r="B93" s="25" t="str">
        <v>DV_Cắt</v>
      </c>
      <c r="C93" s="25">
        <v>1070</v>
      </c>
      <c r="D93" s="25" t="str">
        <v>Combo Cắt gội Kid</v>
      </c>
      <c r="E93" s="27">
        <v>100000</v>
      </c>
      <c r="F93" s="26">
        <v>100000</v>
      </c>
      <c r="G93" s="25">
        <f>F93-E93</f>
      </c>
      <c r="H93" s="25"/>
      <c r="I93" s="24">
        <v>100000</v>
      </c>
    </row>
    <row r="94">
      <c r="A94" s="25" t="str">
        <v>1371 PVT</v>
      </c>
      <c r="B94" s="25" t="str">
        <v>DV_Cắt</v>
      </c>
      <c r="C94" s="25">
        <v>891</v>
      </c>
      <c r="D94" s="25" t="str">
        <v>Cắt xả tạo kiểu</v>
      </c>
      <c r="E94" s="27">
        <v>94000</v>
      </c>
      <c r="F94" s="28">
        <v>101999.99999999999</v>
      </c>
      <c r="G94" s="25">
        <f>F94-E94</f>
      </c>
      <c r="H94" s="25" t="str">
        <v>điều chỉnh giá</v>
      </c>
      <c r="I94" s="24">
        <v>101999.99999999999</v>
      </c>
    </row>
    <row r="95">
      <c r="A95" s="25" t="str">
        <v>1371 PVT</v>
      </c>
      <c r="B95" s="25" t="str">
        <v>DV_Cắt</v>
      </c>
      <c r="C95" s="25">
        <v>1002</v>
      </c>
      <c r="D95" s="25" t="str">
        <v>Kid Cắt</v>
      </c>
      <c r="E95" s="27">
        <v>75000</v>
      </c>
      <c r="F95" s="28">
        <v>82999.99999999999</v>
      </c>
      <c r="G95" s="25">
        <f>F95-E95</f>
      </c>
      <c r="H95" s="25" t="str">
        <v>điều chỉnh giá</v>
      </c>
      <c r="I95" s="24">
        <v>82999.99999999999</v>
      </c>
    </row>
    <row r="96">
      <c r="A96" s="25" t="str">
        <v>1371 PVT</v>
      </c>
      <c r="B96" s="25" t="str">
        <v>DV_Cắt_Vip</v>
      </c>
      <c r="C96" s="25">
        <v>1047</v>
      </c>
      <c r="D96" s="25" t="str">
        <v>Cắt Gội Combo 3 - Chăm da</v>
      </c>
      <c r="E96" s="27">
        <v>279000</v>
      </c>
      <c r="F96" s="28">
        <v>287000</v>
      </c>
      <c r="G96" s="25">
        <f>F96-E96</f>
      </c>
      <c r="H96" s="25" t="str">
        <v>điều chỉnh giá</v>
      </c>
      <c r="I96" s="24">
        <v>287000</v>
      </c>
    </row>
    <row r="97">
      <c r="A97" s="25" t="str">
        <v>1371 PVT</v>
      </c>
      <c r="B97" s="25" t="str">
        <v>DV_Cắt_Vip</v>
      </c>
      <c r="C97" s="25">
        <v>1048</v>
      </c>
      <c r="D97" s="25" t="str">
        <v>Combo 4</v>
      </c>
      <c r="E97" s="27">
        <v>389000</v>
      </c>
      <c r="F97" s="28">
        <v>397000</v>
      </c>
      <c r="G97" s="25">
        <f>F97-E97</f>
      </c>
      <c r="H97" s="25" t="str">
        <v>điều chỉnh giá</v>
      </c>
      <c r="I97" s="24">
        <v>397000</v>
      </c>
    </row>
    <row r="98">
      <c r="A98" s="25" t="str">
        <v>1371 PVT</v>
      </c>
      <c r="B98" s="25" t="str">
        <v>DV_Cắt_Vip</v>
      </c>
      <c r="C98" s="25">
        <v>1150</v>
      </c>
      <c r="D98" s="25" t="str">
        <v>Combo cắt gội đỉnh cao thư giãn vip</v>
      </c>
      <c r="E98" s="27">
        <v>500000</v>
      </c>
      <c r="F98" s="28">
        <v>508000</v>
      </c>
      <c r="G98" s="25">
        <f>F98-E98</f>
      </c>
      <c r="H98" s="25" t="str">
        <v>điều chỉnh giá</v>
      </c>
      <c r="I98" s="24">
        <v>508000</v>
      </c>
    </row>
    <row r="99">
      <c r="A99" s="25" t="str">
        <v>1371 PVT</v>
      </c>
      <c r="B99" s="25" t="str">
        <v>DV_Cắt_Vip</v>
      </c>
      <c r="C99" s="25">
        <v>1046</v>
      </c>
      <c r="D99" s="25" t="str">
        <v>Shinecombo 2</v>
      </c>
      <c r="E99" s="27">
        <v>169000</v>
      </c>
      <c r="F99" s="28">
        <v>177000</v>
      </c>
      <c r="G99" s="25">
        <f>F99-E99</f>
      </c>
      <c r="H99" s="25" t="str">
        <v>điều chỉnh giá</v>
      </c>
      <c r="I99" s="24">
        <v>177000</v>
      </c>
    </row>
    <row r="100">
      <c r="A100" s="25" t="str">
        <v>145 THT</v>
      </c>
      <c r="B100" s="25" t="str">
        <v>DV_Cắt</v>
      </c>
      <c r="C100" s="25">
        <v>513</v>
      </c>
      <c r="D100" s="25" t="str">
        <v>[DV] ShineCombo 10 bước Ultra Care 2023</v>
      </c>
      <c r="E100" s="27">
        <v>122000</v>
      </c>
      <c r="F100" s="26">
        <v>122000</v>
      </c>
      <c r="G100" s="25">
        <f>F100-E100</f>
      </c>
      <c r="H100" s="25"/>
      <c r="I100" s="24">
        <v>122000</v>
      </c>
    </row>
    <row r="101">
      <c r="A101" s="25" t="str">
        <v>145 THT</v>
      </c>
      <c r="B101" s="25" t="str">
        <v>DV_Cắt</v>
      </c>
      <c r="C101" s="25">
        <v>891</v>
      </c>
      <c r="D101" s="25" t="str">
        <v>Cắt xả tạo kiểu</v>
      </c>
      <c r="E101" s="27">
        <v>94000</v>
      </c>
      <c r="F101" s="26">
        <v>94000</v>
      </c>
      <c r="G101" s="25">
        <f>F101-E101</f>
      </c>
      <c r="H101" s="25"/>
      <c r="I101" s="24">
        <v>94000</v>
      </c>
    </row>
    <row r="102">
      <c r="A102" s="25" t="str">
        <v>145 THT</v>
      </c>
      <c r="B102" s="25" t="str">
        <v>DV_Cắt</v>
      </c>
      <c r="C102" s="25">
        <v>1052</v>
      </c>
      <c r="D102" s="25" t="str">
        <v>Combo 1 - First Class 1</v>
      </c>
      <c r="E102" s="27">
        <v>159000</v>
      </c>
      <c r="F102" s="26">
        <v>159000</v>
      </c>
      <c r="G102" s="25">
        <f>F102-E102</f>
      </c>
      <c r="H102" s="25"/>
      <c r="I102" s="24">
        <v>159000</v>
      </c>
    </row>
    <row r="103">
      <c r="A103" s="25" t="str">
        <v>145 THT</v>
      </c>
      <c r="B103" s="25" t="str">
        <v>DV_Cắt</v>
      </c>
      <c r="C103" s="25">
        <v>1070</v>
      </c>
      <c r="D103" s="25" t="str">
        <v>Combo Cắt gội Kid</v>
      </c>
      <c r="E103" s="27">
        <v>100000</v>
      </c>
      <c r="F103" s="26">
        <v>100000</v>
      </c>
      <c r="G103" s="25">
        <f>F103-E103</f>
      </c>
      <c r="H103" s="25"/>
      <c r="I103" s="24">
        <v>100000</v>
      </c>
    </row>
    <row r="104">
      <c r="A104" s="25" t="str">
        <v>145 THT</v>
      </c>
      <c r="B104" s="25" t="str">
        <v>DV_Cắt</v>
      </c>
      <c r="C104" s="25">
        <v>1002</v>
      </c>
      <c r="D104" s="25" t="str">
        <v>Kid Cắt</v>
      </c>
      <c r="E104" s="27">
        <v>75000</v>
      </c>
      <c r="F104" s="26">
        <v>75000</v>
      </c>
      <c r="G104" s="25">
        <f>F104-E104</f>
      </c>
      <c r="H104" s="25"/>
      <c r="I104" s="24">
        <v>75000</v>
      </c>
    </row>
    <row r="105">
      <c r="A105" s="25" t="str">
        <v>145 THT</v>
      </c>
      <c r="B105" s="25" t="str">
        <v>DV_Cắt_Vip</v>
      </c>
      <c r="C105" s="25">
        <v>1047</v>
      </c>
      <c r="D105" s="25" t="str">
        <v>Cắt Gội Combo 3 - Chăm da</v>
      </c>
      <c r="E105" s="27">
        <v>299000</v>
      </c>
      <c r="F105" s="26">
        <v>299000</v>
      </c>
      <c r="G105" s="25">
        <f>F105-E105</f>
      </c>
      <c r="H105" s="25"/>
      <c r="I105" s="24">
        <v>299000</v>
      </c>
    </row>
    <row r="106">
      <c r="A106" s="25" t="str">
        <v>145 THT</v>
      </c>
      <c r="B106" s="25" t="str">
        <v>DV_Cắt_Vip</v>
      </c>
      <c r="C106" s="25">
        <v>1065</v>
      </c>
      <c r="D106" s="25" t="str">
        <v>Cắt Gội Combo 3 - Dưỡng sinh</v>
      </c>
      <c r="E106" s="27">
        <v>299000</v>
      </c>
      <c r="F106" s="26">
        <v>299000</v>
      </c>
      <c r="G106" s="25">
        <f>F106-E106</f>
      </c>
      <c r="H106" s="25"/>
      <c r="I106" s="24">
        <v>299000</v>
      </c>
    </row>
    <row r="107">
      <c r="A107" s="25" t="str">
        <v>145 THT</v>
      </c>
      <c r="B107" s="25" t="str">
        <v>DV_Cắt_Vip</v>
      </c>
      <c r="C107" s="25">
        <v>1049</v>
      </c>
      <c r="D107" s="25" t="str">
        <v>Cắt Gội Combo 5 - Chăm da</v>
      </c>
      <c r="E107" s="27">
        <v>399000</v>
      </c>
      <c r="F107" s="26">
        <v>399000</v>
      </c>
      <c r="G107" s="25">
        <f>F107-E107</f>
      </c>
      <c r="H107" s="25"/>
      <c r="I107" s="24">
        <v>399000</v>
      </c>
    </row>
    <row r="108">
      <c r="A108" s="25" t="str">
        <v>145 THT</v>
      </c>
      <c r="B108" s="25" t="str">
        <v>DV_Cắt_Vip</v>
      </c>
      <c r="C108" s="25">
        <v>1064</v>
      </c>
      <c r="D108" s="25" t="str">
        <v>Cắt Gội Combo 5 - Dưỡng sinh</v>
      </c>
      <c r="E108" s="27">
        <v>459000</v>
      </c>
      <c r="F108" s="26">
        <v>459000</v>
      </c>
      <c r="G108" s="25">
        <f>F108-E108</f>
      </c>
      <c r="H108" s="25"/>
      <c r="I108" s="24">
        <v>459000</v>
      </c>
    </row>
    <row r="109">
      <c r="A109" s="25" t="str">
        <v>145 THT</v>
      </c>
      <c r="B109" s="25" t="str">
        <v>DV_Cắt_Vip</v>
      </c>
      <c r="C109" s="25">
        <v>1054</v>
      </c>
      <c r="D109" s="25" t="str">
        <v>Combo 3 - First Class 3</v>
      </c>
      <c r="E109" s="27">
        <v>299000</v>
      </c>
      <c r="F109" s="26">
        <v>299000</v>
      </c>
      <c r="G109" s="25">
        <f>F109-E109</f>
      </c>
      <c r="H109" s="25"/>
      <c r="I109" s="24">
        <v>299000</v>
      </c>
    </row>
    <row r="110">
      <c r="A110" s="25" t="str">
        <v>145 THT</v>
      </c>
      <c r="B110" s="25" t="str">
        <v>DV_Cắt_Vip</v>
      </c>
      <c r="C110" s="25">
        <v>1048</v>
      </c>
      <c r="D110" s="25" t="str">
        <v>Combo 4</v>
      </c>
      <c r="E110" s="27">
        <v>389000</v>
      </c>
      <c r="F110" s="26">
        <v>389000</v>
      </c>
      <c r="G110" s="25">
        <f>F110-E110</f>
      </c>
      <c r="H110" s="25"/>
      <c r="I110" s="24">
        <v>389000</v>
      </c>
    </row>
    <row r="111">
      <c r="A111" s="25" t="str">
        <v>145 THT</v>
      </c>
      <c r="B111" s="25" t="str">
        <v>DV_Cắt_Vip</v>
      </c>
      <c r="C111" s="25">
        <v>1046</v>
      </c>
      <c r="D111" s="25" t="str">
        <v>Shinecombo 2</v>
      </c>
      <c r="E111" s="27">
        <v>199000</v>
      </c>
      <c r="F111" s="26">
        <v>199000</v>
      </c>
      <c r="G111" s="25">
        <f>F111-E111</f>
      </c>
      <c r="H111" s="25"/>
      <c r="I111" s="24">
        <v>199000</v>
      </c>
    </row>
    <row r="112">
      <c r="A112" s="25" t="str">
        <v>148 TD</v>
      </c>
      <c r="B112" s="25" t="str">
        <v>DV_Cắt</v>
      </c>
      <c r="C112" s="25">
        <v>513</v>
      </c>
      <c r="D112" s="25" t="str">
        <v>[DV] ShineCombo 10 bước Ultra Care 2023</v>
      </c>
      <c r="E112" s="27">
        <v>122000</v>
      </c>
      <c r="F112" s="26">
        <v>122000</v>
      </c>
      <c r="G112" s="25">
        <f>F112-E112</f>
      </c>
      <c r="H112" s="25"/>
      <c r="I112" s="24">
        <v>122000</v>
      </c>
    </row>
    <row r="113">
      <c r="A113" s="25" t="str">
        <v>148 TD</v>
      </c>
      <c r="B113" s="25" t="str">
        <v>DV_Cắt</v>
      </c>
      <c r="C113" s="25">
        <v>1070</v>
      </c>
      <c r="D113" s="25" t="str">
        <v>Combo Cắt gội Kid</v>
      </c>
      <c r="E113" s="27">
        <v>100000</v>
      </c>
      <c r="F113" s="26">
        <v>100000</v>
      </c>
      <c r="G113" s="25">
        <f>F113-E113</f>
      </c>
      <c r="H113" s="25"/>
      <c r="I113" s="24">
        <v>100000</v>
      </c>
    </row>
    <row r="114">
      <c r="A114" s="25" t="str">
        <v>148 TD</v>
      </c>
      <c r="B114" s="25" t="str">
        <v>DV_Cắt</v>
      </c>
      <c r="C114" s="25">
        <v>891</v>
      </c>
      <c r="D114" s="25" t="str">
        <v>Cắt xả tạo kiểu</v>
      </c>
      <c r="E114" s="27">
        <v>94000</v>
      </c>
      <c r="F114" s="28">
        <v>96000</v>
      </c>
      <c r="G114" s="25">
        <f>F114-E114</f>
      </c>
      <c r="H114" s="25" t="str">
        <v>điều chỉnh giá</v>
      </c>
      <c r="I114" s="24">
        <v>96000</v>
      </c>
    </row>
    <row r="115">
      <c r="A115" s="25" t="str">
        <v>148 TD</v>
      </c>
      <c r="B115" s="25" t="str">
        <v>DV_Cắt</v>
      </c>
      <c r="C115" s="25">
        <v>1052</v>
      </c>
      <c r="D115" s="25" t="str">
        <v>Combo 1 - First Class 1</v>
      </c>
      <c r="E115" s="27">
        <v>159000</v>
      </c>
      <c r="F115" s="26">
        <v>159000</v>
      </c>
      <c r="G115" s="25">
        <f>F115-E115</f>
      </c>
      <c r="H115" s="25"/>
      <c r="I115" s="24">
        <v>159000</v>
      </c>
    </row>
    <row r="116">
      <c r="A116" s="25" t="str">
        <v>148 TD</v>
      </c>
      <c r="B116" s="25" t="str">
        <v>DV_Cắt</v>
      </c>
      <c r="C116" s="25">
        <v>1002</v>
      </c>
      <c r="D116" s="25" t="str">
        <v>Kid Cắt</v>
      </c>
      <c r="E116" s="27">
        <v>75000</v>
      </c>
      <c r="F116" s="28">
        <v>76999.99999999999</v>
      </c>
      <c r="G116" s="25">
        <f>F116-E116</f>
      </c>
      <c r="H116" s="25" t="str">
        <v>điều chỉnh giá</v>
      </c>
      <c r="I116" s="24">
        <v>76999.99999999999</v>
      </c>
    </row>
    <row r="117">
      <c r="A117" s="25" t="str">
        <v>148 TD</v>
      </c>
      <c r="B117" s="25" t="str">
        <v>DV_Cắt_Vip</v>
      </c>
      <c r="C117" s="25">
        <v>1047</v>
      </c>
      <c r="D117" s="25" t="str">
        <v>Cắt Gội Combo 3 - Chăm da</v>
      </c>
      <c r="E117" s="27">
        <v>299000</v>
      </c>
      <c r="F117" s="28">
        <v>301000</v>
      </c>
      <c r="G117" s="25">
        <f>F117-E117</f>
      </c>
      <c r="H117" s="25" t="str">
        <v>điều chỉnh giá</v>
      </c>
      <c r="I117" s="24">
        <v>301000</v>
      </c>
    </row>
    <row r="118">
      <c r="A118" s="25" t="str">
        <v>148 TD</v>
      </c>
      <c r="B118" s="25" t="str">
        <v>DV_Cắt_Vip</v>
      </c>
      <c r="C118" s="25">
        <v>1065</v>
      </c>
      <c r="D118" s="25" t="str">
        <v>Cắt Gội Combo 3 - Dưỡng sinh</v>
      </c>
      <c r="E118" s="27">
        <v>299000</v>
      </c>
      <c r="F118" s="28">
        <v>301000</v>
      </c>
      <c r="G118" s="25">
        <f>F118-E118</f>
      </c>
      <c r="H118" s="25" t="str">
        <v>điều chỉnh giá</v>
      </c>
      <c r="I118" s="24">
        <v>301000</v>
      </c>
    </row>
    <row r="119">
      <c r="A119" s="25" t="str">
        <v>148 TD</v>
      </c>
      <c r="B119" s="25" t="str">
        <v>DV_Cắt_Vip</v>
      </c>
      <c r="C119" s="25">
        <v>1053</v>
      </c>
      <c r="D119" s="25" t="str">
        <v>Combo 2 - First Class 2</v>
      </c>
      <c r="E119" s="27">
        <v>239000</v>
      </c>
      <c r="F119" s="28">
        <v>241000</v>
      </c>
      <c r="G119" s="25">
        <f>F119-E119</f>
      </c>
      <c r="H119" s="25" t="str">
        <v>điều chỉnh giá</v>
      </c>
      <c r="I119" s="24">
        <v>241000</v>
      </c>
    </row>
    <row r="120">
      <c r="A120" s="25" t="str">
        <v>148 TD</v>
      </c>
      <c r="B120" s="25" t="str">
        <v>DV_Cắt_Vip</v>
      </c>
      <c r="C120" s="25">
        <v>1048</v>
      </c>
      <c r="D120" s="25" t="str">
        <v>Combo 4</v>
      </c>
      <c r="E120" s="27">
        <v>389000</v>
      </c>
      <c r="F120" s="28">
        <v>391000</v>
      </c>
      <c r="G120" s="25">
        <f>F120-E120</f>
      </c>
      <c r="H120" s="25" t="str">
        <v>điều chỉnh giá</v>
      </c>
      <c r="I120" s="24">
        <v>391000</v>
      </c>
    </row>
    <row r="121">
      <c r="A121" s="25" t="str">
        <v>148 TD</v>
      </c>
      <c r="B121" s="25" t="str">
        <v>DV_Cắt_Vip</v>
      </c>
      <c r="C121" s="25">
        <v>1046</v>
      </c>
      <c r="D121" s="25" t="str">
        <v>Shinecombo 2</v>
      </c>
      <c r="E121" s="27">
        <v>199000</v>
      </c>
      <c r="F121" s="28">
        <v>201000</v>
      </c>
      <c r="G121" s="25">
        <f>F121-E121</f>
      </c>
      <c r="H121" s="25" t="str">
        <v>điều chỉnh giá</v>
      </c>
      <c r="I121" s="24">
        <v>201000</v>
      </c>
    </row>
    <row r="122">
      <c r="A122" s="25" t="str">
        <v>151 CG</v>
      </c>
      <c r="B122" s="25" t="str">
        <v>DV_Cắt</v>
      </c>
      <c r="C122" s="25">
        <v>513</v>
      </c>
      <c r="D122" s="25" t="str">
        <v>[DV] ShineCombo 10 bước Ultra Care 2023</v>
      </c>
      <c r="E122" s="27">
        <v>122000</v>
      </c>
      <c r="F122" s="26">
        <v>122000</v>
      </c>
      <c r="G122" s="25">
        <f>F122-E122</f>
      </c>
      <c r="H122" s="25"/>
      <c r="I122" s="24">
        <v>122000</v>
      </c>
    </row>
    <row r="123">
      <c r="A123" s="25" t="str">
        <v>151 CG</v>
      </c>
      <c r="B123" s="25" t="str">
        <v>DV_Cắt</v>
      </c>
      <c r="C123" s="25">
        <v>891</v>
      </c>
      <c r="D123" s="25" t="str">
        <v>Cắt xả tạo kiểu</v>
      </c>
      <c r="E123" s="27">
        <v>94000</v>
      </c>
      <c r="F123" s="26">
        <v>94000</v>
      </c>
      <c r="G123" s="25">
        <f>F123-E123</f>
      </c>
      <c r="H123" s="25"/>
      <c r="I123" s="24">
        <v>94000</v>
      </c>
    </row>
    <row r="124">
      <c r="A124" s="25" t="str">
        <v>151 CG</v>
      </c>
      <c r="B124" s="25" t="str">
        <v>DV_Cắt</v>
      </c>
      <c r="C124" s="25">
        <v>1070</v>
      </c>
      <c r="D124" s="25" t="str">
        <v>Combo Cắt gội Kid</v>
      </c>
      <c r="E124" s="27">
        <v>100000</v>
      </c>
      <c r="F124" s="26">
        <v>100000</v>
      </c>
      <c r="G124" s="25">
        <f>F124-E124</f>
      </c>
      <c r="H124" s="25"/>
      <c r="I124" s="24">
        <v>100000</v>
      </c>
    </row>
    <row r="125">
      <c r="A125" s="25" t="str">
        <v>151 CG</v>
      </c>
      <c r="B125" s="25" t="str">
        <v>DV_Cắt</v>
      </c>
      <c r="C125" s="25">
        <v>1002</v>
      </c>
      <c r="D125" s="25" t="str">
        <v>Kid Cắt</v>
      </c>
      <c r="E125" s="27">
        <v>75000</v>
      </c>
      <c r="F125" s="26">
        <v>75000</v>
      </c>
      <c r="G125" s="25">
        <f>F125-E125</f>
      </c>
      <c r="H125" s="25"/>
      <c r="I125" s="24">
        <v>75000</v>
      </c>
    </row>
    <row r="126">
      <c r="A126" s="25" t="str">
        <v>151 CG</v>
      </c>
      <c r="B126" s="25" t="str">
        <v>DV_Cắt_Vip</v>
      </c>
      <c r="C126" s="25">
        <v>1047</v>
      </c>
      <c r="D126" s="25" t="str">
        <v>Cắt Gội Combo 3 - Chăm da</v>
      </c>
      <c r="E126" s="27">
        <v>299000</v>
      </c>
      <c r="F126" s="26">
        <v>299000</v>
      </c>
      <c r="G126" s="25">
        <f>F126-E126</f>
      </c>
      <c r="H126" s="25"/>
      <c r="I126" s="24">
        <v>299000</v>
      </c>
    </row>
    <row r="127">
      <c r="A127" s="25" t="str">
        <v>151 CG</v>
      </c>
      <c r="B127" s="25" t="str">
        <v>DV_Cắt_Vip</v>
      </c>
      <c r="C127" s="25">
        <v>1048</v>
      </c>
      <c r="D127" s="25" t="str">
        <v>Combo 4</v>
      </c>
      <c r="E127" s="27">
        <v>389000</v>
      </c>
      <c r="F127" s="26">
        <v>389000</v>
      </c>
      <c r="G127" s="25">
        <f>F127-E127</f>
      </c>
      <c r="H127" s="25"/>
      <c r="I127" s="24">
        <v>389000</v>
      </c>
    </row>
    <row r="128">
      <c r="A128" s="25" t="str">
        <v>151 CG</v>
      </c>
      <c r="B128" s="25" t="str">
        <v>DV_Cắt_Vip</v>
      </c>
      <c r="C128" s="25">
        <v>1046</v>
      </c>
      <c r="D128" s="25" t="str">
        <v>Shinecombo 2</v>
      </c>
      <c r="E128" s="27">
        <v>199000</v>
      </c>
      <c r="F128" s="26">
        <v>199000</v>
      </c>
      <c r="G128" s="25">
        <f>F128-E128</f>
      </c>
      <c r="H128" s="25"/>
      <c r="I128" s="24">
        <v>199000</v>
      </c>
    </row>
    <row r="129">
      <c r="A129" s="25" t="str">
        <v>168 NVC</v>
      </c>
      <c r="B129" s="25" t="str">
        <v>DV_Cắt</v>
      </c>
      <c r="C129" s="25">
        <v>513</v>
      </c>
      <c r="D129" s="25" t="str">
        <v>[DV] ShineCombo 10 bước Ultra Care 2023</v>
      </c>
      <c r="E129" s="27">
        <v>122000</v>
      </c>
      <c r="F129" s="26">
        <v>122000</v>
      </c>
      <c r="G129" s="25">
        <f>F129-E129</f>
      </c>
      <c r="H129" s="25"/>
      <c r="I129" s="24">
        <v>122000</v>
      </c>
    </row>
    <row r="130">
      <c r="A130" s="25" t="str">
        <v>168 NVC</v>
      </c>
      <c r="B130" s="25" t="str">
        <v>DV_Cắt</v>
      </c>
      <c r="C130" s="25">
        <v>1070</v>
      </c>
      <c r="D130" s="25" t="str">
        <v>Combo Cắt gội Kid</v>
      </c>
      <c r="E130" s="27">
        <v>100000</v>
      </c>
      <c r="F130" s="26">
        <v>100000</v>
      </c>
      <c r="G130" s="25">
        <f>F130-E130</f>
      </c>
      <c r="H130" s="25"/>
      <c r="I130" s="24">
        <v>100000</v>
      </c>
    </row>
    <row r="131">
      <c r="A131" s="25" t="str">
        <v>168 NVC</v>
      </c>
      <c r="B131" s="25" t="str">
        <v>DV_Cắt</v>
      </c>
      <c r="C131" s="25">
        <v>891</v>
      </c>
      <c r="D131" s="25" t="str">
        <v>Cắt xả tạo kiểu</v>
      </c>
      <c r="E131" s="27">
        <v>94000</v>
      </c>
      <c r="F131" s="28">
        <v>103000</v>
      </c>
      <c r="G131" s="25">
        <f>F131-E131</f>
      </c>
      <c r="H131" s="25" t="str">
        <v>điều chỉnh giá</v>
      </c>
      <c r="I131" s="24">
        <v>103000</v>
      </c>
    </row>
    <row r="132">
      <c r="A132" s="25" t="str">
        <v>168 NVC</v>
      </c>
      <c r="B132" s="25" t="str">
        <v>DV_Cắt</v>
      </c>
      <c r="C132" s="25">
        <v>1052</v>
      </c>
      <c r="D132" s="25" t="str">
        <v>Combo 1 - First Class 1</v>
      </c>
      <c r="E132" s="27">
        <v>139000</v>
      </c>
      <c r="F132" s="26">
        <v>139000</v>
      </c>
      <c r="G132" s="25">
        <f>F132-E132</f>
      </c>
      <c r="H132" s="25"/>
      <c r="I132" s="24">
        <v>139000</v>
      </c>
    </row>
    <row r="133">
      <c r="A133" s="25" t="str">
        <v>168 NVC</v>
      </c>
      <c r="B133" s="25" t="str">
        <v>DV_Cắt</v>
      </c>
      <c r="C133" s="25">
        <v>1002</v>
      </c>
      <c r="D133" s="25" t="str">
        <v>Kid Cắt</v>
      </c>
      <c r="E133" s="27">
        <v>75000</v>
      </c>
      <c r="F133" s="28">
        <v>84000</v>
      </c>
      <c r="G133" s="25">
        <f>F133-E133</f>
      </c>
      <c r="H133" s="25" t="str">
        <v>điều chỉnh giá</v>
      </c>
      <c r="I133" s="24">
        <v>84000</v>
      </c>
    </row>
    <row r="134">
      <c r="A134" s="25" t="str">
        <v>168 NVC</v>
      </c>
      <c r="B134" s="25" t="str">
        <v>DV_Cắt_Vip</v>
      </c>
      <c r="C134" s="25">
        <v>1047</v>
      </c>
      <c r="D134" s="25" t="str">
        <v>Cắt Gội Combo 3 - Chăm da</v>
      </c>
      <c r="E134" s="27">
        <v>299000</v>
      </c>
      <c r="F134" s="28">
        <v>308000</v>
      </c>
      <c r="G134" s="25">
        <f>F134-E134</f>
      </c>
      <c r="H134" s="25" t="str">
        <v>điều chỉnh giá</v>
      </c>
      <c r="I134" s="24">
        <v>308000</v>
      </c>
    </row>
    <row r="135">
      <c r="A135" s="25" t="str">
        <v>168 NVC</v>
      </c>
      <c r="B135" s="25" t="str">
        <v>DV_Cắt_Vip</v>
      </c>
      <c r="C135" s="25">
        <v>1065</v>
      </c>
      <c r="D135" s="25" t="str">
        <v>Cắt Gội Combo 3 - Dưỡng sinh</v>
      </c>
      <c r="E135" s="27">
        <v>299000</v>
      </c>
      <c r="F135" s="28">
        <v>308000</v>
      </c>
      <c r="G135" s="25">
        <f>F135-E135</f>
      </c>
      <c r="H135" s="25" t="str">
        <v>điều chỉnh giá</v>
      </c>
      <c r="I135" s="24">
        <v>308000</v>
      </c>
    </row>
    <row r="136">
      <c r="A136" s="25" t="str">
        <v>168 NVC</v>
      </c>
      <c r="B136" s="25" t="str">
        <v>DV_Cắt_Vip</v>
      </c>
      <c r="C136" s="25">
        <v>1053</v>
      </c>
      <c r="D136" s="25" t="str">
        <v>Combo 2 - First Class 2</v>
      </c>
      <c r="E136" s="27">
        <v>239000</v>
      </c>
      <c r="F136" s="28">
        <v>248000</v>
      </c>
      <c r="G136" s="25">
        <f>F136-E136</f>
      </c>
      <c r="H136" s="25" t="str">
        <v>điều chỉnh giá</v>
      </c>
      <c r="I136" s="24">
        <v>248000</v>
      </c>
    </row>
    <row r="137">
      <c r="A137" s="25" t="str">
        <v>168 NVC</v>
      </c>
      <c r="B137" s="25" t="str">
        <v>DV_Cắt_Vip</v>
      </c>
      <c r="C137" s="25">
        <v>1054</v>
      </c>
      <c r="D137" s="25" t="str">
        <v>Combo 3 - First Class 3</v>
      </c>
      <c r="E137" s="27">
        <v>309000</v>
      </c>
      <c r="F137" s="28">
        <v>318000</v>
      </c>
      <c r="G137" s="25">
        <f>F137-E137</f>
      </c>
      <c r="H137" s="25" t="str">
        <v>điều chỉnh giá</v>
      </c>
      <c r="I137" s="24">
        <v>318000</v>
      </c>
    </row>
    <row r="138">
      <c r="A138" s="25" t="str">
        <v>168 NVC</v>
      </c>
      <c r="B138" s="25" t="str">
        <v>DV_Cắt_Vip</v>
      </c>
      <c r="C138" s="25">
        <v>1048</v>
      </c>
      <c r="D138" s="25" t="str">
        <v>Combo 4</v>
      </c>
      <c r="E138" s="27">
        <v>389000</v>
      </c>
      <c r="F138" s="28">
        <v>398000</v>
      </c>
      <c r="G138" s="25">
        <f>F138-E138</f>
      </c>
      <c r="H138" s="25" t="str">
        <v>điều chỉnh giá</v>
      </c>
      <c r="I138" s="24">
        <v>398000</v>
      </c>
    </row>
    <row r="139">
      <c r="A139" s="25" t="str">
        <v>168 NVC</v>
      </c>
      <c r="B139" s="25" t="str">
        <v>DV_Cắt_Vip</v>
      </c>
      <c r="C139" s="25">
        <v>1055</v>
      </c>
      <c r="D139" s="25" t="str">
        <v>Combo 4- First Class 4</v>
      </c>
      <c r="E139" s="27">
        <v>409000</v>
      </c>
      <c r="F139" s="28">
        <v>418000</v>
      </c>
      <c r="G139" s="25">
        <f>F139-E139</f>
      </c>
      <c r="H139" s="25" t="str">
        <v>điều chỉnh giá</v>
      </c>
      <c r="I139" s="24">
        <v>418000</v>
      </c>
    </row>
    <row r="140">
      <c r="A140" s="25" t="str">
        <v>168 NVC</v>
      </c>
      <c r="B140" s="25" t="str">
        <v>DV_Cắt_Vip</v>
      </c>
      <c r="C140" s="25">
        <v>1046</v>
      </c>
      <c r="D140" s="25" t="str">
        <v>Shinecombo 2</v>
      </c>
      <c r="E140" s="27">
        <v>199000</v>
      </c>
      <c r="F140" s="28">
        <v>208000</v>
      </c>
      <c r="G140" s="25">
        <f>F140-E140</f>
      </c>
      <c r="H140" s="25" t="str">
        <v>điều chỉnh giá</v>
      </c>
      <c r="I140" s="24">
        <v>208000</v>
      </c>
    </row>
    <row r="141">
      <c r="A141" s="25" t="str">
        <v>173 TN</v>
      </c>
      <c r="B141" s="25" t="str">
        <v>DV_Cắt</v>
      </c>
      <c r="C141" s="25">
        <v>513</v>
      </c>
      <c r="D141" s="25" t="str">
        <v>[DV] ShineCombo 10 bước Ultra Care 2023</v>
      </c>
      <c r="E141" s="27">
        <v>122000</v>
      </c>
      <c r="F141" s="26">
        <v>122000</v>
      </c>
      <c r="G141" s="25">
        <f>F141-E141</f>
      </c>
      <c r="H141" s="25"/>
      <c r="I141" s="24">
        <v>122000</v>
      </c>
    </row>
    <row r="142">
      <c r="A142" s="25" t="str">
        <v>173 TN</v>
      </c>
      <c r="B142" s="25" t="str">
        <v>DV_Cắt</v>
      </c>
      <c r="C142" s="25">
        <v>1070</v>
      </c>
      <c r="D142" s="25" t="str">
        <v>Combo Cắt gội Kid</v>
      </c>
      <c r="E142" s="27">
        <v>100000</v>
      </c>
      <c r="F142" s="26">
        <v>100000</v>
      </c>
      <c r="G142" s="25">
        <f>F142-E142</f>
      </c>
      <c r="H142" s="25"/>
      <c r="I142" s="24">
        <v>100000</v>
      </c>
    </row>
    <row r="143">
      <c r="A143" s="25" t="str">
        <v>173 TN</v>
      </c>
      <c r="B143" s="25" t="str">
        <v>DV_Cắt</v>
      </c>
      <c r="C143" s="25">
        <v>891</v>
      </c>
      <c r="D143" s="25" t="str">
        <v>Cắt xả tạo kiểu</v>
      </c>
      <c r="E143" s="27">
        <v>94000</v>
      </c>
      <c r="F143" s="28">
        <v>100000</v>
      </c>
      <c r="G143" s="25">
        <f>F143-E143</f>
      </c>
      <c r="H143" s="25" t="str">
        <v>điều chỉnh giá</v>
      </c>
      <c r="I143" s="24">
        <v>100000</v>
      </c>
    </row>
    <row r="144">
      <c r="A144" s="25" t="str">
        <v>173 TN</v>
      </c>
      <c r="B144" s="25" t="str">
        <v>DV_Cắt</v>
      </c>
      <c r="C144" s="25">
        <v>1052</v>
      </c>
      <c r="D144" s="25" t="str">
        <v>Combo 1 - First Class 1</v>
      </c>
      <c r="E144" s="27">
        <v>139000</v>
      </c>
      <c r="F144" s="26">
        <v>139000</v>
      </c>
      <c r="G144" s="25">
        <f>F144-E144</f>
      </c>
      <c r="H144" s="25"/>
      <c r="I144" s="24">
        <v>139000</v>
      </c>
    </row>
    <row r="145">
      <c r="A145" s="25" t="str">
        <v>173 TN</v>
      </c>
      <c r="B145" s="25" t="str">
        <v>DV_Cắt</v>
      </c>
      <c r="C145" s="25">
        <v>1002</v>
      </c>
      <c r="D145" s="25" t="str">
        <v>Kid Cắt</v>
      </c>
      <c r="E145" s="27">
        <v>75000</v>
      </c>
      <c r="F145" s="28">
        <v>81000</v>
      </c>
      <c r="G145" s="25">
        <f>F145-E145</f>
      </c>
      <c r="H145" s="25" t="str">
        <v>điều chỉnh giá</v>
      </c>
      <c r="I145" s="24">
        <v>81000</v>
      </c>
    </row>
    <row r="146">
      <c r="A146" s="25" t="str">
        <v>173 TN</v>
      </c>
      <c r="B146" s="25" t="str">
        <v>DV_Cắt_Vip</v>
      </c>
      <c r="C146" s="25">
        <v>1047</v>
      </c>
      <c r="D146" s="25" t="str">
        <v>Cắt Gội Combo 3 - Chăm da</v>
      </c>
      <c r="E146" s="27">
        <v>299000</v>
      </c>
      <c r="F146" s="28">
        <v>305000</v>
      </c>
      <c r="G146" s="25">
        <f>F146-E146</f>
      </c>
      <c r="H146" s="25" t="str">
        <v>điều chỉnh giá</v>
      </c>
      <c r="I146" s="24">
        <v>305000</v>
      </c>
    </row>
    <row r="147">
      <c r="A147" s="25" t="str">
        <v>173 TN</v>
      </c>
      <c r="B147" s="25" t="str">
        <v>DV_Cắt_Vip</v>
      </c>
      <c r="C147" s="25">
        <v>1053</v>
      </c>
      <c r="D147" s="25" t="str">
        <v>Combo 2 - First Class 2</v>
      </c>
      <c r="E147" s="27">
        <v>229000</v>
      </c>
      <c r="F147" s="28">
        <v>235000</v>
      </c>
      <c r="G147" s="25">
        <f>F147-E147</f>
      </c>
      <c r="H147" s="25" t="str">
        <v>điều chỉnh giá</v>
      </c>
      <c r="I147" s="24">
        <v>235000</v>
      </c>
    </row>
    <row r="148">
      <c r="A148" s="25" t="str">
        <v>173 TN</v>
      </c>
      <c r="B148" s="25" t="str">
        <v>DV_Cắt_Vip</v>
      </c>
      <c r="C148" s="25">
        <v>1054</v>
      </c>
      <c r="D148" s="25" t="str">
        <v>Combo 3 - First Class 3</v>
      </c>
      <c r="E148" s="27">
        <v>299000</v>
      </c>
      <c r="F148" s="28">
        <v>305000</v>
      </c>
      <c r="G148" s="25">
        <f>F148-E148</f>
      </c>
      <c r="H148" s="25" t="str">
        <v>điều chỉnh giá</v>
      </c>
      <c r="I148" s="24">
        <v>305000</v>
      </c>
    </row>
    <row r="149">
      <c r="A149" s="25" t="str">
        <v>173 TN</v>
      </c>
      <c r="B149" s="25" t="str">
        <v>DV_Cắt_Vip</v>
      </c>
      <c r="C149" s="25">
        <v>1048</v>
      </c>
      <c r="D149" s="25" t="str">
        <v>Combo 4</v>
      </c>
      <c r="E149" s="27">
        <v>389000</v>
      </c>
      <c r="F149" s="28">
        <v>395000</v>
      </c>
      <c r="G149" s="25">
        <f>F149-E149</f>
      </c>
      <c r="H149" s="25" t="str">
        <v>điều chỉnh giá</v>
      </c>
      <c r="I149" s="24">
        <v>395000</v>
      </c>
    </row>
    <row r="150">
      <c r="A150" s="25" t="str">
        <v>173 TN</v>
      </c>
      <c r="B150" s="25" t="str">
        <v>DV_Cắt_Vip</v>
      </c>
      <c r="C150" s="25">
        <v>1046</v>
      </c>
      <c r="D150" s="25" t="str">
        <v>Shinecombo 2</v>
      </c>
      <c r="E150" s="27">
        <v>199000</v>
      </c>
      <c r="F150" s="28">
        <v>205000</v>
      </c>
      <c r="G150" s="25">
        <f>F150-E150</f>
      </c>
      <c r="H150" s="25" t="str">
        <v>điều chỉnh giá</v>
      </c>
      <c r="I150" s="24">
        <v>205000</v>
      </c>
    </row>
    <row r="151">
      <c r="A151" s="25" t="str">
        <v>186 DTH</v>
      </c>
      <c r="B151" s="25" t="str">
        <v>DV_Cắt</v>
      </c>
      <c r="C151" s="25">
        <v>513</v>
      </c>
      <c r="D151" s="25" t="str">
        <v>[DV] ShineCombo 10 bước Ultra Care 2023</v>
      </c>
      <c r="E151" s="27">
        <v>122000</v>
      </c>
      <c r="F151" s="26">
        <v>122000</v>
      </c>
      <c r="G151" s="25">
        <f>F151-E151</f>
      </c>
      <c r="H151" s="25"/>
      <c r="I151" s="24">
        <v>122000</v>
      </c>
    </row>
    <row r="152">
      <c r="A152" s="25" t="str">
        <v>186 DTH</v>
      </c>
      <c r="B152" s="25" t="str">
        <v>DV_Cắt</v>
      </c>
      <c r="C152" s="25">
        <v>891</v>
      </c>
      <c r="D152" s="25" t="str">
        <v>Cắt xả tạo kiểu</v>
      </c>
      <c r="E152" s="27">
        <v>94000</v>
      </c>
      <c r="F152" s="26">
        <v>94000</v>
      </c>
      <c r="G152" s="25">
        <f>F152-E152</f>
      </c>
      <c r="H152" s="25"/>
      <c r="I152" s="24">
        <v>94000</v>
      </c>
    </row>
    <row r="153">
      <c r="A153" s="25" t="str">
        <v>186 DTH</v>
      </c>
      <c r="B153" s="25" t="str">
        <v>DV_Cắt</v>
      </c>
      <c r="C153" s="25">
        <v>1052</v>
      </c>
      <c r="D153" s="25" t="str">
        <v>Combo 1 - First Class 1</v>
      </c>
      <c r="E153" s="27">
        <v>139000</v>
      </c>
      <c r="F153" s="26">
        <v>139000</v>
      </c>
      <c r="G153" s="25">
        <f>F153-E153</f>
      </c>
      <c r="H153" s="25"/>
      <c r="I153" s="24">
        <v>139000</v>
      </c>
    </row>
    <row r="154">
      <c r="A154" s="25" t="str">
        <v>186 DTH</v>
      </c>
      <c r="B154" s="25" t="str">
        <v>DV_Cắt</v>
      </c>
      <c r="C154" s="25">
        <v>1070</v>
      </c>
      <c r="D154" s="25" t="str">
        <v>Combo Cắt gội Kid</v>
      </c>
      <c r="E154" s="27">
        <v>100000</v>
      </c>
      <c r="F154" s="26">
        <v>100000</v>
      </c>
      <c r="G154" s="25">
        <f>F154-E154</f>
      </c>
      <c r="H154" s="25"/>
      <c r="I154" s="24">
        <v>100000</v>
      </c>
    </row>
    <row r="155">
      <c r="A155" s="25" t="str">
        <v>186 DTH</v>
      </c>
      <c r="B155" s="25" t="str">
        <v>DV_Cắt</v>
      </c>
      <c r="C155" s="25">
        <v>1242</v>
      </c>
      <c r="D155" s="25" t="str">
        <v>combo cắt gội tiện lợi</v>
      </c>
      <c r="E155" s="27">
        <v>199000</v>
      </c>
      <c r="F155" s="26">
        <v>199000</v>
      </c>
      <c r="G155" s="25">
        <f>F155-E155</f>
      </c>
      <c r="H155" s="25"/>
      <c r="I155" s="24">
        <v>199000</v>
      </c>
    </row>
    <row r="156">
      <c r="A156" s="25" t="str">
        <v>186 DTH</v>
      </c>
      <c r="B156" s="25" t="str">
        <v>DV_Cắt</v>
      </c>
      <c r="C156" s="25">
        <v>1002</v>
      </c>
      <c r="D156" s="25" t="str">
        <v>Kid Cắt</v>
      </c>
      <c r="E156" s="27">
        <v>75000</v>
      </c>
      <c r="F156" s="26">
        <v>75000</v>
      </c>
      <c r="G156" s="25">
        <f>F156-E156</f>
      </c>
      <c r="H156" s="25"/>
      <c r="I156" s="24">
        <v>75000</v>
      </c>
    </row>
    <row r="157">
      <c r="A157" s="25" t="str">
        <v>186 DTH</v>
      </c>
      <c r="B157" s="25" t="str">
        <v>DV_Cắt_Vip</v>
      </c>
      <c r="C157" s="25">
        <v>1047</v>
      </c>
      <c r="D157" s="25" t="str">
        <v>Cắt Gội Combo 3 - Chăm da</v>
      </c>
      <c r="E157" s="27">
        <v>299000</v>
      </c>
      <c r="F157" s="26">
        <v>299000</v>
      </c>
      <c r="G157" s="25">
        <f>F157-E157</f>
      </c>
      <c r="H157" s="25"/>
      <c r="I157" s="24">
        <v>299000</v>
      </c>
    </row>
    <row r="158">
      <c r="A158" s="25" t="str">
        <v>186 DTH</v>
      </c>
      <c r="B158" s="25" t="str">
        <v>DV_Cắt_Vip</v>
      </c>
      <c r="C158" s="25">
        <v>1048</v>
      </c>
      <c r="D158" s="25" t="str">
        <v>Combo 4</v>
      </c>
      <c r="E158" s="27">
        <v>389000</v>
      </c>
      <c r="F158" s="26">
        <v>389000</v>
      </c>
      <c r="G158" s="25">
        <f>F158-E158</f>
      </c>
      <c r="H158" s="25"/>
      <c r="I158" s="24">
        <v>389000</v>
      </c>
    </row>
    <row r="159">
      <c r="A159" s="25" t="str">
        <v>186 DTH</v>
      </c>
      <c r="B159" s="25" t="str">
        <v>DV_Cắt_Vip</v>
      </c>
      <c r="C159" s="25">
        <v>1046</v>
      </c>
      <c r="D159" s="25" t="str">
        <v>Shinecombo 2</v>
      </c>
      <c r="E159" s="27">
        <v>199000</v>
      </c>
      <c r="F159" s="26">
        <v>199000</v>
      </c>
      <c r="G159" s="25">
        <f>F159-E159</f>
      </c>
      <c r="H159" s="25"/>
      <c r="I159" s="24">
        <v>199000</v>
      </c>
    </row>
    <row r="160">
      <c r="A160" s="25" t="str">
        <v>186 QT</v>
      </c>
      <c r="B160" s="25" t="str">
        <v>DV_Cắt</v>
      </c>
      <c r="C160" s="25">
        <v>513</v>
      </c>
      <c r="D160" s="25" t="str">
        <v>[DV] ShineCombo 10 bước Ultra Care 2023</v>
      </c>
      <c r="E160" s="27">
        <v>122000</v>
      </c>
      <c r="F160" s="26">
        <v>122000</v>
      </c>
      <c r="G160" s="25">
        <f>F160-E160</f>
      </c>
      <c r="H160" s="25"/>
      <c r="I160" s="24">
        <v>122000</v>
      </c>
    </row>
    <row r="161">
      <c r="A161" s="25" t="str">
        <v>186 QT</v>
      </c>
      <c r="B161" s="25" t="str">
        <v>DV_Cắt</v>
      </c>
      <c r="C161" s="25">
        <v>1070</v>
      </c>
      <c r="D161" s="25" t="str">
        <v>Combo Cắt gội Kid</v>
      </c>
      <c r="E161" s="27">
        <v>100000</v>
      </c>
      <c r="F161" s="26">
        <v>100000</v>
      </c>
      <c r="G161" s="25">
        <f>F161-E161</f>
      </c>
      <c r="H161" s="25"/>
      <c r="I161" s="24">
        <v>100000</v>
      </c>
    </row>
    <row r="162">
      <c r="A162" s="25" t="str">
        <v>186 QT</v>
      </c>
      <c r="B162" s="25" t="str">
        <v>DV_Cắt</v>
      </c>
      <c r="C162" s="25">
        <v>891</v>
      </c>
      <c r="D162" s="25" t="str">
        <v>Cắt xả tạo kiểu</v>
      </c>
      <c r="E162" s="27">
        <v>94000</v>
      </c>
      <c r="F162" s="28">
        <v>103000</v>
      </c>
      <c r="G162" s="25">
        <f>F162-E162</f>
      </c>
      <c r="H162" s="25" t="str">
        <v>điều chỉnh giá</v>
      </c>
      <c r="I162" s="24">
        <v>103000</v>
      </c>
    </row>
    <row r="163">
      <c r="A163" s="25" t="str">
        <v>186 QT</v>
      </c>
      <c r="B163" s="25" t="str">
        <v>DV_Cắt</v>
      </c>
      <c r="C163" s="25">
        <v>1002</v>
      </c>
      <c r="D163" s="25" t="str">
        <v>Kid Cắt</v>
      </c>
      <c r="E163" s="27">
        <v>75000</v>
      </c>
      <c r="F163" s="28">
        <v>84000</v>
      </c>
      <c r="G163" s="25">
        <f>F163-E163</f>
      </c>
      <c r="H163" s="25" t="str">
        <v>điều chỉnh giá</v>
      </c>
      <c r="I163" s="24">
        <v>84000</v>
      </c>
    </row>
    <row r="164">
      <c r="A164" s="25" t="str">
        <v>186 QT</v>
      </c>
      <c r="B164" s="25" t="str">
        <v>DV_Cắt_Vip</v>
      </c>
      <c r="C164" s="25">
        <v>1047</v>
      </c>
      <c r="D164" s="25" t="str">
        <v>Cắt Gội Combo 3 - Chăm da</v>
      </c>
      <c r="E164" s="27">
        <v>299000</v>
      </c>
      <c r="F164" s="28">
        <v>308000</v>
      </c>
      <c r="G164" s="25">
        <f>F164-E164</f>
      </c>
      <c r="H164" s="25" t="str">
        <v>điều chỉnh giá</v>
      </c>
      <c r="I164" s="24">
        <v>308000</v>
      </c>
    </row>
    <row r="165">
      <c r="A165" s="25" t="str">
        <v>186 QT</v>
      </c>
      <c r="B165" s="25" t="str">
        <v>DV_Cắt_Vip</v>
      </c>
      <c r="C165" s="25">
        <v>1054</v>
      </c>
      <c r="D165" s="25" t="str">
        <v>Combo 3 - First Class 3</v>
      </c>
      <c r="E165" s="27">
        <v>299000</v>
      </c>
      <c r="F165" s="28">
        <v>308000</v>
      </c>
      <c r="G165" s="25">
        <f>F165-E165</f>
      </c>
      <c r="H165" s="25" t="str">
        <v>điều chỉnh giá</v>
      </c>
      <c r="I165" s="24">
        <v>308000</v>
      </c>
    </row>
    <row r="166">
      <c r="A166" s="25" t="str">
        <v>186 QT</v>
      </c>
      <c r="B166" s="25" t="str">
        <v>DV_Cắt_Vip</v>
      </c>
      <c r="C166" s="25">
        <v>1048</v>
      </c>
      <c r="D166" s="25" t="str">
        <v>Combo 4</v>
      </c>
      <c r="E166" s="27">
        <v>389000</v>
      </c>
      <c r="F166" s="28">
        <v>398000</v>
      </c>
      <c r="G166" s="25">
        <f>F166-E166</f>
      </c>
      <c r="H166" s="25" t="str">
        <v>điều chỉnh giá</v>
      </c>
      <c r="I166" s="24">
        <v>398000</v>
      </c>
    </row>
    <row r="167">
      <c r="A167" s="25" t="str">
        <v>186 QT</v>
      </c>
      <c r="B167" s="25" t="str">
        <v>DV_Cắt_Vip</v>
      </c>
      <c r="C167" s="25">
        <v>1046</v>
      </c>
      <c r="D167" s="25" t="str">
        <v>Shinecombo 2</v>
      </c>
      <c r="E167" s="27">
        <v>199000</v>
      </c>
      <c r="F167" s="28">
        <v>208000</v>
      </c>
      <c r="G167" s="25">
        <f>F167-E167</f>
      </c>
      <c r="H167" s="25" t="str">
        <v>điều chỉnh giá</v>
      </c>
      <c r="I167" s="24">
        <v>208000</v>
      </c>
    </row>
    <row r="168">
      <c r="A168" s="25" t="str">
        <v>190 HB</v>
      </c>
      <c r="B168" s="25" t="str">
        <v>DV_Cắt</v>
      </c>
      <c r="C168" s="25">
        <v>513</v>
      </c>
      <c r="D168" s="25" t="str">
        <v>[DV] ShineCombo 10 bước Ultra Care 2023</v>
      </c>
      <c r="E168" s="27">
        <v>122000</v>
      </c>
      <c r="F168" s="26">
        <v>122000</v>
      </c>
      <c r="G168" s="25">
        <f>F168-E168</f>
      </c>
      <c r="H168" s="25"/>
      <c r="I168" s="24">
        <v>122000</v>
      </c>
    </row>
    <row r="169">
      <c r="A169" s="25" t="str">
        <v>190 HB</v>
      </c>
      <c r="B169" s="25" t="str">
        <v>DV_Cắt</v>
      </c>
      <c r="C169" s="25">
        <v>1070</v>
      </c>
      <c r="D169" s="25" t="str">
        <v>Combo Cắt gội Kid</v>
      </c>
      <c r="E169" s="27">
        <v>100000</v>
      </c>
      <c r="F169" s="26">
        <v>100000</v>
      </c>
      <c r="G169" s="25">
        <f>F169-E169</f>
      </c>
      <c r="H169" s="25"/>
      <c r="I169" s="24">
        <v>100000</v>
      </c>
    </row>
    <row r="170">
      <c r="A170" s="25" t="str">
        <v>190 HB</v>
      </c>
      <c r="B170" s="25" t="str">
        <v>DV_Cắt</v>
      </c>
      <c r="C170" s="25">
        <v>891</v>
      </c>
      <c r="D170" s="25" t="str">
        <v>Cắt xả tạo kiểu</v>
      </c>
      <c r="E170" s="27">
        <v>94000</v>
      </c>
      <c r="F170" s="28">
        <v>100000</v>
      </c>
      <c r="G170" s="25">
        <f>F170-E170</f>
      </c>
      <c r="H170" s="25" t="str">
        <v>điều chỉnh giá</v>
      </c>
      <c r="I170" s="24">
        <v>100000</v>
      </c>
    </row>
    <row r="171">
      <c r="A171" s="25" t="str">
        <v>190 HB</v>
      </c>
      <c r="B171" s="25" t="str">
        <v>DV_Cắt</v>
      </c>
      <c r="C171" s="25">
        <v>1002</v>
      </c>
      <c r="D171" s="25" t="str">
        <v>Kid Cắt</v>
      </c>
      <c r="E171" s="27">
        <v>75000</v>
      </c>
      <c r="F171" s="28">
        <v>81000</v>
      </c>
      <c r="G171" s="25">
        <f>F171-E171</f>
      </c>
      <c r="H171" s="25" t="str">
        <v>điều chỉnh giá</v>
      </c>
      <c r="I171" s="24">
        <v>81000</v>
      </c>
    </row>
    <row r="172">
      <c r="A172" s="25" t="str">
        <v>190 HB</v>
      </c>
      <c r="B172" s="25" t="str">
        <v>DV_Cắt_Vip</v>
      </c>
      <c r="C172" s="25">
        <v>1047</v>
      </c>
      <c r="D172" s="25" t="str">
        <v>Cắt Gội Combo 3 - Chăm da</v>
      </c>
      <c r="E172" s="27">
        <v>299000</v>
      </c>
      <c r="F172" s="28">
        <v>305000</v>
      </c>
      <c r="G172" s="25">
        <f>F172-E172</f>
      </c>
      <c r="H172" s="25" t="str">
        <v>điều chỉnh giá</v>
      </c>
      <c r="I172" s="24">
        <v>305000</v>
      </c>
    </row>
    <row r="173">
      <c r="A173" s="25" t="str">
        <v>190 HB</v>
      </c>
      <c r="B173" s="25" t="str">
        <v>DV_Cắt_Vip</v>
      </c>
      <c r="C173" s="25">
        <v>1048</v>
      </c>
      <c r="D173" s="25" t="str">
        <v>Combo 4</v>
      </c>
      <c r="E173" s="27">
        <v>389000</v>
      </c>
      <c r="F173" s="28">
        <v>395000</v>
      </c>
      <c r="G173" s="25">
        <f>F173-E173</f>
      </c>
      <c r="H173" s="25" t="str">
        <v>điều chỉnh giá</v>
      </c>
      <c r="I173" s="24">
        <v>395000</v>
      </c>
    </row>
    <row r="174">
      <c r="A174" s="25" t="str">
        <v>190 HB</v>
      </c>
      <c r="B174" s="25" t="str">
        <v>DV_Cắt_Vip</v>
      </c>
      <c r="C174" s="25">
        <v>1194</v>
      </c>
      <c r="D174" s="25" t="str">
        <v>Combo Best choice</v>
      </c>
      <c r="E174" s="27">
        <v>299000</v>
      </c>
      <c r="F174" s="28">
        <v>305000</v>
      </c>
      <c r="G174" s="25">
        <f>F174-E174</f>
      </c>
      <c r="H174" s="25" t="str">
        <v>điều chỉnh giá</v>
      </c>
      <c r="I174" s="24">
        <v>305000</v>
      </c>
    </row>
    <row r="175">
      <c r="A175" s="25" t="str">
        <v>190 HB</v>
      </c>
      <c r="B175" s="25" t="str">
        <v>DV_Cắt_Vip</v>
      </c>
      <c r="C175" s="25">
        <v>1046</v>
      </c>
      <c r="D175" s="25" t="str">
        <v>Shinecombo 2</v>
      </c>
      <c r="E175" s="27">
        <v>199000</v>
      </c>
      <c r="F175" s="28">
        <v>205000</v>
      </c>
      <c r="G175" s="25">
        <f>F175-E175</f>
      </c>
      <c r="H175" s="25" t="str">
        <v>điều chỉnh giá</v>
      </c>
      <c r="I175" s="24">
        <v>205000</v>
      </c>
    </row>
    <row r="176">
      <c r="A176" s="25" t="str">
        <v>202 DC</v>
      </c>
      <c r="B176" s="25" t="str">
        <v>DV_Cắt</v>
      </c>
      <c r="C176" s="25">
        <v>513</v>
      </c>
      <c r="D176" s="25" t="str">
        <v>[DV] ShineCombo 10 bước Ultra Care 2023</v>
      </c>
      <c r="E176" s="27">
        <v>122000</v>
      </c>
      <c r="F176" s="26">
        <v>122000</v>
      </c>
      <c r="G176" s="25">
        <f>F176-E176</f>
      </c>
      <c r="H176" s="25"/>
      <c r="I176" s="24">
        <v>122000</v>
      </c>
    </row>
    <row r="177">
      <c r="A177" s="25" t="str">
        <v>202 DC</v>
      </c>
      <c r="B177" s="25" t="str">
        <v>DV_Cắt</v>
      </c>
      <c r="C177" s="25">
        <v>1070</v>
      </c>
      <c r="D177" s="25" t="str">
        <v>Combo Cắt gội Kid</v>
      </c>
      <c r="E177" s="27">
        <v>100000</v>
      </c>
      <c r="F177" s="26">
        <v>100000</v>
      </c>
      <c r="G177" s="25">
        <f>F177-E177</f>
      </c>
      <c r="H177" s="25"/>
      <c r="I177" s="24">
        <v>100000</v>
      </c>
    </row>
    <row r="178">
      <c r="A178" s="25" t="str">
        <v>202 DC</v>
      </c>
      <c r="B178" s="25" t="str">
        <v>DV_Cắt</v>
      </c>
      <c r="C178" s="25">
        <v>891</v>
      </c>
      <c r="D178" s="25" t="str">
        <v>Cắt xả tạo kiểu</v>
      </c>
      <c r="E178" s="27">
        <v>94000</v>
      </c>
      <c r="F178" s="28">
        <v>103000</v>
      </c>
      <c r="G178" s="25">
        <f>F178-E178</f>
      </c>
      <c r="H178" s="25" t="str">
        <v>điều chỉnh giá</v>
      </c>
      <c r="I178" s="24">
        <v>103000</v>
      </c>
    </row>
    <row r="179">
      <c r="A179" s="25" t="str">
        <v>202 DC</v>
      </c>
      <c r="B179" s="25" t="str">
        <v>DV_Cắt</v>
      </c>
      <c r="C179" s="25">
        <v>1002</v>
      </c>
      <c r="D179" s="25" t="str">
        <v>Kid Cắt</v>
      </c>
      <c r="E179" s="27">
        <v>75000</v>
      </c>
      <c r="F179" s="28">
        <v>84000</v>
      </c>
      <c r="G179" s="25">
        <f>F179-E179</f>
      </c>
      <c r="H179" s="25" t="str">
        <v>điều chỉnh giá</v>
      </c>
      <c r="I179" s="24">
        <v>84000</v>
      </c>
    </row>
    <row r="180">
      <c r="A180" s="25" t="str">
        <v>202 DC</v>
      </c>
      <c r="B180" s="25" t="str">
        <v>DV_Cắt_Vip</v>
      </c>
      <c r="C180" s="25">
        <v>1047</v>
      </c>
      <c r="D180" s="25" t="str">
        <v>Cắt Gội Combo 3 - Chăm da</v>
      </c>
      <c r="E180" s="27">
        <v>299000</v>
      </c>
      <c r="F180" s="28">
        <v>308000</v>
      </c>
      <c r="G180" s="25">
        <f>F180-E180</f>
      </c>
      <c r="H180" s="25" t="str">
        <v>điều chỉnh giá</v>
      </c>
      <c r="I180" s="24">
        <v>308000</v>
      </c>
    </row>
    <row r="181">
      <c r="A181" s="25" t="str">
        <v>202 DC</v>
      </c>
      <c r="B181" s="25" t="str">
        <v>DV_Cắt_Vip</v>
      </c>
      <c r="C181" s="25">
        <v>1065</v>
      </c>
      <c r="D181" s="25" t="str">
        <v>Cắt Gội Combo 3 - Dưỡng sinh</v>
      </c>
      <c r="E181" s="27">
        <v>299000</v>
      </c>
      <c r="F181" s="28">
        <v>308000</v>
      </c>
      <c r="G181" s="25">
        <f>F181-E181</f>
      </c>
      <c r="H181" s="25" t="str">
        <v>điều chỉnh giá</v>
      </c>
      <c r="I181" s="24">
        <v>308000</v>
      </c>
    </row>
    <row r="182">
      <c r="A182" s="25" t="str">
        <v>202 DC</v>
      </c>
      <c r="B182" s="25" t="str">
        <v>DV_Cắt_Vip</v>
      </c>
      <c r="C182" s="25">
        <v>1048</v>
      </c>
      <c r="D182" s="25" t="str">
        <v>Combo 4</v>
      </c>
      <c r="E182" s="27">
        <v>389000</v>
      </c>
      <c r="F182" s="28">
        <v>398000</v>
      </c>
      <c r="G182" s="25">
        <f>F182-E182</f>
      </c>
      <c r="H182" s="25" t="str">
        <v>điều chỉnh giá</v>
      </c>
      <c r="I182" s="24">
        <v>398000</v>
      </c>
    </row>
    <row r="183">
      <c r="A183" s="25" t="str">
        <v>202 DC</v>
      </c>
      <c r="B183" s="25" t="str">
        <v>DV_Cắt_Vip</v>
      </c>
      <c r="C183" s="25">
        <v>1046</v>
      </c>
      <c r="D183" s="25" t="str">
        <v>Shinecombo 2</v>
      </c>
      <c r="E183" s="27">
        <v>199000</v>
      </c>
      <c r="F183" s="28">
        <v>208000</v>
      </c>
      <c r="G183" s="25">
        <f>F183-E183</f>
      </c>
      <c r="H183" s="25" t="str">
        <v>điều chỉnh giá</v>
      </c>
      <c r="I183" s="24">
        <v>208000</v>
      </c>
    </row>
    <row r="184">
      <c r="A184" s="25" t="str">
        <v>236 DBT</v>
      </c>
      <c r="B184" s="25" t="str">
        <v>DV_Cắt</v>
      </c>
      <c r="C184" s="25">
        <v>513</v>
      </c>
      <c r="D184" s="25" t="str">
        <v>[DV] ShineCombo 10 bước Ultra Care 2023</v>
      </c>
      <c r="E184" s="27">
        <v>122000</v>
      </c>
      <c r="F184" s="26">
        <v>122000</v>
      </c>
      <c r="G184" s="25">
        <f>F184-E184</f>
      </c>
      <c r="H184" s="25"/>
      <c r="I184" s="24">
        <v>122000</v>
      </c>
    </row>
    <row r="185">
      <c r="A185" s="25" t="str">
        <v>236 DBT</v>
      </c>
      <c r="B185" s="25" t="str">
        <v>DV_Cắt</v>
      </c>
      <c r="C185" s="25">
        <v>1070</v>
      </c>
      <c r="D185" s="25" t="str">
        <v>Combo Cắt gội Kid</v>
      </c>
      <c r="E185" s="27">
        <v>100000</v>
      </c>
      <c r="F185" s="26">
        <v>100000</v>
      </c>
      <c r="G185" s="25">
        <f>F185-E185</f>
      </c>
      <c r="H185" s="25"/>
      <c r="I185" s="24">
        <v>100000</v>
      </c>
    </row>
    <row r="186">
      <c r="A186" s="25" t="str">
        <v>236 DBT</v>
      </c>
      <c r="B186" s="25" t="str">
        <v>DV_Cắt</v>
      </c>
      <c r="C186" s="25">
        <v>891</v>
      </c>
      <c r="D186" s="25" t="str">
        <v>Cắt xả tạo kiểu</v>
      </c>
      <c r="E186" s="27">
        <v>94000</v>
      </c>
      <c r="F186" s="28">
        <v>101000</v>
      </c>
      <c r="G186" s="25">
        <f>F186-E186</f>
      </c>
      <c r="H186" s="25" t="str">
        <v>điều chỉnh giá</v>
      </c>
      <c r="I186" s="24">
        <v>101000</v>
      </c>
    </row>
    <row r="187">
      <c r="A187" s="25" t="str">
        <v>236 DBT</v>
      </c>
      <c r="B187" s="25" t="str">
        <v>DV_Cắt</v>
      </c>
      <c r="C187" s="25">
        <v>1052</v>
      </c>
      <c r="D187" s="25" t="str">
        <v>Combo 1 - First Class 1</v>
      </c>
      <c r="E187" s="27">
        <v>159000</v>
      </c>
      <c r="F187" s="26">
        <v>159000</v>
      </c>
      <c r="G187" s="25">
        <f>F187-E187</f>
      </c>
      <c r="H187" s="25"/>
      <c r="I187" s="24">
        <v>159000</v>
      </c>
    </row>
    <row r="188">
      <c r="A188" s="25" t="str">
        <v>236 DBT</v>
      </c>
      <c r="B188" s="25" t="str">
        <v>DV_Cắt</v>
      </c>
      <c r="C188" s="25">
        <v>1002</v>
      </c>
      <c r="D188" s="25" t="str">
        <v>Kid Cắt</v>
      </c>
      <c r="E188" s="27">
        <v>75000</v>
      </c>
      <c r="F188" s="28">
        <v>82000</v>
      </c>
      <c r="G188" s="25">
        <f>F188-E188</f>
      </c>
      <c r="H188" s="25" t="str">
        <v>điều chỉnh giá</v>
      </c>
      <c r="I188" s="24">
        <v>82000</v>
      </c>
    </row>
    <row r="189">
      <c r="A189" s="25" t="str">
        <v>236 DBT</v>
      </c>
      <c r="B189" s="25" t="str">
        <v>DV_Cắt_Vip</v>
      </c>
      <c r="C189" s="25">
        <v>1047</v>
      </c>
      <c r="D189" s="25" t="str">
        <v>Cắt Gội Combo 3 - Chăm da</v>
      </c>
      <c r="E189" s="27">
        <v>299000</v>
      </c>
      <c r="F189" s="28">
        <v>306000</v>
      </c>
      <c r="G189" s="25">
        <f>F189-E189</f>
      </c>
      <c r="H189" s="25" t="str">
        <v>điều chỉnh giá</v>
      </c>
      <c r="I189" s="24">
        <v>306000</v>
      </c>
    </row>
    <row r="190">
      <c r="A190" s="25" t="str">
        <v>236 DBT</v>
      </c>
      <c r="B190" s="25" t="str">
        <v>DV_Cắt_Vip</v>
      </c>
      <c r="C190" s="25">
        <v>1065</v>
      </c>
      <c r="D190" s="25" t="str">
        <v>Cắt Gội Combo 3 - Dưỡng sinh</v>
      </c>
      <c r="E190" s="27">
        <v>299000</v>
      </c>
      <c r="F190" s="28">
        <v>306000</v>
      </c>
      <c r="G190" s="25">
        <f>F190-E190</f>
      </c>
      <c r="H190" s="25" t="str">
        <v>điều chỉnh giá</v>
      </c>
      <c r="I190" s="24">
        <v>306000</v>
      </c>
    </row>
    <row r="191">
      <c r="A191" s="25" t="str">
        <v>236 DBT</v>
      </c>
      <c r="B191" s="25" t="str">
        <v>DV_Cắt_Vip</v>
      </c>
      <c r="C191" s="25">
        <v>1064</v>
      </c>
      <c r="D191" s="25" t="str">
        <v>Cắt Gội Combo 5 - Dưỡng sinh</v>
      </c>
      <c r="E191" s="27">
        <v>459000</v>
      </c>
      <c r="F191" s="28">
        <v>466000</v>
      </c>
      <c r="G191" s="25">
        <f>F191-E191</f>
      </c>
      <c r="H191" s="25" t="str">
        <v>điều chỉnh giá</v>
      </c>
      <c r="I191" s="24">
        <v>466000</v>
      </c>
    </row>
    <row r="192">
      <c r="A192" s="25" t="str">
        <v>236 DBT</v>
      </c>
      <c r="B192" s="25" t="str">
        <v>DV_Cắt_Vip</v>
      </c>
      <c r="C192" s="25">
        <v>1053</v>
      </c>
      <c r="D192" s="25" t="str">
        <v>Combo 2 - First Class 2</v>
      </c>
      <c r="E192" s="27">
        <v>229000</v>
      </c>
      <c r="F192" s="28">
        <v>236000</v>
      </c>
      <c r="G192" s="25">
        <f>F192-E192</f>
      </c>
      <c r="H192" s="25" t="str">
        <v>điều chỉnh giá</v>
      </c>
      <c r="I192" s="24">
        <v>236000</v>
      </c>
    </row>
    <row r="193">
      <c r="A193" s="25" t="str">
        <v>236 DBT</v>
      </c>
      <c r="B193" s="25" t="str">
        <v>DV_Cắt_Vip</v>
      </c>
      <c r="C193" s="25">
        <v>1054</v>
      </c>
      <c r="D193" s="25" t="str">
        <v>Combo 3 - First Class 3</v>
      </c>
      <c r="E193" s="27">
        <v>299000</v>
      </c>
      <c r="F193" s="28">
        <v>306000</v>
      </c>
      <c r="G193" s="25">
        <f>F193-E193</f>
      </c>
      <c r="H193" s="25" t="str">
        <v>điều chỉnh giá</v>
      </c>
      <c r="I193" s="24">
        <v>306000</v>
      </c>
    </row>
    <row r="194">
      <c r="A194" s="25" t="str">
        <v>236 DBT</v>
      </c>
      <c r="B194" s="25" t="str">
        <v>DV_Cắt_Vip</v>
      </c>
      <c r="C194" s="25">
        <v>1048</v>
      </c>
      <c r="D194" s="25" t="str">
        <v>Combo 4</v>
      </c>
      <c r="E194" s="27">
        <v>389000</v>
      </c>
      <c r="F194" s="28">
        <v>396000</v>
      </c>
      <c r="G194" s="25">
        <f>F194-E194</f>
      </c>
      <c r="H194" s="25" t="str">
        <v>điều chỉnh giá</v>
      </c>
      <c r="I194" s="24">
        <v>396000</v>
      </c>
    </row>
    <row r="195">
      <c r="A195" s="25" t="str">
        <v>236 DBT</v>
      </c>
      <c r="B195" s="25" t="str">
        <v>DV_Cắt_Vip</v>
      </c>
      <c r="C195" s="25">
        <v>1046</v>
      </c>
      <c r="D195" s="25" t="str">
        <v>Shinecombo 2</v>
      </c>
      <c r="E195" s="27">
        <v>199000</v>
      </c>
      <c r="F195" s="28">
        <v>206000</v>
      </c>
      <c r="G195" s="25">
        <f>F195-E195</f>
      </c>
      <c r="H195" s="25" t="str">
        <v>điều chỉnh giá</v>
      </c>
      <c r="I195" s="24">
        <v>206000</v>
      </c>
    </row>
    <row r="196">
      <c r="A196" s="25" t="str">
        <v>237 NTT</v>
      </c>
      <c r="B196" s="25" t="str">
        <v>DV_Cắt</v>
      </c>
      <c r="C196" s="25">
        <v>513</v>
      </c>
      <c r="D196" s="25" t="str">
        <v>[DV] ShineCombo 10 bước Ultra Care 2023</v>
      </c>
      <c r="E196" s="27">
        <v>122000</v>
      </c>
      <c r="F196" s="26">
        <v>122000</v>
      </c>
      <c r="G196" s="25">
        <f>F196-E196</f>
      </c>
      <c r="H196" s="25"/>
      <c r="I196" s="24">
        <v>122000</v>
      </c>
    </row>
    <row r="197">
      <c r="A197" s="25" t="str">
        <v>237 NTT</v>
      </c>
      <c r="B197" s="25" t="str">
        <v>DV_Cắt</v>
      </c>
      <c r="C197" s="25">
        <v>891</v>
      </c>
      <c r="D197" s="25" t="str">
        <v>Cắt xả tạo kiểu</v>
      </c>
      <c r="E197" s="27">
        <v>94000</v>
      </c>
      <c r="F197" s="26">
        <v>94000</v>
      </c>
      <c r="G197" s="25">
        <f>F197-E197</f>
      </c>
      <c r="H197" s="25"/>
      <c r="I197" s="24">
        <v>94000</v>
      </c>
    </row>
    <row r="198">
      <c r="A198" s="25" t="str">
        <v>237 NTT</v>
      </c>
      <c r="B198" s="25" t="str">
        <v>DV_Cắt</v>
      </c>
      <c r="C198" s="25">
        <v>1052</v>
      </c>
      <c r="D198" s="25" t="str">
        <v>Combo 1 - First Class 1</v>
      </c>
      <c r="E198" s="27">
        <v>139000</v>
      </c>
      <c r="F198" s="26">
        <v>139000</v>
      </c>
      <c r="G198" s="25">
        <f>F198-E198</f>
      </c>
      <c r="H198" s="25"/>
      <c r="I198" s="24">
        <v>139000</v>
      </c>
    </row>
    <row r="199">
      <c r="A199" s="25" t="str">
        <v>237 NTT</v>
      </c>
      <c r="B199" s="25" t="str">
        <v>DV_Cắt</v>
      </c>
      <c r="C199" s="25">
        <v>1002</v>
      </c>
      <c r="D199" s="25" t="str">
        <v>Kid Cắt</v>
      </c>
      <c r="E199" s="27">
        <v>75000</v>
      </c>
      <c r="F199" s="26">
        <v>75000</v>
      </c>
      <c r="G199" s="25">
        <f>F199-E199</f>
      </c>
      <c r="H199" s="25"/>
      <c r="I199" s="24">
        <v>75000</v>
      </c>
    </row>
    <row r="200">
      <c r="A200" s="25" t="str">
        <v>237 NTT</v>
      </c>
      <c r="B200" s="25" t="str">
        <v>DV_Cắt_Vip</v>
      </c>
      <c r="C200" s="25">
        <v>1047</v>
      </c>
      <c r="D200" s="25" t="str">
        <v>Cắt Gội Combo 3 - Chăm da</v>
      </c>
      <c r="E200" s="27">
        <v>299000</v>
      </c>
      <c r="F200" s="26">
        <v>299000</v>
      </c>
      <c r="G200" s="25">
        <f>F200-E200</f>
      </c>
      <c r="H200" s="25"/>
      <c r="I200" s="24">
        <v>299000</v>
      </c>
    </row>
    <row r="201">
      <c r="A201" s="25" t="str">
        <v>237 NTT</v>
      </c>
      <c r="B201" s="25" t="str">
        <v>DV_Cắt_Vip</v>
      </c>
      <c r="C201" s="25">
        <v>1065</v>
      </c>
      <c r="D201" s="25" t="str">
        <v>Cắt Gội Combo 3 - Dưỡng sinh</v>
      </c>
      <c r="E201" s="27">
        <v>299000</v>
      </c>
      <c r="F201" s="26">
        <v>299000</v>
      </c>
      <c r="G201" s="25">
        <f>F201-E201</f>
      </c>
      <c r="H201" s="25"/>
      <c r="I201" s="24">
        <v>299000</v>
      </c>
    </row>
    <row r="202">
      <c r="A202" s="25" t="str">
        <v>237 NTT</v>
      </c>
      <c r="B202" s="25" t="str">
        <v>DV_Cắt_Vip</v>
      </c>
      <c r="C202" s="25">
        <v>1053</v>
      </c>
      <c r="D202" s="25" t="str">
        <v>Combo 2 - First Class 2</v>
      </c>
      <c r="E202" s="27">
        <v>239000</v>
      </c>
      <c r="F202" s="26">
        <v>239000</v>
      </c>
      <c r="G202" s="25">
        <f>F202-E202</f>
      </c>
      <c r="H202" s="25"/>
      <c r="I202" s="24">
        <v>239000</v>
      </c>
    </row>
    <row r="203">
      <c r="A203" s="25" t="str">
        <v>237 NTT</v>
      </c>
      <c r="B203" s="25" t="str">
        <v>DV_Cắt_Vip</v>
      </c>
      <c r="C203" s="25">
        <v>1054</v>
      </c>
      <c r="D203" s="25" t="str">
        <v>Combo 3 - First Class 3</v>
      </c>
      <c r="E203" s="27">
        <v>309000</v>
      </c>
      <c r="F203" s="26">
        <v>309000</v>
      </c>
      <c r="G203" s="25">
        <f>F203-E203</f>
      </c>
      <c r="H203" s="25"/>
      <c r="I203" s="24">
        <v>309000</v>
      </c>
    </row>
    <row r="204">
      <c r="A204" s="25" t="str">
        <v>237 NTT</v>
      </c>
      <c r="B204" s="25" t="str">
        <v>DV_Cắt_Vip</v>
      </c>
      <c r="C204" s="25">
        <v>1055</v>
      </c>
      <c r="D204" s="25" t="str">
        <v>Combo 4- First Class 4</v>
      </c>
      <c r="E204" s="27">
        <v>409000</v>
      </c>
      <c r="F204" s="26">
        <v>409000</v>
      </c>
      <c r="G204" s="25">
        <f>F204-E204</f>
      </c>
      <c r="H204" s="25"/>
      <c r="I204" s="24">
        <v>409000</v>
      </c>
    </row>
    <row r="205">
      <c r="A205" s="25" t="str">
        <v>237 NTT</v>
      </c>
      <c r="B205" s="25" t="str">
        <v>DV_Cắt_Vip</v>
      </c>
      <c r="C205" s="25">
        <v>1046</v>
      </c>
      <c r="D205" s="25" t="str">
        <v>Shinecombo 2</v>
      </c>
      <c r="E205" s="27">
        <v>199000</v>
      </c>
      <c r="F205" s="26">
        <v>199000</v>
      </c>
      <c r="G205" s="25">
        <f>F205-E205</f>
      </c>
      <c r="H205" s="25"/>
      <c r="I205" s="24">
        <v>199000</v>
      </c>
    </row>
    <row r="206">
      <c r="A206" s="25" t="str">
        <v>25 TD</v>
      </c>
      <c r="B206" s="25" t="str">
        <v>DV_Cắt</v>
      </c>
      <c r="C206" s="25">
        <v>513</v>
      </c>
      <c r="D206" s="25" t="str">
        <v>[DV] ShineCombo 10 bước Ultra Care 2023</v>
      </c>
      <c r="E206" s="27">
        <v>122000</v>
      </c>
      <c r="F206" s="26">
        <v>122000</v>
      </c>
      <c r="G206" s="25">
        <f>F206-E206</f>
      </c>
      <c r="H206" s="25"/>
      <c r="I206" s="24">
        <v>122000</v>
      </c>
    </row>
    <row r="207">
      <c r="A207" s="25" t="str">
        <v>25 TD</v>
      </c>
      <c r="B207" s="25" t="str">
        <v>DV_Cắt</v>
      </c>
      <c r="C207" s="25">
        <v>1070</v>
      </c>
      <c r="D207" s="25" t="str">
        <v>Combo Cắt gội Kid</v>
      </c>
      <c r="E207" s="27">
        <v>100000</v>
      </c>
      <c r="F207" s="26">
        <v>100000</v>
      </c>
      <c r="G207" s="25">
        <f>F207-E207</f>
      </c>
      <c r="H207" s="25"/>
      <c r="I207" s="24">
        <v>100000</v>
      </c>
    </row>
    <row r="208">
      <c r="A208" s="25" t="str">
        <v>25 TD</v>
      </c>
      <c r="B208" s="25" t="str">
        <v>DV_Cắt</v>
      </c>
      <c r="C208" s="25">
        <v>891</v>
      </c>
      <c r="D208" s="25" t="str">
        <v>Cắt xả tạo kiểu</v>
      </c>
      <c r="E208" s="27">
        <v>94000</v>
      </c>
      <c r="F208" s="28">
        <v>95000</v>
      </c>
      <c r="G208" s="25">
        <f>F208-E208</f>
      </c>
      <c r="H208" s="25" t="str">
        <v>điều chỉnh giá</v>
      </c>
      <c r="I208" s="24">
        <v>95000</v>
      </c>
    </row>
    <row r="209">
      <c r="A209" s="25" t="str">
        <v>25 TD</v>
      </c>
      <c r="B209" s="25" t="str">
        <v>DV_Cắt</v>
      </c>
      <c r="C209" s="25">
        <v>1052</v>
      </c>
      <c r="D209" s="25" t="str">
        <v>Combo 1 - First Class 1</v>
      </c>
      <c r="E209" s="27">
        <v>139000</v>
      </c>
      <c r="F209" s="26">
        <v>139000</v>
      </c>
      <c r="G209" s="25">
        <f>F209-E209</f>
      </c>
      <c r="H209" s="25"/>
      <c r="I209" s="24">
        <v>139000</v>
      </c>
    </row>
    <row r="210">
      <c r="A210" s="25" t="str">
        <v>25 TD</v>
      </c>
      <c r="B210" s="25" t="str">
        <v>DV_Cắt</v>
      </c>
      <c r="C210" s="25">
        <v>1002</v>
      </c>
      <c r="D210" s="25" t="str">
        <v>Kid Cắt</v>
      </c>
      <c r="E210" s="27">
        <v>75000</v>
      </c>
      <c r="F210" s="28">
        <v>76000</v>
      </c>
      <c r="G210" s="25">
        <f>F210-E210</f>
      </c>
      <c r="H210" s="25" t="str">
        <v>điều chỉnh giá</v>
      </c>
      <c r="I210" s="24">
        <v>76000</v>
      </c>
    </row>
    <row r="211">
      <c r="A211" s="25" t="str">
        <v>25 TD</v>
      </c>
      <c r="B211" s="25" t="str">
        <v>DV_Cắt_Vip</v>
      </c>
      <c r="C211" s="25">
        <v>1047</v>
      </c>
      <c r="D211" s="25" t="str">
        <v>Cắt Gội Combo 3 - Chăm da</v>
      </c>
      <c r="E211" s="27">
        <v>299000</v>
      </c>
      <c r="F211" s="28">
        <v>300000</v>
      </c>
      <c r="G211" s="25">
        <f>F211-E211</f>
      </c>
      <c r="H211" s="25" t="str">
        <v>điều chỉnh giá</v>
      </c>
      <c r="I211" s="24">
        <v>300000</v>
      </c>
    </row>
    <row r="212">
      <c r="A212" s="25" t="str">
        <v>25 TD</v>
      </c>
      <c r="B212" s="25" t="str">
        <v>DV_Cắt_Vip</v>
      </c>
      <c r="C212" s="25">
        <v>1053</v>
      </c>
      <c r="D212" s="25" t="str">
        <v>Combo 2 - First Class 2</v>
      </c>
      <c r="E212" s="27">
        <v>239000</v>
      </c>
      <c r="F212" s="28">
        <v>240000</v>
      </c>
      <c r="G212" s="25">
        <f>F212-E212</f>
      </c>
      <c r="H212" s="25" t="str">
        <v>điều chỉnh giá</v>
      </c>
      <c r="I212" s="24">
        <v>240000</v>
      </c>
    </row>
    <row r="213">
      <c r="A213" s="25" t="str">
        <v>25 TD</v>
      </c>
      <c r="B213" s="25" t="str">
        <v>DV_Cắt_Vip</v>
      </c>
      <c r="C213" s="25">
        <v>1054</v>
      </c>
      <c r="D213" s="25" t="str">
        <v>Combo 3 - First Class 3</v>
      </c>
      <c r="E213" s="27">
        <v>309000</v>
      </c>
      <c r="F213" s="28">
        <v>310000</v>
      </c>
      <c r="G213" s="25">
        <f>F213-E213</f>
      </c>
      <c r="H213" s="25" t="str">
        <v>điều chỉnh giá</v>
      </c>
      <c r="I213" s="24">
        <v>310000</v>
      </c>
    </row>
    <row r="214">
      <c r="A214" s="25" t="str">
        <v>25 TD</v>
      </c>
      <c r="B214" s="25" t="str">
        <v>DV_Cắt_Vip</v>
      </c>
      <c r="C214" s="25">
        <v>1048</v>
      </c>
      <c r="D214" s="25" t="str">
        <v>Combo 4</v>
      </c>
      <c r="E214" s="27">
        <v>389000</v>
      </c>
      <c r="F214" s="28">
        <v>390000</v>
      </c>
      <c r="G214" s="25">
        <f>F214-E214</f>
      </c>
      <c r="H214" s="25" t="str">
        <v>điều chỉnh giá</v>
      </c>
      <c r="I214" s="24">
        <v>390000</v>
      </c>
    </row>
    <row r="215">
      <c r="A215" s="25" t="str">
        <v>25 TD</v>
      </c>
      <c r="B215" s="25" t="str">
        <v>DV_Cắt_Vip</v>
      </c>
      <c r="C215" s="25">
        <v>1055</v>
      </c>
      <c r="D215" s="25" t="str">
        <v>Combo 4- First Class 4</v>
      </c>
      <c r="E215" s="27">
        <v>409000</v>
      </c>
      <c r="F215" s="28">
        <v>410000</v>
      </c>
      <c r="G215" s="25">
        <f>F215-E215</f>
      </c>
      <c r="H215" s="25" t="str">
        <v>điều chỉnh giá</v>
      </c>
      <c r="I215" s="24">
        <v>410000</v>
      </c>
    </row>
    <row r="216">
      <c r="A216" s="25" t="str">
        <v>25 TD</v>
      </c>
      <c r="B216" s="25" t="str">
        <v>DV_Cắt_Vip</v>
      </c>
      <c r="C216" s="25">
        <v>1046</v>
      </c>
      <c r="D216" s="25" t="str">
        <v>Shinecombo 2</v>
      </c>
      <c r="E216" s="27">
        <v>199000</v>
      </c>
      <c r="F216" s="28">
        <v>200000</v>
      </c>
      <c r="G216" s="25">
        <f>F216-E216</f>
      </c>
      <c r="H216" s="25" t="str">
        <v>điều chỉnh giá</v>
      </c>
      <c r="I216" s="24">
        <v>200000</v>
      </c>
    </row>
    <row r="217">
      <c r="A217" s="25" t="str">
        <v>255 NAN</v>
      </c>
      <c r="B217" s="25" t="str">
        <v>DV_Cắt</v>
      </c>
      <c r="C217" s="25">
        <v>513</v>
      </c>
      <c r="D217" s="25" t="str">
        <v>[DV] ShineCombo 10 bước Ultra Care 2023</v>
      </c>
      <c r="E217" s="27">
        <v>122000</v>
      </c>
      <c r="F217" s="26">
        <v>122000</v>
      </c>
      <c r="G217" s="25">
        <f>F217-E217</f>
      </c>
      <c r="H217" s="25"/>
      <c r="I217" s="24">
        <v>122000</v>
      </c>
    </row>
    <row r="218">
      <c r="A218" s="25" t="str">
        <v>255 NAN</v>
      </c>
      <c r="B218" s="25" t="str">
        <v>DV_Cắt</v>
      </c>
      <c r="C218" s="25">
        <v>1070</v>
      </c>
      <c r="D218" s="25" t="str">
        <v>Combo Cắt gội Kid</v>
      </c>
      <c r="E218" s="27">
        <v>100000</v>
      </c>
      <c r="F218" s="26">
        <v>100000</v>
      </c>
      <c r="G218" s="25">
        <f>F218-E218</f>
      </c>
      <c r="H218" s="25"/>
      <c r="I218" s="24">
        <v>100000</v>
      </c>
    </row>
    <row r="219">
      <c r="A219" s="25" t="str">
        <v>255 NAN</v>
      </c>
      <c r="B219" s="25" t="str">
        <v>DV_Cắt</v>
      </c>
      <c r="C219" s="25">
        <v>891</v>
      </c>
      <c r="D219" s="25" t="str">
        <v>Cắt xả tạo kiểu</v>
      </c>
      <c r="E219" s="27">
        <v>94000</v>
      </c>
      <c r="F219" s="28">
        <v>103000</v>
      </c>
      <c r="G219" s="25">
        <f>F219-E219</f>
      </c>
      <c r="H219" s="25" t="str">
        <v>điều chỉnh giá</v>
      </c>
      <c r="I219" s="24">
        <v>103000</v>
      </c>
    </row>
    <row r="220">
      <c r="A220" s="25" t="str">
        <v>255 NAN</v>
      </c>
      <c r="B220" s="25" t="str">
        <v>DV_Cắt</v>
      </c>
      <c r="C220" s="25">
        <v>1002</v>
      </c>
      <c r="D220" s="25" t="str">
        <v>Kid Cắt</v>
      </c>
      <c r="E220" s="27">
        <v>75000</v>
      </c>
      <c r="F220" s="28">
        <v>84000</v>
      </c>
      <c r="G220" s="25">
        <f>F220-E220</f>
      </c>
      <c r="H220" s="25" t="str">
        <v>điều chỉnh giá</v>
      </c>
      <c r="I220" s="24">
        <v>84000</v>
      </c>
    </row>
    <row r="221">
      <c r="A221" s="25" t="str">
        <v>255 NAN</v>
      </c>
      <c r="B221" s="25" t="str">
        <v>DV_Cắt_Vip</v>
      </c>
      <c r="C221" s="25">
        <v>1047</v>
      </c>
      <c r="D221" s="25" t="str">
        <v>Cắt Gội Combo 3 - Chăm da</v>
      </c>
      <c r="E221" s="27">
        <v>299000</v>
      </c>
      <c r="F221" s="28">
        <v>308000</v>
      </c>
      <c r="G221" s="25">
        <f>F221-E221</f>
      </c>
      <c r="H221" s="25" t="str">
        <v>điều chỉnh giá</v>
      </c>
      <c r="I221" s="24">
        <v>308000</v>
      </c>
    </row>
    <row r="222">
      <c r="A222" s="25" t="str">
        <v>255 NAN</v>
      </c>
      <c r="B222" s="25" t="str">
        <v>DV_Cắt_Vip</v>
      </c>
      <c r="C222" s="25">
        <v>1065</v>
      </c>
      <c r="D222" s="25" t="str">
        <v>Cắt Gội Combo 3 - Dưỡng sinh</v>
      </c>
      <c r="E222" s="27">
        <v>299000</v>
      </c>
      <c r="F222" s="28">
        <v>308000</v>
      </c>
      <c r="G222" s="25">
        <f>F222-E222</f>
      </c>
      <c r="H222" s="25" t="str">
        <v>điều chỉnh giá</v>
      </c>
      <c r="I222" s="24">
        <v>308000</v>
      </c>
    </row>
    <row r="223">
      <c r="A223" s="25" t="str">
        <v>255 NAN</v>
      </c>
      <c r="B223" s="25" t="str">
        <v>DV_Cắt_Vip</v>
      </c>
      <c r="C223" s="25">
        <v>1048</v>
      </c>
      <c r="D223" s="25" t="str">
        <v>Combo 4</v>
      </c>
      <c r="E223" s="27">
        <v>389000</v>
      </c>
      <c r="F223" s="28">
        <v>398000</v>
      </c>
      <c r="G223" s="25">
        <f>F223-E223</f>
      </c>
      <c r="H223" s="25" t="str">
        <v>điều chỉnh giá</v>
      </c>
      <c r="I223" s="24">
        <v>398000</v>
      </c>
    </row>
    <row r="224">
      <c r="A224" s="25" t="str">
        <v>255 NAN</v>
      </c>
      <c r="B224" s="25" t="str">
        <v>DV_Cắt_Vip</v>
      </c>
      <c r="C224" s="25">
        <v>1150</v>
      </c>
      <c r="D224" s="25" t="str">
        <v>Combo cắt gội đỉnh cao thư giãn vip</v>
      </c>
      <c r="E224" s="27">
        <v>500000</v>
      </c>
      <c r="F224" s="28">
        <v>509000</v>
      </c>
      <c r="G224" s="25">
        <f>F224-E224</f>
      </c>
      <c r="H224" s="25" t="str">
        <v>điều chỉnh giá</v>
      </c>
      <c r="I224" s="24">
        <v>509000</v>
      </c>
    </row>
    <row r="225">
      <c r="A225" s="25" t="str">
        <v>255 NAN</v>
      </c>
      <c r="B225" s="25" t="str">
        <v>DV_Cắt_Vip</v>
      </c>
      <c r="C225" s="25">
        <v>1046</v>
      </c>
      <c r="D225" s="25" t="str">
        <v>Shinecombo 2</v>
      </c>
      <c r="E225" s="27">
        <v>199000</v>
      </c>
      <c r="F225" s="28">
        <v>208000</v>
      </c>
      <c r="G225" s="25">
        <f>F225-E225</f>
      </c>
      <c r="H225" s="25" t="str">
        <v>điều chỉnh giá</v>
      </c>
      <c r="I225" s="24">
        <v>208000</v>
      </c>
    </row>
    <row r="226">
      <c r="A226" s="25" t="str">
        <v>264 LLQ</v>
      </c>
      <c r="B226" s="25" t="str">
        <v>DV_Cắt</v>
      </c>
      <c r="C226" s="25">
        <v>513</v>
      </c>
      <c r="D226" s="25" t="str">
        <v>[DV] ShineCombo 10 bước Ultra Care 2023</v>
      </c>
      <c r="E226" s="27">
        <v>122000</v>
      </c>
      <c r="F226" s="26">
        <v>122000</v>
      </c>
      <c r="G226" s="25">
        <f>F226-E226</f>
      </c>
      <c r="H226" s="25"/>
      <c r="I226" s="24">
        <v>122000</v>
      </c>
    </row>
    <row r="227">
      <c r="A227" s="25" t="str">
        <v>264 LLQ</v>
      </c>
      <c r="B227" s="25" t="str">
        <v>DV_Cắt</v>
      </c>
      <c r="C227" s="25">
        <v>1070</v>
      </c>
      <c r="D227" s="25" t="str">
        <v>Combo Cắt gội Kid</v>
      </c>
      <c r="E227" s="27">
        <v>100000</v>
      </c>
      <c r="F227" s="26">
        <v>100000</v>
      </c>
      <c r="G227" s="25">
        <f>F227-E227</f>
      </c>
      <c r="H227" s="25"/>
      <c r="I227" s="24">
        <v>100000</v>
      </c>
    </row>
    <row r="228">
      <c r="A228" s="25" t="str">
        <v>264 LLQ</v>
      </c>
      <c r="B228" s="25" t="str">
        <v>DV_Cắt</v>
      </c>
      <c r="C228" s="25">
        <v>891</v>
      </c>
      <c r="D228" s="25" t="str">
        <v>Cắt xả tạo kiểu</v>
      </c>
      <c r="E228" s="27">
        <v>94000</v>
      </c>
      <c r="F228" s="28">
        <v>103000</v>
      </c>
      <c r="G228" s="25">
        <f>F228-E228</f>
      </c>
      <c r="H228" s="25" t="str">
        <v>điều chỉnh giá</v>
      </c>
      <c r="I228" s="24">
        <v>94000</v>
      </c>
    </row>
    <row r="229">
      <c r="A229" s="25" t="str">
        <v>264 LLQ</v>
      </c>
      <c r="B229" s="25" t="str">
        <v>DV_Cắt</v>
      </c>
      <c r="C229" s="25">
        <v>1002</v>
      </c>
      <c r="D229" s="25" t="str">
        <v>Kid Cắt</v>
      </c>
      <c r="E229" s="27">
        <v>75000</v>
      </c>
      <c r="F229" s="28">
        <v>84000</v>
      </c>
      <c r="G229" s="25">
        <f>F229-E229</f>
      </c>
      <c r="H229" s="25" t="str">
        <v>điều chỉnh giá</v>
      </c>
      <c r="I229" s="24">
        <v>75000</v>
      </c>
    </row>
    <row r="230">
      <c r="A230" s="25" t="str">
        <v>264 LLQ</v>
      </c>
      <c r="B230" s="25" t="str">
        <v>DV_Cắt_Vip</v>
      </c>
      <c r="C230" s="25">
        <v>1047</v>
      </c>
      <c r="D230" s="25" t="str">
        <v>Cắt Gội Combo 3 - Chăm da</v>
      </c>
      <c r="E230" s="27">
        <v>299000</v>
      </c>
      <c r="F230" s="28">
        <v>308000</v>
      </c>
      <c r="G230" s="25">
        <f>F230-E230</f>
      </c>
      <c r="H230" s="25" t="str">
        <v>điều chỉnh giá</v>
      </c>
      <c r="I230" s="24">
        <v>299000</v>
      </c>
    </row>
    <row r="231">
      <c r="A231" s="25" t="str">
        <v>264 LLQ</v>
      </c>
      <c r="B231" s="25" t="str">
        <v>DV_Cắt_Vip</v>
      </c>
      <c r="C231" s="25">
        <v>1064</v>
      </c>
      <c r="D231" s="25" t="str">
        <v>Cắt Gội Combo 5 - Dưỡng sinh</v>
      </c>
      <c r="E231" s="27">
        <v>459000</v>
      </c>
      <c r="F231" s="28">
        <v>468000</v>
      </c>
      <c r="G231" s="25">
        <f>F231-E231</f>
      </c>
      <c r="H231" s="25" t="str">
        <v>điều chỉnh giá</v>
      </c>
      <c r="I231" s="24">
        <v>459000</v>
      </c>
    </row>
    <row r="232">
      <c r="A232" s="25" t="str">
        <v>264 LLQ</v>
      </c>
      <c r="B232" s="25" t="str">
        <v>DV_Cắt_Vip</v>
      </c>
      <c r="C232" s="25">
        <v>1048</v>
      </c>
      <c r="D232" s="25" t="str">
        <v>Combo 4</v>
      </c>
      <c r="E232" s="27">
        <v>389000</v>
      </c>
      <c r="F232" s="28">
        <v>398000</v>
      </c>
      <c r="G232" s="25">
        <f>F232-E232</f>
      </c>
      <c r="H232" s="25" t="str">
        <v>điều chỉnh giá</v>
      </c>
      <c r="I232" s="24">
        <v>389000</v>
      </c>
    </row>
    <row r="233">
      <c r="A233" s="25" t="str">
        <v>264 LLQ</v>
      </c>
      <c r="B233" s="25" t="str">
        <v>DV_Cắt_Vip</v>
      </c>
      <c r="C233" s="25">
        <v>1046</v>
      </c>
      <c r="D233" s="25" t="str">
        <v>Shinecombo 2</v>
      </c>
      <c r="E233" s="27">
        <v>199000</v>
      </c>
      <c r="F233" s="28">
        <v>208000</v>
      </c>
      <c r="G233" s="25">
        <f>F233-E233</f>
      </c>
      <c r="H233" s="25" t="str">
        <v>điều chỉnh giá</v>
      </c>
      <c r="I233" s="24">
        <v>199000</v>
      </c>
    </row>
    <row r="234">
      <c r="A234" s="25" t="str">
        <v>29 HB</v>
      </c>
      <c r="B234" s="25" t="str">
        <v>DV_Cắt</v>
      </c>
      <c r="C234" s="25">
        <v>513</v>
      </c>
      <c r="D234" s="25" t="str">
        <v>[DV] ShineCombo 10 bước Ultra Care 2023</v>
      </c>
      <c r="E234" s="27">
        <v>122000</v>
      </c>
      <c r="F234" s="26">
        <v>122000</v>
      </c>
      <c r="G234" s="25">
        <f>F234-E234</f>
      </c>
      <c r="H234" s="25"/>
      <c r="I234" s="24">
        <v>122000</v>
      </c>
    </row>
    <row r="235">
      <c r="A235" s="25" t="str">
        <v>29 HB</v>
      </c>
      <c r="B235" s="25" t="str">
        <v>DV_Cắt</v>
      </c>
      <c r="C235" s="25">
        <v>891</v>
      </c>
      <c r="D235" s="25" t="str">
        <v>Cắt xả tạo kiểu</v>
      </c>
      <c r="E235" s="27">
        <v>94000</v>
      </c>
      <c r="F235" s="26">
        <v>94000</v>
      </c>
      <c r="G235" s="25">
        <f>F235-E235</f>
      </c>
      <c r="H235" s="25"/>
      <c r="I235" s="24">
        <v>94000</v>
      </c>
    </row>
    <row r="236">
      <c r="A236" s="25" t="str">
        <v>29 HB</v>
      </c>
      <c r="B236" s="25" t="str">
        <v>DV_Cắt</v>
      </c>
      <c r="C236" s="25">
        <v>1070</v>
      </c>
      <c r="D236" s="25" t="str">
        <v>Combo Cắt gội Kid</v>
      </c>
      <c r="E236" s="27">
        <v>100000</v>
      </c>
      <c r="F236" s="26">
        <v>100000</v>
      </c>
      <c r="G236" s="25">
        <f>F236-E236</f>
      </c>
      <c r="H236" s="25"/>
      <c r="I236" s="24">
        <v>100000</v>
      </c>
    </row>
    <row r="237">
      <c r="A237" s="25" t="str">
        <v>29 HB</v>
      </c>
      <c r="B237" s="25" t="str">
        <v>DV_Cắt</v>
      </c>
      <c r="C237" s="25">
        <v>1002</v>
      </c>
      <c r="D237" s="25" t="str">
        <v>Kid Cắt</v>
      </c>
      <c r="E237" s="27">
        <v>75000</v>
      </c>
      <c r="F237" s="26">
        <v>75000</v>
      </c>
      <c r="G237" s="25">
        <f>F237-E237</f>
      </c>
      <c r="H237" s="25"/>
      <c r="I237" s="24">
        <v>75000</v>
      </c>
    </row>
    <row r="238">
      <c r="A238" s="25" t="str">
        <v>29 HB</v>
      </c>
      <c r="B238" s="25" t="str">
        <v>DV_Cắt_Vip</v>
      </c>
      <c r="C238" s="25">
        <v>1047</v>
      </c>
      <c r="D238" s="25" t="str">
        <v>Cắt Gội Combo 3 - Chăm da</v>
      </c>
      <c r="E238" s="27">
        <v>299000</v>
      </c>
      <c r="F238" s="26">
        <v>299000</v>
      </c>
      <c r="G238" s="25">
        <f>F238-E238</f>
      </c>
      <c r="H238" s="25"/>
      <c r="I238" s="24">
        <v>299000</v>
      </c>
    </row>
    <row r="239">
      <c r="A239" s="25" t="str">
        <v>29 HB</v>
      </c>
      <c r="B239" s="25" t="str">
        <v>DV_Cắt_Vip</v>
      </c>
      <c r="C239" s="25">
        <v>1065</v>
      </c>
      <c r="D239" s="25" t="str">
        <v>Cắt Gội Combo 3 - Dưỡng sinh</v>
      </c>
      <c r="E239" s="27">
        <v>299000</v>
      </c>
      <c r="F239" s="26">
        <v>299000</v>
      </c>
      <c r="G239" s="25">
        <f>F239-E239</f>
      </c>
      <c r="H239" s="25"/>
      <c r="I239" s="24">
        <v>299000</v>
      </c>
    </row>
    <row r="240">
      <c r="A240" s="25" t="str">
        <v>29 HB</v>
      </c>
      <c r="B240" s="25" t="str">
        <v>DV_Cắt_Vip</v>
      </c>
      <c r="C240" s="25">
        <v>1048</v>
      </c>
      <c r="D240" s="25" t="str">
        <v>Combo 4</v>
      </c>
      <c r="E240" s="27">
        <v>389000</v>
      </c>
      <c r="F240" s="26">
        <v>389000</v>
      </c>
      <c r="G240" s="25">
        <f>F240-E240</f>
      </c>
      <c r="H240" s="25"/>
      <c r="I240" s="24">
        <v>389000</v>
      </c>
    </row>
    <row r="241">
      <c r="A241" s="25" t="str">
        <v>29 HB</v>
      </c>
      <c r="B241" s="25" t="str">
        <v>DV_Cắt_Vip</v>
      </c>
      <c r="C241" s="25">
        <v>1150</v>
      </c>
      <c r="D241" s="25" t="str">
        <v>Combo cắt gội đỉnh cao thư giãn vip</v>
      </c>
      <c r="E241" s="27">
        <v>500000</v>
      </c>
      <c r="F241" s="26">
        <v>500000</v>
      </c>
      <c r="G241" s="25">
        <f>F241-E241</f>
      </c>
      <c r="H241" s="25"/>
      <c r="I241" s="24">
        <v>500000</v>
      </c>
    </row>
    <row r="242">
      <c r="A242" s="25" t="str">
        <v>29 HB</v>
      </c>
      <c r="B242" s="25" t="str">
        <v>DV_Cắt_Vip</v>
      </c>
      <c r="C242" s="25">
        <v>1046</v>
      </c>
      <c r="D242" s="25" t="str">
        <v>Shinecombo 2</v>
      </c>
      <c r="E242" s="27">
        <v>199000</v>
      </c>
      <c r="F242" s="26">
        <v>199000</v>
      </c>
      <c r="G242" s="25">
        <f>F242-E242</f>
      </c>
      <c r="H242" s="25"/>
      <c r="I242" s="24">
        <v>199000</v>
      </c>
    </row>
    <row r="243">
      <c r="A243" s="25" t="str">
        <v>290 QT TH</v>
      </c>
      <c r="B243" s="25" t="str">
        <v>DV_Cắt</v>
      </c>
      <c r="C243" s="25">
        <v>513</v>
      </c>
      <c r="D243" s="25" t="str">
        <v>[DV] ShineCombo 10 bước Ultra Care 2023</v>
      </c>
      <c r="E243" s="27">
        <v>122000</v>
      </c>
      <c r="F243" s="26">
        <v>122000</v>
      </c>
      <c r="G243" s="25">
        <f>F243-E243</f>
      </c>
      <c r="H243" s="25"/>
      <c r="I243" s="24">
        <v>122000</v>
      </c>
    </row>
    <row r="244">
      <c r="A244" s="25" t="str">
        <v>290 QT TH</v>
      </c>
      <c r="B244" s="25" t="str">
        <v>DV_Cắt</v>
      </c>
      <c r="C244" s="25">
        <v>1070</v>
      </c>
      <c r="D244" s="25" t="str">
        <v>Combo Cắt gội Kid</v>
      </c>
      <c r="E244" s="27">
        <v>100000</v>
      </c>
      <c r="F244" s="26">
        <v>100000</v>
      </c>
      <c r="G244" s="25">
        <f>F244-E244</f>
      </c>
      <c r="H244" s="25"/>
      <c r="I244" s="24">
        <v>100000</v>
      </c>
    </row>
    <row r="245">
      <c r="A245" s="25" t="str">
        <v>290 QT TH</v>
      </c>
      <c r="B245" s="25" t="str">
        <v>DV_Cắt</v>
      </c>
      <c r="C245" s="25">
        <v>891</v>
      </c>
      <c r="D245" s="25" t="str">
        <v>Cắt xả tạo kiểu</v>
      </c>
      <c r="E245" s="27">
        <v>94000</v>
      </c>
      <c r="F245" s="28">
        <v>95000</v>
      </c>
      <c r="G245" s="25">
        <f>F245-E245</f>
      </c>
      <c r="H245" s="25" t="str">
        <v>điều chỉnh giá</v>
      </c>
      <c r="I245" s="24">
        <v>95000</v>
      </c>
    </row>
    <row r="246">
      <c r="A246" s="25" t="str">
        <v>290 QT TH</v>
      </c>
      <c r="B246" s="25" t="str">
        <v>DV_Cắt</v>
      </c>
      <c r="C246" s="25">
        <v>1002</v>
      </c>
      <c r="D246" s="25" t="str">
        <v>Kid Cắt</v>
      </c>
      <c r="E246" s="27">
        <v>75000</v>
      </c>
      <c r="F246" s="28">
        <v>76000</v>
      </c>
      <c r="G246" s="25">
        <f>F246-E246</f>
      </c>
      <c r="H246" s="25" t="str">
        <v>điều chỉnh giá</v>
      </c>
      <c r="I246" s="24">
        <v>76000</v>
      </c>
    </row>
    <row r="247">
      <c r="A247" s="25" t="str">
        <v>290 QT TH</v>
      </c>
      <c r="B247" s="25" t="str">
        <v>DV_Cắt</v>
      </c>
      <c r="C247" s="25">
        <v>1255</v>
      </c>
      <c r="D247" s="25" t="str">
        <v>VH Cắt gội dưỡng sinh Vip</v>
      </c>
      <c r="E247" s="27">
        <v>249000</v>
      </c>
      <c r="F247" s="28">
        <v>250000</v>
      </c>
      <c r="G247" s="25">
        <f>F247-E247</f>
      </c>
      <c r="H247" s="25" t="str">
        <v>điều chỉnh giá</v>
      </c>
      <c r="I247" s="24">
        <v>250000</v>
      </c>
    </row>
    <row r="248">
      <c r="A248" s="25" t="str">
        <v>290 QT TH</v>
      </c>
      <c r="B248" s="25" t="str">
        <v>DV_Cắt_Vip</v>
      </c>
      <c r="C248" s="25">
        <v>1047</v>
      </c>
      <c r="D248" s="25" t="str">
        <v>Cắt Gội Combo 3 - Chăm da</v>
      </c>
      <c r="E248" s="27">
        <v>299000</v>
      </c>
      <c r="F248" s="28">
        <v>300000</v>
      </c>
      <c r="G248" s="25">
        <f>F248-E248</f>
      </c>
      <c r="H248" s="25" t="str">
        <v>điều chỉnh giá</v>
      </c>
      <c r="I248" s="24">
        <v>300000</v>
      </c>
    </row>
    <row r="249">
      <c r="A249" s="25" t="str">
        <v>290 QT TH</v>
      </c>
      <c r="B249" s="25" t="str">
        <v>DV_Cắt_Vip</v>
      </c>
      <c r="C249" s="25">
        <v>1065</v>
      </c>
      <c r="D249" s="25" t="str">
        <v>Cắt Gội Combo 3 - Dưỡng sinh</v>
      </c>
      <c r="E249" s="27">
        <v>299000</v>
      </c>
      <c r="F249" s="28">
        <v>300000</v>
      </c>
      <c r="G249" s="25">
        <f>F249-E249</f>
      </c>
      <c r="H249" s="25" t="str">
        <v>điều chỉnh giá</v>
      </c>
      <c r="I249" s="24">
        <v>300000</v>
      </c>
    </row>
    <row r="250">
      <c r="A250" s="25" t="str">
        <v>290 QT TH</v>
      </c>
      <c r="B250" s="25" t="str">
        <v>DV_Cắt_Vip</v>
      </c>
      <c r="C250" s="25">
        <v>1048</v>
      </c>
      <c r="D250" s="25" t="str">
        <v>Combo 4</v>
      </c>
      <c r="E250" s="27">
        <v>389000</v>
      </c>
      <c r="F250" s="28">
        <v>390000</v>
      </c>
      <c r="G250" s="25">
        <f>F250-E250</f>
      </c>
      <c r="H250" s="25" t="str">
        <v>điều chỉnh giá</v>
      </c>
      <c r="I250" s="24">
        <v>390000</v>
      </c>
    </row>
    <row r="251">
      <c r="A251" s="25" t="str">
        <v>290 QT TH</v>
      </c>
      <c r="B251" s="25" t="str">
        <v>DV_Cắt_Vip</v>
      </c>
      <c r="C251" s="25">
        <v>1046</v>
      </c>
      <c r="D251" s="25" t="str">
        <v>Shinecombo 2</v>
      </c>
      <c r="E251" s="27">
        <v>199000</v>
      </c>
      <c r="F251" s="28">
        <v>200000</v>
      </c>
      <c r="G251" s="25">
        <f>F251-E251</f>
      </c>
      <c r="H251" s="25" t="str">
        <v>điều chỉnh giá</v>
      </c>
      <c r="I251" s="24">
        <v>200000</v>
      </c>
    </row>
    <row r="252">
      <c r="A252" s="25" t="str">
        <v>290 QT TH</v>
      </c>
      <c r="B252" s="25" t="str">
        <v>DV_Cắt_Vip</v>
      </c>
      <c r="C252" s="25">
        <v>1256</v>
      </c>
      <c r="D252" s="25" t="str">
        <v>VH Cắt gội dưỡng sinh Vip LRT</v>
      </c>
      <c r="E252" s="27">
        <v>299000</v>
      </c>
      <c r="F252" s="28">
        <v>300000</v>
      </c>
      <c r="G252" s="25">
        <f>F252-E252</f>
      </c>
      <c r="H252" s="25" t="str">
        <v>điều chỉnh giá</v>
      </c>
      <c r="I252" s="24">
        <v>300000</v>
      </c>
    </row>
    <row r="253">
      <c r="A253" s="25" t="str">
        <v>290 QT TH</v>
      </c>
      <c r="B253" s="25" t="str">
        <v>DV_Cắt_Vip</v>
      </c>
      <c r="C253" s="25">
        <v>1257</v>
      </c>
      <c r="D253" s="25" t="str">
        <v>VH Cắt gội thư giãn phục hồi</v>
      </c>
      <c r="E253" s="27">
        <v>449000</v>
      </c>
      <c r="F253" s="28">
        <v>450000</v>
      </c>
      <c r="G253" s="25">
        <f>F253-E253</f>
      </c>
      <c r="H253" s="25" t="str">
        <v>điều chỉnh giá</v>
      </c>
      <c r="I253" s="24">
        <v>450000</v>
      </c>
    </row>
    <row r="254">
      <c r="A254" s="25" t="str">
        <v>304 NT TH</v>
      </c>
      <c r="B254" s="25" t="str">
        <v>DV_Cắt</v>
      </c>
      <c r="C254" s="25">
        <v>513</v>
      </c>
      <c r="D254" s="25" t="str">
        <v>[DV] ShineCombo 10 bước Ultra Care 2023</v>
      </c>
      <c r="E254" s="27">
        <v>122000</v>
      </c>
      <c r="F254" s="26">
        <v>122000</v>
      </c>
      <c r="G254" s="25">
        <f>F254-E254</f>
      </c>
      <c r="H254" s="25"/>
      <c r="I254" s="24">
        <v>122000</v>
      </c>
    </row>
    <row r="255">
      <c r="A255" s="25" t="str">
        <v>304 NT TH</v>
      </c>
      <c r="B255" s="25" t="str">
        <v>DV_Cắt</v>
      </c>
      <c r="C255" s="25">
        <v>891</v>
      </c>
      <c r="D255" s="25" t="str">
        <v>Cắt xả tạo kiểu</v>
      </c>
      <c r="E255" s="27">
        <v>94000</v>
      </c>
      <c r="F255" s="28">
        <v>103000</v>
      </c>
      <c r="G255" s="25">
        <f>F255-E255</f>
      </c>
      <c r="H255" s="25" t="str">
        <v>điều chỉnh giá</v>
      </c>
      <c r="I255" s="24">
        <v>103000</v>
      </c>
    </row>
    <row r="256">
      <c r="A256" s="25" t="str">
        <v>304 NT TH</v>
      </c>
      <c r="B256" s="25" t="str">
        <v>DV_Cắt</v>
      </c>
      <c r="C256" s="25">
        <v>1002</v>
      </c>
      <c r="D256" s="25" t="str">
        <v>Kid Cắt</v>
      </c>
      <c r="E256" s="27">
        <v>75000</v>
      </c>
      <c r="F256" s="28">
        <v>84000</v>
      </c>
      <c r="G256" s="25">
        <f>F256-E256</f>
      </c>
      <c r="H256" s="25" t="str">
        <v>điều chỉnh giá</v>
      </c>
      <c r="I256" s="24">
        <v>84000</v>
      </c>
    </row>
    <row r="257">
      <c r="A257" s="25" t="str">
        <v>304 NT TH</v>
      </c>
      <c r="B257" s="25" t="str">
        <v>DV_Cắt</v>
      </c>
      <c r="C257" s="25">
        <v>1255</v>
      </c>
      <c r="D257" s="25" t="str">
        <v>VH Cắt gội dưỡng sinh Vip</v>
      </c>
      <c r="E257" s="27">
        <v>249000</v>
      </c>
      <c r="F257" s="28">
        <v>258000</v>
      </c>
      <c r="G257" s="25">
        <f>F257-E257</f>
      </c>
      <c r="H257" s="25" t="str">
        <v>điều chỉnh giá</v>
      </c>
      <c r="I257" s="24">
        <v>258000</v>
      </c>
    </row>
    <row r="258">
      <c r="A258" s="25" t="str">
        <v>304 NT TH</v>
      </c>
      <c r="B258" s="25" t="str">
        <v>DV_Cắt_Vip</v>
      </c>
      <c r="C258" s="25">
        <v>1047</v>
      </c>
      <c r="D258" s="25" t="str">
        <v>Cắt Gội Combo 3 - Chăm da</v>
      </c>
      <c r="E258" s="27">
        <v>299000</v>
      </c>
      <c r="F258" s="28">
        <v>308000</v>
      </c>
      <c r="G258" s="25">
        <f>F258-E258</f>
      </c>
      <c r="H258" s="25" t="str">
        <v>điều chỉnh giá</v>
      </c>
      <c r="I258" s="24">
        <v>308000</v>
      </c>
    </row>
    <row r="259">
      <c r="A259" s="25" t="str">
        <v>304 NT TH</v>
      </c>
      <c r="B259" s="25" t="str">
        <v>DV_Cắt_Vip</v>
      </c>
      <c r="C259" s="25">
        <v>1065</v>
      </c>
      <c r="D259" s="25" t="str">
        <v>Cắt Gội Combo 3 - Dưỡng sinh</v>
      </c>
      <c r="E259" s="27">
        <v>299000</v>
      </c>
      <c r="F259" s="28">
        <v>308000</v>
      </c>
      <c r="G259" s="25">
        <f>F259-E259</f>
      </c>
      <c r="H259" s="25" t="str">
        <v>điều chỉnh giá</v>
      </c>
      <c r="I259" s="24">
        <v>308000</v>
      </c>
    </row>
    <row r="260">
      <c r="A260" s="25" t="str">
        <v>304 NT TH</v>
      </c>
      <c r="B260" s="25" t="str">
        <v>DV_Cắt_Vip</v>
      </c>
      <c r="C260" s="25">
        <v>1053</v>
      </c>
      <c r="D260" s="25" t="str">
        <v>Combo 2 - First Class 2</v>
      </c>
      <c r="E260" s="27">
        <v>229000</v>
      </c>
      <c r="F260" s="28">
        <v>238000</v>
      </c>
      <c r="G260" s="25">
        <f>F260-E260</f>
      </c>
      <c r="H260" s="25" t="str">
        <v>điều chỉnh giá</v>
      </c>
      <c r="I260" s="24">
        <v>238000</v>
      </c>
    </row>
    <row r="261">
      <c r="A261" s="25" t="str">
        <v>304 NT TH</v>
      </c>
      <c r="B261" s="25" t="str">
        <v>DV_Cắt_Vip</v>
      </c>
      <c r="C261" s="25">
        <v>1048</v>
      </c>
      <c r="D261" s="25" t="str">
        <v>Combo 4</v>
      </c>
      <c r="E261" s="27">
        <v>389000</v>
      </c>
      <c r="F261" s="28">
        <v>398000</v>
      </c>
      <c r="G261" s="25">
        <f>F261-E261</f>
      </c>
      <c r="H261" s="25" t="str">
        <v>điều chỉnh giá</v>
      </c>
      <c r="I261" s="24">
        <v>398000</v>
      </c>
    </row>
    <row r="262">
      <c r="A262" s="25" t="str">
        <v>304 NT TH</v>
      </c>
      <c r="B262" s="25" t="str">
        <v>DV_Cắt_Vip</v>
      </c>
      <c r="C262" s="25">
        <v>1046</v>
      </c>
      <c r="D262" s="25" t="str">
        <v>Shinecombo 2</v>
      </c>
      <c r="E262" s="27">
        <v>199000</v>
      </c>
      <c r="F262" s="28">
        <v>208000</v>
      </c>
      <c r="G262" s="25">
        <f>F262-E262</f>
      </c>
      <c r="H262" s="25" t="str">
        <v>điều chỉnh giá</v>
      </c>
      <c r="I262" s="24">
        <v>208000</v>
      </c>
    </row>
    <row r="263">
      <c r="A263" s="25" t="str">
        <v>304 NT TH</v>
      </c>
      <c r="B263" s="25" t="str">
        <v>DV_Cắt_Vip</v>
      </c>
      <c r="C263" s="25">
        <v>1256</v>
      </c>
      <c r="D263" s="25" t="str">
        <v>VH Cắt gội dưỡng sinh Vip LRT</v>
      </c>
      <c r="E263" s="27">
        <v>299000</v>
      </c>
      <c r="F263" s="28">
        <v>308000</v>
      </c>
      <c r="G263" s="25">
        <f>F263-E263</f>
      </c>
      <c r="H263" s="25" t="str">
        <v>điều chỉnh giá</v>
      </c>
      <c r="I263" s="24">
        <v>308000</v>
      </c>
    </row>
    <row r="264">
      <c r="A264" s="25" t="str">
        <v>304 NT TH</v>
      </c>
      <c r="B264" s="25" t="str">
        <v>DV_Cắt_Vip</v>
      </c>
      <c r="C264" s="25">
        <v>1257</v>
      </c>
      <c r="D264" s="25" t="str">
        <v>VH Cắt gội thư giãn phục hồi</v>
      </c>
      <c r="E264" s="27">
        <v>449000</v>
      </c>
      <c r="F264" s="28">
        <v>458000</v>
      </c>
      <c r="G264" s="25">
        <f>F264-E264</f>
      </c>
      <c r="H264" s="25" t="str">
        <v>điều chỉnh giá</v>
      </c>
      <c r="I264" s="24">
        <v>458000</v>
      </c>
    </row>
    <row r="265">
      <c r="A265" s="25" t="str">
        <v>312 LVS</v>
      </c>
      <c r="B265" s="25" t="str">
        <v>DV_Cắt</v>
      </c>
      <c r="C265" s="25">
        <v>513</v>
      </c>
      <c r="D265" s="25" t="str">
        <v>[DV] ShineCombo 10 bước Ultra Care 2023</v>
      </c>
      <c r="E265" s="27">
        <v>122000</v>
      </c>
      <c r="F265" s="26">
        <v>122000</v>
      </c>
      <c r="G265" s="25">
        <f>F265-E265</f>
      </c>
      <c r="H265" s="25"/>
      <c r="I265" s="24">
        <v>122000</v>
      </c>
    </row>
    <row r="266">
      <c r="A266" s="25" t="str">
        <v>312 LVS</v>
      </c>
      <c r="B266" s="25" t="str">
        <v>DV_Cắt</v>
      </c>
      <c r="C266" s="25">
        <v>1070</v>
      </c>
      <c r="D266" s="25" t="str">
        <v>Combo Cắt gội Kid</v>
      </c>
      <c r="E266" s="27">
        <v>100000</v>
      </c>
      <c r="F266" s="26">
        <v>100000</v>
      </c>
      <c r="G266" s="25">
        <f>F266-E266</f>
      </c>
      <c r="H266" s="25"/>
      <c r="I266" s="24">
        <v>100000</v>
      </c>
    </row>
    <row r="267">
      <c r="A267" s="25" t="str">
        <v>312 LVS</v>
      </c>
      <c r="B267" s="25" t="str">
        <v>DV_Cắt</v>
      </c>
      <c r="C267" s="25">
        <v>891</v>
      </c>
      <c r="D267" s="25" t="str">
        <v>Cắt xả tạo kiểu</v>
      </c>
      <c r="E267" s="27">
        <v>94000</v>
      </c>
      <c r="F267" s="28">
        <v>97000</v>
      </c>
      <c r="G267" s="25">
        <f>F267-E267</f>
      </c>
      <c r="H267" s="25" t="str">
        <v>điều chỉnh giá</v>
      </c>
      <c r="I267" s="24">
        <v>97000</v>
      </c>
    </row>
    <row r="268">
      <c r="A268" s="25" t="str">
        <v>312 LVS</v>
      </c>
      <c r="B268" s="25" t="str">
        <v>DV_Cắt</v>
      </c>
      <c r="C268" s="25">
        <v>1052</v>
      </c>
      <c r="D268" s="25" t="str">
        <v>Combo 1 - First Class 1</v>
      </c>
      <c r="E268" s="27">
        <v>159000</v>
      </c>
      <c r="F268" s="26">
        <v>159000</v>
      </c>
      <c r="G268" s="25">
        <f>F268-E268</f>
      </c>
      <c r="H268" s="25"/>
      <c r="I268" s="24">
        <v>159000</v>
      </c>
    </row>
    <row r="269">
      <c r="A269" s="25" t="str">
        <v>312 LVS</v>
      </c>
      <c r="B269" s="25" t="str">
        <v>DV_Cắt</v>
      </c>
      <c r="C269" s="25">
        <v>1002</v>
      </c>
      <c r="D269" s="25" t="str">
        <v>Kid Cắt</v>
      </c>
      <c r="E269" s="27">
        <v>75000</v>
      </c>
      <c r="F269" s="28">
        <v>78000</v>
      </c>
      <c r="G269" s="25">
        <f>F269-E269</f>
      </c>
      <c r="H269" s="25" t="str">
        <v>điều chỉnh giá</v>
      </c>
      <c r="I269" s="24">
        <v>78000</v>
      </c>
    </row>
    <row r="270">
      <c r="A270" s="25" t="str">
        <v>312 LVS</v>
      </c>
      <c r="B270" s="25" t="str">
        <v>DV_Cắt_Vip</v>
      </c>
      <c r="C270" s="25">
        <v>1047</v>
      </c>
      <c r="D270" s="25" t="str">
        <v>Cắt Gội Combo 3 - Chăm da</v>
      </c>
      <c r="E270" s="27">
        <v>299000</v>
      </c>
      <c r="F270" s="28">
        <v>302000</v>
      </c>
      <c r="G270" s="25">
        <f>F270-E270</f>
      </c>
      <c r="H270" s="25" t="str">
        <v>điều chỉnh giá</v>
      </c>
      <c r="I270" s="24">
        <v>302000</v>
      </c>
    </row>
    <row r="271">
      <c r="A271" s="25" t="str">
        <v>312 LVS</v>
      </c>
      <c r="B271" s="25" t="str">
        <v>DV_Cắt_Vip</v>
      </c>
      <c r="C271" s="25">
        <v>1065</v>
      </c>
      <c r="D271" s="25" t="str">
        <v>Cắt Gội Combo 3 - Dưỡng sinh</v>
      </c>
      <c r="E271" s="27">
        <v>299000</v>
      </c>
      <c r="F271" s="28">
        <v>302000</v>
      </c>
      <c r="G271" s="25">
        <f>F271-E271</f>
      </c>
      <c r="H271" s="25" t="str">
        <v>điều chỉnh giá</v>
      </c>
      <c r="I271" s="24">
        <v>302000</v>
      </c>
    </row>
    <row r="272">
      <c r="A272" s="25" t="str">
        <v>312 LVS</v>
      </c>
      <c r="B272" s="25" t="str">
        <v>DV_Cắt_Vip</v>
      </c>
      <c r="C272" s="25">
        <v>1064</v>
      </c>
      <c r="D272" s="25" t="str">
        <v>Cắt Gội Combo 5 - Dưỡng sinh</v>
      </c>
      <c r="E272" s="27">
        <v>459000</v>
      </c>
      <c r="F272" s="28">
        <v>462000</v>
      </c>
      <c r="G272" s="25">
        <f>F272-E272</f>
      </c>
      <c r="H272" s="25" t="str">
        <v>điều chỉnh giá</v>
      </c>
      <c r="I272" s="24">
        <v>462000</v>
      </c>
    </row>
    <row r="273">
      <c r="A273" s="25" t="str">
        <v>312 LVS</v>
      </c>
      <c r="B273" s="25" t="str">
        <v>DV_Cắt_Vip</v>
      </c>
      <c r="C273" s="25">
        <v>1048</v>
      </c>
      <c r="D273" s="25" t="str">
        <v>Combo 4</v>
      </c>
      <c r="E273" s="27">
        <v>389000</v>
      </c>
      <c r="F273" s="28">
        <v>392000</v>
      </c>
      <c r="G273" s="25">
        <f>F273-E273</f>
      </c>
      <c r="H273" s="25" t="str">
        <v>điều chỉnh giá</v>
      </c>
      <c r="I273" s="24">
        <v>392000</v>
      </c>
    </row>
    <row r="274">
      <c r="A274" s="25" t="str">
        <v>312 LVS</v>
      </c>
      <c r="B274" s="25" t="str">
        <v>DV_Cắt_Vip</v>
      </c>
      <c r="C274" s="25">
        <v>1046</v>
      </c>
      <c r="D274" s="25" t="str">
        <v>Shinecombo 2</v>
      </c>
      <c r="E274" s="27">
        <v>199000</v>
      </c>
      <c r="F274" s="28">
        <v>202000</v>
      </c>
      <c r="G274" s="25">
        <f>F274-E274</f>
      </c>
      <c r="H274" s="25" t="str">
        <v>điều chỉnh giá</v>
      </c>
      <c r="I274" s="24">
        <v>202000</v>
      </c>
    </row>
    <row r="275">
      <c r="A275" s="25" t="str">
        <v>32 NAT</v>
      </c>
      <c r="B275" s="25" t="str">
        <v>DV_Cắt</v>
      </c>
      <c r="C275" s="25">
        <v>513</v>
      </c>
      <c r="D275" s="25" t="str">
        <v>[DV] ShineCombo 10 bước Ultra Care 2023</v>
      </c>
      <c r="E275" s="27">
        <v>122000</v>
      </c>
      <c r="F275" s="26">
        <v>122000</v>
      </c>
      <c r="G275" s="25">
        <f>F275-E275</f>
      </c>
      <c r="H275" s="25"/>
      <c r="I275" s="24">
        <v>122000</v>
      </c>
    </row>
    <row r="276">
      <c r="A276" s="25" t="str">
        <v>32 NAT</v>
      </c>
      <c r="B276" s="25" t="str">
        <v>DV_Cắt</v>
      </c>
      <c r="C276" s="25">
        <v>1070</v>
      </c>
      <c r="D276" s="25" t="str">
        <v>Combo Cắt gội Kid</v>
      </c>
      <c r="E276" s="27">
        <v>100000</v>
      </c>
      <c r="F276" s="26">
        <v>100000</v>
      </c>
      <c r="G276" s="25">
        <f>F276-E276</f>
      </c>
      <c r="H276" s="25"/>
      <c r="I276" s="24">
        <v>100000</v>
      </c>
    </row>
    <row r="277">
      <c r="A277" s="25" t="str">
        <v>32 NAT</v>
      </c>
      <c r="B277" s="25" t="str">
        <v>DV_Cắt</v>
      </c>
      <c r="C277" s="25">
        <v>891</v>
      </c>
      <c r="D277" s="25" t="str">
        <v>Cắt xả tạo kiểu</v>
      </c>
      <c r="E277" s="27">
        <v>94000</v>
      </c>
      <c r="F277" s="28">
        <v>103000</v>
      </c>
      <c r="G277" s="25">
        <f>F277-E277</f>
      </c>
      <c r="H277" s="25" t="str">
        <v>điều chỉnh giá</v>
      </c>
      <c r="I277" s="24">
        <v>103000</v>
      </c>
    </row>
    <row r="278">
      <c r="A278" s="25" t="str">
        <v>32 NAT</v>
      </c>
      <c r="B278" s="25" t="str">
        <v>DV_Cắt</v>
      </c>
      <c r="C278" s="25">
        <v>1002</v>
      </c>
      <c r="D278" s="25" t="str">
        <v>Kid Cắt</v>
      </c>
      <c r="E278" s="27">
        <v>75000</v>
      </c>
      <c r="F278" s="28">
        <v>84000</v>
      </c>
      <c r="G278" s="25">
        <f>F278-E278</f>
      </c>
      <c r="H278" s="25" t="str">
        <v>điều chỉnh giá</v>
      </c>
      <c r="I278" s="24">
        <v>84000</v>
      </c>
    </row>
    <row r="279">
      <c r="A279" s="25" t="str">
        <v>32 NAT</v>
      </c>
      <c r="B279" s="25" t="str">
        <v>DV_Cắt_Vip</v>
      </c>
      <c r="C279" s="25">
        <v>1047</v>
      </c>
      <c r="D279" s="25" t="str">
        <v>Cắt Gội Combo 3 - Chăm da</v>
      </c>
      <c r="E279" s="27">
        <v>299000</v>
      </c>
      <c r="F279" s="28">
        <v>308000</v>
      </c>
      <c r="G279" s="25">
        <f>F279-E279</f>
      </c>
      <c r="H279" s="25" t="str">
        <v>điều chỉnh giá</v>
      </c>
      <c r="I279" s="24">
        <v>308000</v>
      </c>
    </row>
    <row r="280">
      <c r="A280" s="25" t="str">
        <v>32 NAT</v>
      </c>
      <c r="B280" s="25" t="str">
        <v>DV_Cắt_Vip</v>
      </c>
      <c r="C280" s="25">
        <v>1065</v>
      </c>
      <c r="D280" s="25" t="str">
        <v>Cắt Gội Combo 3 - Dưỡng sinh</v>
      </c>
      <c r="E280" s="27">
        <v>299000</v>
      </c>
      <c r="F280" s="28">
        <v>308000</v>
      </c>
      <c r="G280" s="25">
        <f>F280-E280</f>
      </c>
      <c r="H280" s="25" t="str">
        <v>điều chỉnh giá</v>
      </c>
      <c r="I280" s="24">
        <v>308000</v>
      </c>
    </row>
    <row r="281">
      <c r="A281" s="25" t="str">
        <v>32 NAT</v>
      </c>
      <c r="B281" s="25" t="str">
        <v>DV_Cắt_Vip</v>
      </c>
      <c r="C281" s="25">
        <v>1048</v>
      </c>
      <c r="D281" s="25" t="str">
        <v>Combo 4</v>
      </c>
      <c r="E281" s="27">
        <v>389000</v>
      </c>
      <c r="F281" s="28">
        <v>398000</v>
      </c>
      <c r="G281" s="25">
        <f>F281-E281</f>
      </c>
      <c r="H281" s="25" t="str">
        <v>điều chỉnh giá</v>
      </c>
      <c r="I281" s="24">
        <v>398000</v>
      </c>
    </row>
    <row r="282">
      <c r="A282" s="25" t="str">
        <v>32 NAT</v>
      </c>
      <c r="B282" s="25" t="str">
        <v>DV_Cắt_Vip</v>
      </c>
      <c r="C282" s="25">
        <v>1046</v>
      </c>
      <c r="D282" s="25" t="str">
        <v>Shinecombo 2</v>
      </c>
      <c r="E282" s="27">
        <v>199000</v>
      </c>
      <c r="F282" s="28">
        <v>208000</v>
      </c>
      <c r="G282" s="25">
        <f>F282-E282</f>
      </c>
      <c r="H282" s="25" t="str">
        <v>điều chỉnh giá</v>
      </c>
      <c r="I282" s="24">
        <v>208000</v>
      </c>
    </row>
    <row r="283">
      <c r="A283" s="25" t="str">
        <v>341 XVNT</v>
      </c>
      <c r="B283" s="25" t="str">
        <v>DV_Cắt</v>
      </c>
      <c r="C283" s="25">
        <v>513</v>
      </c>
      <c r="D283" s="25" t="str">
        <v>[DV] ShineCombo 10 bước Ultra Care 2023</v>
      </c>
      <c r="E283" s="27">
        <v>122000</v>
      </c>
      <c r="F283" s="26">
        <v>122000</v>
      </c>
      <c r="G283" s="25">
        <f>F283-E283</f>
      </c>
      <c r="H283" s="25"/>
      <c r="I283" s="24">
        <v>122000</v>
      </c>
    </row>
    <row r="284">
      <c r="A284" s="25" t="str">
        <v>341 XVNT</v>
      </c>
      <c r="B284" s="25" t="str">
        <v>DV_Cắt</v>
      </c>
      <c r="C284" s="25">
        <v>891</v>
      </c>
      <c r="D284" s="25" t="str">
        <v>Cắt xả tạo kiểu</v>
      </c>
      <c r="E284" s="27">
        <v>94000</v>
      </c>
      <c r="F284" s="28">
        <v>95000</v>
      </c>
      <c r="G284" s="25">
        <f>F284-E284</f>
      </c>
      <c r="H284" s="25" t="str">
        <v>điều chỉnh giá</v>
      </c>
      <c r="I284" s="24">
        <v>95000</v>
      </c>
    </row>
    <row r="285">
      <c r="A285" s="25" t="str">
        <v>341 XVNT</v>
      </c>
      <c r="B285" s="25" t="str">
        <v>DV_Cắt</v>
      </c>
      <c r="C285" s="25">
        <v>1052</v>
      </c>
      <c r="D285" s="25" t="str">
        <v>Combo 1 - First Class 1</v>
      </c>
      <c r="E285" s="27">
        <v>159000</v>
      </c>
      <c r="F285" s="26">
        <v>159000</v>
      </c>
      <c r="G285" s="25">
        <f>F285-E285</f>
      </c>
      <c r="H285" s="25"/>
      <c r="I285" s="24">
        <v>159000</v>
      </c>
    </row>
    <row r="286">
      <c r="A286" s="25" t="str">
        <v>341 XVNT</v>
      </c>
      <c r="B286" s="25" t="str">
        <v>DV_Cắt</v>
      </c>
      <c r="C286" s="25">
        <v>1002</v>
      </c>
      <c r="D286" s="25" t="str">
        <v>Kid Cắt</v>
      </c>
      <c r="E286" s="27">
        <v>75000</v>
      </c>
      <c r="F286" s="28">
        <v>76000</v>
      </c>
      <c r="G286" s="25">
        <f>F286-E286</f>
      </c>
      <c r="H286" s="25" t="str">
        <v>điều chỉnh giá</v>
      </c>
      <c r="I286" s="24">
        <v>76000</v>
      </c>
    </row>
    <row r="287">
      <c r="A287" s="25" t="str">
        <v>341 XVNT</v>
      </c>
      <c r="B287" s="25" t="str">
        <v>DV_Cắt_Vip</v>
      </c>
      <c r="C287" s="25">
        <v>1047</v>
      </c>
      <c r="D287" s="25" t="str">
        <v>Cắt Gội Combo 3 - Chăm da</v>
      </c>
      <c r="E287" s="27">
        <v>299000</v>
      </c>
      <c r="F287" s="28">
        <v>300000</v>
      </c>
      <c r="G287" s="25">
        <f>F287-E287</f>
      </c>
      <c r="H287" s="25" t="str">
        <v>điều chỉnh giá</v>
      </c>
      <c r="I287" s="24">
        <v>300000</v>
      </c>
    </row>
    <row r="288">
      <c r="A288" s="25" t="str">
        <v>341 XVNT</v>
      </c>
      <c r="B288" s="25" t="str">
        <v>DV_Cắt_Vip</v>
      </c>
      <c r="C288" s="25">
        <v>1054</v>
      </c>
      <c r="D288" s="25" t="str">
        <v>Combo 3 - First Class 3</v>
      </c>
      <c r="E288" s="27">
        <v>299000</v>
      </c>
      <c r="F288" s="28">
        <v>300000</v>
      </c>
      <c r="G288" s="25">
        <f>F288-E288</f>
      </c>
      <c r="H288" s="25" t="str">
        <v>điều chỉnh giá</v>
      </c>
      <c r="I288" s="24">
        <v>300000</v>
      </c>
    </row>
    <row r="289">
      <c r="A289" s="25" t="str">
        <v>341 XVNT</v>
      </c>
      <c r="B289" s="25" t="str">
        <v>DV_Cắt_Vip</v>
      </c>
      <c r="C289" s="25">
        <v>1048</v>
      </c>
      <c r="D289" s="25" t="str">
        <v>Combo 4</v>
      </c>
      <c r="E289" s="27">
        <v>389000</v>
      </c>
      <c r="F289" s="28">
        <v>390000</v>
      </c>
      <c r="G289" s="25">
        <f>F289-E289</f>
      </c>
      <c r="H289" s="25" t="str">
        <v>điều chỉnh giá</v>
      </c>
      <c r="I289" s="24">
        <v>390000</v>
      </c>
    </row>
    <row r="290">
      <c r="A290" s="25" t="str">
        <v>341 XVNT</v>
      </c>
      <c r="B290" s="25" t="str">
        <v>DV_Cắt_Vip</v>
      </c>
      <c r="C290" s="25">
        <v>1046</v>
      </c>
      <c r="D290" s="25" t="str">
        <v>Shinecombo 2</v>
      </c>
      <c r="E290" s="27">
        <v>199000</v>
      </c>
      <c r="F290" s="28">
        <v>200000</v>
      </c>
      <c r="G290" s="25">
        <f>F290-E290</f>
      </c>
      <c r="H290" s="25" t="str">
        <v>điều chỉnh giá</v>
      </c>
      <c r="I290" s="24">
        <v>200000</v>
      </c>
    </row>
    <row r="291">
      <c r="A291" s="25" t="str">
        <v>346 KT</v>
      </c>
      <c r="B291" s="25" t="str">
        <v>DV_Cắt</v>
      </c>
      <c r="C291" s="25">
        <v>513</v>
      </c>
      <c r="D291" s="25" t="str">
        <v>[DV] ShineCombo 10 bước Ultra Care 2023</v>
      </c>
      <c r="E291" s="27">
        <v>122000</v>
      </c>
      <c r="F291" s="26">
        <v>122000</v>
      </c>
      <c r="G291" s="25">
        <f>F291-E291</f>
      </c>
      <c r="H291" s="25"/>
      <c r="I291" s="24">
        <v>122000</v>
      </c>
    </row>
    <row r="292">
      <c r="A292" s="25" t="str">
        <v>346 KT</v>
      </c>
      <c r="B292" s="25" t="str">
        <v>DV_Cắt</v>
      </c>
      <c r="C292" s="25">
        <v>1070</v>
      </c>
      <c r="D292" s="25" t="str">
        <v>Combo Cắt gội Kid</v>
      </c>
      <c r="E292" s="27">
        <v>100000</v>
      </c>
      <c r="F292" s="26">
        <v>100000</v>
      </c>
      <c r="G292" s="25">
        <f>F292-E292</f>
      </c>
      <c r="H292" s="25"/>
      <c r="I292" s="24">
        <v>100000</v>
      </c>
    </row>
    <row r="293">
      <c r="A293" s="25" t="str">
        <v>346 KT</v>
      </c>
      <c r="B293" s="25" t="str">
        <v>DV_Cắt</v>
      </c>
      <c r="C293" s="25">
        <v>891</v>
      </c>
      <c r="D293" s="25" t="str">
        <v>Cắt xả tạo kiểu</v>
      </c>
      <c r="E293" s="27">
        <v>94000</v>
      </c>
      <c r="F293" s="28">
        <v>100000</v>
      </c>
      <c r="G293" s="25">
        <f>F293-E293</f>
      </c>
      <c r="H293" s="25" t="str">
        <v>điều chỉnh giá</v>
      </c>
      <c r="I293" s="24">
        <v>100000</v>
      </c>
    </row>
    <row r="294">
      <c r="A294" s="25" t="str">
        <v>346 KT</v>
      </c>
      <c r="B294" s="25" t="str">
        <v>DV_Cắt</v>
      </c>
      <c r="C294" s="25">
        <v>1052</v>
      </c>
      <c r="D294" s="25" t="str">
        <v>Combo 1 - First Class 1</v>
      </c>
      <c r="E294" s="27">
        <v>159000</v>
      </c>
      <c r="F294" s="26">
        <v>159000</v>
      </c>
      <c r="G294" s="25">
        <f>F294-E294</f>
      </c>
      <c r="H294" s="25"/>
      <c r="I294" s="24">
        <v>159000</v>
      </c>
    </row>
    <row r="295">
      <c r="A295" s="25" t="str">
        <v>346 KT</v>
      </c>
      <c r="B295" s="25" t="str">
        <v>DV_Cắt</v>
      </c>
      <c r="C295" s="25">
        <v>1002</v>
      </c>
      <c r="D295" s="25" t="str">
        <v>Kid Cắt</v>
      </c>
      <c r="E295" s="27">
        <v>75000</v>
      </c>
      <c r="F295" s="28">
        <v>81000</v>
      </c>
      <c r="G295" s="25">
        <f>F295-E295</f>
      </c>
      <c r="H295" s="25" t="str">
        <v>điều chỉnh giá</v>
      </c>
      <c r="I295" s="24">
        <v>81000</v>
      </c>
    </row>
    <row r="296">
      <c r="A296" s="25" t="str">
        <v>346 KT</v>
      </c>
      <c r="B296" s="25" t="str">
        <v>DV_Cắt_Vip</v>
      </c>
      <c r="C296" s="25">
        <v>1047</v>
      </c>
      <c r="D296" s="25" t="str">
        <v>Cắt Gội Combo 3 - Chăm da</v>
      </c>
      <c r="E296" s="27">
        <v>299000</v>
      </c>
      <c r="F296" s="28">
        <v>305000</v>
      </c>
      <c r="G296" s="25">
        <f>F296-E296</f>
      </c>
      <c r="H296" s="25" t="str">
        <v>điều chỉnh giá</v>
      </c>
      <c r="I296" s="24">
        <v>305000</v>
      </c>
    </row>
    <row r="297">
      <c r="A297" s="25" t="str">
        <v>346 KT</v>
      </c>
      <c r="B297" s="25" t="str">
        <v>DV_Cắt_Vip</v>
      </c>
      <c r="C297" s="25">
        <v>1065</v>
      </c>
      <c r="D297" s="25" t="str">
        <v>Cắt Gội Combo 3 - Dưỡng sinh</v>
      </c>
      <c r="E297" s="27">
        <v>299000</v>
      </c>
      <c r="F297" s="28">
        <v>305000</v>
      </c>
      <c r="G297" s="25">
        <f>F297-E297</f>
      </c>
      <c r="H297" s="25" t="str">
        <v>điều chỉnh giá</v>
      </c>
      <c r="I297" s="24">
        <v>305000</v>
      </c>
    </row>
    <row r="298">
      <c r="A298" s="25" t="str">
        <v>346 KT</v>
      </c>
      <c r="B298" s="25" t="str">
        <v>DV_Cắt_Vip</v>
      </c>
      <c r="C298" s="25">
        <v>1064</v>
      </c>
      <c r="D298" s="25" t="str">
        <v>Cắt Gội Combo 5 - Dưỡng sinh</v>
      </c>
      <c r="E298" s="27">
        <v>459000</v>
      </c>
      <c r="F298" s="28">
        <v>465000</v>
      </c>
      <c r="G298" s="25">
        <f>F298-E298</f>
      </c>
      <c r="H298" s="25" t="str">
        <v>điều chỉnh giá</v>
      </c>
      <c r="I298" s="24">
        <v>465000</v>
      </c>
    </row>
    <row r="299">
      <c r="A299" s="25" t="str">
        <v>346 KT</v>
      </c>
      <c r="B299" s="25" t="str">
        <v>DV_Cắt_Vip</v>
      </c>
      <c r="C299" s="25">
        <v>1048</v>
      </c>
      <c r="D299" s="25" t="str">
        <v>Combo 4</v>
      </c>
      <c r="E299" s="27">
        <v>389000</v>
      </c>
      <c r="F299" s="28">
        <v>395000</v>
      </c>
      <c r="G299" s="25">
        <f>F299-E299</f>
      </c>
      <c r="H299" s="25" t="str">
        <v>điều chỉnh giá</v>
      </c>
      <c r="I299" s="24">
        <v>395000</v>
      </c>
    </row>
    <row r="300">
      <c r="A300" s="25" t="str">
        <v>346 KT</v>
      </c>
      <c r="B300" s="25" t="str">
        <v>DV_Cắt_Vip</v>
      </c>
      <c r="C300" s="25">
        <v>1046</v>
      </c>
      <c r="D300" s="25" t="str">
        <v>Shinecombo 2</v>
      </c>
      <c r="E300" s="27">
        <v>199000</v>
      </c>
      <c r="F300" s="28">
        <v>205000</v>
      </c>
      <c r="G300" s="25">
        <f>F300-E300</f>
      </c>
      <c r="H300" s="25" t="str">
        <v>điều chỉnh giá</v>
      </c>
      <c r="I300" s="24">
        <v>205000</v>
      </c>
    </row>
    <row r="301">
      <c r="A301" s="25" t="str">
        <v>36 N1 BD</v>
      </c>
      <c r="B301" s="25" t="str">
        <v>DV_Cắt</v>
      </c>
      <c r="C301" s="25">
        <v>513</v>
      </c>
      <c r="D301" s="25" t="str">
        <v>[DV] ShineCombo 10 bước Ultra Care 2023</v>
      </c>
      <c r="E301" s="27">
        <v>122000</v>
      </c>
      <c r="F301" s="26">
        <v>122000</v>
      </c>
      <c r="G301" s="25">
        <f>F301-E301</f>
      </c>
      <c r="H301" s="25"/>
      <c r="I301" s="24">
        <v>122000</v>
      </c>
    </row>
    <row r="302">
      <c r="A302" s="25" t="str">
        <v>36 N1 BD</v>
      </c>
      <c r="B302" s="25" t="str">
        <v>DV_Cắt</v>
      </c>
      <c r="C302" s="25">
        <v>891</v>
      </c>
      <c r="D302" s="25" t="str">
        <v>Cắt xả tạo kiểu</v>
      </c>
      <c r="E302" s="27">
        <v>94000</v>
      </c>
      <c r="F302" s="26">
        <v>94000</v>
      </c>
      <c r="G302" s="25">
        <f>F302-E302</f>
      </c>
      <c r="H302" s="25"/>
      <c r="I302" s="24">
        <v>94000</v>
      </c>
    </row>
    <row r="303">
      <c r="A303" s="25" t="str">
        <v>36 N1 BD</v>
      </c>
      <c r="B303" s="25" t="str">
        <v>DV_Cắt</v>
      </c>
      <c r="C303" s="25">
        <v>1070</v>
      </c>
      <c r="D303" s="25" t="str">
        <v>Combo Cắt gội Kid</v>
      </c>
      <c r="E303" s="27">
        <v>100000</v>
      </c>
      <c r="F303" s="26">
        <v>100000</v>
      </c>
      <c r="G303" s="25">
        <f>F303-E303</f>
      </c>
      <c r="H303" s="25"/>
      <c r="I303" s="24">
        <v>100000</v>
      </c>
    </row>
    <row r="304">
      <c r="A304" s="25" t="str">
        <v>36 N1 BD</v>
      </c>
      <c r="B304" s="25" t="str">
        <v>DV_Cắt</v>
      </c>
      <c r="C304" s="25">
        <v>1002</v>
      </c>
      <c r="D304" s="25" t="str">
        <v>Kid Cắt</v>
      </c>
      <c r="E304" s="27">
        <v>75000</v>
      </c>
      <c r="F304" s="26">
        <v>75000</v>
      </c>
      <c r="G304" s="25">
        <f>F304-E304</f>
      </c>
      <c r="H304" s="25"/>
      <c r="I304" s="24">
        <v>75000</v>
      </c>
    </row>
    <row r="305">
      <c r="A305" s="25" t="str">
        <v>36 N1 BD</v>
      </c>
      <c r="B305" s="25" t="str">
        <v>DV_Cắt_Vip</v>
      </c>
      <c r="C305" s="25">
        <v>1047</v>
      </c>
      <c r="D305" s="25" t="str">
        <v>Cắt Gội Combo 3 - Chăm da</v>
      </c>
      <c r="E305" s="27">
        <v>299000</v>
      </c>
      <c r="F305" s="26">
        <v>299000</v>
      </c>
      <c r="G305" s="25">
        <f>F305-E305</f>
      </c>
      <c r="H305" s="25"/>
      <c r="I305" s="24">
        <v>299000</v>
      </c>
    </row>
    <row r="306">
      <c r="A306" s="25" t="str">
        <v>36 N1 BD</v>
      </c>
      <c r="B306" s="25" t="str">
        <v>DV_Cắt_Vip</v>
      </c>
      <c r="C306" s="25">
        <v>1065</v>
      </c>
      <c r="D306" s="25" t="str">
        <v>Cắt Gội Combo 3 - Dưỡng sinh</v>
      </c>
      <c r="E306" s="27">
        <v>299000</v>
      </c>
      <c r="F306" s="26">
        <v>299000</v>
      </c>
      <c r="G306" s="25">
        <f>F306-E306</f>
      </c>
      <c r="H306" s="25"/>
      <c r="I306" s="24">
        <v>299000</v>
      </c>
    </row>
    <row r="307">
      <c r="A307" s="25" t="str">
        <v>36 N1 BD</v>
      </c>
      <c r="B307" s="25" t="str">
        <v>DV_Cắt_Vip</v>
      </c>
      <c r="C307" s="25">
        <v>1048</v>
      </c>
      <c r="D307" s="25" t="str">
        <v>Combo 4</v>
      </c>
      <c r="E307" s="27">
        <v>389000</v>
      </c>
      <c r="F307" s="26">
        <v>389000</v>
      </c>
      <c r="G307" s="25">
        <f>F307-E307</f>
      </c>
      <c r="H307" s="25"/>
      <c r="I307" s="24">
        <v>389000</v>
      </c>
    </row>
    <row r="308">
      <c r="A308" s="25" t="str">
        <v>36 N1 BD</v>
      </c>
      <c r="B308" s="25" t="str">
        <v>DV_Cắt_Vip</v>
      </c>
      <c r="C308" s="25">
        <v>1150</v>
      </c>
      <c r="D308" s="25" t="str">
        <v>Combo cắt gội đỉnh cao thư giãn vip</v>
      </c>
      <c r="E308" s="27">
        <v>500000</v>
      </c>
      <c r="F308" s="26">
        <v>500000</v>
      </c>
      <c r="G308" s="25">
        <f>F308-E308</f>
      </c>
      <c r="H308" s="25"/>
      <c r="I308" s="24">
        <v>500000</v>
      </c>
    </row>
    <row r="309">
      <c r="A309" s="25" t="str">
        <v>36 N1 BD</v>
      </c>
      <c r="B309" s="25" t="str">
        <v>DV_Cắt_Vip</v>
      </c>
      <c r="C309" s="25">
        <v>1046</v>
      </c>
      <c r="D309" s="25" t="str">
        <v>Shinecombo 2</v>
      </c>
      <c r="E309" s="27">
        <v>199000</v>
      </c>
      <c r="F309" s="26">
        <v>199000</v>
      </c>
      <c r="G309" s="25">
        <f>F309-E309</f>
      </c>
      <c r="H309" s="25"/>
      <c r="I309" s="24">
        <v>199000</v>
      </c>
    </row>
    <row r="310">
      <c r="A310" s="25" t="str">
        <v>362 NGT BN</v>
      </c>
      <c r="B310" s="25" t="str">
        <v>DV_Cắt</v>
      </c>
      <c r="C310" s="25">
        <v>513</v>
      </c>
      <c r="D310" s="25" t="str">
        <v>[DV] ShineCombo 10 bước Ultra Care 2023</v>
      </c>
      <c r="E310" s="27">
        <v>122000</v>
      </c>
      <c r="F310" s="26">
        <v>122000</v>
      </c>
      <c r="G310" s="25">
        <f>F310-E310</f>
      </c>
      <c r="H310" s="25"/>
      <c r="I310" s="24">
        <v>122000</v>
      </c>
    </row>
    <row r="311">
      <c r="A311" s="25" t="str">
        <v>362 NGT BN</v>
      </c>
      <c r="B311" s="25" t="str">
        <v>DV_Cắt</v>
      </c>
      <c r="C311" s="25">
        <v>891</v>
      </c>
      <c r="D311" s="25" t="str">
        <v>Cắt xả tạo kiểu</v>
      </c>
      <c r="E311" s="27">
        <v>94000</v>
      </c>
      <c r="F311" s="26">
        <v>94000</v>
      </c>
      <c r="G311" s="25">
        <f>F311-E311</f>
      </c>
      <c r="H311" s="25"/>
      <c r="I311" s="24">
        <v>94000</v>
      </c>
    </row>
    <row r="312">
      <c r="A312" s="25" t="str">
        <v>362 NGT BN</v>
      </c>
      <c r="B312" s="25" t="str">
        <v>DV_Cắt</v>
      </c>
      <c r="C312" s="25">
        <v>1070</v>
      </c>
      <c r="D312" s="25" t="str">
        <v>Combo Cắt gội Kid</v>
      </c>
      <c r="E312" s="27">
        <v>100000</v>
      </c>
      <c r="F312" s="26">
        <v>100000</v>
      </c>
      <c r="G312" s="25">
        <f>F312-E312</f>
      </c>
      <c r="H312" s="25"/>
      <c r="I312" s="24">
        <v>100000</v>
      </c>
    </row>
    <row r="313">
      <c r="A313" s="25" t="str">
        <v>362 NGT BN</v>
      </c>
      <c r="B313" s="25" t="str">
        <v>DV_Cắt</v>
      </c>
      <c r="C313" s="25">
        <v>1002</v>
      </c>
      <c r="D313" s="25" t="str">
        <v>Kid Cắt</v>
      </c>
      <c r="E313" s="27">
        <v>75000</v>
      </c>
      <c r="F313" s="26">
        <v>75000</v>
      </c>
      <c r="G313" s="25">
        <f>F313-E313</f>
      </c>
      <c r="H313" s="25"/>
      <c r="I313" s="24">
        <v>75000</v>
      </c>
    </row>
    <row r="314">
      <c r="A314" s="25" t="str">
        <v>362 NGT BN</v>
      </c>
      <c r="B314" s="25" t="str">
        <v>DV_Cắt_Vip</v>
      </c>
      <c r="C314" s="25">
        <v>1047</v>
      </c>
      <c r="D314" s="25" t="str">
        <v>Cắt Gội Combo 3 - Chăm da</v>
      </c>
      <c r="E314" s="27">
        <v>299000</v>
      </c>
      <c r="F314" s="26">
        <v>299000</v>
      </c>
      <c r="G314" s="25">
        <f>F314-E314</f>
      </c>
      <c r="H314" s="25"/>
      <c r="I314" s="24">
        <v>299000</v>
      </c>
    </row>
    <row r="315">
      <c r="A315" s="25" t="str">
        <v>362 NGT BN</v>
      </c>
      <c r="B315" s="25" t="str">
        <v>DV_Cắt_Vip</v>
      </c>
      <c r="C315" s="25">
        <v>1054</v>
      </c>
      <c r="D315" s="25" t="str">
        <v>Combo 3 - First Class 3</v>
      </c>
      <c r="E315" s="27">
        <v>299000</v>
      </c>
      <c r="F315" s="26">
        <v>299000</v>
      </c>
      <c r="G315" s="25">
        <f>F315-E315</f>
      </c>
      <c r="H315" s="25"/>
      <c r="I315" s="24">
        <v>299000</v>
      </c>
    </row>
    <row r="316">
      <c r="A316" s="25" t="str">
        <v>362 NGT BN</v>
      </c>
      <c r="B316" s="25" t="str">
        <v>DV_Cắt_Vip</v>
      </c>
      <c r="C316" s="25">
        <v>1048</v>
      </c>
      <c r="D316" s="25" t="str">
        <v>Combo 4</v>
      </c>
      <c r="E316" s="27">
        <v>389000</v>
      </c>
      <c r="F316" s="26">
        <v>389000</v>
      </c>
      <c r="G316" s="25">
        <f>F316-E316</f>
      </c>
      <c r="H316" s="25"/>
      <c r="I316" s="24">
        <v>389000</v>
      </c>
    </row>
    <row r="317">
      <c r="A317" s="25" t="str">
        <v>362 NGT BN</v>
      </c>
      <c r="B317" s="25" t="str">
        <v>DV_Cắt_Vip</v>
      </c>
      <c r="C317" s="25">
        <v>1046</v>
      </c>
      <c r="D317" s="25" t="str">
        <v>Shinecombo 2</v>
      </c>
      <c r="E317" s="27">
        <v>199000</v>
      </c>
      <c r="F317" s="26">
        <v>199000</v>
      </c>
      <c r="G317" s="25">
        <f>F317-E317</f>
      </c>
      <c r="H317" s="25"/>
      <c r="I317" s="24">
        <v>199000</v>
      </c>
    </row>
    <row r="318">
      <c r="A318" s="25" t="str">
        <v>363 LNQ TN</v>
      </c>
      <c r="B318" s="25" t="str">
        <v>DV_Cắt</v>
      </c>
      <c r="C318" s="25">
        <v>513</v>
      </c>
      <c r="D318" s="25" t="str">
        <v>[DV] ShineCombo 10 bước Ultra Care 2023</v>
      </c>
      <c r="E318" s="27">
        <v>122000</v>
      </c>
      <c r="F318" s="26">
        <v>122000</v>
      </c>
      <c r="G318" s="25">
        <f>F318-E318</f>
      </c>
      <c r="H318" s="25"/>
      <c r="I318" s="24">
        <v>122000</v>
      </c>
    </row>
    <row r="319">
      <c r="A319" s="25" t="str">
        <v>363 LNQ TN</v>
      </c>
      <c r="B319" s="25" t="str">
        <v>DV_Cắt</v>
      </c>
      <c r="C319" s="25">
        <v>891</v>
      </c>
      <c r="D319" s="25" t="str">
        <v>Cắt xả tạo kiểu</v>
      </c>
      <c r="E319" s="27">
        <v>94000</v>
      </c>
      <c r="F319" s="28">
        <v>103000</v>
      </c>
      <c r="G319" s="25">
        <f>F319-E319</f>
      </c>
      <c r="H319" s="25" t="str">
        <v>điều chỉnh giá</v>
      </c>
      <c r="I319" s="24">
        <v>103000</v>
      </c>
    </row>
    <row r="320">
      <c r="A320" s="25" t="str">
        <v>363 LNQ TN</v>
      </c>
      <c r="B320" s="25" t="str">
        <v>DV_Cắt</v>
      </c>
      <c r="C320" s="25">
        <v>1052</v>
      </c>
      <c r="D320" s="25" t="str">
        <v>Combo 1 - First Class 1</v>
      </c>
      <c r="E320" s="27">
        <v>159000</v>
      </c>
      <c r="F320" s="26">
        <v>159000</v>
      </c>
      <c r="G320" s="25">
        <f>F320-E320</f>
      </c>
      <c r="H320" s="25"/>
      <c r="I320" s="24">
        <v>159000</v>
      </c>
    </row>
    <row r="321">
      <c r="A321" s="25" t="str">
        <v>363 LNQ TN</v>
      </c>
      <c r="B321" s="25" t="str">
        <v>DV_Cắt</v>
      </c>
      <c r="C321" s="25">
        <v>1002</v>
      </c>
      <c r="D321" s="25" t="str">
        <v>Kid Cắt</v>
      </c>
      <c r="E321" s="27">
        <v>75000</v>
      </c>
      <c r="F321" s="28">
        <v>84000</v>
      </c>
      <c r="G321" s="25">
        <f>F321-E321</f>
      </c>
      <c r="H321" s="25" t="str">
        <v>điều chỉnh giá</v>
      </c>
      <c r="I321" s="24">
        <v>84000</v>
      </c>
    </row>
    <row r="322">
      <c r="A322" s="25" t="str">
        <v>363 LNQ TN</v>
      </c>
      <c r="B322" s="25" t="str">
        <v>DV_Cắt</v>
      </c>
      <c r="C322" s="25">
        <v>1214</v>
      </c>
      <c r="D322" s="25" t="str">
        <v>Shine cut Genz</v>
      </c>
      <c r="E322" s="27">
        <v>59000</v>
      </c>
      <c r="F322" s="28">
        <v>68000</v>
      </c>
      <c r="G322" s="25">
        <f>F322-E322</f>
      </c>
      <c r="H322" s="25" t="str">
        <v>điều chỉnh giá</v>
      </c>
      <c r="I322" s="24">
        <v>68000</v>
      </c>
    </row>
    <row r="323">
      <c r="A323" s="25" t="str">
        <v>363 LNQ TN</v>
      </c>
      <c r="B323" s="25" t="str">
        <v>DV_Cắt_Vip</v>
      </c>
      <c r="C323" s="25">
        <v>1047</v>
      </c>
      <c r="D323" s="25" t="str">
        <v>Cắt Gội Combo 3 - Chăm da</v>
      </c>
      <c r="E323" s="27">
        <v>299000</v>
      </c>
      <c r="F323" s="28">
        <v>308000</v>
      </c>
      <c r="G323" s="25">
        <f>F323-E323</f>
      </c>
      <c r="H323" s="25" t="str">
        <v>điều chỉnh giá</v>
      </c>
      <c r="I323" s="24">
        <v>308000</v>
      </c>
    </row>
    <row r="324">
      <c r="A324" s="25" t="str">
        <v>363 LNQ TN</v>
      </c>
      <c r="B324" s="25" t="str">
        <v>DV_Cắt_Vip</v>
      </c>
      <c r="C324" s="25">
        <v>1048</v>
      </c>
      <c r="D324" s="25" t="str">
        <v>Combo 4</v>
      </c>
      <c r="E324" s="27">
        <v>389000</v>
      </c>
      <c r="F324" s="28">
        <v>398000</v>
      </c>
      <c r="G324" s="25">
        <f>F324-E324</f>
      </c>
      <c r="H324" s="25" t="str">
        <v>điều chỉnh giá</v>
      </c>
      <c r="I324" s="24">
        <v>398000</v>
      </c>
    </row>
    <row r="325">
      <c r="A325" s="25" t="str">
        <v>363 LNQ TN</v>
      </c>
      <c r="B325" s="25" t="str">
        <v>DV_Cắt_Vip</v>
      </c>
      <c r="C325" s="25">
        <v>1046</v>
      </c>
      <c r="D325" s="25" t="str">
        <v>Shinecombo 2</v>
      </c>
      <c r="E325" s="27">
        <v>199000</v>
      </c>
      <c r="F325" s="28">
        <v>208000</v>
      </c>
      <c r="G325" s="25">
        <f>F325-E325</f>
      </c>
      <c r="H325" s="25" t="str">
        <v>điều chỉnh giá</v>
      </c>
      <c r="I325" s="24">
        <v>208000</v>
      </c>
    </row>
    <row r="326">
      <c r="A326" s="25" t="str">
        <v>382 NT</v>
      </c>
      <c r="B326" s="25" t="str">
        <v>DV_Cắt</v>
      </c>
      <c r="C326" s="25">
        <v>513</v>
      </c>
      <c r="D326" s="25" t="str">
        <v>[DV] ShineCombo 10 bước Ultra Care 2023</v>
      </c>
      <c r="E326" s="27">
        <v>122000</v>
      </c>
      <c r="F326" s="26">
        <v>122000</v>
      </c>
      <c r="G326" s="25">
        <f>F326-E326</f>
      </c>
      <c r="H326" s="25"/>
      <c r="I326" s="24">
        <v>122000</v>
      </c>
    </row>
    <row r="327">
      <c r="A327" s="25" t="str">
        <v>382 NT</v>
      </c>
      <c r="B327" s="25" t="str">
        <v>DV_Cắt</v>
      </c>
      <c r="C327" s="25">
        <v>1070</v>
      </c>
      <c r="D327" s="25" t="str">
        <v>Combo Cắt gội Kid</v>
      </c>
      <c r="E327" s="27">
        <v>100000</v>
      </c>
      <c r="F327" s="26">
        <v>100000</v>
      </c>
      <c r="G327" s="25">
        <f>F327-E327</f>
      </c>
      <c r="H327" s="25"/>
      <c r="I327" s="24">
        <v>100000</v>
      </c>
    </row>
    <row r="328">
      <c r="A328" s="25" t="str">
        <v>382 NT</v>
      </c>
      <c r="B328" s="25" t="str">
        <v>DV_Cắt</v>
      </c>
      <c r="C328" s="25">
        <v>891</v>
      </c>
      <c r="D328" s="25" t="str">
        <v>Cắt xả tạo kiểu</v>
      </c>
      <c r="E328" s="27">
        <v>94000</v>
      </c>
      <c r="F328" s="28">
        <v>101999.99999999999</v>
      </c>
      <c r="G328" s="25">
        <f>F328-E328</f>
      </c>
      <c r="H328" s="25" t="str">
        <v>điều chỉnh giá</v>
      </c>
      <c r="I328" s="24">
        <v>101999.99999999999</v>
      </c>
    </row>
    <row r="329">
      <c r="A329" s="25" t="str">
        <v>382 NT</v>
      </c>
      <c r="B329" s="25" t="str">
        <v>DV_Cắt</v>
      </c>
      <c r="C329" s="25">
        <v>1052</v>
      </c>
      <c r="D329" s="25" t="str">
        <v>Combo 1 - First Class 1</v>
      </c>
      <c r="E329" s="27">
        <v>139000</v>
      </c>
      <c r="F329" s="26">
        <v>139000</v>
      </c>
      <c r="G329" s="25">
        <f>F329-E329</f>
      </c>
      <c r="H329" s="25"/>
      <c r="I329" s="24">
        <v>139000</v>
      </c>
    </row>
    <row r="330">
      <c r="A330" s="25" t="str">
        <v>382 NT</v>
      </c>
      <c r="B330" s="25" t="str">
        <v>DV_Cắt</v>
      </c>
      <c r="C330" s="25">
        <v>1002</v>
      </c>
      <c r="D330" s="25" t="str">
        <v>Kid Cắt</v>
      </c>
      <c r="E330" s="27">
        <v>75000</v>
      </c>
      <c r="F330" s="28">
        <v>82999.99999999999</v>
      </c>
      <c r="G330" s="25">
        <f>F330-E330</f>
      </c>
      <c r="H330" s="25" t="str">
        <v>điều chỉnh giá</v>
      </c>
      <c r="I330" s="24">
        <v>82999.99999999999</v>
      </c>
    </row>
    <row r="331">
      <c r="A331" s="25" t="str">
        <v>382 NT</v>
      </c>
      <c r="B331" s="25" t="str">
        <v>DV_Cắt_Vip</v>
      </c>
      <c r="C331" s="25">
        <v>1047</v>
      </c>
      <c r="D331" s="25" t="str">
        <v>Cắt Gội Combo 3 - Chăm da</v>
      </c>
      <c r="E331" s="27">
        <v>299000</v>
      </c>
      <c r="F331" s="28">
        <v>307000</v>
      </c>
      <c r="G331" s="25">
        <f>F331-E331</f>
      </c>
      <c r="H331" s="25" t="str">
        <v>điều chỉnh giá</v>
      </c>
      <c r="I331" s="24">
        <v>307000</v>
      </c>
    </row>
    <row r="332">
      <c r="A332" s="25" t="str">
        <v>382 NT</v>
      </c>
      <c r="B332" s="25" t="str">
        <v>DV_Cắt_Vip</v>
      </c>
      <c r="C332" s="25">
        <v>1064</v>
      </c>
      <c r="D332" s="25" t="str">
        <v>Cắt Gội Combo 5 - Dưỡng sinh</v>
      </c>
      <c r="E332" s="27">
        <v>459000</v>
      </c>
      <c r="F332" s="28">
        <v>467000</v>
      </c>
      <c r="G332" s="25">
        <f>F332-E332</f>
      </c>
      <c r="H332" s="25" t="str">
        <v>điều chỉnh giá</v>
      </c>
      <c r="I332" s="24">
        <v>467000</v>
      </c>
    </row>
    <row r="333">
      <c r="A333" s="25" t="str">
        <v>382 NT</v>
      </c>
      <c r="B333" s="25" t="str">
        <v>DV_Cắt_Vip</v>
      </c>
      <c r="C333" s="25">
        <v>1053</v>
      </c>
      <c r="D333" s="25" t="str">
        <v>Combo 2 - First Class 2</v>
      </c>
      <c r="E333" s="27">
        <v>229000</v>
      </c>
      <c r="F333" s="28">
        <v>237000</v>
      </c>
      <c r="G333" s="25">
        <f>F333-E333</f>
      </c>
      <c r="H333" s="25" t="str">
        <v>điều chỉnh giá</v>
      </c>
      <c r="I333" s="24">
        <v>237000</v>
      </c>
    </row>
    <row r="334">
      <c r="A334" s="25" t="str">
        <v>382 NT</v>
      </c>
      <c r="B334" s="25" t="str">
        <v>DV_Cắt_Vip</v>
      </c>
      <c r="C334" s="25">
        <v>1054</v>
      </c>
      <c r="D334" s="25" t="str">
        <v>Combo 3 - First Class 3</v>
      </c>
      <c r="E334" s="27">
        <v>309000</v>
      </c>
      <c r="F334" s="28">
        <v>317000</v>
      </c>
      <c r="G334" s="25">
        <f>F334-E334</f>
      </c>
      <c r="H334" s="25" t="str">
        <v>điều chỉnh giá</v>
      </c>
      <c r="I334" s="24">
        <v>317000</v>
      </c>
    </row>
    <row r="335">
      <c r="A335" s="25" t="str">
        <v>382 NT</v>
      </c>
      <c r="B335" s="25" t="str">
        <v>DV_Cắt_Vip</v>
      </c>
      <c r="C335" s="25">
        <v>1048</v>
      </c>
      <c r="D335" s="25" t="str">
        <v>Combo 4</v>
      </c>
      <c r="E335" s="27">
        <v>389000</v>
      </c>
      <c r="F335" s="28">
        <v>397000</v>
      </c>
      <c r="G335" s="25">
        <f>F335-E335</f>
      </c>
      <c r="H335" s="25" t="str">
        <v>điều chỉnh giá</v>
      </c>
      <c r="I335" s="24">
        <v>397000</v>
      </c>
    </row>
    <row r="336">
      <c r="A336" s="25" t="str">
        <v>382 NT</v>
      </c>
      <c r="B336" s="25" t="str">
        <v>DV_Cắt_Vip</v>
      </c>
      <c r="C336" s="25">
        <v>1046</v>
      </c>
      <c r="D336" s="25" t="str">
        <v>Shinecombo 2</v>
      </c>
      <c r="E336" s="27">
        <v>199000</v>
      </c>
      <c r="F336" s="28">
        <v>207000</v>
      </c>
      <c r="G336" s="25">
        <f>F336-E336</f>
      </c>
      <c r="H336" s="25" t="str">
        <v>điều chỉnh giá</v>
      </c>
      <c r="I336" s="24">
        <v>207000</v>
      </c>
    </row>
    <row r="337">
      <c r="A337" s="25" t="str">
        <v>39 HBT</v>
      </c>
      <c r="B337" s="25" t="str">
        <v>DV_Cắt</v>
      </c>
      <c r="C337" s="25">
        <v>513</v>
      </c>
      <c r="D337" s="25" t="str">
        <v>[DV] ShineCombo 10 bước Ultra Care 2023</v>
      </c>
      <c r="E337" s="27">
        <v>122000</v>
      </c>
      <c r="F337" s="26">
        <v>122000</v>
      </c>
      <c r="G337" s="25">
        <f>F337-E337</f>
      </c>
      <c r="H337" s="25"/>
      <c r="I337" s="24">
        <v>122000</v>
      </c>
    </row>
    <row r="338">
      <c r="A338" s="25" t="str">
        <v>39 HBT</v>
      </c>
      <c r="B338" s="25" t="str">
        <v>DV_Cắt</v>
      </c>
      <c r="C338" s="25">
        <v>1070</v>
      </c>
      <c r="D338" s="25" t="str">
        <v>Combo Cắt gội Kid</v>
      </c>
      <c r="E338" s="27">
        <v>100000</v>
      </c>
      <c r="F338" s="26">
        <v>100000</v>
      </c>
      <c r="G338" s="25">
        <f>F338-E338</f>
      </c>
      <c r="H338" s="25"/>
      <c r="I338" s="24">
        <v>100000</v>
      </c>
    </row>
    <row r="339">
      <c r="A339" s="25" t="str">
        <v>39 HBT</v>
      </c>
      <c r="B339" s="25" t="str">
        <v>DV_Cắt</v>
      </c>
      <c r="C339" s="25">
        <v>891</v>
      </c>
      <c r="D339" s="25" t="str">
        <v>Cắt xả tạo kiểu</v>
      </c>
      <c r="E339" s="27">
        <v>94000</v>
      </c>
      <c r="F339" s="28">
        <v>100000</v>
      </c>
      <c r="G339" s="25">
        <f>F339-E339</f>
      </c>
      <c r="H339" s="25" t="str">
        <v>điều chỉnh giá</v>
      </c>
      <c r="I339" s="24">
        <v>100000</v>
      </c>
    </row>
    <row r="340">
      <c r="A340" s="25" t="str">
        <v>39 HBT</v>
      </c>
      <c r="B340" s="25" t="str">
        <v>DV_Cắt</v>
      </c>
      <c r="C340" s="25">
        <v>1002</v>
      </c>
      <c r="D340" s="25" t="str">
        <v>Kid Cắt</v>
      </c>
      <c r="E340" s="27">
        <v>75000</v>
      </c>
      <c r="F340" s="28">
        <v>81000</v>
      </c>
      <c r="G340" s="25">
        <f>F340-E340</f>
      </c>
      <c r="H340" s="25" t="str">
        <v>điều chỉnh giá</v>
      </c>
      <c r="I340" s="24">
        <v>81000</v>
      </c>
    </row>
    <row r="341">
      <c r="A341" s="25" t="str">
        <v>39 HBT</v>
      </c>
      <c r="B341" s="25" t="str">
        <v>DV_Cắt_Vip</v>
      </c>
      <c r="C341" s="25">
        <v>1047</v>
      </c>
      <c r="D341" s="25" t="str">
        <v>Cắt Gội Combo 3 - Chăm da</v>
      </c>
      <c r="E341" s="27">
        <v>299000</v>
      </c>
      <c r="F341" s="28">
        <v>305000</v>
      </c>
      <c r="G341" s="25">
        <f>F341-E341</f>
      </c>
      <c r="H341" s="25" t="str">
        <v>điều chỉnh giá</v>
      </c>
      <c r="I341" s="24">
        <v>305000</v>
      </c>
    </row>
    <row r="342">
      <c r="A342" s="25" t="str">
        <v>39 HBT</v>
      </c>
      <c r="B342" s="25" t="str">
        <v>DV_Cắt_Vip</v>
      </c>
      <c r="C342" s="25">
        <v>1053</v>
      </c>
      <c r="D342" s="25" t="str">
        <v>Combo 2 - First Class 2</v>
      </c>
      <c r="E342" s="27">
        <v>229000</v>
      </c>
      <c r="F342" s="28">
        <v>235000</v>
      </c>
      <c r="G342" s="25">
        <f>F342-E342</f>
      </c>
      <c r="H342" s="25" t="str">
        <v>điều chỉnh giá</v>
      </c>
      <c r="I342" s="24">
        <v>235000</v>
      </c>
    </row>
    <row r="343">
      <c r="A343" s="25" t="str">
        <v>39 HBT</v>
      </c>
      <c r="B343" s="25" t="str">
        <v>DV_Cắt_Vip</v>
      </c>
      <c r="C343" s="25">
        <v>1048</v>
      </c>
      <c r="D343" s="25" t="str">
        <v>Combo 4</v>
      </c>
      <c r="E343" s="27">
        <v>389000</v>
      </c>
      <c r="F343" s="28">
        <v>395000</v>
      </c>
      <c r="G343" s="25">
        <f>F343-E343</f>
      </c>
      <c r="H343" s="25" t="str">
        <v>điều chỉnh giá</v>
      </c>
      <c r="I343" s="24">
        <v>395000</v>
      </c>
    </row>
    <row r="344">
      <c r="A344" s="25" t="str">
        <v>39 HBT</v>
      </c>
      <c r="B344" s="25" t="str">
        <v>DV_Cắt_Vip</v>
      </c>
      <c r="C344" s="25">
        <v>1046</v>
      </c>
      <c r="D344" s="25" t="str">
        <v>Shinecombo 2</v>
      </c>
      <c r="E344" s="27">
        <v>199000</v>
      </c>
      <c r="F344" s="28">
        <v>205000</v>
      </c>
      <c r="G344" s="25">
        <f>F344-E344</f>
      </c>
      <c r="H344" s="25" t="str">
        <v>điều chỉnh giá</v>
      </c>
      <c r="I344" s="24">
        <v>205000</v>
      </c>
    </row>
    <row r="345">
      <c r="A345" s="25" t="str">
        <v>4 LQD BN</v>
      </c>
      <c r="B345" s="25" t="str">
        <v>DV_Cắt</v>
      </c>
      <c r="C345" s="25">
        <v>513</v>
      </c>
      <c r="D345" s="25" t="str">
        <v>[DV] ShineCombo 10 bước Ultra Care 2023</v>
      </c>
      <c r="E345" s="27">
        <v>122000</v>
      </c>
      <c r="F345" s="26">
        <v>122000</v>
      </c>
      <c r="G345" s="25">
        <f>F345-E345</f>
      </c>
      <c r="H345" s="25"/>
      <c r="I345" s="24">
        <v>122000</v>
      </c>
    </row>
    <row r="346">
      <c r="A346" s="25" t="str">
        <v>4 LQD BN</v>
      </c>
      <c r="B346" s="25" t="str">
        <v>DV_Cắt</v>
      </c>
      <c r="C346" s="25">
        <v>891</v>
      </c>
      <c r="D346" s="25" t="str">
        <v>Cắt xả tạo kiểu</v>
      </c>
      <c r="E346" s="27">
        <v>94000</v>
      </c>
      <c r="F346" s="26">
        <v>94000</v>
      </c>
      <c r="G346" s="25">
        <f>F346-E346</f>
      </c>
      <c r="H346" s="25"/>
      <c r="I346" s="24">
        <v>94000</v>
      </c>
    </row>
    <row r="347">
      <c r="A347" s="25" t="str">
        <v>4 LQD BN</v>
      </c>
      <c r="B347" s="25" t="str">
        <v>DV_Cắt</v>
      </c>
      <c r="C347" s="25">
        <v>1070</v>
      </c>
      <c r="D347" s="25" t="str">
        <v>Combo Cắt gội Kid</v>
      </c>
      <c r="E347" s="27">
        <v>100000</v>
      </c>
      <c r="F347" s="26">
        <v>100000</v>
      </c>
      <c r="G347" s="25">
        <f>F347-E347</f>
      </c>
      <c r="H347" s="25"/>
      <c r="I347" s="24">
        <v>100000</v>
      </c>
    </row>
    <row r="348">
      <c r="A348" s="25" t="str">
        <v>4 LQD BN</v>
      </c>
      <c r="B348" s="25" t="str">
        <v>DV_Cắt</v>
      </c>
      <c r="C348" s="25">
        <v>1002</v>
      </c>
      <c r="D348" s="25" t="str">
        <v>Kid Cắt</v>
      </c>
      <c r="E348" s="27">
        <v>75000</v>
      </c>
      <c r="F348" s="26">
        <v>75000</v>
      </c>
      <c r="G348" s="25">
        <f>F348-E348</f>
      </c>
      <c r="H348" s="25"/>
      <c r="I348" s="24">
        <v>75000</v>
      </c>
    </row>
    <row r="349">
      <c r="A349" s="25" t="str">
        <v>4 LQD BN</v>
      </c>
      <c r="B349" s="25" t="str">
        <v>DV_Cắt_Vip</v>
      </c>
      <c r="C349" s="25">
        <v>1047</v>
      </c>
      <c r="D349" s="25" t="str">
        <v>Cắt Gội Combo 3 - Chăm da</v>
      </c>
      <c r="E349" s="27">
        <v>299000</v>
      </c>
      <c r="F349" s="26">
        <v>299000</v>
      </c>
      <c r="G349" s="25">
        <f>F349-E349</f>
      </c>
      <c r="H349" s="25"/>
      <c r="I349" s="24">
        <v>299000</v>
      </c>
    </row>
    <row r="350">
      <c r="A350" s="25" t="str">
        <v>4 LQD BN</v>
      </c>
      <c r="B350" s="25" t="str">
        <v>DV_Cắt_Vip</v>
      </c>
      <c r="C350" s="25">
        <v>1048</v>
      </c>
      <c r="D350" s="25" t="str">
        <v>Combo 4</v>
      </c>
      <c r="E350" s="27">
        <v>389000</v>
      </c>
      <c r="F350" s="26">
        <v>389000</v>
      </c>
      <c r="G350" s="25">
        <f>F350-E350</f>
      </c>
      <c r="H350" s="25"/>
      <c r="I350" s="24">
        <v>389000</v>
      </c>
    </row>
    <row r="351">
      <c r="A351" s="25" t="str">
        <v>4 LQD BN</v>
      </c>
      <c r="B351" s="25" t="str">
        <v>DV_Cắt_Vip</v>
      </c>
      <c r="C351" s="25">
        <v>1046</v>
      </c>
      <c r="D351" s="25" t="str">
        <v>Shinecombo 2</v>
      </c>
      <c r="E351" s="27">
        <v>199000</v>
      </c>
      <c r="F351" s="26">
        <v>199000</v>
      </c>
      <c r="G351" s="25">
        <f>F351-E351</f>
      </c>
      <c r="H351" s="25"/>
      <c r="I351" s="24">
        <v>199000</v>
      </c>
    </row>
    <row r="352">
      <c r="A352" s="25" t="str">
        <v>401/1 NDT</v>
      </c>
      <c r="B352" s="25" t="str">
        <v>DV_Cắt</v>
      </c>
      <c r="C352" s="25">
        <v>513</v>
      </c>
      <c r="D352" s="25" t="str">
        <v>[DV] ShineCombo 10 bước Ultra Care 2023</v>
      </c>
      <c r="E352" s="27">
        <v>122000</v>
      </c>
      <c r="F352" s="26">
        <v>122000</v>
      </c>
      <c r="G352" s="25">
        <f>F352-E352</f>
      </c>
      <c r="H352" s="25"/>
      <c r="I352" s="24">
        <v>122000</v>
      </c>
    </row>
    <row r="353">
      <c r="A353" s="25" t="str">
        <v>401/1 NDT</v>
      </c>
      <c r="B353" s="25" t="str">
        <v>DV_Cắt</v>
      </c>
      <c r="C353" s="25">
        <v>891</v>
      </c>
      <c r="D353" s="25" t="str">
        <v>Cắt xả tạo kiểu</v>
      </c>
      <c r="E353" s="27">
        <v>94000</v>
      </c>
      <c r="F353" s="26">
        <v>94000</v>
      </c>
      <c r="G353" s="25">
        <f>F353-E353</f>
      </c>
      <c r="H353" s="25"/>
      <c r="I353" s="24">
        <v>94000</v>
      </c>
    </row>
    <row r="354">
      <c r="A354" s="25" t="str">
        <v>401/1 NDT</v>
      </c>
      <c r="B354" s="25" t="str">
        <v>DV_Cắt</v>
      </c>
      <c r="C354" s="25">
        <v>1052</v>
      </c>
      <c r="D354" s="25" t="str">
        <v>Combo 1 - First Class 1</v>
      </c>
      <c r="E354" s="27">
        <v>159000</v>
      </c>
      <c r="F354" s="26">
        <v>159000</v>
      </c>
      <c r="G354" s="25">
        <f>F354-E354</f>
      </c>
      <c r="H354" s="25"/>
      <c r="I354" s="24">
        <v>159000</v>
      </c>
    </row>
    <row r="355">
      <c r="A355" s="25" t="str">
        <v>401/1 NDT</v>
      </c>
      <c r="B355" s="25" t="str">
        <v>DV_Cắt</v>
      </c>
      <c r="C355" s="25">
        <v>1070</v>
      </c>
      <c r="D355" s="25" t="str">
        <v>Combo Cắt gội Kid</v>
      </c>
      <c r="E355" s="27">
        <v>100000</v>
      </c>
      <c r="F355" s="26">
        <v>100000</v>
      </c>
      <c r="G355" s="25">
        <f>F355-E355</f>
      </c>
      <c r="H355" s="25"/>
      <c r="I355" s="24">
        <v>100000</v>
      </c>
    </row>
    <row r="356">
      <c r="A356" s="25" t="str">
        <v>401/1 NDT</v>
      </c>
      <c r="B356" s="25" t="str">
        <v>DV_Cắt</v>
      </c>
      <c r="C356" s="25">
        <v>1002</v>
      </c>
      <c r="D356" s="25" t="str">
        <v>Kid Cắt</v>
      </c>
      <c r="E356" s="27">
        <v>75000</v>
      </c>
      <c r="F356" s="26">
        <v>75000</v>
      </c>
      <c r="G356" s="25">
        <f>F356-E356</f>
      </c>
      <c r="H356" s="25"/>
      <c r="I356" s="24">
        <v>75000</v>
      </c>
    </row>
    <row r="357">
      <c r="A357" s="25" t="str">
        <v>401/1 NDT</v>
      </c>
      <c r="B357" s="25" t="str">
        <v>DV_Cắt_Vip</v>
      </c>
      <c r="C357" s="25">
        <v>1047</v>
      </c>
      <c r="D357" s="25" t="str">
        <v>Cắt Gội Combo 3 - Chăm da</v>
      </c>
      <c r="E357" s="27">
        <v>299000</v>
      </c>
      <c r="F357" s="26">
        <v>299000</v>
      </c>
      <c r="G357" s="25">
        <f>F357-E357</f>
      </c>
      <c r="H357" s="25"/>
      <c r="I357" s="24">
        <v>299000</v>
      </c>
    </row>
    <row r="358">
      <c r="A358" s="25" t="str">
        <v>401/1 NDT</v>
      </c>
      <c r="B358" s="25" t="str">
        <v>DV_Cắt_Vip</v>
      </c>
      <c r="C358" s="25">
        <v>1065</v>
      </c>
      <c r="D358" s="25" t="str">
        <v>Cắt Gội Combo 3 - Dưỡng sinh</v>
      </c>
      <c r="E358" s="27">
        <v>299000</v>
      </c>
      <c r="F358" s="26">
        <v>299000</v>
      </c>
      <c r="G358" s="25">
        <f>F358-E358</f>
      </c>
      <c r="H358" s="25"/>
      <c r="I358" s="24">
        <v>299000</v>
      </c>
    </row>
    <row r="359">
      <c r="A359" s="25" t="str">
        <v>401/1 NDT</v>
      </c>
      <c r="B359" s="25" t="str">
        <v>DV_Cắt_Vip</v>
      </c>
      <c r="C359" s="25">
        <v>1064</v>
      </c>
      <c r="D359" s="25" t="str">
        <v>Cắt Gội Combo 5 - Dưỡng sinh</v>
      </c>
      <c r="E359" s="27">
        <v>459000</v>
      </c>
      <c r="F359" s="26">
        <v>459000</v>
      </c>
      <c r="G359" s="25">
        <f>F359-E359</f>
      </c>
      <c r="H359" s="25"/>
      <c r="I359" s="24">
        <v>459000</v>
      </c>
    </row>
    <row r="360">
      <c r="A360" s="25" t="str">
        <v>401/1 NDT</v>
      </c>
      <c r="B360" s="25" t="str">
        <v>DV_Cắt_Vip</v>
      </c>
      <c r="C360" s="25">
        <v>1048</v>
      </c>
      <c r="D360" s="25" t="str">
        <v>Combo 4</v>
      </c>
      <c r="E360" s="27">
        <v>389000</v>
      </c>
      <c r="F360" s="26">
        <v>389000</v>
      </c>
      <c r="G360" s="25">
        <f>F360-E360</f>
      </c>
      <c r="H360" s="25"/>
      <c r="I360" s="24">
        <v>389000</v>
      </c>
    </row>
    <row r="361">
      <c r="A361" s="25" t="str">
        <v>401/1 NDT</v>
      </c>
      <c r="B361" s="25" t="str">
        <v>DV_Cắt_Vip</v>
      </c>
      <c r="C361" s="25">
        <v>1046</v>
      </c>
      <c r="D361" s="25" t="str">
        <v>Shinecombo 2</v>
      </c>
      <c r="E361" s="27">
        <v>199000</v>
      </c>
      <c r="F361" s="26">
        <v>199000</v>
      </c>
      <c r="G361" s="25">
        <f>F361-E361</f>
      </c>
      <c r="H361" s="25"/>
      <c r="I361" s="24">
        <v>199000</v>
      </c>
    </row>
    <row r="362">
      <c r="A362" s="25" t="str">
        <v>420 HTP</v>
      </c>
      <c r="B362" s="25" t="str">
        <v>DV_Cắt</v>
      </c>
      <c r="C362" s="25">
        <v>513</v>
      </c>
      <c r="D362" s="25" t="str">
        <v>[DV] ShineCombo 10 bước Ultra Care 2023</v>
      </c>
      <c r="E362" s="27">
        <v>122000</v>
      </c>
      <c r="F362" s="26">
        <v>122000</v>
      </c>
      <c r="G362" s="25">
        <f>F362-E362</f>
      </c>
      <c r="H362" s="25"/>
      <c r="I362" s="24">
        <v>122000</v>
      </c>
    </row>
    <row r="363">
      <c r="A363" s="25" t="str">
        <v>420 HTP</v>
      </c>
      <c r="B363" s="25" t="str">
        <v>DV_Cắt</v>
      </c>
      <c r="C363" s="25">
        <v>891</v>
      </c>
      <c r="D363" s="25" t="str">
        <v>Cắt xả tạo kiểu</v>
      </c>
      <c r="E363" s="27">
        <v>94000</v>
      </c>
      <c r="F363" s="26">
        <v>94000</v>
      </c>
      <c r="G363" s="25">
        <f>F363-E363</f>
      </c>
      <c r="H363" s="25"/>
      <c r="I363" s="24">
        <v>94000</v>
      </c>
    </row>
    <row r="364">
      <c r="A364" s="25" t="str">
        <v>420 HTP</v>
      </c>
      <c r="B364" s="25" t="str">
        <v>DV_Cắt</v>
      </c>
      <c r="C364" s="25">
        <v>1052</v>
      </c>
      <c r="D364" s="25" t="str">
        <v>Combo 1 - First Class 1</v>
      </c>
      <c r="E364" s="27">
        <v>159000</v>
      </c>
      <c r="F364" s="26">
        <v>159000</v>
      </c>
      <c r="G364" s="25">
        <f>F364-E364</f>
      </c>
      <c r="H364" s="25"/>
      <c r="I364" s="24">
        <v>159000</v>
      </c>
    </row>
    <row r="365">
      <c r="A365" s="25" t="str">
        <v>420 HTP</v>
      </c>
      <c r="B365" s="25" t="str">
        <v>DV_Cắt</v>
      </c>
      <c r="C365" s="25">
        <v>1070</v>
      </c>
      <c r="D365" s="25" t="str">
        <v>Combo Cắt gội Kid</v>
      </c>
      <c r="E365" s="27">
        <v>100000</v>
      </c>
      <c r="F365" s="26">
        <v>100000</v>
      </c>
      <c r="G365" s="25">
        <f>F365-E365</f>
      </c>
      <c r="H365" s="25"/>
      <c r="I365" s="24">
        <v>100000</v>
      </c>
    </row>
    <row r="366">
      <c r="A366" s="25" t="str">
        <v>420 HTP</v>
      </c>
      <c r="B366" s="25" t="str">
        <v>DV_Cắt</v>
      </c>
      <c r="C366" s="25">
        <v>1002</v>
      </c>
      <c r="D366" s="25" t="str">
        <v>Kid Cắt</v>
      </c>
      <c r="E366" s="27">
        <v>75000</v>
      </c>
      <c r="F366" s="26">
        <v>75000</v>
      </c>
      <c r="G366" s="25">
        <f>F366-E366</f>
      </c>
      <c r="H366" s="25"/>
      <c r="I366" s="24">
        <v>75000</v>
      </c>
    </row>
    <row r="367">
      <c r="A367" s="25" t="str">
        <v>420 HTP</v>
      </c>
      <c r="B367" s="25" t="str">
        <v>DV_Cắt_Vip</v>
      </c>
      <c r="C367" s="25">
        <v>1047</v>
      </c>
      <c r="D367" s="25" t="str">
        <v>Cắt Gội Combo 3 - Chăm da</v>
      </c>
      <c r="E367" s="27">
        <v>299000</v>
      </c>
      <c r="F367" s="26">
        <v>299000</v>
      </c>
      <c r="G367" s="25">
        <f>F367-E367</f>
      </c>
      <c r="H367" s="25"/>
      <c r="I367" s="24">
        <v>299000</v>
      </c>
    </row>
    <row r="368">
      <c r="A368" s="25" t="str">
        <v>420 HTP</v>
      </c>
      <c r="B368" s="25" t="str">
        <v>DV_Cắt_Vip</v>
      </c>
      <c r="C368" s="25">
        <v>1048</v>
      </c>
      <c r="D368" s="25" t="str">
        <v>Combo 4</v>
      </c>
      <c r="E368" s="27">
        <v>389000</v>
      </c>
      <c r="F368" s="26">
        <v>389000</v>
      </c>
      <c r="G368" s="25">
        <f>F368-E368</f>
      </c>
      <c r="H368" s="25"/>
      <c r="I368" s="24">
        <v>389000</v>
      </c>
    </row>
    <row r="369">
      <c r="A369" s="25" t="str">
        <v>420 HTP</v>
      </c>
      <c r="B369" s="25" t="str">
        <v>DV_Cắt_Vip</v>
      </c>
      <c r="C369" s="25">
        <v>1055</v>
      </c>
      <c r="D369" s="25" t="str">
        <v>Combo 4- First Class 4</v>
      </c>
      <c r="E369" s="27">
        <v>399000</v>
      </c>
      <c r="F369" s="26">
        <v>399000</v>
      </c>
      <c r="G369" s="25">
        <f>F369-E369</f>
      </c>
      <c r="H369" s="25"/>
      <c r="I369" s="24">
        <v>399000</v>
      </c>
    </row>
    <row r="370">
      <c r="A370" s="25" t="str">
        <v>420 HTP</v>
      </c>
      <c r="B370" s="25" t="str">
        <v>DV_Cắt_Vip</v>
      </c>
      <c r="C370" s="25">
        <v>1046</v>
      </c>
      <c r="D370" s="25" t="str">
        <v>Shinecombo 2</v>
      </c>
      <c r="E370" s="27">
        <v>199000</v>
      </c>
      <c r="F370" s="26">
        <v>199000</v>
      </c>
      <c r="G370" s="25">
        <f>F370-E370</f>
      </c>
      <c r="H370" s="25"/>
      <c r="I370" s="24">
        <v>199000</v>
      </c>
    </row>
    <row r="371">
      <c r="A371" s="25" t="str">
        <v>451 PVT</v>
      </c>
      <c r="B371" s="25" t="str">
        <v>DV_Cắt</v>
      </c>
      <c r="C371" s="25">
        <v>513</v>
      </c>
      <c r="D371" s="25" t="str">
        <v>[DV] ShineCombo 10 bước Ultra Care 2023</v>
      </c>
      <c r="E371" s="27">
        <v>122000</v>
      </c>
      <c r="F371" s="26">
        <v>122000</v>
      </c>
      <c r="G371" s="25">
        <f>F371-E371</f>
      </c>
      <c r="H371" s="25"/>
      <c r="I371" s="24">
        <v>122000</v>
      </c>
    </row>
    <row r="372">
      <c r="A372" s="25" t="str">
        <v>451 PVT</v>
      </c>
      <c r="B372" s="25" t="str">
        <v>DV_Cắt</v>
      </c>
      <c r="C372" s="25">
        <v>1070</v>
      </c>
      <c r="D372" s="25" t="str">
        <v>Combo Cắt gội Kid</v>
      </c>
      <c r="E372" s="27">
        <v>100000</v>
      </c>
      <c r="F372" s="26">
        <v>100000</v>
      </c>
      <c r="G372" s="25">
        <f>F372-E372</f>
      </c>
      <c r="H372" s="25"/>
      <c r="I372" s="24">
        <v>100000</v>
      </c>
    </row>
    <row r="373">
      <c r="A373" s="25" t="str">
        <v>451 PVT</v>
      </c>
      <c r="B373" s="25" t="str">
        <v>DV_Cắt</v>
      </c>
      <c r="C373" s="25">
        <v>891</v>
      </c>
      <c r="D373" s="25" t="str">
        <v>Cắt xả tạo kiểu</v>
      </c>
      <c r="E373" s="27">
        <v>94000</v>
      </c>
      <c r="F373" s="28">
        <v>101999.99999999999</v>
      </c>
      <c r="G373" s="25">
        <f>F373-E373</f>
      </c>
      <c r="H373" s="25" t="str">
        <v>điều chỉnh giá</v>
      </c>
      <c r="I373" s="24">
        <v>94000</v>
      </c>
    </row>
    <row r="374">
      <c r="A374" s="25" t="str">
        <v>451 PVT</v>
      </c>
      <c r="B374" s="25" t="str">
        <v>DV_Cắt</v>
      </c>
      <c r="C374" s="25">
        <v>1002</v>
      </c>
      <c r="D374" s="25" t="str">
        <v>Kid Cắt</v>
      </c>
      <c r="E374" s="27">
        <v>75000</v>
      </c>
      <c r="F374" s="28">
        <v>82999.99999999999</v>
      </c>
      <c r="G374" s="25">
        <f>F374-E374</f>
      </c>
      <c r="H374" s="25" t="str">
        <v>điều chỉnh giá</v>
      </c>
      <c r="I374" s="24">
        <v>75000</v>
      </c>
    </row>
    <row r="375">
      <c r="A375" s="25" t="str">
        <v>451 PVT</v>
      </c>
      <c r="B375" s="25" t="str">
        <v>DV_Cắt_Vip</v>
      </c>
      <c r="C375" s="25">
        <v>1047</v>
      </c>
      <c r="D375" s="25" t="str">
        <v>Cắt Gội Combo 3 - Chăm da</v>
      </c>
      <c r="E375" s="27">
        <v>279000</v>
      </c>
      <c r="F375" s="28">
        <v>287000</v>
      </c>
      <c r="G375" s="25">
        <f>F375-E375</f>
      </c>
      <c r="H375" s="25" t="str">
        <v>điều chỉnh giá</v>
      </c>
      <c r="I375" s="24">
        <v>279000</v>
      </c>
    </row>
    <row r="376">
      <c r="A376" s="25" t="str">
        <v>451 PVT</v>
      </c>
      <c r="B376" s="25" t="str">
        <v>DV_Cắt_Vip</v>
      </c>
      <c r="C376" s="25">
        <v>1065</v>
      </c>
      <c r="D376" s="25" t="str">
        <v>Cắt Gội Combo 3 - Dưỡng sinh</v>
      </c>
      <c r="E376" s="27">
        <v>299000</v>
      </c>
      <c r="F376" s="28">
        <v>307000</v>
      </c>
      <c r="G376" s="25">
        <f>F376-E376</f>
      </c>
      <c r="H376" s="25" t="str">
        <v>điều chỉnh giá</v>
      </c>
      <c r="I376" s="24">
        <v>299000</v>
      </c>
    </row>
    <row r="377">
      <c r="A377" s="25" t="str">
        <v>451 PVT</v>
      </c>
      <c r="B377" s="25" t="str">
        <v>DV_Cắt_Vip</v>
      </c>
      <c r="C377" s="25">
        <v>1053</v>
      </c>
      <c r="D377" s="25" t="str">
        <v>Combo 2 - First Class 2</v>
      </c>
      <c r="E377" s="27">
        <v>229000</v>
      </c>
      <c r="F377" s="28">
        <v>237000</v>
      </c>
      <c r="G377" s="25">
        <f>F377-E377</f>
      </c>
      <c r="H377" s="25" t="str">
        <v>điều chỉnh giá</v>
      </c>
      <c r="I377" s="24">
        <v>229000</v>
      </c>
    </row>
    <row r="378">
      <c r="A378" s="25" t="str">
        <v>451 PVT</v>
      </c>
      <c r="B378" s="25" t="str">
        <v>DV_Cắt_Vip</v>
      </c>
      <c r="C378" s="25">
        <v>1048</v>
      </c>
      <c r="D378" s="25" t="str">
        <v>Combo 4</v>
      </c>
      <c r="E378" s="27">
        <v>389000</v>
      </c>
      <c r="F378" s="28">
        <v>397000</v>
      </c>
      <c r="G378" s="25">
        <f>F378-E378</f>
      </c>
      <c r="H378" s="25" t="str">
        <v>điều chỉnh giá</v>
      </c>
      <c r="I378" s="24">
        <v>389000</v>
      </c>
    </row>
    <row r="379">
      <c r="A379" s="25" t="str">
        <v>451 PVT</v>
      </c>
      <c r="B379" s="25" t="str">
        <v>DV_Cắt_Vip</v>
      </c>
      <c r="C379" s="25">
        <v>1150</v>
      </c>
      <c r="D379" s="25" t="str">
        <v>Combo cắt gội đỉnh cao thư giãn vip</v>
      </c>
      <c r="E379" s="27">
        <v>500000</v>
      </c>
      <c r="F379" s="28">
        <v>508000</v>
      </c>
      <c r="G379" s="25">
        <f>F379-E379</f>
      </c>
      <c r="H379" s="25" t="str">
        <v>điều chỉnh giá</v>
      </c>
      <c r="I379" s="24">
        <v>500000</v>
      </c>
    </row>
    <row r="380">
      <c r="A380" s="25" t="str">
        <v>451 PVT</v>
      </c>
      <c r="B380" s="25" t="str">
        <v>DV_Cắt_Vip</v>
      </c>
      <c r="C380" s="25">
        <v>1046</v>
      </c>
      <c r="D380" s="25" t="str">
        <v>Shinecombo 2</v>
      </c>
      <c r="E380" s="27">
        <v>169000</v>
      </c>
      <c r="F380" s="28">
        <v>177000</v>
      </c>
      <c r="G380" s="25">
        <f>F380-E380</f>
      </c>
      <c r="H380" s="25" t="str">
        <v>điều chỉnh giá</v>
      </c>
      <c r="I380" s="24">
        <v>169000</v>
      </c>
    </row>
    <row r="381">
      <c r="A381" s="25" t="str">
        <v>483 TN</v>
      </c>
      <c r="B381" s="25" t="str">
        <v>DV_Cắt</v>
      </c>
      <c r="C381" s="25">
        <v>513</v>
      </c>
      <c r="D381" s="25" t="str">
        <v>[DV] ShineCombo 10 bước Ultra Care 2023</v>
      </c>
      <c r="E381" s="27">
        <v>122000</v>
      </c>
      <c r="F381" s="26">
        <v>122000</v>
      </c>
      <c r="G381" s="25">
        <f>F381-E381</f>
      </c>
      <c r="H381" s="25"/>
      <c r="I381" s="24">
        <v>122000</v>
      </c>
    </row>
    <row r="382">
      <c r="A382" s="25" t="str">
        <v>483 TN</v>
      </c>
      <c r="B382" s="25" t="str">
        <v>DV_Cắt</v>
      </c>
      <c r="C382" s="25">
        <v>1070</v>
      </c>
      <c r="D382" s="25" t="str">
        <v>Combo Cắt gội Kid</v>
      </c>
      <c r="E382" s="27">
        <v>100000</v>
      </c>
      <c r="F382" s="26">
        <v>100000</v>
      </c>
      <c r="G382" s="25">
        <f>F382-E382</f>
      </c>
      <c r="H382" s="25"/>
      <c r="I382" s="24">
        <v>100000</v>
      </c>
    </row>
    <row r="383">
      <c r="A383" s="25" t="str">
        <v>483 TN</v>
      </c>
      <c r="B383" s="25" t="str">
        <v>DV_Cắt</v>
      </c>
      <c r="C383" s="25">
        <v>891</v>
      </c>
      <c r="D383" s="25" t="str">
        <v>Cắt xả tạo kiểu</v>
      </c>
      <c r="E383" s="27">
        <v>94000</v>
      </c>
      <c r="F383" s="28">
        <v>100000</v>
      </c>
      <c r="G383" s="25">
        <f>F383-E383</f>
      </c>
      <c r="H383" s="25" t="str">
        <v>điều chỉnh giá</v>
      </c>
      <c r="I383" s="24">
        <v>94000</v>
      </c>
    </row>
    <row r="384">
      <c r="A384" s="25" t="str">
        <v>483 TN</v>
      </c>
      <c r="B384" s="25" t="str">
        <v>DV_Cắt</v>
      </c>
      <c r="C384" s="25">
        <v>1002</v>
      </c>
      <c r="D384" s="25" t="str">
        <v>Kid Cắt</v>
      </c>
      <c r="E384" s="27">
        <v>75000</v>
      </c>
      <c r="F384" s="28">
        <v>81000</v>
      </c>
      <c r="G384" s="25">
        <f>F384-E384</f>
      </c>
      <c r="H384" s="25" t="str">
        <v>điều chỉnh giá</v>
      </c>
      <c r="I384" s="24">
        <v>75000</v>
      </c>
    </row>
    <row r="385">
      <c r="A385" s="25" t="str">
        <v>483 TN</v>
      </c>
      <c r="B385" s="25" t="str">
        <v>DV_Cắt_Vip</v>
      </c>
      <c r="C385" s="25">
        <v>1047</v>
      </c>
      <c r="D385" s="25" t="str">
        <v>Cắt Gội Combo 3 - Chăm da</v>
      </c>
      <c r="E385" s="27">
        <v>299000</v>
      </c>
      <c r="F385" s="28">
        <v>305000</v>
      </c>
      <c r="G385" s="25">
        <f>F385-E385</f>
      </c>
      <c r="H385" s="25" t="str">
        <v>điều chỉnh giá</v>
      </c>
      <c r="I385" s="24">
        <v>299000</v>
      </c>
    </row>
    <row r="386">
      <c r="A386" s="25" t="str">
        <v>483 TN</v>
      </c>
      <c r="B386" s="25" t="str">
        <v>DV_Cắt_Vip</v>
      </c>
      <c r="C386" s="25">
        <v>1064</v>
      </c>
      <c r="D386" s="25" t="str">
        <v>Cắt Gội Combo 5 - Dưỡng sinh</v>
      </c>
      <c r="E386" s="27">
        <v>459000</v>
      </c>
      <c r="F386" s="28">
        <v>465000</v>
      </c>
      <c r="G386" s="25">
        <f>F386-E386</f>
      </c>
      <c r="H386" s="25" t="str">
        <v>điều chỉnh giá</v>
      </c>
      <c r="I386" s="24">
        <v>459000</v>
      </c>
    </row>
    <row r="387">
      <c r="A387" s="25" t="str">
        <v>483 TN</v>
      </c>
      <c r="B387" s="25" t="str">
        <v>DV_Cắt_Vip</v>
      </c>
      <c r="C387" s="25">
        <v>1053</v>
      </c>
      <c r="D387" s="25" t="str">
        <v>Combo 2 - First Class 2</v>
      </c>
      <c r="E387" s="27">
        <v>229000</v>
      </c>
      <c r="F387" s="28">
        <v>235000</v>
      </c>
      <c r="G387" s="25">
        <f>F387-E387</f>
      </c>
      <c r="H387" s="25" t="str">
        <v>điều chỉnh giá</v>
      </c>
      <c r="I387" s="24">
        <v>229000</v>
      </c>
    </row>
    <row r="388">
      <c r="A388" s="25" t="str">
        <v>483 TN</v>
      </c>
      <c r="B388" s="25" t="str">
        <v>DV_Cắt_Vip</v>
      </c>
      <c r="C388" s="25">
        <v>1054</v>
      </c>
      <c r="D388" s="25" t="str">
        <v>Combo 3 - First Class 3</v>
      </c>
      <c r="E388" s="27">
        <v>299000</v>
      </c>
      <c r="F388" s="28">
        <v>305000</v>
      </c>
      <c r="G388" s="25">
        <f>F388-E388</f>
      </c>
      <c r="H388" s="25" t="str">
        <v>điều chỉnh giá</v>
      </c>
      <c r="I388" s="24">
        <v>299000</v>
      </c>
    </row>
    <row r="389">
      <c r="A389" s="25" t="str">
        <v>483 TN</v>
      </c>
      <c r="B389" s="25" t="str">
        <v>DV_Cắt_Vip</v>
      </c>
      <c r="C389" s="25">
        <v>1048</v>
      </c>
      <c r="D389" s="25" t="str">
        <v>Combo 4</v>
      </c>
      <c r="E389" s="27">
        <v>389000</v>
      </c>
      <c r="F389" s="28">
        <v>395000</v>
      </c>
      <c r="G389" s="25">
        <f>F389-E389</f>
      </c>
      <c r="H389" s="25" t="str">
        <v>điều chỉnh giá</v>
      </c>
      <c r="I389" s="24">
        <v>389000</v>
      </c>
    </row>
    <row r="390">
      <c r="A390" s="25" t="str">
        <v>483 TN</v>
      </c>
      <c r="B390" s="25" t="str">
        <v>DV_Cắt_Vip</v>
      </c>
      <c r="C390" s="25">
        <v>1046</v>
      </c>
      <c r="D390" s="25" t="str">
        <v>Shinecombo 2</v>
      </c>
      <c r="E390" s="27">
        <v>199000</v>
      </c>
      <c r="F390" s="28">
        <v>205000</v>
      </c>
      <c r="G390" s="25">
        <f>F390-E390</f>
      </c>
      <c r="H390" s="25" t="str">
        <v>điều chỉnh giá</v>
      </c>
      <c r="I390" s="24">
        <v>199000</v>
      </c>
    </row>
    <row r="391">
      <c r="A391" s="25" t="str">
        <v>50BT4 NPC LD</v>
      </c>
      <c r="B391" s="25" t="str">
        <v>DV_Cắt</v>
      </c>
      <c r="C391" s="25">
        <v>513</v>
      </c>
      <c r="D391" s="25" t="str">
        <v>[DV] ShineCombo 10 bước Ultra Care 2023</v>
      </c>
      <c r="E391" s="27">
        <v>122000</v>
      </c>
      <c r="F391" s="26">
        <v>122000</v>
      </c>
      <c r="G391" s="25">
        <f>F391-E391</f>
      </c>
      <c r="H391" s="25"/>
      <c r="I391" s="24">
        <v>122000</v>
      </c>
    </row>
    <row r="392">
      <c r="A392" s="25" t="str">
        <v>50BT4 NPC LD</v>
      </c>
      <c r="B392" s="25" t="str">
        <v>DV_Cắt</v>
      </c>
      <c r="C392" s="25">
        <v>891</v>
      </c>
      <c r="D392" s="25" t="str">
        <v>Cắt xả tạo kiểu</v>
      </c>
      <c r="E392" s="27">
        <v>94000</v>
      </c>
      <c r="F392" s="26">
        <v>94000</v>
      </c>
      <c r="G392" s="25">
        <f>F392-E392</f>
      </c>
      <c r="H392" s="25"/>
      <c r="I392" s="24">
        <v>94000</v>
      </c>
    </row>
    <row r="393">
      <c r="A393" s="25" t="str">
        <v>50BT4 NPC LD</v>
      </c>
      <c r="B393" s="25" t="str">
        <v>DV_Cắt</v>
      </c>
      <c r="C393" s="25">
        <v>1070</v>
      </c>
      <c r="D393" s="25" t="str">
        <v>Combo Cắt gội Kid</v>
      </c>
      <c r="E393" s="27">
        <v>100000</v>
      </c>
      <c r="F393" s="26">
        <v>100000</v>
      </c>
      <c r="G393" s="25">
        <f>F393-E393</f>
      </c>
      <c r="H393" s="25"/>
      <c r="I393" s="24">
        <v>100000</v>
      </c>
    </row>
    <row r="394">
      <c r="A394" s="25" t="str">
        <v>50BT4 NPC LD</v>
      </c>
      <c r="B394" s="25" t="str">
        <v>DV_Cắt</v>
      </c>
      <c r="C394" s="25">
        <v>1002</v>
      </c>
      <c r="D394" s="25" t="str">
        <v>Kid Cắt</v>
      </c>
      <c r="E394" s="27">
        <v>75000</v>
      </c>
      <c r="F394" s="26">
        <v>75000</v>
      </c>
      <c r="G394" s="25">
        <f>F394-E394</f>
      </c>
      <c r="H394" s="25"/>
      <c r="I394" s="24">
        <v>75000</v>
      </c>
    </row>
    <row r="395">
      <c r="A395" s="25" t="str">
        <v>50BT4 NPC LD</v>
      </c>
      <c r="B395" s="25" t="str">
        <v>DV_Cắt_Vip</v>
      </c>
      <c r="C395" s="25">
        <v>1047</v>
      </c>
      <c r="D395" s="25" t="str">
        <v>Cắt Gội Combo 3 - Chăm da</v>
      </c>
      <c r="E395" s="27">
        <v>299000</v>
      </c>
      <c r="F395" s="26">
        <v>299000</v>
      </c>
      <c r="G395" s="25">
        <f>F395-E395</f>
      </c>
      <c r="H395" s="25"/>
      <c r="I395" s="24">
        <v>299000</v>
      </c>
    </row>
    <row r="396">
      <c r="A396" s="25" t="str">
        <v>50BT4 NPC LD</v>
      </c>
      <c r="B396" s="25" t="str">
        <v>DV_Cắt_Vip</v>
      </c>
      <c r="C396" s="25">
        <v>1065</v>
      </c>
      <c r="D396" s="25" t="str">
        <v>Cắt Gội Combo 3 - Dưỡng sinh</v>
      </c>
      <c r="E396" s="27">
        <v>299000</v>
      </c>
      <c r="F396" s="26">
        <v>299000</v>
      </c>
      <c r="G396" s="25">
        <f>F396-E396</f>
      </c>
      <c r="H396" s="25"/>
      <c r="I396" s="24">
        <v>299000</v>
      </c>
    </row>
    <row r="397">
      <c r="A397" s="25" t="str">
        <v>50BT4 NPC LD</v>
      </c>
      <c r="B397" s="25" t="str">
        <v>DV_Cắt_Vip</v>
      </c>
      <c r="C397" s="25">
        <v>1053</v>
      </c>
      <c r="D397" s="25" t="str">
        <v>Combo 2 - First Class 2</v>
      </c>
      <c r="E397" s="27">
        <v>229000</v>
      </c>
      <c r="F397" s="26">
        <v>229000</v>
      </c>
      <c r="G397" s="25">
        <f>F397-E397</f>
      </c>
      <c r="H397" s="25"/>
      <c r="I397" s="24">
        <v>229000</v>
      </c>
    </row>
    <row r="398">
      <c r="A398" s="25" t="str">
        <v>50BT4 NPC LD</v>
      </c>
      <c r="B398" s="25" t="str">
        <v>DV_Cắt_Vip</v>
      </c>
      <c r="C398" s="25">
        <v>1054</v>
      </c>
      <c r="D398" s="25" t="str">
        <v>Combo 3 - First Class 3</v>
      </c>
      <c r="E398" s="27">
        <v>299000</v>
      </c>
      <c r="F398" s="26">
        <v>299000</v>
      </c>
      <c r="G398" s="25">
        <f>F398-E398</f>
      </c>
      <c r="H398" s="25"/>
      <c r="I398" s="24">
        <v>299000</v>
      </c>
    </row>
    <row r="399">
      <c r="A399" s="25" t="str">
        <v>50BT4 NPC LD</v>
      </c>
      <c r="B399" s="25" t="str">
        <v>DV_Cắt_Vip</v>
      </c>
      <c r="C399" s="25">
        <v>1048</v>
      </c>
      <c r="D399" s="25" t="str">
        <v>Combo 4</v>
      </c>
      <c r="E399" s="27">
        <v>389000</v>
      </c>
      <c r="F399" s="26">
        <v>389000</v>
      </c>
      <c r="G399" s="25">
        <f>F399-E399</f>
      </c>
      <c r="H399" s="25"/>
      <c r="I399" s="24">
        <v>389000</v>
      </c>
    </row>
    <row r="400">
      <c r="A400" s="25" t="str">
        <v>50BT4 NPC LD</v>
      </c>
      <c r="B400" s="25" t="str">
        <v>DV_Cắt_Vip</v>
      </c>
      <c r="C400" s="25">
        <v>1046</v>
      </c>
      <c r="D400" s="25" t="str">
        <v>Shinecombo 2</v>
      </c>
      <c r="E400" s="27">
        <v>199000</v>
      </c>
      <c r="F400" s="26">
        <v>199000</v>
      </c>
      <c r="G400" s="25">
        <f>F400-E400</f>
      </c>
      <c r="H400" s="25"/>
      <c r="I400" s="24">
        <v>199000</v>
      </c>
    </row>
    <row r="401">
      <c r="A401" s="25" t="str">
        <v>55A NVL</v>
      </c>
      <c r="B401" s="25" t="str">
        <v>DV_Cắt</v>
      </c>
      <c r="C401" s="25">
        <v>513</v>
      </c>
      <c r="D401" s="25" t="str">
        <v>[DV] ShineCombo 10 bước Ultra Care 2023</v>
      </c>
      <c r="E401" s="27">
        <v>122000</v>
      </c>
      <c r="F401" s="26">
        <v>122000</v>
      </c>
      <c r="G401" s="25">
        <f>F401-E401</f>
      </c>
      <c r="H401" s="25"/>
      <c r="I401" s="24">
        <v>122000</v>
      </c>
    </row>
    <row r="402">
      <c r="A402" s="25" t="str">
        <v>55A NVL</v>
      </c>
      <c r="B402" s="25" t="str">
        <v>DV_Cắt</v>
      </c>
      <c r="C402" s="25">
        <v>1070</v>
      </c>
      <c r="D402" s="25" t="str">
        <v>Combo Cắt gội Kid</v>
      </c>
      <c r="E402" s="27">
        <v>100000</v>
      </c>
      <c r="F402" s="26">
        <v>100000</v>
      </c>
      <c r="G402" s="25">
        <f>F402-E402</f>
      </c>
      <c r="H402" s="25"/>
      <c r="I402" s="24">
        <v>100000</v>
      </c>
    </row>
    <row r="403">
      <c r="A403" s="25" t="str">
        <v>55A NVL</v>
      </c>
      <c r="B403" s="25" t="str">
        <v>DV_Cắt</v>
      </c>
      <c r="C403" s="25">
        <v>891</v>
      </c>
      <c r="D403" s="25" t="str">
        <v>Cắt xả tạo kiểu</v>
      </c>
      <c r="E403" s="27">
        <v>94000</v>
      </c>
      <c r="F403" s="28">
        <v>95000</v>
      </c>
      <c r="G403" s="25">
        <f>F403-E403</f>
      </c>
      <c r="H403" s="25" t="str">
        <v>điều chỉnh giá</v>
      </c>
      <c r="I403" s="24">
        <v>95000</v>
      </c>
    </row>
    <row r="404">
      <c r="A404" s="25" t="str">
        <v>55A NVL</v>
      </c>
      <c r="B404" s="25" t="str">
        <v>DV_Cắt</v>
      </c>
      <c r="C404" s="25">
        <v>1052</v>
      </c>
      <c r="D404" s="25" t="str">
        <v>Combo 1 - First Class 1</v>
      </c>
      <c r="E404" s="27">
        <v>159000</v>
      </c>
      <c r="F404" s="26">
        <v>159000</v>
      </c>
      <c r="G404" s="25">
        <f>F404-E404</f>
      </c>
      <c r="H404" s="25"/>
      <c r="I404" s="24">
        <v>159000</v>
      </c>
    </row>
    <row r="405">
      <c r="A405" s="25" t="str">
        <v>55A NVL</v>
      </c>
      <c r="B405" s="25" t="str">
        <v>DV_Cắt</v>
      </c>
      <c r="C405" s="25">
        <v>1002</v>
      </c>
      <c r="D405" s="25" t="str">
        <v>Kid Cắt</v>
      </c>
      <c r="E405" s="27">
        <v>75000</v>
      </c>
      <c r="F405" s="28">
        <v>76000</v>
      </c>
      <c r="G405" s="25">
        <f>F405-E405</f>
      </c>
      <c r="H405" s="25" t="str">
        <v>điều chỉnh giá</v>
      </c>
      <c r="I405" s="24">
        <v>76000</v>
      </c>
    </row>
    <row r="406">
      <c r="A406" s="25" t="str">
        <v>55A NVL</v>
      </c>
      <c r="B406" s="25" t="str">
        <v>DV_Cắt_Vip</v>
      </c>
      <c r="C406" s="25">
        <v>1047</v>
      </c>
      <c r="D406" s="25" t="str">
        <v>Cắt Gội Combo 3 - Chăm da</v>
      </c>
      <c r="E406" s="27">
        <v>299000</v>
      </c>
      <c r="F406" s="28">
        <v>300000</v>
      </c>
      <c r="G406" s="25">
        <f>F406-E406</f>
      </c>
      <c r="H406" s="25" t="str">
        <v>điều chỉnh giá</v>
      </c>
      <c r="I406" s="24">
        <v>300000</v>
      </c>
    </row>
    <row r="407">
      <c r="A407" s="25" t="str">
        <v>55A NVL</v>
      </c>
      <c r="B407" s="25" t="str">
        <v>DV_Cắt_Vip</v>
      </c>
      <c r="C407" s="25">
        <v>1053</v>
      </c>
      <c r="D407" s="25" t="str">
        <v>Combo 2 - First Class 2</v>
      </c>
      <c r="E407" s="27">
        <v>229000</v>
      </c>
      <c r="F407" s="28">
        <v>230000</v>
      </c>
      <c r="G407" s="25">
        <f>F407-E407</f>
      </c>
      <c r="H407" s="25" t="str">
        <v>điều chỉnh giá</v>
      </c>
      <c r="I407" s="24">
        <v>230000</v>
      </c>
    </row>
    <row r="408">
      <c r="A408" s="25" t="str">
        <v>55A NVL</v>
      </c>
      <c r="B408" s="25" t="str">
        <v>DV_Cắt_Vip</v>
      </c>
      <c r="C408" s="25">
        <v>1048</v>
      </c>
      <c r="D408" s="25" t="str">
        <v>Combo 4</v>
      </c>
      <c r="E408" s="27">
        <v>389000</v>
      </c>
      <c r="F408" s="28">
        <v>390000</v>
      </c>
      <c r="G408" s="25">
        <f>F408-E408</f>
      </c>
      <c r="H408" s="25" t="str">
        <v>điều chỉnh giá</v>
      </c>
      <c r="I408" s="24">
        <v>390000</v>
      </c>
    </row>
    <row r="409">
      <c r="A409" s="25" t="str">
        <v>55A NVL</v>
      </c>
      <c r="B409" s="25" t="str">
        <v>DV_Cắt_Vip</v>
      </c>
      <c r="C409" s="25">
        <v>1046</v>
      </c>
      <c r="D409" s="25" t="str">
        <v>Shinecombo 2</v>
      </c>
      <c r="E409" s="27">
        <v>199000</v>
      </c>
      <c r="F409" s="28">
        <v>200000</v>
      </c>
      <c r="G409" s="25">
        <f>F409-E409</f>
      </c>
      <c r="H409" s="25" t="str">
        <v>điều chỉnh giá</v>
      </c>
      <c r="I409" s="24">
        <v>200000</v>
      </c>
    </row>
    <row r="410">
      <c r="A410" s="25" t="str">
        <v>575 AC</v>
      </c>
      <c r="B410" s="25" t="str">
        <v>DV_Cắt</v>
      </c>
      <c r="C410" s="25">
        <v>513</v>
      </c>
      <c r="D410" s="25" t="str">
        <v>[DV] ShineCombo 10 bước Ultra Care 2023</v>
      </c>
      <c r="E410" s="27">
        <v>122000</v>
      </c>
      <c r="F410" s="26">
        <v>122000</v>
      </c>
      <c r="G410" s="25">
        <f>F410-E410</f>
      </c>
      <c r="H410" s="25"/>
      <c r="I410" s="24">
        <v>122000</v>
      </c>
    </row>
    <row r="411">
      <c r="A411" s="25" t="str">
        <v>575 AC</v>
      </c>
      <c r="B411" s="25" t="str">
        <v>DV_Cắt</v>
      </c>
      <c r="C411" s="25">
        <v>1070</v>
      </c>
      <c r="D411" s="25" t="str">
        <v>Combo Cắt gội Kid</v>
      </c>
      <c r="E411" s="27">
        <v>100000</v>
      </c>
      <c r="F411" s="26">
        <v>100000</v>
      </c>
      <c r="G411" s="25">
        <f>F411-E411</f>
      </c>
      <c r="H411" s="25"/>
      <c r="I411" s="24">
        <v>100000</v>
      </c>
    </row>
    <row r="412">
      <c r="A412" s="25" t="str">
        <v>575 AC</v>
      </c>
      <c r="B412" s="25" t="str">
        <v>DV_Cắt</v>
      </c>
      <c r="C412" s="25">
        <v>891</v>
      </c>
      <c r="D412" s="25" t="str">
        <v>Cắt xả tạo kiểu</v>
      </c>
      <c r="E412" s="27">
        <v>94000</v>
      </c>
      <c r="F412" s="28">
        <v>100000</v>
      </c>
      <c r="G412" s="25">
        <f>F412-E412</f>
      </c>
      <c r="H412" s="25" t="str">
        <v>điều chỉnh giá</v>
      </c>
      <c r="I412" s="24">
        <v>100000</v>
      </c>
    </row>
    <row r="413">
      <c r="A413" s="25" t="str">
        <v>575 AC</v>
      </c>
      <c r="B413" s="25" t="str">
        <v>DV_Cắt</v>
      </c>
      <c r="C413" s="25">
        <v>1002</v>
      </c>
      <c r="D413" s="25" t="str">
        <v>Kid Cắt</v>
      </c>
      <c r="E413" s="27">
        <v>75000</v>
      </c>
      <c r="F413" s="28">
        <v>81000</v>
      </c>
      <c r="G413" s="25">
        <f>F413-E413</f>
      </c>
      <c r="H413" s="25" t="str">
        <v>điều chỉnh giá</v>
      </c>
      <c r="I413" s="24">
        <v>81000</v>
      </c>
    </row>
    <row r="414">
      <c r="A414" s="25" t="str">
        <v>575 AC</v>
      </c>
      <c r="B414" s="25" t="str">
        <v>DV_Cắt_Vip</v>
      </c>
      <c r="C414" s="25">
        <v>1047</v>
      </c>
      <c r="D414" s="25" t="str">
        <v>Cắt Gội Combo 3 - Chăm da</v>
      </c>
      <c r="E414" s="27">
        <v>299000</v>
      </c>
      <c r="F414" s="28">
        <v>305000</v>
      </c>
      <c r="G414" s="25">
        <f>F414-E414</f>
      </c>
      <c r="H414" s="25" t="str">
        <v>điều chỉnh giá</v>
      </c>
      <c r="I414" s="24">
        <v>305000</v>
      </c>
    </row>
    <row r="415">
      <c r="A415" s="25" t="str">
        <v>575 AC</v>
      </c>
      <c r="B415" s="25" t="str">
        <v>DV_Cắt_Vip</v>
      </c>
      <c r="C415" s="25">
        <v>1065</v>
      </c>
      <c r="D415" s="25" t="str">
        <v>Cắt Gội Combo 3 - Dưỡng sinh</v>
      </c>
      <c r="E415" s="27">
        <v>299000</v>
      </c>
      <c r="F415" s="28">
        <v>305000</v>
      </c>
      <c r="G415" s="25">
        <f>F415-E415</f>
      </c>
      <c r="H415" s="25" t="str">
        <v>điều chỉnh giá</v>
      </c>
      <c r="I415" s="24">
        <v>305000</v>
      </c>
    </row>
    <row r="416">
      <c r="A416" s="25" t="str">
        <v>575 AC</v>
      </c>
      <c r="B416" s="25" t="str">
        <v>DV_Cắt_Vip</v>
      </c>
      <c r="C416" s="25">
        <v>1064</v>
      </c>
      <c r="D416" s="25" t="str">
        <v>Cắt Gội Combo 5 - Dưỡng sinh</v>
      </c>
      <c r="E416" s="27">
        <v>459000</v>
      </c>
      <c r="F416" s="28">
        <v>465000</v>
      </c>
      <c r="G416" s="25">
        <f>F416-E416</f>
      </c>
      <c r="H416" s="25" t="str">
        <v>điều chỉnh giá</v>
      </c>
      <c r="I416" s="24">
        <v>465000</v>
      </c>
    </row>
    <row r="417">
      <c r="A417" s="25" t="str">
        <v>575 AC</v>
      </c>
      <c r="B417" s="25" t="str">
        <v>DV_Cắt_Vip</v>
      </c>
      <c r="C417" s="25">
        <v>1053</v>
      </c>
      <c r="D417" s="25" t="str">
        <v>Combo 2 - First Class 2</v>
      </c>
      <c r="E417" s="27">
        <v>239000</v>
      </c>
      <c r="F417" s="28">
        <v>245000</v>
      </c>
      <c r="G417" s="25">
        <f>F417-E417</f>
      </c>
      <c r="H417" s="25" t="str">
        <v>điều chỉnh giá</v>
      </c>
      <c r="I417" s="24">
        <v>245000</v>
      </c>
    </row>
    <row r="418">
      <c r="A418" s="25" t="str">
        <v>575 AC</v>
      </c>
      <c r="B418" s="25" t="str">
        <v>DV_Cắt_Vip</v>
      </c>
      <c r="C418" s="25">
        <v>1054</v>
      </c>
      <c r="D418" s="25" t="str">
        <v>Combo 3 - First Class 3</v>
      </c>
      <c r="E418" s="27">
        <v>299000</v>
      </c>
      <c r="F418" s="28">
        <v>305000</v>
      </c>
      <c r="G418" s="25">
        <f>F418-E418</f>
      </c>
      <c r="H418" s="25" t="str">
        <v>điều chỉnh giá</v>
      </c>
      <c r="I418" s="24">
        <v>305000</v>
      </c>
    </row>
    <row r="419">
      <c r="A419" s="25" t="str">
        <v>575 AC</v>
      </c>
      <c r="B419" s="25" t="str">
        <v>DV_Cắt_Vip</v>
      </c>
      <c r="C419" s="25">
        <v>1048</v>
      </c>
      <c r="D419" s="25" t="str">
        <v>Combo 4</v>
      </c>
      <c r="E419" s="27">
        <v>389000</v>
      </c>
      <c r="F419" s="28">
        <v>395000</v>
      </c>
      <c r="G419" s="25">
        <f>F419-E419</f>
      </c>
      <c r="H419" s="25" t="str">
        <v>điều chỉnh giá</v>
      </c>
      <c r="I419" s="24">
        <v>395000</v>
      </c>
    </row>
    <row r="420">
      <c r="A420" s="25" t="str">
        <v>575 AC</v>
      </c>
      <c r="B420" s="25" t="str">
        <v>DV_Cắt_Vip</v>
      </c>
      <c r="C420" s="25">
        <v>1194</v>
      </c>
      <c r="D420" s="25" t="str">
        <v>Combo Best choice</v>
      </c>
      <c r="E420" s="27">
        <v>299000</v>
      </c>
      <c r="F420" s="28">
        <v>305000</v>
      </c>
      <c r="G420" s="25">
        <f>F420-E420</f>
      </c>
      <c r="H420" s="25" t="str">
        <v>điều chỉnh giá</v>
      </c>
      <c r="I420" s="24">
        <v>305000</v>
      </c>
    </row>
    <row r="421">
      <c r="A421" s="25" t="str">
        <v>575 AC</v>
      </c>
      <c r="B421" s="25" t="str">
        <v>DV_Cắt_Vip</v>
      </c>
      <c r="C421" s="25">
        <v>1046</v>
      </c>
      <c r="D421" s="25" t="str">
        <v>Shinecombo 2</v>
      </c>
      <c r="E421" s="27">
        <v>199000</v>
      </c>
      <c r="F421" s="28">
        <v>205000</v>
      </c>
      <c r="G421" s="25">
        <f>F421-E421</f>
      </c>
      <c r="H421" s="25" t="str">
        <v>điều chỉnh giá</v>
      </c>
      <c r="I421" s="24">
        <v>205000</v>
      </c>
    </row>
    <row r="422">
      <c r="A422" s="25" t="str">
        <v>58 NVC NA</v>
      </c>
      <c r="B422" s="25" t="str">
        <v>DV_Cắt</v>
      </c>
      <c r="C422" s="25">
        <v>513</v>
      </c>
      <c r="D422" s="25" t="str">
        <v>[DV] ShineCombo 10 bước Ultra Care 2023</v>
      </c>
      <c r="E422" s="27">
        <v>122000</v>
      </c>
      <c r="F422" s="26">
        <v>122000</v>
      </c>
      <c r="G422" s="25">
        <f>F422-E422</f>
      </c>
      <c r="H422" s="25"/>
      <c r="I422" s="24">
        <v>122000</v>
      </c>
    </row>
    <row r="423">
      <c r="A423" s="25" t="str">
        <v>58 NVC NA</v>
      </c>
      <c r="B423" s="25" t="str">
        <v>DV_Cắt</v>
      </c>
      <c r="C423" s="25">
        <v>891</v>
      </c>
      <c r="D423" s="25" t="str">
        <v>Cắt xả tạo kiểu</v>
      </c>
      <c r="E423" s="27">
        <v>94000</v>
      </c>
      <c r="F423" s="26">
        <v>94000</v>
      </c>
      <c r="G423" s="25">
        <f>F423-E423</f>
      </c>
      <c r="H423" s="25"/>
      <c r="I423" s="24">
        <v>94000</v>
      </c>
    </row>
    <row r="424">
      <c r="A424" s="25" t="str">
        <v>58 NVC NA</v>
      </c>
      <c r="B424" s="25" t="str">
        <v>DV_Cắt</v>
      </c>
      <c r="C424" s="25">
        <v>1002</v>
      </c>
      <c r="D424" s="25" t="str">
        <v>Kid Cắt</v>
      </c>
      <c r="E424" s="27">
        <v>75000</v>
      </c>
      <c r="F424" s="26">
        <v>75000</v>
      </c>
      <c r="G424" s="25">
        <f>F424-E424</f>
      </c>
      <c r="H424" s="25"/>
      <c r="I424" s="24">
        <v>75000</v>
      </c>
    </row>
    <row r="425">
      <c r="A425" s="25" t="str">
        <v>58 NVC NA</v>
      </c>
      <c r="B425" s="25" t="str">
        <v>DV_Cắt</v>
      </c>
      <c r="C425" s="25">
        <v>1255</v>
      </c>
      <c r="D425" s="25" t="str">
        <v>VH Cắt gội dưỡng sinh Vip</v>
      </c>
      <c r="E425" s="27">
        <v>249000</v>
      </c>
      <c r="F425" s="26">
        <v>249000</v>
      </c>
      <c r="G425" s="25">
        <f>F425-E425</f>
      </c>
      <c r="H425" s="25"/>
      <c r="I425" s="24">
        <v>249000</v>
      </c>
    </row>
    <row r="426">
      <c r="A426" s="25" t="str">
        <v>58 NVC NA</v>
      </c>
      <c r="B426" s="25" t="str">
        <v>DV_Cắt_Vip</v>
      </c>
      <c r="C426" s="25">
        <v>1047</v>
      </c>
      <c r="D426" s="25" t="str">
        <v>Cắt Gội Combo 3 - Chăm da</v>
      </c>
      <c r="E426" s="27">
        <v>299000</v>
      </c>
      <c r="F426" s="26">
        <v>299000</v>
      </c>
      <c r="G426" s="25">
        <f>F426-E426</f>
      </c>
      <c r="H426" s="25"/>
      <c r="I426" s="24">
        <v>299000</v>
      </c>
    </row>
    <row r="427">
      <c r="A427" s="25" t="str">
        <v>58 NVC NA</v>
      </c>
      <c r="B427" s="25" t="str">
        <v>DV_Cắt_Vip</v>
      </c>
      <c r="C427" s="25">
        <v>1065</v>
      </c>
      <c r="D427" s="25" t="str">
        <v>Cắt Gội Combo 3 - Dưỡng sinh</v>
      </c>
      <c r="E427" s="27">
        <v>299000</v>
      </c>
      <c r="F427" s="26">
        <v>299000</v>
      </c>
      <c r="G427" s="25">
        <f>F427-E427</f>
      </c>
      <c r="H427" s="25"/>
      <c r="I427" s="24">
        <v>299000</v>
      </c>
    </row>
    <row r="428">
      <c r="A428" s="25" t="str">
        <v>58 NVC NA</v>
      </c>
      <c r="B428" s="25" t="str">
        <v>DV_Cắt_Vip</v>
      </c>
      <c r="C428" s="25">
        <v>1054</v>
      </c>
      <c r="D428" s="25" t="str">
        <v>Combo 3 - First Class 3</v>
      </c>
      <c r="E428" s="27">
        <v>299000</v>
      </c>
      <c r="F428" s="26">
        <v>299000</v>
      </c>
      <c r="G428" s="25">
        <f>F428-E428</f>
      </c>
      <c r="H428" s="25"/>
      <c r="I428" s="24">
        <v>299000</v>
      </c>
    </row>
    <row r="429">
      <c r="A429" s="25" t="str">
        <v>58 NVC NA</v>
      </c>
      <c r="B429" s="25" t="str">
        <v>DV_Cắt_Vip</v>
      </c>
      <c r="C429" s="25">
        <v>1048</v>
      </c>
      <c r="D429" s="25" t="str">
        <v>Combo 4</v>
      </c>
      <c r="E429" s="27">
        <v>389000</v>
      </c>
      <c r="F429" s="26">
        <v>389000</v>
      </c>
      <c r="G429" s="25">
        <f>F429-E429</f>
      </c>
      <c r="H429" s="25"/>
      <c r="I429" s="24">
        <v>389000</v>
      </c>
    </row>
    <row r="430">
      <c r="A430" s="25" t="str">
        <v>58 NVC NA</v>
      </c>
      <c r="B430" s="25" t="str">
        <v>DV_Cắt_Vip</v>
      </c>
      <c r="C430" s="25">
        <v>1046</v>
      </c>
      <c r="D430" s="25" t="str">
        <v>Shinecombo 2</v>
      </c>
      <c r="E430" s="27">
        <v>199000</v>
      </c>
      <c r="F430" s="26">
        <v>199000</v>
      </c>
      <c r="G430" s="25">
        <f>F430-E430</f>
      </c>
      <c r="H430" s="25"/>
      <c r="I430" s="24">
        <v>199000</v>
      </c>
    </row>
    <row r="431">
      <c r="A431" s="25" t="str">
        <v>58 NVC NA</v>
      </c>
      <c r="B431" s="25" t="str">
        <v>DV_Cắt_Vip</v>
      </c>
      <c r="C431" s="25">
        <v>1256</v>
      </c>
      <c r="D431" s="25" t="str">
        <v>VH Cắt gội dưỡng sinh Vip LRT</v>
      </c>
      <c r="E431" s="27">
        <v>299000</v>
      </c>
      <c r="F431" s="26">
        <v>299000</v>
      </c>
      <c r="G431" s="25">
        <f>F431-E431</f>
      </c>
      <c r="H431" s="25"/>
      <c r="I431" s="24">
        <v>299000</v>
      </c>
    </row>
    <row r="432">
      <c r="A432" s="25" t="str">
        <v>595 BT TH</v>
      </c>
      <c r="B432" s="25" t="str">
        <v>DV_Cắt</v>
      </c>
      <c r="C432" s="25">
        <v>513</v>
      </c>
      <c r="D432" s="25" t="str">
        <v>[DV] ShineCombo 10 bước Ultra Care 2023</v>
      </c>
      <c r="E432" s="27">
        <v>122000</v>
      </c>
      <c r="F432" s="26">
        <v>122000</v>
      </c>
      <c r="G432" s="25">
        <f>F432-E432</f>
      </c>
      <c r="H432" s="25"/>
      <c r="I432" s="24">
        <v>122000</v>
      </c>
    </row>
    <row r="433">
      <c r="A433" s="25" t="str">
        <v>595 BT TH</v>
      </c>
      <c r="B433" s="25" t="str">
        <v>DV_Cắt</v>
      </c>
      <c r="C433" s="25">
        <v>891</v>
      </c>
      <c r="D433" s="25" t="str">
        <v>Cắt xả tạo kiểu</v>
      </c>
      <c r="E433" s="27">
        <v>94000</v>
      </c>
      <c r="F433" s="28">
        <v>103000</v>
      </c>
      <c r="G433" s="25">
        <f>F433-E433</f>
      </c>
      <c r="H433" s="25" t="str">
        <v>điều chỉnh giá</v>
      </c>
      <c r="I433" s="24">
        <v>103000</v>
      </c>
    </row>
    <row r="434">
      <c r="A434" s="25" t="str">
        <v>595 BT TH</v>
      </c>
      <c r="B434" s="25" t="str">
        <v>DV_Cắt</v>
      </c>
      <c r="C434" s="25">
        <v>1002</v>
      </c>
      <c r="D434" s="25" t="str">
        <v>Kid Cắt</v>
      </c>
      <c r="E434" s="27">
        <v>75000</v>
      </c>
      <c r="F434" s="28">
        <v>84000</v>
      </c>
      <c r="G434" s="25">
        <f>F434-E434</f>
      </c>
      <c r="H434" s="25" t="str">
        <v>điều chỉnh giá</v>
      </c>
      <c r="I434" s="24">
        <v>84000</v>
      </c>
    </row>
    <row r="435">
      <c r="A435" s="25" t="str">
        <v>595 BT TH</v>
      </c>
      <c r="B435" s="25" t="str">
        <v>DV_Cắt</v>
      </c>
      <c r="C435" s="25">
        <v>1255</v>
      </c>
      <c r="D435" s="25" t="str">
        <v>VH Cắt gội dưỡng sinh Vip</v>
      </c>
      <c r="E435" s="27">
        <v>249000</v>
      </c>
      <c r="F435" s="28">
        <v>258000</v>
      </c>
      <c r="G435" s="25">
        <f>F435-E435</f>
      </c>
      <c r="H435" s="25" t="str">
        <v>điều chỉnh giá</v>
      </c>
      <c r="I435" s="24">
        <v>258000</v>
      </c>
    </row>
    <row r="436">
      <c r="A436" s="25" t="str">
        <v>595 BT TH</v>
      </c>
      <c r="B436" s="25" t="str">
        <v>DV_Cắt_Vip</v>
      </c>
      <c r="C436" s="25">
        <v>1047</v>
      </c>
      <c r="D436" s="25" t="str">
        <v>Cắt Gội Combo 3 - Chăm da</v>
      </c>
      <c r="E436" s="27">
        <v>299000</v>
      </c>
      <c r="F436" s="28">
        <v>308000</v>
      </c>
      <c r="G436" s="25">
        <f>F436-E436</f>
      </c>
      <c r="H436" s="25" t="str">
        <v>điều chỉnh giá</v>
      </c>
      <c r="I436" s="24">
        <v>308000</v>
      </c>
    </row>
    <row r="437">
      <c r="A437" s="25" t="str">
        <v>595 BT TH</v>
      </c>
      <c r="B437" s="25" t="str">
        <v>DV_Cắt_Vip</v>
      </c>
      <c r="C437" s="25">
        <v>1048</v>
      </c>
      <c r="D437" s="25" t="str">
        <v>Combo 4</v>
      </c>
      <c r="E437" s="27">
        <v>389000</v>
      </c>
      <c r="F437" s="28">
        <v>398000</v>
      </c>
      <c r="G437" s="25">
        <f>F437-E437</f>
      </c>
      <c r="H437" s="25" t="str">
        <v>điều chỉnh giá</v>
      </c>
      <c r="I437" s="24">
        <v>398000</v>
      </c>
    </row>
    <row r="438">
      <c r="A438" s="25" t="str">
        <v>595 BT TH</v>
      </c>
      <c r="B438" s="25" t="str">
        <v>DV_Cắt_Vip</v>
      </c>
      <c r="C438" s="25">
        <v>1046</v>
      </c>
      <c r="D438" s="25" t="str">
        <v>Shinecombo 2</v>
      </c>
      <c r="E438" s="27">
        <v>199000</v>
      </c>
      <c r="F438" s="28">
        <v>208000</v>
      </c>
      <c r="G438" s="25">
        <f>F438-E438</f>
      </c>
      <c r="H438" s="25" t="str">
        <v>điều chỉnh giá</v>
      </c>
      <c r="I438" s="24">
        <v>208000</v>
      </c>
    </row>
    <row r="439">
      <c r="A439" s="25" t="str">
        <v>595 BT TH</v>
      </c>
      <c r="B439" s="25" t="str">
        <v>DV_Cắt_Vip</v>
      </c>
      <c r="C439" s="25">
        <v>1256</v>
      </c>
      <c r="D439" s="25" t="str">
        <v>VH Cắt gội dưỡng sinh Vip LRT</v>
      </c>
      <c r="E439" s="27">
        <v>299000</v>
      </c>
      <c r="F439" s="28">
        <v>308000</v>
      </c>
      <c r="G439" s="25">
        <f>F439-E439</f>
      </c>
      <c r="H439" s="25" t="str">
        <v>điều chỉnh giá</v>
      </c>
      <c r="I439" s="24">
        <v>308000</v>
      </c>
    </row>
    <row r="440">
      <c r="A440" s="25" t="str">
        <v>595 BT TH</v>
      </c>
      <c r="B440" s="25" t="str">
        <v>DV_Cắt_Vip</v>
      </c>
      <c r="C440" s="25">
        <v>1257</v>
      </c>
      <c r="D440" s="25" t="str">
        <v>VH Cắt gội thư giãn phục hồi</v>
      </c>
      <c r="E440" s="27">
        <v>449000</v>
      </c>
      <c r="F440" s="28">
        <v>458000</v>
      </c>
      <c r="G440" s="25">
        <f>F440-E440</f>
      </c>
      <c r="H440" s="25" t="str">
        <v>điều chỉnh giá</v>
      </c>
      <c r="I440" s="24">
        <v>458000</v>
      </c>
    </row>
    <row r="441">
      <c r="A441" s="25" t="str">
        <v>62 LH</v>
      </c>
      <c r="B441" s="25" t="str">
        <v>DV_Cắt</v>
      </c>
      <c r="C441" s="25">
        <v>513</v>
      </c>
      <c r="D441" s="25" t="str">
        <v>[DV] ShineCombo 10 bước Ultra Care 2023</v>
      </c>
      <c r="E441" s="27">
        <v>122000</v>
      </c>
      <c r="F441" s="26">
        <v>122000</v>
      </c>
      <c r="G441" s="25">
        <f>F441-E441</f>
      </c>
      <c r="H441" s="25"/>
      <c r="I441" s="24">
        <v>122000</v>
      </c>
    </row>
    <row r="442">
      <c r="A442" s="25" t="str">
        <v>62 LH</v>
      </c>
      <c r="B442" s="25" t="str">
        <v>DV_Cắt</v>
      </c>
      <c r="C442" s="25">
        <v>891</v>
      </c>
      <c r="D442" s="25" t="str">
        <v>Cắt xả tạo kiểu</v>
      </c>
      <c r="E442" s="27">
        <v>94000</v>
      </c>
      <c r="F442" s="26">
        <v>94000</v>
      </c>
      <c r="G442" s="25">
        <f>F442-E442</f>
      </c>
      <c r="H442" s="25"/>
      <c r="I442" s="24">
        <v>94000</v>
      </c>
    </row>
    <row r="443">
      <c r="A443" s="25" t="str">
        <v>62 LH</v>
      </c>
      <c r="B443" s="25" t="str">
        <v>DV_Cắt</v>
      </c>
      <c r="C443" s="25">
        <v>1052</v>
      </c>
      <c r="D443" s="25" t="str">
        <v>Combo 1 - First Class 1</v>
      </c>
      <c r="E443" s="27">
        <v>159000</v>
      </c>
      <c r="F443" s="26">
        <v>159000</v>
      </c>
      <c r="G443" s="25">
        <f>F443-E443</f>
      </c>
      <c r="H443" s="25"/>
      <c r="I443" s="24">
        <v>159000</v>
      </c>
    </row>
    <row r="444">
      <c r="A444" s="25" t="str">
        <v>62 LH</v>
      </c>
      <c r="B444" s="25" t="str">
        <v>DV_Cắt</v>
      </c>
      <c r="C444" s="25">
        <v>1070</v>
      </c>
      <c r="D444" s="25" t="str">
        <v>Combo Cắt gội Kid</v>
      </c>
      <c r="E444" s="27">
        <v>100000</v>
      </c>
      <c r="F444" s="26">
        <v>100000</v>
      </c>
      <c r="G444" s="25">
        <f>F444-E444</f>
      </c>
      <c r="H444" s="25"/>
      <c r="I444" s="24">
        <v>100000</v>
      </c>
    </row>
    <row r="445">
      <c r="A445" s="25" t="str">
        <v>62 LH</v>
      </c>
      <c r="B445" s="25" t="str">
        <v>DV_Cắt</v>
      </c>
      <c r="C445" s="25">
        <v>1002</v>
      </c>
      <c r="D445" s="25" t="str">
        <v>Kid Cắt</v>
      </c>
      <c r="E445" s="27">
        <v>75000</v>
      </c>
      <c r="F445" s="26">
        <v>75000</v>
      </c>
      <c r="G445" s="25">
        <f>F445-E445</f>
      </c>
      <c r="H445" s="25"/>
      <c r="I445" s="24">
        <v>75000</v>
      </c>
    </row>
    <row r="446">
      <c r="A446" s="25" t="str">
        <v>62 LH</v>
      </c>
      <c r="B446" s="25" t="str">
        <v>DV_Cắt_Vip</v>
      </c>
      <c r="C446" s="25">
        <v>1047</v>
      </c>
      <c r="D446" s="25" t="str">
        <v>Cắt Gội Combo 3 - Chăm da</v>
      </c>
      <c r="E446" s="27">
        <v>299000</v>
      </c>
      <c r="F446" s="26">
        <v>299000</v>
      </c>
      <c r="G446" s="25">
        <f>F446-E446</f>
      </c>
      <c r="H446" s="25"/>
      <c r="I446" s="24">
        <v>299000</v>
      </c>
    </row>
    <row r="447">
      <c r="A447" s="25" t="str">
        <v>62 LH</v>
      </c>
      <c r="B447" s="25" t="str">
        <v>DV_Cắt_Vip</v>
      </c>
      <c r="C447" s="25">
        <v>1064</v>
      </c>
      <c r="D447" s="25" t="str">
        <v>Cắt Gội Combo 5 - Dưỡng sinh</v>
      </c>
      <c r="E447" s="27">
        <v>459000</v>
      </c>
      <c r="F447" s="26">
        <v>459000</v>
      </c>
      <c r="G447" s="25">
        <f>F447-E447</f>
      </c>
      <c r="H447" s="25"/>
      <c r="I447" s="24">
        <v>459000</v>
      </c>
    </row>
    <row r="448">
      <c r="A448" s="25" t="str">
        <v>62 LH</v>
      </c>
      <c r="B448" s="25" t="str">
        <v>DV_Cắt_Vip</v>
      </c>
      <c r="C448" s="25">
        <v>1053</v>
      </c>
      <c r="D448" s="25" t="str">
        <v>Combo 2 - First Class 2</v>
      </c>
      <c r="E448" s="27">
        <v>239000</v>
      </c>
      <c r="F448" s="26">
        <v>239000</v>
      </c>
      <c r="G448" s="25">
        <f>F448-E448</f>
      </c>
      <c r="H448" s="25"/>
      <c r="I448" s="24">
        <v>239000</v>
      </c>
    </row>
    <row r="449">
      <c r="A449" s="25" t="str">
        <v>62 LH</v>
      </c>
      <c r="B449" s="25" t="str">
        <v>DV_Cắt_Vip</v>
      </c>
      <c r="C449" s="25">
        <v>1054</v>
      </c>
      <c r="D449" s="25" t="str">
        <v>Combo 3 - First Class 3</v>
      </c>
      <c r="E449" s="27">
        <v>299000</v>
      </c>
      <c r="F449" s="26">
        <v>299000</v>
      </c>
      <c r="G449" s="25">
        <f>F449-E449</f>
      </c>
      <c r="H449" s="25"/>
      <c r="I449" s="24">
        <v>299000</v>
      </c>
    </row>
    <row r="450">
      <c r="A450" s="25" t="str">
        <v>62 LH</v>
      </c>
      <c r="B450" s="25" t="str">
        <v>DV_Cắt_Vip</v>
      </c>
      <c r="C450" s="25">
        <v>1048</v>
      </c>
      <c r="D450" s="25" t="str">
        <v>Combo 4</v>
      </c>
      <c r="E450" s="27">
        <v>389000</v>
      </c>
      <c r="F450" s="26">
        <v>389000</v>
      </c>
      <c r="G450" s="25">
        <f>F450-E450</f>
      </c>
      <c r="H450" s="25"/>
      <c r="I450" s="24">
        <v>389000</v>
      </c>
    </row>
    <row r="451">
      <c r="A451" s="25" t="str">
        <v>62 LH</v>
      </c>
      <c r="B451" s="25" t="str">
        <v>DV_Cắt_Vip</v>
      </c>
      <c r="C451" s="25">
        <v>1046</v>
      </c>
      <c r="D451" s="25" t="str">
        <v>Shinecombo 2</v>
      </c>
      <c r="E451" s="27">
        <v>199000</v>
      </c>
      <c r="F451" s="26">
        <v>199000</v>
      </c>
      <c r="G451" s="25">
        <f>F451-E451</f>
      </c>
      <c r="H451" s="25"/>
      <c r="I451" s="24">
        <v>199000</v>
      </c>
    </row>
    <row r="452">
      <c r="A452" s="25" t="str">
        <v>65 CD</v>
      </c>
      <c r="B452" s="25" t="str">
        <v>DV_Cắt</v>
      </c>
      <c r="C452" s="25">
        <v>513</v>
      </c>
      <c r="D452" s="25" t="str">
        <v>[DV] ShineCombo 10 bước Ultra Care 2023</v>
      </c>
      <c r="E452" s="27">
        <v>122000</v>
      </c>
      <c r="F452" s="26">
        <v>122000</v>
      </c>
      <c r="G452" s="25">
        <f>F452-E452</f>
      </c>
      <c r="H452" s="25"/>
      <c r="I452" s="24">
        <v>122000</v>
      </c>
    </row>
    <row r="453">
      <c r="A453" s="25" t="str">
        <v>65 CD</v>
      </c>
      <c r="B453" s="25" t="str">
        <v>DV_Cắt</v>
      </c>
      <c r="C453" s="25">
        <v>891</v>
      </c>
      <c r="D453" s="25" t="str">
        <v>Cắt xả tạo kiểu</v>
      </c>
      <c r="E453" s="27">
        <v>94000</v>
      </c>
      <c r="F453" s="28">
        <v>98999.99999999999</v>
      </c>
      <c r="G453" s="25">
        <f>F453-E453</f>
      </c>
      <c r="H453" s="25" t="str">
        <v>điều chỉnh giá</v>
      </c>
      <c r="I453" s="24">
        <v>98999.99999999999</v>
      </c>
    </row>
    <row r="454">
      <c r="A454" s="25" t="str">
        <v>65 CD</v>
      </c>
      <c r="B454" s="25" t="str">
        <v>DV_Cắt</v>
      </c>
      <c r="C454" s="25">
        <v>1002</v>
      </c>
      <c r="D454" s="25" t="str">
        <v>Kid Cắt</v>
      </c>
      <c r="E454" s="27">
        <v>75000</v>
      </c>
      <c r="F454" s="28">
        <v>79999.99999999999</v>
      </c>
      <c r="G454" s="25">
        <f>F454-E454</f>
      </c>
      <c r="H454" s="25" t="str">
        <v>điều chỉnh giá</v>
      </c>
      <c r="I454" s="24">
        <v>79999.99999999999</v>
      </c>
    </row>
    <row r="455">
      <c r="A455" s="25" t="str">
        <v>65 CD</v>
      </c>
      <c r="B455" s="25" t="str">
        <v>DV_Cắt_Vip</v>
      </c>
      <c r="C455" s="25">
        <v>1047</v>
      </c>
      <c r="D455" s="25" t="str">
        <v>Cắt Gội Combo 3 - Chăm da</v>
      </c>
      <c r="E455" s="27">
        <v>299000</v>
      </c>
      <c r="F455" s="28">
        <v>304000</v>
      </c>
      <c r="G455" s="25">
        <f>F455-E455</f>
      </c>
      <c r="H455" s="25" t="str">
        <v>điều chỉnh giá</v>
      </c>
      <c r="I455" s="24">
        <v>304000</v>
      </c>
    </row>
    <row r="456">
      <c r="A456" s="25" t="str">
        <v>65 CD</v>
      </c>
      <c r="B456" s="25" t="str">
        <v>DV_Cắt_Vip</v>
      </c>
      <c r="C456" s="25">
        <v>1053</v>
      </c>
      <c r="D456" s="25" t="str">
        <v>Combo 2 - First Class 2</v>
      </c>
      <c r="E456" s="27">
        <v>229000</v>
      </c>
      <c r="F456" s="28">
        <v>234000</v>
      </c>
      <c r="G456" s="25">
        <f>F456-E456</f>
      </c>
      <c r="H456" s="25" t="str">
        <v>điều chỉnh giá</v>
      </c>
      <c r="I456" s="24">
        <v>234000</v>
      </c>
    </row>
    <row r="457">
      <c r="A457" s="25" t="str">
        <v>65 CD</v>
      </c>
      <c r="B457" s="25" t="str">
        <v>DV_Cắt_Vip</v>
      </c>
      <c r="C457" s="25">
        <v>1048</v>
      </c>
      <c r="D457" s="25" t="str">
        <v>Combo 4</v>
      </c>
      <c r="E457" s="27">
        <v>389000</v>
      </c>
      <c r="F457" s="28">
        <v>394000</v>
      </c>
      <c r="G457" s="25">
        <f>F457-E457</f>
      </c>
      <c r="H457" s="25" t="str">
        <v>điều chỉnh giá</v>
      </c>
      <c r="I457" s="24">
        <v>394000</v>
      </c>
    </row>
    <row r="458">
      <c r="A458" s="25" t="str">
        <v>65 CD</v>
      </c>
      <c r="B458" s="25" t="str">
        <v>DV_Cắt_Vip</v>
      </c>
      <c r="C458" s="25">
        <v>1046</v>
      </c>
      <c r="D458" s="25" t="str">
        <v>Shinecombo 2</v>
      </c>
      <c r="E458" s="27">
        <v>199000</v>
      </c>
      <c r="F458" s="28">
        <v>204000</v>
      </c>
      <c r="G458" s="25">
        <f>F458-E458</f>
      </c>
      <c r="H458" s="25" t="str">
        <v>điều chỉnh giá</v>
      </c>
      <c r="I458" s="24">
        <v>204000</v>
      </c>
    </row>
    <row r="459">
      <c r="A459" s="25" t="str">
        <v>68 LN NA</v>
      </c>
      <c r="B459" s="25" t="str">
        <v>DV_Cắt</v>
      </c>
      <c r="C459" s="25">
        <v>513</v>
      </c>
      <c r="D459" s="25" t="str">
        <v>[DV] ShineCombo 10 bước Ultra Care 2023</v>
      </c>
      <c r="E459" s="27">
        <v>122000</v>
      </c>
      <c r="F459" s="26">
        <v>122000</v>
      </c>
      <c r="G459" s="25">
        <f>F459-E459</f>
      </c>
      <c r="H459" s="25"/>
      <c r="I459" s="24">
        <v>122000</v>
      </c>
    </row>
    <row r="460">
      <c r="A460" s="25" t="str">
        <v>68 LN NA</v>
      </c>
      <c r="B460" s="25" t="str">
        <v>DV_Cắt</v>
      </c>
      <c r="C460" s="25">
        <v>891</v>
      </c>
      <c r="D460" s="25" t="str">
        <v>Cắt xả tạo kiểu</v>
      </c>
      <c r="E460" s="27">
        <v>94000</v>
      </c>
      <c r="F460" s="28">
        <v>103000</v>
      </c>
      <c r="G460" s="25">
        <f>F460-E460</f>
      </c>
      <c r="H460" s="25" t="str">
        <v>điều chỉnh giá</v>
      </c>
      <c r="I460" s="24">
        <v>103000</v>
      </c>
    </row>
    <row r="461">
      <c r="A461" s="25" t="str">
        <v>68 LN NA</v>
      </c>
      <c r="B461" s="25" t="str">
        <v>DV_Cắt</v>
      </c>
      <c r="C461" s="25">
        <v>1002</v>
      </c>
      <c r="D461" s="25" t="str">
        <v>Kid Cắt</v>
      </c>
      <c r="E461" s="27">
        <v>75000</v>
      </c>
      <c r="F461" s="28">
        <v>84000</v>
      </c>
      <c r="G461" s="25">
        <f>F461-E461</f>
      </c>
      <c r="H461" s="25" t="str">
        <v>điều chỉnh giá</v>
      </c>
      <c r="I461" s="24">
        <v>84000</v>
      </c>
    </row>
    <row r="462">
      <c r="A462" s="25" t="str">
        <v>68 LN NA</v>
      </c>
      <c r="B462" s="25" t="str">
        <v>DV_Cắt</v>
      </c>
      <c r="C462" s="25">
        <v>1255</v>
      </c>
      <c r="D462" s="25" t="str">
        <v>VH Cắt gội dưỡng sinh Vip</v>
      </c>
      <c r="E462" s="27">
        <v>249000</v>
      </c>
      <c r="F462" s="28">
        <v>258000</v>
      </c>
      <c r="G462" s="25">
        <f>F462-E462</f>
      </c>
      <c r="H462" s="25" t="str">
        <v>điều chỉnh giá</v>
      </c>
      <c r="I462" s="24">
        <v>258000</v>
      </c>
    </row>
    <row r="463">
      <c r="A463" s="25" t="str">
        <v>68 LN NA</v>
      </c>
      <c r="B463" s="25" t="str">
        <v>DV_Cắt_Vip</v>
      </c>
      <c r="C463" s="25">
        <v>1047</v>
      </c>
      <c r="D463" s="25" t="str">
        <v>Cắt Gội Combo 3 - Chăm da</v>
      </c>
      <c r="E463" s="27">
        <v>299000</v>
      </c>
      <c r="F463" s="28">
        <v>308000</v>
      </c>
      <c r="G463" s="25">
        <f>F463-E463</f>
      </c>
      <c r="H463" s="25" t="str">
        <v>điều chỉnh giá</v>
      </c>
      <c r="I463" s="24">
        <v>308000</v>
      </c>
    </row>
    <row r="464">
      <c r="A464" s="25" t="str">
        <v>68 LN NA</v>
      </c>
      <c r="B464" s="25" t="str">
        <v>DV_Cắt_Vip</v>
      </c>
      <c r="C464" s="25">
        <v>1065</v>
      </c>
      <c r="D464" s="25" t="str">
        <v>Cắt Gội Combo 3 - Dưỡng sinh</v>
      </c>
      <c r="E464" s="27">
        <v>299000</v>
      </c>
      <c r="F464" s="28">
        <v>308000</v>
      </c>
      <c r="G464" s="25">
        <f>F464-E464</f>
      </c>
      <c r="H464" s="25" t="str">
        <v>điều chỉnh giá</v>
      </c>
      <c r="I464" s="24">
        <v>308000</v>
      </c>
    </row>
    <row r="465">
      <c r="A465" s="25" t="str">
        <v>68 LN NA</v>
      </c>
      <c r="B465" s="25" t="str">
        <v>DV_Cắt_Vip</v>
      </c>
      <c r="C465" s="25">
        <v>1048</v>
      </c>
      <c r="D465" s="25" t="str">
        <v>Combo 4</v>
      </c>
      <c r="E465" s="27">
        <v>389000</v>
      </c>
      <c r="F465" s="28">
        <v>398000</v>
      </c>
      <c r="G465" s="25">
        <f>F465-E465</f>
      </c>
      <c r="H465" s="25" t="str">
        <v>điều chỉnh giá</v>
      </c>
      <c r="I465" s="24">
        <v>398000</v>
      </c>
    </row>
    <row r="466">
      <c r="A466" s="25" t="str">
        <v>68 LN NA</v>
      </c>
      <c r="B466" s="25" t="str">
        <v>DV_Cắt_Vip</v>
      </c>
      <c r="C466" s="25">
        <v>1046</v>
      </c>
      <c r="D466" s="25" t="str">
        <v>Shinecombo 2</v>
      </c>
      <c r="E466" s="27">
        <v>199000</v>
      </c>
      <c r="F466" s="28">
        <v>208000</v>
      </c>
      <c r="G466" s="25">
        <f>F466-E466</f>
      </c>
      <c r="H466" s="25" t="str">
        <v>điều chỉnh giá</v>
      </c>
      <c r="I466" s="24">
        <v>208000</v>
      </c>
    </row>
    <row r="467">
      <c r="A467" s="25" t="str">
        <v>7 DTP LA</v>
      </c>
      <c r="B467" s="25" t="str">
        <v>DV_Cắt</v>
      </c>
      <c r="C467" s="25">
        <v>513</v>
      </c>
      <c r="D467" s="25" t="str">
        <v>[DV] ShineCombo 10 bước Ultra Care 2023</v>
      </c>
      <c r="E467" s="27">
        <v>122000</v>
      </c>
      <c r="F467" s="26">
        <v>122000</v>
      </c>
      <c r="G467" s="25">
        <f>F467-E467</f>
      </c>
      <c r="H467" s="25"/>
      <c r="I467" s="24">
        <v>122000</v>
      </c>
    </row>
    <row r="468">
      <c r="A468" s="25" t="str">
        <v>7 DTP LA</v>
      </c>
      <c r="B468" s="25" t="str">
        <v>DV_Cắt</v>
      </c>
      <c r="C468" s="25">
        <v>891</v>
      </c>
      <c r="D468" s="25" t="str">
        <v>Cắt xả tạo kiểu</v>
      </c>
      <c r="E468" s="27">
        <v>94000</v>
      </c>
      <c r="F468" s="28">
        <v>103000</v>
      </c>
      <c r="G468" s="25">
        <f>F468-E468</f>
      </c>
      <c r="H468" s="25" t="str">
        <v>điều chỉnh giá</v>
      </c>
      <c r="I468" s="24">
        <v>103000</v>
      </c>
    </row>
    <row r="469">
      <c r="A469" s="25" t="str">
        <v>7 DTP LA</v>
      </c>
      <c r="B469" s="25" t="str">
        <v>DV_Cắt</v>
      </c>
      <c r="C469" s="25">
        <v>1002</v>
      </c>
      <c r="D469" s="25" t="str">
        <v>Kid Cắt</v>
      </c>
      <c r="E469" s="27">
        <v>75000</v>
      </c>
      <c r="F469" s="28">
        <v>84000</v>
      </c>
      <c r="G469" s="25">
        <f>F469-E469</f>
      </c>
      <c r="H469" s="25" t="str">
        <v>điều chỉnh giá</v>
      </c>
      <c r="I469" s="24">
        <v>84000</v>
      </c>
    </row>
    <row r="470">
      <c r="A470" s="25" t="str">
        <v>7 DTP LA</v>
      </c>
      <c r="B470" s="25" t="str">
        <v>DV_Cắt_Vip</v>
      </c>
      <c r="C470" s="25">
        <v>1047</v>
      </c>
      <c r="D470" s="25" t="str">
        <v>Cắt Gội Combo 3 - Chăm da</v>
      </c>
      <c r="E470" s="27">
        <v>299000</v>
      </c>
      <c r="F470" s="28">
        <v>308000</v>
      </c>
      <c r="G470" s="25">
        <f>F470-E470</f>
      </c>
      <c r="H470" s="25" t="str">
        <v>điều chỉnh giá</v>
      </c>
      <c r="I470" s="24">
        <v>308000</v>
      </c>
    </row>
    <row r="471">
      <c r="A471" s="25" t="str">
        <v>7 DTP LA</v>
      </c>
      <c r="B471" s="25" t="str">
        <v>DV_Cắt_Vip</v>
      </c>
      <c r="C471" s="25">
        <v>1048</v>
      </c>
      <c r="D471" s="25" t="str">
        <v>Combo 4</v>
      </c>
      <c r="E471" s="27">
        <v>389000</v>
      </c>
      <c r="F471" s="28">
        <v>398000</v>
      </c>
      <c r="G471" s="25">
        <f>F471-E471</f>
      </c>
      <c r="H471" s="25" t="str">
        <v>điều chỉnh giá</v>
      </c>
      <c r="I471" s="24">
        <v>398000</v>
      </c>
    </row>
    <row r="472">
      <c r="A472" s="25" t="str">
        <v>7 DTP LA</v>
      </c>
      <c r="B472" s="25" t="str">
        <v>DV_Cắt_Vip</v>
      </c>
      <c r="C472" s="25">
        <v>1046</v>
      </c>
      <c r="D472" s="25" t="str">
        <v>Shinecombo 2</v>
      </c>
      <c r="E472" s="27">
        <v>199000</v>
      </c>
      <c r="F472" s="28">
        <v>208000</v>
      </c>
      <c r="G472" s="25">
        <f>F472-E472</f>
      </c>
      <c r="H472" s="25" t="str">
        <v>điều chỉnh giá</v>
      </c>
      <c r="I472" s="24">
        <v>208000</v>
      </c>
    </row>
    <row r="473">
      <c r="A473" s="25" t="str">
        <v>708 LTT</v>
      </c>
      <c r="B473" s="25" t="str">
        <v>DV_Cắt</v>
      </c>
      <c r="C473" s="25">
        <v>513</v>
      </c>
      <c r="D473" s="25" t="str">
        <v>[DV] ShineCombo 10 bước Ultra Care 2023</v>
      </c>
      <c r="E473" s="27">
        <v>122000</v>
      </c>
      <c r="F473" s="26">
        <v>122000</v>
      </c>
      <c r="G473" s="25">
        <f>F473-E473</f>
      </c>
      <c r="H473" s="25"/>
      <c r="I473" s="24">
        <v>122000</v>
      </c>
    </row>
    <row r="474">
      <c r="A474" s="25" t="str">
        <v>708 LTT</v>
      </c>
      <c r="B474" s="25" t="str">
        <v>DV_Cắt</v>
      </c>
      <c r="C474" s="25">
        <v>1070</v>
      </c>
      <c r="D474" s="25" t="str">
        <v>Combo Cắt gội Kid</v>
      </c>
      <c r="E474" s="27">
        <v>100000</v>
      </c>
      <c r="F474" s="26">
        <v>100000</v>
      </c>
      <c r="G474" s="25">
        <f>F474-E474</f>
      </c>
      <c r="H474" s="25"/>
      <c r="I474" s="24">
        <v>100000</v>
      </c>
    </row>
    <row r="475">
      <c r="A475" s="25" t="str">
        <v>708 LTT</v>
      </c>
      <c r="B475" s="25" t="str">
        <v>DV_Cắt</v>
      </c>
      <c r="C475" s="25">
        <v>891</v>
      </c>
      <c r="D475" s="25" t="str">
        <v>Cắt xả tạo kiểu</v>
      </c>
      <c r="E475" s="27">
        <v>94000</v>
      </c>
      <c r="F475" s="28">
        <v>103000</v>
      </c>
      <c r="G475" s="25">
        <f>F475-E475</f>
      </c>
      <c r="H475" s="25" t="str">
        <v>điều chỉnh giá</v>
      </c>
      <c r="I475" s="24">
        <v>103000</v>
      </c>
    </row>
    <row r="476">
      <c r="A476" s="25" t="str">
        <v>708 LTT</v>
      </c>
      <c r="B476" s="25" t="str">
        <v>DV_Cắt</v>
      </c>
      <c r="C476" s="25">
        <v>1002</v>
      </c>
      <c r="D476" s="25" t="str">
        <v>Kid Cắt</v>
      </c>
      <c r="E476" s="27">
        <v>75000</v>
      </c>
      <c r="F476" s="28">
        <v>84000</v>
      </c>
      <c r="G476" s="25">
        <f>F476-E476</f>
      </c>
      <c r="H476" s="25" t="str">
        <v>điều chỉnh giá</v>
      </c>
      <c r="I476" s="24">
        <v>84000</v>
      </c>
    </row>
    <row r="477">
      <c r="A477" s="25" t="str">
        <v>708 LTT</v>
      </c>
      <c r="B477" s="25" t="str">
        <v>DV_Cắt_Vip</v>
      </c>
      <c r="C477" s="25">
        <v>1047</v>
      </c>
      <c r="D477" s="25" t="str">
        <v>Cắt Gội Combo 3 - Chăm da</v>
      </c>
      <c r="E477" s="27">
        <v>299000</v>
      </c>
      <c r="F477" s="28">
        <v>308000</v>
      </c>
      <c r="G477" s="25">
        <f>F477-E477</f>
      </c>
      <c r="H477" s="25" t="str">
        <v>điều chỉnh giá</v>
      </c>
      <c r="I477" s="24">
        <v>308000</v>
      </c>
    </row>
    <row r="478">
      <c r="A478" s="25" t="str">
        <v>708 LTT</v>
      </c>
      <c r="B478" s="25" t="str">
        <v>DV_Cắt_Vip</v>
      </c>
      <c r="C478" s="25">
        <v>1065</v>
      </c>
      <c r="D478" s="25" t="str">
        <v>Cắt Gội Combo 3 - Dưỡng sinh</v>
      </c>
      <c r="E478" s="27">
        <v>299000</v>
      </c>
      <c r="F478" s="28">
        <v>308000</v>
      </c>
      <c r="G478" s="25">
        <f>F478-E478</f>
      </c>
      <c r="H478" s="25" t="str">
        <v>điều chỉnh giá</v>
      </c>
      <c r="I478" s="24">
        <v>308000</v>
      </c>
    </row>
    <row r="479">
      <c r="A479" s="25" t="str">
        <v>708 LTT</v>
      </c>
      <c r="B479" s="25" t="str">
        <v>DV_Cắt_Vip</v>
      </c>
      <c r="C479" s="25">
        <v>1048</v>
      </c>
      <c r="D479" s="25" t="str">
        <v>Combo 4</v>
      </c>
      <c r="E479" s="27">
        <v>389000</v>
      </c>
      <c r="F479" s="28">
        <v>398000</v>
      </c>
      <c r="G479" s="25">
        <f>F479-E479</f>
      </c>
      <c r="H479" s="25" t="str">
        <v>điều chỉnh giá</v>
      </c>
      <c r="I479" s="24">
        <v>398000</v>
      </c>
    </row>
    <row r="480">
      <c r="A480" s="25" t="str">
        <v>708 LTT</v>
      </c>
      <c r="B480" s="25" t="str">
        <v>DV_Cắt_Vip</v>
      </c>
      <c r="C480" s="25">
        <v>1194</v>
      </c>
      <c r="D480" s="25" t="str">
        <v>Combo Best choice</v>
      </c>
      <c r="E480" s="27">
        <v>299000</v>
      </c>
      <c r="F480" s="28">
        <v>308000</v>
      </c>
      <c r="G480" s="25">
        <f>F480-E480</f>
      </c>
      <c r="H480" s="25" t="str">
        <v>điều chỉnh giá</v>
      </c>
      <c r="I480" s="24">
        <v>308000</v>
      </c>
    </row>
    <row r="481">
      <c r="A481" s="25" t="str">
        <v>708 LTT</v>
      </c>
      <c r="B481" s="25" t="str">
        <v>DV_Cắt_Vip</v>
      </c>
      <c r="C481" s="25">
        <v>1046</v>
      </c>
      <c r="D481" s="25" t="str">
        <v>Shinecombo 2</v>
      </c>
      <c r="E481" s="27">
        <v>199000</v>
      </c>
      <c r="F481" s="28">
        <v>208000</v>
      </c>
      <c r="G481" s="25">
        <f>F481-E481</f>
      </c>
      <c r="H481" s="25" t="str">
        <v>điều chỉnh giá</v>
      </c>
      <c r="I481" s="24">
        <v>208000</v>
      </c>
    </row>
    <row r="482">
      <c r="A482" s="25" t="str">
        <v>730 TL10</v>
      </c>
      <c r="B482" s="25" t="str">
        <v>DV_Cắt</v>
      </c>
      <c r="C482" s="25">
        <v>513</v>
      </c>
      <c r="D482" s="25" t="str">
        <v>[DV] ShineCombo 10 bước Ultra Care 2023</v>
      </c>
      <c r="E482" s="27">
        <v>122000</v>
      </c>
      <c r="F482" s="26">
        <v>122000</v>
      </c>
      <c r="G482" s="25">
        <f>F482-E482</f>
      </c>
      <c r="H482" s="25"/>
      <c r="I482" s="24">
        <v>122000</v>
      </c>
    </row>
    <row r="483">
      <c r="A483" s="25" t="str">
        <v>730 TL10</v>
      </c>
      <c r="B483" s="25" t="str">
        <v>DV_Cắt</v>
      </c>
      <c r="C483" s="25">
        <v>891</v>
      </c>
      <c r="D483" s="25" t="str">
        <v>Cắt xả tạo kiểu</v>
      </c>
      <c r="E483" s="27">
        <v>94000</v>
      </c>
      <c r="F483" s="28">
        <v>100000</v>
      </c>
      <c r="G483" s="25">
        <f>F483-E483</f>
      </c>
      <c r="H483" s="25" t="str">
        <v>điều chỉnh giá</v>
      </c>
      <c r="I483" s="24">
        <v>100000</v>
      </c>
    </row>
    <row r="484">
      <c r="A484" s="25" t="str">
        <v>730 TL10</v>
      </c>
      <c r="B484" s="25" t="str">
        <v>DV_Cắt</v>
      </c>
      <c r="C484" s="25">
        <v>1052</v>
      </c>
      <c r="D484" s="25" t="str">
        <v>Combo 1 - First Class 1</v>
      </c>
      <c r="E484" s="27">
        <v>159000</v>
      </c>
      <c r="F484" s="26">
        <v>159000</v>
      </c>
      <c r="G484" s="25">
        <f>F484-E484</f>
      </c>
      <c r="H484" s="25"/>
      <c r="I484" s="24">
        <v>159000</v>
      </c>
    </row>
    <row r="485">
      <c r="A485" s="25" t="str">
        <v>730 TL10</v>
      </c>
      <c r="B485" s="25" t="str">
        <v>DV_Cắt</v>
      </c>
      <c r="C485" s="25">
        <v>1002</v>
      </c>
      <c r="D485" s="25" t="str">
        <v>Kid Cắt</v>
      </c>
      <c r="E485" s="27">
        <v>75000</v>
      </c>
      <c r="F485" s="28">
        <v>81000</v>
      </c>
      <c r="G485" s="25">
        <f>F485-E485</f>
      </c>
      <c r="H485" s="25" t="str">
        <v>điều chỉnh giá</v>
      </c>
      <c r="I485" s="24">
        <v>81000</v>
      </c>
    </row>
    <row r="486">
      <c r="A486" s="25" t="str">
        <v>730 TL10</v>
      </c>
      <c r="B486" s="25" t="str">
        <v>DV_Cắt_Vip</v>
      </c>
      <c r="C486" s="25">
        <v>1047</v>
      </c>
      <c r="D486" s="25" t="str">
        <v>Cắt Gội Combo 3 - Chăm da</v>
      </c>
      <c r="E486" s="27">
        <v>299000</v>
      </c>
      <c r="F486" s="28">
        <v>305000</v>
      </c>
      <c r="G486" s="25">
        <f>F486-E486</f>
      </c>
      <c r="H486" s="25" t="str">
        <v>điều chỉnh giá</v>
      </c>
      <c r="I486" s="24">
        <v>305000</v>
      </c>
    </row>
    <row r="487">
      <c r="A487" s="25" t="str">
        <v>730 TL10</v>
      </c>
      <c r="B487" s="25" t="str">
        <v>DV_Cắt_Vip</v>
      </c>
      <c r="C487" s="25">
        <v>1065</v>
      </c>
      <c r="D487" s="25" t="str">
        <v>Cắt Gội Combo 3 - Dưỡng sinh</v>
      </c>
      <c r="E487" s="27">
        <v>299000</v>
      </c>
      <c r="F487" s="28">
        <v>305000</v>
      </c>
      <c r="G487" s="25">
        <f>F487-E487</f>
      </c>
      <c r="H487" s="25" t="str">
        <v>điều chỉnh giá</v>
      </c>
      <c r="I487" s="24">
        <v>305000</v>
      </c>
    </row>
    <row r="488">
      <c r="A488" s="25" t="str">
        <v>730 TL10</v>
      </c>
      <c r="B488" s="25" t="str">
        <v>DV_Cắt_Vip</v>
      </c>
      <c r="C488" s="25">
        <v>1064</v>
      </c>
      <c r="D488" s="25" t="str">
        <v>Cắt Gội Combo 5 - Dưỡng sinh</v>
      </c>
      <c r="E488" s="27">
        <v>459000</v>
      </c>
      <c r="F488" s="28">
        <v>465000</v>
      </c>
      <c r="G488" s="25">
        <f>F488-E488</f>
      </c>
      <c r="H488" s="25" t="str">
        <v>điều chỉnh giá</v>
      </c>
      <c r="I488" s="24">
        <v>465000</v>
      </c>
    </row>
    <row r="489">
      <c r="A489" s="25" t="str">
        <v>730 TL10</v>
      </c>
      <c r="B489" s="25" t="str">
        <v>DV_Cắt_Vip</v>
      </c>
      <c r="C489" s="25">
        <v>1048</v>
      </c>
      <c r="D489" s="25" t="str">
        <v>Combo 4</v>
      </c>
      <c r="E489" s="27">
        <v>389000</v>
      </c>
      <c r="F489" s="28">
        <v>395000</v>
      </c>
      <c r="G489" s="25">
        <f>F489-E489</f>
      </c>
      <c r="H489" s="25" t="str">
        <v>điều chỉnh giá</v>
      </c>
      <c r="I489" s="24">
        <v>395000</v>
      </c>
    </row>
    <row r="490">
      <c r="A490" s="25" t="str">
        <v>730 TL10</v>
      </c>
      <c r="B490" s="25" t="str">
        <v>DV_Cắt</v>
      </c>
      <c r="C490" s="25">
        <v>1070</v>
      </c>
      <c r="D490" s="25" t="str">
        <v>Combo Cắt gội Kid</v>
      </c>
      <c r="E490" s="27">
        <v>100000</v>
      </c>
      <c r="F490" s="26">
        <v>100000</v>
      </c>
      <c r="G490" s="25">
        <f>F490-E490</f>
      </c>
      <c r="H490" s="25"/>
      <c r="I490" s="24">
        <v>100000</v>
      </c>
    </row>
    <row r="491">
      <c r="A491" s="25" t="str">
        <v>730 TL10</v>
      </c>
      <c r="B491" s="25" t="str">
        <v>DV_Cắt_Vip</v>
      </c>
      <c r="C491" s="25">
        <v>1194</v>
      </c>
      <c r="D491" s="25" t="str">
        <v>Combo Best choice</v>
      </c>
      <c r="E491" s="27">
        <v>299000</v>
      </c>
      <c r="F491" s="28">
        <v>305000</v>
      </c>
      <c r="G491" s="25">
        <f>F491-E491</f>
      </c>
      <c r="H491" s="25" t="str">
        <v>điều chỉnh giá</v>
      </c>
      <c r="I491" s="24">
        <v>305000</v>
      </c>
    </row>
    <row r="492">
      <c r="A492" s="25" t="str">
        <v>730 TL10</v>
      </c>
      <c r="B492" s="25" t="str">
        <v>DV_Cắt_Vip</v>
      </c>
      <c r="C492" s="25">
        <v>1046</v>
      </c>
      <c r="D492" s="25" t="str">
        <v>Shinecombo 2</v>
      </c>
      <c r="E492" s="27">
        <v>199000</v>
      </c>
      <c r="F492" s="28">
        <v>205000</v>
      </c>
      <c r="G492" s="25">
        <f>F492-E492</f>
      </c>
      <c r="H492" s="25" t="str">
        <v>điều chỉnh giá</v>
      </c>
      <c r="I492" s="24">
        <v>205000</v>
      </c>
    </row>
    <row r="493">
      <c r="A493" s="25" t="str">
        <v>76 PVH</v>
      </c>
      <c r="B493" s="25" t="str">
        <v>DV_Cắt</v>
      </c>
      <c r="C493" s="25">
        <v>513</v>
      </c>
      <c r="D493" s="25" t="str">
        <v>[DV] ShineCombo 10 bước Ultra Care 2023</v>
      </c>
      <c r="E493" s="27">
        <v>122000</v>
      </c>
      <c r="F493" s="26">
        <v>122000</v>
      </c>
      <c r="G493" s="25">
        <f>F493-E493</f>
      </c>
      <c r="H493" s="25"/>
      <c r="I493" s="24">
        <v>122000</v>
      </c>
    </row>
    <row r="494">
      <c r="A494" s="25" t="str">
        <v>76 PVH</v>
      </c>
      <c r="B494" s="25" t="str">
        <v>DV_Cắt</v>
      </c>
      <c r="C494" s="25">
        <v>891</v>
      </c>
      <c r="D494" s="25" t="str">
        <v>Cắt xả tạo kiểu</v>
      </c>
      <c r="E494" s="27">
        <v>94000</v>
      </c>
      <c r="F494" s="28">
        <v>103000</v>
      </c>
      <c r="G494" s="25">
        <f>F494-E494</f>
      </c>
      <c r="H494" s="25" t="str">
        <v>điều chỉnh giá</v>
      </c>
      <c r="I494" s="24">
        <v>94000</v>
      </c>
    </row>
    <row r="495">
      <c r="A495" s="25" t="str">
        <v>76 PVH</v>
      </c>
      <c r="B495" s="25" t="str">
        <v>DV_Cắt</v>
      </c>
      <c r="C495" s="25">
        <v>1002</v>
      </c>
      <c r="D495" s="25" t="str">
        <v>Kid Cắt</v>
      </c>
      <c r="E495" s="27">
        <v>75000</v>
      </c>
      <c r="F495" s="28">
        <v>84000</v>
      </c>
      <c r="G495" s="25">
        <f>F495-E495</f>
      </c>
      <c r="H495" s="25" t="str">
        <v>điều chỉnh giá</v>
      </c>
      <c r="I495" s="24">
        <v>75000</v>
      </c>
    </row>
    <row r="496">
      <c r="A496" s="25" t="str">
        <v>76 PVH</v>
      </c>
      <c r="B496" s="25" t="str">
        <v>DV_Cắt_Vip</v>
      </c>
      <c r="C496" s="25">
        <v>1047</v>
      </c>
      <c r="D496" s="25" t="str">
        <v>Cắt Gội Combo 3 - Chăm da</v>
      </c>
      <c r="E496" s="27">
        <v>299000</v>
      </c>
      <c r="F496" s="28">
        <v>308000</v>
      </c>
      <c r="G496" s="25">
        <f>F496-E496</f>
      </c>
      <c r="H496" s="25" t="str">
        <v>điều chỉnh giá</v>
      </c>
      <c r="I496" s="24">
        <v>299000</v>
      </c>
    </row>
    <row r="497">
      <c r="A497" s="25" t="str">
        <v>76 PVH</v>
      </c>
      <c r="B497" s="25" t="str">
        <v>DV_Cắt_Vip</v>
      </c>
      <c r="C497" s="25">
        <v>1065</v>
      </c>
      <c r="D497" s="25" t="str">
        <v>Cắt Gội Combo 3 - Dưỡng sinh</v>
      </c>
      <c r="E497" s="27">
        <v>299000</v>
      </c>
      <c r="F497" s="28">
        <v>308000</v>
      </c>
      <c r="G497" s="25">
        <f>F497-E497</f>
      </c>
      <c r="H497" s="25" t="str">
        <v>điều chỉnh giá</v>
      </c>
      <c r="I497" s="24">
        <v>299000</v>
      </c>
    </row>
    <row r="498">
      <c r="A498" s="25" t="str">
        <v>76 PVH</v>
      </c>
      <c r="B498" s="25" t="str">
        <v>DV_Cắt_Vip</v>
      </c>
      <c r="C498" s="25">
        <v>1064</v>
      </c>
      <c r="D498" s="25" t="str">
        <v>Cắt Gội Combo 5 - Dưỡng sinh</v>
      </c>
      <c r="E498" s="27">
        <v>459000</v>
      </c>
      <c r="F498" s="28">
        <v>468000</v>
      </c>
      <c r="G498" s="25">
        <f>F498-E498</f>
      </c>
      <c r="H498" s="25" t="str">
        <v>điều chỉnh giá</v>
      </c>
      <c r="I498" s="24">
        <v>459000</v>
      </c>
    </row>
    <row r="499">
      <c r="A499" s="25" t="str">
        <v>76 PVH</v>
      </c>
      <c r="B499" s="25" t="str">
        <v>DV_Cắt_Vip</v>
      </c>
      <c r="C499" s="25">
        <v>1048</v>
      </c>
      <c r="D499" s="25" t="str">
        <v>Combo 4</v>
      </c>
      <c r="E499" s="27">
        <v>389000</v>
      </c>
      <c r="F499" s="28">
        <v>398000</v>
      </c>
      <c r="G499" s="25">
        <f>F499-E499</f>
      </c>
      <c r="H499" s="25" t="str">
        <v>điều chỉnh giá</v>
      </c>
      <c r="I499" s="24">
        <v>389000</v>
      </c>
    </row>
    <row r="500">
      <c r="A500" s="25" t="str">
        <v>76 PVH</v>
      </c>
      <c r="B500" s="25" t="str">
        <v>DV_Cắt_Vip</v>
      </c>
      <c r="C500" s="25">
        <v>1194</v>
      </c>
      <c r="D500" s="25" t="str">
        <v>Combo Best choice</v>
      </c>
      <c r="E500" s="27">
        <v>299000</v>
      </c>
      <c r="F500" s="28">
        <v>308000</v>
      </c>
      <c r="G500" s="25">
        <f>F500-E500</f>
      </c>
      <c r="H500" s="25" t="str">
        <v>điều chỉnh giá</v>
      </c>
      <c r="I500" s="24">
        <v>299000</v>
      </c>
    </row>
    <row r="501">
      <c r="A501" s="25" t="str">
        <v>76 PVH</v>
      </c>
      <c r="B501" s="25" t="str">
        <v>DV_Cắt_Vip</v>
      </c>
      <c r="C501" s="25">
        <v>1046</v>
      </c>
      <c r="D501" s="25" t="str">
        <v>Shinecombo 2</v>
      </c>
      <c r="E501" s="27">
        <v>199000</v>
      </c>
      <c r="F501" s="28">
        <v>208000</v>
      </c>
      <c r="G501" s="25">
        <f>F501-E501</f>
      </c>
      <c r="H501" s="25" t="str">
        <v>điều chỉnh giá</v>
      </c>
      <c r="I501" s="24">
        <v>199000</v>
      </c>
    </row>
    <row r="502">
      <c r="A502" s="25" t="str">
        <v>8 CVL</v>
      </c>
      <c r="B502" s="25" t="str">
        <v>DV_Cắt</v>
      </c>
      <c r="C502" s="25">
        <v>513</v>
      </c>
      <c r="D502" s="25" t="str">
        <v>[DV] ShineCombo 10 bước Ultra Care 2023</v>
      </c>
      <c r="E502" s="27">
        <v>122000</v>
      </c>
      <c r="F502" s="26">
        <v>122000</v>
      </c>
      <c r="G502" s="25">
        <f>F502-E502</f>
      </c>
      <c r="H502" s="25"/>
      <c r="I502" s="24">
        <v>122000</v>
      </c>
    </row>
    <row r="503">
      <c r="A503" s="25" t="str">
        <v>8 CVL</v>
      </c>
      <c r="B503" s="25" t="str">
        <v>DV_Cắt</v>
      </c>
      <c r="C503" s="25">
        <v>891</v>
      </c>
      <c r="D503" s="25" t="str">
        <v>Cắt xả tạo kiểu</v>
      </c>
      <c r="E503" s="27">
        <v>94000</v>
      </c>
      <c r="F503" s="28">
        <v>100000</v>
      </c>
      <c r="G503" s="25">
        <f>F503-E503</f>
      </c>
      <c r="H503" s="25" t="str">
        <v>điều chỉnh giá</v>
      </c>
      <c r="I503" s="24">
        <v>100000</v>
      </c>
    </row>
    <row r="504">
      <c r="A504" s="25" t="str">
        <v>8 CVL</v>
      </c>
      <c r="B504" s="25" t="str">
        <v>DV_Cắt</v>
      </c>
      <c r="C504" s="25">
        <v>1052</v>
      </c>
      <c r="D504" s="25" t="str">
        <v>Combo 1 - First Class 1</v>
      </c>
      <c r="E504" s="27">
        <v>159000</v>
      </c>
      <c r="F504" s="26">
        <v>159000</v>
      </c>
      <c r="G504" s="25">
        <f>F504-E504</f>
      </c>
      <c r="H504" s="25"/>
      <c r="I504" s="24">
        <v>159000</v>
      </c>
    </row>
    <row r="505">
      <c r="A505" s="25" t="str">
        <v>8 CVL</v>
      </c>
      <c r="B505" s="25" t="str">
        <v>DV_Cắt</v>
      </c>
      <c r="C505" s="25">
        <v>1002</v>
      </c>
      <c r="D505" s="25" t="str">
        <v>Kid Cắt</v>
      </c>
      <c r="E505" s="27">
        <v>75000</v>
      </c>
      <c r="F505" s="28">
        <v>81000</v>
      </c>
      <c r="G505" s="25">
        <f>F505-E505</f>
      </c>
      <c r="H505" s="25" t="str">
        <v>điều chỉnh giá</v>
      </c>
      <c r="I505" s="24">
        <v>81000</v>
      </c>
    </row>
    <row r="506">
      <c r="A506" s="25" t="str">
        <v>8 CVL</v>
      </c>
      <c r="B506" s="25" t="str">
        <v>DV_Cắt_Vip</v>
      </c>
      <c r="C506" s="25">
        <v>1047</v>
      </c>
      <c r="D506" s="25" t="str">
        <v>Cắt Gội Combo 3 - Chăm da</v>
      </c>
      <c r="E506" s="27">
        <v>287000</v>
      </c>
      <c r="F506" s="28">
        <v>293000</v>
      </c>
      <c r="G506" s="25">
        <f>F506-E506</f>
      </c>
      <c r="H506" s="25" t="str">
        <v>điều chỉnh giá</v>
      </c>
      <c r="I506" s="24">
        <v>293000</v>
      </c>
    </row>
    <row r="507">
      <c r="A507" s="25" t="str">
        <v>8 CVL</v>
      </c>
      <c r="B507" s="25" t="str">
        <v>DV_Cắt_Vip</v>
      </c>
      <c r="C507" s="25">
        <v>1065</v>
      </c>
      <c r="D507" s="25" t="str">
        <v>Cắt Gội Combo 3 - Dưỡng sinh</v>
      </c>
      <c r="E507" s="27">
        <v>299000</v>
      </c>
      <c r="F507" s="28">
        <v>305000</v>
      </c>
      <c r="G507" s="25">
        <f>F507-E507</f>
      </c>
      <c r="H507" s="25" t="str">
        <v>điều chỉnh giá</v>
      </c>
      <c r="I507" s="24">
        <v>305000</v>
      </c>
    </row>
    <row r="508">
      <c r="A508" s="25" t="str">
        <v>8 CVL</v>
      </c>
      <c r="B508" s="25" t="str">
        <v>DV_Cắt_Vip</v>
      </c>
      <c r="C508" s="25">
        <v>1064</v>
      </c>
      <c r="D508" s="25" t="str">
        <v>Cắt Gội Combo 5 - Dưỡng sinh</v>
      </c>
      <c r="E508" s="27">
        <v>459000</v>
      </c>
      <c r="F508" s="28">
        <v>465000</v>
      </c>
      <c r="G508" s="25">
        <f>F508-E508</f>
      </c>
      <c r="H508" s="25" t="str">
        <v>điều chỉnh giá</v>
      </c>
      <c r="I508" s="24">
        <v>465000</v>
      </c>
    </row>
    <row r="509">
      <c r="A509" s="25" t="str">
        <v>8 CVL</v>
      </c>
      <c r="B509" s="25" t="str">
        <v>DV_Cắt_Vip</v>
      </c>
      <c r="C509" s="25">
        <v>1054</v>
      </c>
      <c r="D509" s="25" t="str">
        <v>Combo 3 - First Class 3</v>
      </c>
      <c r="E509" s="27">
        <v>299000</v>
      </c>
      <c r="F509" s="28">
        <v>305000</v>
      </c>
      <c r="G509" s="25">
        <f>F509-E509</f>
      </c>
      <c r="H509" s="25" t="str">
        <v>điều chỉnh giá</v>
      </c>
      <c r="I509" s="24">
        <v>305000</v>
      </c>
    </row>
    <row r="510">
      <c r="A510" s="25" t="str">
        <v>8 CVL</v>
      </c>
      <c r="B510" s="25" t="str">
        <v>DV_Cắt_Vip</v>
      </c>
      <c r="C510" s="25">
        <v>1048</v>
      </c>
      <c r="D510" s="25" t="str">
        <v>Combo 4</v>
      </c>
      <c r="E510" s="27">
        <v>389000</v>
      </c>
      <c r="F510" s="28">
        <v>395000</v>
      </c>
      <c r="G510" s="25">
        <f>F510-E510</f>
      </c>
      <c r="H510" s="25" t="str">
        <v>điều chỉnh giá</v>
      </c>
      <c r="I510" s="24">
        <v>395000</v>
      </c>
    </row>
    <row r="511">
      <c r="A511" s="25" t="str">
        <v>8 CVL</v>
      </c>
      <c r="B511" s="25" t="str">
        <v>DV_Cắt_Vip</v>
      </c>
      <c r="C511" s="25">
        <v>1194</v>
      </c>
      <c r="D511" s="25" t="str">
        <v>Combo Best choice</v>
      </c>
      <c r="E511" s="27">
        <v>299000</v>
      </c>
      <c r="F511" s="28">
        <v>305000</v>
      </c>
      <c r="G511" s="25">
        <f>F511-E511</f>
      </c>
      <c r="H511" s="25" t="str">
        <v>điều chỉnh giá</v>
      </c>
      <c r="I511" s="24">
        <v>305000</v>
      </c>
    </row>
    <row r="512">
      <c r="A512" s="25" t="str">
        <v>8 CVL</v>
      </c>
      <c r="B512" s="25" t="str">
        <v>DV_Cắt_Vip</v>
      </c>
      <c r="C512" s="25">
        <v>1046</v>
      </c>
      <c r="D512" s="25" t="str">
        <v>Shinecombo 2</v>
      </c>
      <c r="E512" s="27">
        <v>199000</v>
      </c>
      <c r="F512" s="28">
        <v>205000</v>
      </c>
      <c r="G512" s="25">
        <f>F512-E512</f>
      </c>
      <c r="H512" s="25" t="str">
        <v>điều chỉnh giá</v>
      </c>
      <c r="I512" s="24">
        <v>205000</v>
      </c>
    </row>
    <row r="513">
      <c r="A513" s="25" t="str">
        <v>80 PL BD</v>
      </c>
      <c r="B513" s="25" t="str">
        <v>DV_Cắt</v>
      </c>
      <c r="C513" s="25">
        <v>513</v>
      </c>
      <c r="D513" s="25" t="str">
        <v>[DV] ShineCombo 10 bước Ultra Care 2023</v>
      </c>
      <c r="E513" s="27">
        <v>122000</v>
      </c>
      <c r="F513" s="26">
        <v>122000</v>
      </c>
      <c r="G513" s="25">
        <f>F513-E513</f>
      </c>
      <c r="H513" s="25"/>
      <c r="I513" s="24">
        <v>122000</v>
      </c>
    </row>
    <row r="514">
      <c r="A514" s="25" t="str">
        <v>80 PL BD</v>
      </c>
      <c r="B514" s="25" t="str">
        <v>DV_Cắt</v>
      </c>
      <c r="C514" s="25">
        <v>891</v>
      </c>
      <c r="D514" s="25" t="str">
        <v>Cắt xả tạo kiểu</v>
      </c>
      <c r="E514" s="27">
        <v>94000</v>
      </c>
      <c r="F514" s="26">
        <v>94000</v>
      </c>
      <c r="G514" s="25">
        <f>F514-E514</f>
      </c>
      <c r="H514" s="25"/>
      <c r="I514" s="24">
        <v>94000</v>
      </c>
    </row>
    <row r="515">
      <c r="A515" s="25" t="str">
        <v>80 PL BD</v>
      </c>
      <c r="B515" s="25" t="str">
        <v>DV_Cắt</v>
      </c>
      <c r="C515" s="25">
        <v>1052</v>
      </c>
      <c r="D515" s="25" t="str">
        <v>Combo 1 - First Class 1</v>
      </c>
      <c r="E515" s="27">
        <v>159000</v>
      </c>
      <c r="F515" s="26">
        <v>159000</v>
      </c>
      <c r="G515" s="25">
        <f>F515-E515</f>
      </c>
      <c r="H515" s="25"/>
      <c r="I515" s="24">
        <v>159000</v>
      </c>
    </row>
    <row r="516">
      <c r="A516" s="25" t="str">
        <v>80 PL BD</v>
      </c>
      <c r="B516" s="25" t="str">
        <v>DV_Cắt</v>
      </c>
      <c r="C516" s="25">
        <v>1070</v>
      </c>
      <c r="D516" s="25" t="str">
        <v>Combo Cắt gội Kid</v>
      </c>
      <c r="E516" s="27">
        <v>100000</v>
      </c>
      <c r="F516" s="26">
        <v>100000</v>
      </c>
      <c r="G516" s="25">
        <f>F516-E516</f>
      </c>
      <c r="H516" s="25"/>
      <c r="I516" s="24">
        <v>100000</v>
      </c>
    </row>
    <row r="517">
      <c r="A517" s="25" t="str">
        <v>80 PL BD</v>
      </c>
      <c r="B517" s="25" t="str">
        <v>DV_Cắt</v>
      </c>
      <c r="C517" s="25">
        <v>1002</v>
      </c>
      <c r="D517" s="25" t="str">
        <v>Kid Cắt</v>
      </c>
      <c r="E517" s="27">
        <v>75000</v>
      </c>
      <c r="F517" s="26">
        <v>75000</v>
      </c>
      <c r="G517" s="25">
        <f>F517-E517</f>
      </c>
      <c r="H517" s="25"/>
      <c r="I517" s="24">
        <v>75000</v>
      </c>
    </row>
    <row r="518">
      <c r="A518" s="25" t="str">
        <v>80 PL BD</v>
      </c>
      <c r="B518" s="25" t="str">
        <v>DV_Cắt_Vip</v>
      </c>
      <c r="C518" s="25">
        <v>1047</v>
      </c>
      <c r="D518" s="25" t="str">
        <v>Cắt Gội Combo 3 - Chăm da</v>
      </c>
      <c r="E518" s="27">
        <v>299000</v>
      </c>
      <c r="F518" s="26">
        <v>299000</v>
      </c>
      <c r="G518" s="25">
        <f>F518-E518</f>
      </c>
      <c r="H518" s="25"/>
      <c r="I518" s="24">
        <v>299000</v>
      </c>
    </row>
    <row r="519">
      <c r="A519" s="25" t="str">
        <v>80 PL BD</v>
      </c>
      <c r="B519" s="25" t="str">
        <v>DV_Cắt_Vip</v>
      </c>
      <c r="C519" s="25">
        <v>1065</v>
      </c>
      <c r="D519" s="25" t="str">
        <v>Cắt Gội Combo 3 - Dưỡng sinh</v>
      </c>
      <c r="E519" s="27">
        <v>299000</v>
      </c>
      <c r="F519" s="26">
        <v>299000</v>
      </c>
      <c r="G519" s="25">
        <f>F519-E519</f>
      </c>
      <c r="H519" s="25"/>
      <c r="I519" s="24">
        <v>299000</v>
      </c>
    </row>
    <row r="520">
      <c r="A520" s="25" t="str">
        <v>80 PL BD</v>
      </c>
      <c r="B520" s="25" t="str">
        <v>DV_Cắt_Vip</v>
      </c>
      <c r="C520" s="25">
        <v>1048</v>
      </c>
      <c r="D520" s="25" t="str">
        <v>Combo 4</v>
      </c>
      <c r="E520" s="27">
        <v>389000</v>
      </c>
      <c r="F520" s="26">
        <v>389000</v>
      </c>
      <c r="G520" s="25">
        <f>F520-E520</f>
      </c>
      <c r="H520" s="25"/>
      <c r="I520" s="24">
        <v>389000</v>
      </c>
    </row>
    <row r="521">
      <c r="A521" s="25" t="str">
        <v>80 PL BD</v>
      </c>
      <c r="B521" s="25" t="str">
        <v>DV_Cắt_Vip</v>
      </c>
      <c r="C521" s="25">
        <v>1150</v>
      </c>
      <c r="D521" s="25" t="str">
        <v>Combo cắt gội đỉnh cao thư giãn vip</v>
      </c>
      <c r="E521" s="27">
        <v>500000</v>
      </c>
      <c r="F521" s="26">
        <v>500000</v>
      </c>
      <c r="G521" s="25">
        <f>F521-E521</f>
      </c>
      <c r="H521" s="25"/>
      <c r="I521" s="24">
        <v>500000</v>
      </c>
    </row>
    <row r="522">
      <c r="A522" s="25" t="str">
        <v>80 PL BD</v>
      </c>
      <c r="B522" s="25" t="str">
        <v>DV_Cắt_Vip</v>
      </c>
      <c r="C522" s="25">
        <v>1046</v>
      </c>
      <c r="D522" s="25" t="str">
        <v>Shinecombo 2</v>
      </c>
      <c r="E522" s="27">
        <v>199000</v>
      </c>
      <c r="F522" s="26">
        <v>199000</v>
      </c>
      <c r="G522" s="25">
        <f>F522-E522</f>
      </c>
      <c r="H522" s="25"/>
      <c r="I522" s="24">
        <v>199000</v>
      </c>
    </row>
    <row r="523">
      <c r="A523" s="25" t="str">
        <v>80 TP TH</v>
      </c>
      <c r="B523" s="25" t="str">
        <v>DV_Cắt</v>
      </c>
      <c r="C523" s="25">
        <v>513</v>
      </c>
      <c r="D523" s="25" t="str">
        <v>[DV] ShineCombo 10 bước Ultra Care 2023</v>
      </c>
      <c r="E523" s="27">
        <v>122000</v>
      </c>
      <c r="F523" s="26">
        <v>122000</v>
      </c>
      <c r="G523" s="25">
        <f>F523-E523</f>
      </c>
      <c r="H523" s="25"/>
      <c r="I523" s="24">
        <v>122000</v>
      </c>
    </row>
    <row r="524">
      <c r="A524" s="25" t="str">
        <v>80 TP TH</v>
      </c>
      <c r="B524" s="25" t="str">
        <v>DV_Cắt</v>
      </c>
      <c r="C524" s="25">
        <v>891</v>
      </c>
      <c r="D524" s="25" t="str">
        <v>Cắt xả tạo kiểu</v>
      </c>
      <c r="E524" s="27">
        <v>94000</v>
      </c>
      <c r="F524" s="28">
        <v>103000</v>
      </c>
      <c r="G524" s="25">
        <f>F524-E524</f>
      </c>
      <c r="H524" s="25" t="str">
        <v>điều chỉnh giá</v>
      </c>
      <c r="I524" s="24">
        <v>103000</v>
      </c>
    </row>
    <row r="525">
      <c r="A525" s="25" t="str">
        <v>80 TP TH</v>
      </c>
      <c r="B525" s="25" t="str">
        <v>DV_Cắt</v>
      </c>
      <c r="C525" s="25">
        <v>1002</v>
      </c>
      <c r="D525" s="25" t="str">
        <v>Kid Cắt</v>
      </c>
      <c r="E525" s="27">
        <v>75000</v>
      </c>
      <c r="F525" s="28">
        <v>84000</v>
      </c>
      <c r="G525" s="25">
        <f>F525-E525</f>
      </c>
      <c r="H525" s="25" t="str">
        <v>điều chỉnh giá</v>
      </c>
      <c r="I525" s="24">
        <v>84000</v>
      </c>
    </row>
    <row r="526">
      <c r="A526" s="25" t="str">
        <v>80 TP TH</v>
      </c>
      <c r="B526" s="25" t="str">
        <v>DV_Cắt</v>
      </c>
      <c r="C526" s="25">
        <v>1255</v>
      </c>
      <c r="D526" s="25" t="str">
        <v>VH Cắt gội dưỡng sinh Vip</v>
      </c>
      <c r="E526" s="27">
        <v>249000</v>
      </c>
      <c r="F526" s="28">
        <v>258000</v>
      </c>
      <c r="G526" s="25">
        <f>F526-E526</f>
      </c>
      <c r="H526" s="25" t="str">
        <v>điều chỉnh giá</v>
      </c>
      <c r="I526" s="24">
        <v>258000</v>
      </c>
    </row>
    <row r="527">
      <c r="A527" s="25" t="str">
        <v>80 TP TH</v>
      </c>
      <c r="B527" s="25" t="str">
        <v>DV_Cắt_Vip</v>
      </c>
      <c r="C527" s="25">
        <v>1047</v>
      </c>
      <c r="D527" s="25" t="str">
        <v>Cắt Gội Combo 3 - Chăm da</v>
      </c>
      <c r="E527" s="27">
        <v>299000</v>
      </c>
      <c r="F527" s="28">
        <v>308000</v>
      </c>
      <c r="G527" s="25">
        <f>F527-E527</f>
      </c>
      <c r="H527" s="25" t="str">
        <v>điều chỉnh giá</v>
      </c>
      <c r="I527" s="24">
        <v>308000</v>
      </c>
    </row>
    <row r="528">
      <c r="A528" s="25" t="str">
        <v>80 TP TH</v>
      </c>
      <c r="B528" s="25" t="str">
        <v>DV_Cắt_Vip</v>
      </c>
      <c r="C528" s="25">
        <v>1065</v>
      </c>
      <c r="D528" s="25" t="str">
        <v>Cắt Gội Combo 3 - Dưỡng sinh</v>
      </c>
      <c r="E528" s="27">
        <v>299000</v>
      </c>
      <c r="F528" s="28">
        <v>308000</v>
      </c>
      <c r="G528" s="25">
        <f>F528-E528</f>
      </c>
      <c r="H528" s="25" t="str">
        <v>điều chỉnh giá</v>
      </c>
      <c r="I528" s="24">
        <v>308000</v>
      </c>
    </row>
    <row r="529">
      <c r="A529" s="25" t="str">
        <v>80 TP TH</v>
      </c>
      <c r="B529" s="25" t="str">
        <v>DV_Cắt_Vip</v>
      </c>
      <c r="C529" s="25">
        <v>1048</v>
      </c>
      <c r="D529" s="25" t="str">
        <v>Combo 4</v>
      </c>
      <c r="E529" s="27">
        <v>389000</v>
      </c>
      <c r="F529" s="28">
        <v>398000</v>
      </c>
      <c r="G529" s="25">
        <f>F529-E529</f>
      </c>
      <c r="H529" s="25" t="str">
        <v>điều chỉnh giá</v>
      </c>
      <c r="I529" s="24">
        <v>398000</v>
      </c>
    </row>
    <row r="530">
      <c r="A530" s="25" t="str">
        <v>80 TP TH</v>
      </c>
      <c r="B530" s="25" t="str">
        <v>DV_Cắt_Vip</v>
      </c>
      <c r="C530" s="25">
        <v>1046</v>
      </c>
      <c r="D530" s="25" t="str">
        <v>Shinecombo 2</v>
      </c>
      <c r="E530" s="27">
        <v>199000</v>
      </c>
      <c r="F530" s="28">
        <v>208000</v>
      </c>
      <c r="G530" s="25">
        <f>F530-E530</f>
      </c>
      <c r="H530" s="25" t="str">
        <v>điều chỉnh giá</v>
      </c>
      <c r="I530" s="24">
        <v>208000</v>
      </c>
    </row>
    <row r="531">
      <c r="A531" s="25" t="str">
        <v>80 TP TH</v>
      </c>
      <c r="B531" s="25" t="str">
        <v>DV_Cắt_Vip</v>
      </c>
      <c r="C531" s="25">
        <v>1256</v>
      </c>
      <c r="D531" s="25" t="str">
        <v>VH Cắt gội dưỡng sinh Vip LRT</v>
      </c>
      <c r="E531" s="27">
        <v>299000</v>
      </c>
      <c r="F531" s="28">
        <v>308000</v>
      </c>
      <c r="G531" s="25">
        <f>F531-E531</f>
      </c>
      <c r="H531" s="25" t="str">
        <v>điều chỉnh giá</v>
      </c>
      <c r="I531" s="24">
        <v>308000</v>
      </c>
    </row>
    <row r="532">
      <c r="A532" s="25" t="str">
        <v>80 TP TH</v>
      </c>
      <c r="B532" s="25" t="str">
        <v>DV_Cắt_Vip</v>
      </c>
      <c r="C532" s="25">
        <v>1257</v>
      </c>
      <c r="D532" s="25" t="str">
        <v>VH Cắt gội thư giãn phục hồi</v>
      </c>
      <c r="E532" s="27">
        <v>449000</v>
      </c>
      <c r="F532" s="28">
        <v>458000</v>
      </c>
      <c r="G532" s="25">
        <f>F532-E532</f>
      </c>
      <c r="H532" s="25" t="str">
        <v>điều chỉnh giá</v>
      </c>
      <c r="I532" s="24">
        <v>458000</v>
      </c>
    </row>
    <row r="533">
      <c r="A533" s="25" t="str">
        <v>90 NH</v>
      </c>
      <c r="B533" s="25" t="str">
        <v>DV_Cắt</v>
      </c>
      <c r="C533" s="25">
        <v>513</v>
      </c>
      <c r="D533" s="25" t="str">
        <v>[DV] ShineCombo 10 bước Ultra Care 2023</v>
      </c>
      <c r="E533" s="27">
        <v>122000</v>
      </c>
      <c r="F533" s="26">
        <v>122000</v>
      </c>
      <c r="G533" s="25">
        <f>F533-E533</f>
      </c>
      <c r="H533" s="25"/>
      <c r="I533" s="24">
        <v>122000</v>
      </c>
    </row>
    <row r="534">
      <c r="A534" s="25" t="str">
        <v>90 NH</v>
      </c>
      <c r="B534" s="25" t="str">
        <v>DV_Cắt</v>
      </c>
      <c r="C534" s="25">
        <v>891</v>
      </c>
      <c r="D534" s="25" t="str">
        <v>Cắt xả tạo kiểu</v>
      </c>
      <c r="E534" s="27">
        <v>94000</v>
      </c>
      <c r="F534" s="28">
        <v>98999.99999999999</v>
      </c>
      <c r="G534" s="25">
        <f>F534-E534</f>
      </c>
      <c r="H534" s="25" t="str">
        <v>điều chỉnh giá</v>
      </c>
      <c r="I534" s="24">
        <v>94000</v>
      </c>
    </row>
    <row r="535">
      <c r="A535" s="25" t="str">
        <v>90 NH</v>
      </c>
      <c r="B535" s="25" t="str">
        <v>DV_Cắt</v>
      </c>
      <c r="C535" s="25">
        <v>1002</v>
      </c>
      <c r="D535" s="25" t="str">
        <v>Kid Cắt</v>
      </c>
      <c r="E535" s="27">
        <v>75000</v>
      </c>
      <c r="F535" s="28">
        <v>79999.99999999999</v>
      </c>
      <c r="G535" s="25">
        <f>F535-E535</f>
      </c>
      <c r="H535" s="25" t="str">
        <v>điều chỉnh giá</v>
      </c>
      <c r="I535" s="24">
        <v>75000</v>
      </c>
    </row>
    <row r="536">
      <c r="A536" s="25" t="str">
        <v>90 NH</v>
      </c>
      <c r="B536" s="25" t="str">
        <v>DV_Cắt_Vip</v>
      </c>
      <c r="C536" s="25">
        <v>1047</v>
      </c>
      <c r="D536" s="25" t="str">
        <v>Cắt Gội Combo 3 - Chăm da</v>
      </c>
      <c r="E536" s="27">
        <v>299000</v>
      </c>
      <c r="F536" s="28">
        <v>304000</v>
      </c>
      <c r="G536" s="25">
        <f>F536-E536</f>
      </c>
      <c r="H536" s="25" t="str">
        <v>điều chỉnh giá</v>
      </c>
      <c r="I536" s="24">
        <v>299000</v>
      </c>
    </row>
    <row r="537">
      <c r="A537" s="25" t="str">
        <v>90 NH</v>
      </c>
      <c r="B537" s="25" t="str">
        <v>DV_Cắt_Vip</v>
      </c>
      <c r="C537" s="25">
        <v>1065</v>
      </c>
      <c r="D537" s="25" t="str">
        <v>Cắt Gội Combo 3 - Dưỡng sinh</v>
      </c>
      <c r="E537" s="27">
        <v>299000</v>
      </c>
      <c r="F537" s="28">
        <v>304000</v>
      </c>
      <c r="G537" s="25">
        <f>F537-E537</f>
      </c>
      <c r="H537" s="25" t="str">
        <v>điều chỉnh giá</v>
      </c>
      <c r="I537" s="24">
        <v>299000</v>
      </c>
    </row>
    <row r="538">
      <c r="A538" s="25" t="str">
        <v>90 NH</v>
      </c>
      <c r="B538" s="25" t="str">
        <v>DV_Cắt_Vip</v>
      </c>
      <c r="C538" s="25">
        <v>1064</v>
      </c>
      <c r="D538" s="25" t="str">
        <v>Cắt Gội Combo 5 - Dưỡng sinh</v>
      </c>
      <c r="E538" s="27">
        <v>459000</v>
      </c>
      <c r="F538" s="28">
        <v>464000</v>
      </c>
      <c r="G538" s="25">
        <f>F538-E538</f>
      </c>
      <c r="H538" s="25" t="str">
        <v>điều chỉnh giá</v>
      </c>
      <c r="I538" s="24">
        <v>459000</v>
      </c>
    </row>
    <row r="539">
      <c r="A539" s="25" t="str">
        <v>90 NH</v>
      </c>
      <c r="B539" s="25" t="str">
        <v>DV_Cắt_Vip</v>
      </c>
      <c r="C539" s="25">
        <v>1048</v>
      </c>
      <c r="D539" s="25" t="str">
        <v>Combo 4</v>
      </c>
      <c r="E539" s="27">
        <v>389000</v>
      </c>
      <c r="F539" s="28">
        <v>394000</v>
      </c>
      <c r="G539" s="25">
        <f>F539-E539</f>
      </c>
      <c r="H539" s="25" t="str">
        <v>điều chỉnh giá</v>
      </c>
      <c r="I539" s="24">
        <v>389000</v>
      </c>
    </row>
    <row r="540">
      <c r="A540" s="25" t="str">
        <v>90 NH</v>
      </c>
      <c r="B540" s="25" t="str">
        <v>DV_Cắt_Vip</v>
      </c>
      <c r="C540" s="25">
        <v>1046</v>
      </c>
      <c r="D540" s="25" t="str">
        <v>Shinecombo 2</v>
      </c>
      <c r="E540" s="27">
        <v>199000</v>
      </c>
      <c r="F540" s="28">
        <v>204000</v>
      </c>
      <c r="G540" s="25">
        <f>F540-E540</f>
      </c>
      <c r="H540" s="25" t="str">
        <v>điều chỉnh giá</v>
      </c>
      <c r="I540" s="24">
        <v>199000</v>
      </c>
    </row>
    <row r="541">
      <c r="A541" s="25" t="str">
        <v>927 HG</v>
      </c>
      <c r="B541" s="25" t="str">
        <v>DV_Cắt</v>
      </c>
      <c r="C541" s="25">
        <v>513</v>
      </c>
      <c r="D541" s="25" t="str">
        <v>[DV] ShineCombo 10 bước Ultra Care 2023</v>
      </c>
      <c r="E541" s="27">
        <v>122000</v>
      </c>
      <c r="F541" s="26">
        <v>122000</v>
      </c>
      <c r="G541" s="25">
        <f>F541-E541</f>
      </c>
      <c r="H541" s="25"/>
      <c r="I541" s="24">
        <v>122000</v>
      </c>
    </row>
    <row r="542">
      <c r="A542" s="25" t="str">
        <v>927 HG</v>
      </c>
      <c r="B542" s="25" t="str">
        <v>DV_Cắt</v>
      </c>
      <c r="C542" s="25">
        <v>891</v>
      </c>
      <c r="D542" s="25" t="str">
        <v>Cắt xả tạo kiểu</v>
      </c>
      <c r="E542" s="27">
        <v>94000</v>
      </c>
      <c r="F542" s="28">
        <v>100000</v>
      </c>
      <c r="G542" s="25">
        <f>F542-E542</f>
      </c>
      <c r="H542" s="25" t="str">
        <v>điều chỉnh giá</v>
      </c>
      <c r="I542" s="24">
        <v>100000</v>
      </c>
    </row>
    <row r="543">
      <c r="A543" s="25" t="str">
        <v>927 HG</v>
      </c>
      <c r="B543" s="25" t="str">
        <v>DV_Cắt</v>
      </c>
      <c r="C543" s="25">
        <v>1052</v>
      </c>
      <c r="D543" s="25" t="str">
        <v>Combo 1 - First Class 1</v>
      </c>
      <c r="E543" s="27">
        <v>139000</v>
      </c>
      <c r="F543" s="26">
        <v>139000</v>
      </c>
      <c r="G543" s="25">
        <f>F543-E543</f>
      </c>
      <c r="H543" s="25"/>
      <c r="I543" s="24">
        <v>139000</v>
      </c>
    </row>
    <row r="544">
      <c r="A544" s="25" t="str">
        <v>927 HG</v>
      </c>
      <c r="B544" s="25" t="str">
        <v>DV_Cắt</v>
      </c>
      <c r="C544" s="25">
        <v>1002</v>
      </c>
      <c r="D544" s="25" t="str">
        <v>Kid Cắt</v>
      </c>
      <c r="E544" s="27">
        <v>75000</v>
      </c>
      <c r="F544" s="28">
        <v>81000</v>
      </c>
      <c r="G544" s="25">
        <f>F544-E544</f>
      </c>
      <c r="H544" s="25" t="str">
        <v>điều chỉnh giá</v>
      </c>
      <c r="I544" s="24">
        <v>81000</v>
      </c>
    </row>
    <row r="545">
      <c r="A545" s="25" t="str">
        <v>927 HG</v>
      </c>
      <c r="B545" s="25" t="str">
        <v>DV_Cắt_Vip</v>
      </c>
      <c r="C545" s="25">
        <v>1047</v>
      </c>
      <c r="D545" s="25" t="str">
        <v>Cắt Gội Combo 3 - Chăm da</v>
      </c>
      <c r="E545" s="27">
        <v>299000</v>
      </c>
      <c r="F545" s="28">
        <v>305000</v>
      </c>
      <c r="G545" s="25">
        <f>F545-E545</f>
      </c>
      <c r="H545" s="25" t="str">
        <v>điều chỉnh giá</v>
      </c>
      <c r="I545" s="24">
        <v>305000</v>
      </c>
    </row>
    <row r="546">
      <c r="A546" s="25" t="str">
        <v>927 HG</v>
      </c>
      <c r="B546" s="25" t="str">
        <v>DV_Cắt_Vip</v>
      </c>
      <c r="C546" s="25">
        <v>1053</v>
      </c>
      <c r="D546" s="25" t="str">
        <v>Combo 2 - First Class 2</v>
      </c>
      <c r="E546" s="27">
        <v>239000</v>
      </c>
      <c r="F546" s="28">
        <v>245000</v>
      </c>
      <c r="G546" s="25">
        <f>F546-E546</f>
      </c>
      <c r="H546" s="25" t="str">
        <v>điều chỉnh giá</v>
      </c>
      <c r="I546" s="24">
        <v>245000</v>
      </c>
    </row>
    <row r="547">
      <c r="A547" s="25" t="str">
        <v>927 HG</v>
      </c>
      <c r="B547" s="25" t="str">
        <v>DV_Cắt_Vip</v>
      </c>
      <c r="C547" s="25">
        <v>1054</v>
      </c>
      <c r="D547" s="25" t="str">
        <v>Combo 3 - First Class 3</v>
      </c>
      <c r="E547" s="27">
        <v>309000</v>
      </c>
      <c r="F547" s="28">
        <v>315000</v>
      </c>
      <c r="G547" s="25">
        <f>F547-E547</f>
      </c>
      <c r="H547" s="25" t="str">
        <v>điều chỉnh giá</v>
      </c>
      <c r="I547" s="24">
        <v>315000</v>
      </c>
    </row>
    <row r="548">
      <c r="A548" s="25" t="str">
        <v>927 HG</v>
      </c>
      <c r="B548" s="25" t="str">
        <v>DV_Cắt_Vip</v>
      </c>
      <c r="C548" s="25">
        <v>1048</v>
      </c>
      <c r="D548" s="25" t="str">
        <v>Combo 4</v>
      </c>
      <c r="E548" s="27">
        <v>389000</v>
      </c>
      <c r="F548" s="28">
        <v>395000</v>
      </c>
      <c r="G548" s="25">
        <f>F548-E548</f>
      </c>
      <c r="H548" s="25" t="str">
        <v>điều chỉnh giá</v>
      </c>
      <c r="I548" s="24">
        <v>395000</v>
      </c>
    </row>
    <row r="549">
      <c r="A549" s="25" t="str">
        <v>927 HG</v>
      </c>
      <c r="B549" s="25" t="str">
        <v>DV_Cắt_Vip</v>
      </c>
      <c r="C549" s="25">
        <v>1055</v>
      </c>
      <c r="D549" s="25" t="str">
        <v>Combo 4- First Class 4</v>
      </c>
      <c r="E549" s="27">
        <v>409000</v>
      </c>
      <c r="F549" s="28">
        <v>415000</v>
      </c>
      <c r="G549" s="25">
        <f>F549-E549</f>
      </c>
      <c r="H549" s="25" t="str">
        <v>điều chỉnh giá</v>
      </c>
      <c r="I549" s="24">
        <v>415000</v>
      </c>
    </row>
    <row r="550">
      <c r="A550" s="25" t="str">
        <v>927 HG</v>
      </c>
      <c r="B550" s="25" t="str">
        <v>DV_Cắt_Vip</v>
      </c>
      <c r="C550" s="25">
        <v>1046</v>
      </c>
      <c r="D550" s="25" t="str">
        <v>Shinecombo 2</v>
      </c>
      <c r="E550" s="27">
        <v>199000</v>
      </c>
      <c r="F550" s="28">
        <v>205000</v>
      </c>
      <c r="G550" s="25">
        <f>F550-E550</f>
      </c>
      <c r="H550" s="25" t="str">
        <v>điều chỉnh giá</v>
      </c>
      <c r="I550" s="24">
        <v>205000</v>
      </c>
    </row>
    <row r="551">
      <c r="A551" s="25" t="str">
        <v>927 HG</v>
      </c>
      <c r="B551" s="25" t="str">
        <v>DV_Cắt</v>
      </c>
      <c r="C551" s="25">
        <v>1070</v>
      </c>
      <c r="D551" s="25" t="str">
        <v>Combo Cắt gội Kid</v>
      </c>
      <c r="E551" s="27">
        <v>100000</v>
      </c>
      <c r="F551" s="26">
        <v>100000</v>
      </c>
      <c r="G551" s="25">
        <f>F551-E551</f>
      </c>
      <c r="H551" s="25"/>
      <c r="I551" s="24">
        <v>100000</v>
      </c>
    </row>
    <row r="552">
      <c r="A552" s="25" t="str">
        <v>99 TSN</v>
      </c>
      <c r="B552" s="25" t="str">
        <v>DV_Cắt</v>
      </c>
      <c r="C552" s="25">
        <v>513</v>
      </c>
      <c r="D552" s="25" t="str">
        <v>[DV] ShineCombo 10 bước Ultra Care 2023</v>
      </c>
      <c r="E552" s="27">
        <v>122000</v>
      </c>
      <c r="F552" s="26">
        <v>122000</v>
      </c>
      <c r="G552" s="25">
        <f>F552-E552</f>
      </c>
      <c r="H552" s="25"/>
      <c r="I552" s="24">
        <v>122000</v>
      </c>
    </row>
    <row r="553">
      <c r="A553" s="25" t="str">
        <v>99 TSN</v>
      </c>
      <c r="B553" s="25" t="str">
        <v>DV_Cắt</v>
      </c>
      <c r="C553" s="25">
        <v>891</v>
      </c>
      <c r="D553" s="25" t="str">
        <v>Cắt xả tạo kiểu</v>
      </c>
      <c r="E553" s="27">
        <v>94000</v>
      </c>
      <c r="F553" s="28">
        <v>100000</v>
      </c>
      <c r="G553" s="25">
        <f>F553-E553</f>
      </c>
      <c r="H553" s="25" t="str">
        <v>điều chỉnh giá</v>
      </c>
      <c r="I553" s="24">
        <v>100000</v>
      </c>
    </row>
    <row r="554">
      <c r="A554" s="25" t="str">
        <v>99 TSN</v>
      </c>
      <c r="B554" s="25" t="str">
        <v>DV_Cắt</v>
      </c>
      <c r="C554" s="25">
        <v>1002</v>
      </c>
      <c r="D554" s="25" t="str">
        <v>Kid Cắt</v>
      </c>
      <c r="E554" s="27">
        <v>75000</v>
      </c>
      <c r="F554" s="28">
        <v>81000</v>
      </c>
      <c r="G554" s="25">
        <f>F554-E554</f>
      </c>
      <c r="H554" s="25" t="str">
        <v>điều chỉnh giá</v>
      </c>
      <c r="I554" s="24">
        <v>81000</v>
      </c>
    </row>
    <row r="555">
      <c r="A555" s="25" t="str">
        <v>99 TSN</v>
      </c>
      <c r="B555" s="25" t="str">
        <v>DV_Cắt_Vip</v>
      </c>
      <c r="C555" s="25">
        <v>1047</v>
      </c>
      <c r="D555" s="25" t="str">
        <v>Cắt Gội Combo 3 - Chăm da</v>
      </c>
      <c r="E555" s="27">
        <v>299000</v>
      </c>
      <c r="F555" s="28">
        <v>305000</v>
      </c>
      <c r="G555" s="25">
        <f>F555-E555</f>
      </c>
      <c r="H555" s="25" t="str">
        <v>điều chỉnh giá</v>
      </c>
      <c r="I555" s="24">
        <v>305000</v>
      </c>
    </row>
    <row r="556">
      <c r="A556" s="25" t="str">
        <v>99 TSN</v>
      </c>
      <c r="B556" s="25" t="str">
        <v>DV_Cắt_Vip</v>
      </c>
      <c r="C556" s="25">
        <v>1065</v>
      </c>
      <c r="D556" s="25" t="str">
        <v>Cắt Gội Combo 3 - Dưỡng sinh</v>
      </c>
      <c r="E556" s="27">
        <v>299000</v>
      </c>
      <c r="F556" s="28">
        <v>305000</v>
      </c>
      <c r="G556" s="25">
        <f>F556-E556</f>
      </c>
      <c r="H556" s="25" t="str">
        <v>điều chỉnh giá</v>
      </c>
      <c r="I556" s="24">
        <v>305000</v>
      </c>
    </row>
    <row r="557">
      <c r="A557" s="25" t="str">
        <v>99 TSN</v>
      </c>
      <c r="B557" s="25" t="str">
        <v>DV_Cắt_Vip</v>
      </c>
      <c r="C557" s="25">
        <v>1064</v>
      </c>
      <c r="D557" s="25" t="str">
        <v>Cắt Gội Combo 5 - Dưỡng sinh</v>
      </c>
      <c r="E557" s="27">
        <v>459000</v>
      </c>
      <c r="F557" s="28">
        <v>465000</v>
      </c>
      <c r="G557" s="25">
        <f>F557-E557</f>
      </c>
      <c r="H557" s="25" t="str">
        <v>điều chỉnh giá</v>
      </c>
      <c r="I557" s="24">
        <v>465000</v>
      </c>
    </row>
    <row r="558">
      <c r="A558" s="25" t="str">
        <v>99 TSN</v>
      </c>
      <c r="B558" s="25" t="str">
        <v>DV_Cắt_Vip</v>
      </c>
      <c r="C558" s="25">
        <v>1053</v>
      </c>
      <c r="D558" s="25" t="str">
        <v>Combo 2 - First Class 2</v>
      </c>
      <c r="E558" s="27">
        <v>229000</v>
      </c>
      <c r="F558" s="28">
        <v>235000</v>
      </c>
      <c r="G558" s="25">
        <f>F558-E558</f>
      </c>
      <c r="H558" s="25" t="str">
        <v>điều chỉnh giá</v>
      </c>
      <c r="I558" s="24">
        <v>235000</v>
      </c>
    </row>
    <row r="559">
      <c r="A559" s="25" t="str">
        <v>99 TSN</v>
      </c>
      <c r="B559" s="25" t="str">
        <v>DV_Cắt_Vip</v>
      </c>
      <c r="C559" s="25">
        <v>1048</v>
      </c>
      <c r="D559" s="25" t="str">
        <v>Combo 4</v>
      </c>
      <c r="E559" s="27">
        <v>389000</v>
      </c>
      <c r="F559" s="28">
        <v>395000</v>
      </c>
      <c r="G559" s="25">
        <f>F559-E559</f>
      </c>
      <c r="H559" s="25" t="str">
        <v>điều chỉnh giá</v>
      </c>
      <c r="I559" s="24">
        <v>395000</v>
      </c>
    </row>
    <row r="560">
      <c r="A560" s="25" t="str">
        <v>99 TSN</v>
      </c>
      <c r="B560" s="25" t="str">
        <v>DV_Cắt_Vip</v>
      </c>
      <c r="C560" s="25">
        <v>1046</v>
      </c>
      <c r="D560" s="25" t="str">
        <v>Shinecombo 2</v>
      </c>
      <c r="E560" s="27">
        <v>199000</v>
      </c>
      <c r="F560" s="28">
        <v>205000</v>
      </c>
      <c r="G560" s="25">
        <f>F560-E560</f>
      </c>
      <c r="H560" s="25" t="str">
        <v>điều chỉnh giá</v>
      </c>
      <c r="I560" s="24">
        <v>205000</v>
      </c>
    </row>
    <row r="561">
      <c r="A561" s="25" t="str">
        <v>99 TSN</v>
      </c>
      <c r="B561" s="25" t="str">
        <v>DV_Cắt</v>
      </c>
      <c r="C561" s="25">
        <v>1070</v>
      </c>
      <c r="D561" s="25" t="str">
        <v>Combo Cắt gội Kid</v>
      </c>
      <c r="E561" s="27">
        <v>100000</v>
      </c>
      <c r="F561" s="26">
        <v>100000</v>
      </c>
      <c r="G561" s="25">
        <f>F561-E561</f>
      </c>
      <c r="H561" s="25"/>
      <c r="I561" s="24">
        <v>100000</v>
      </c>
    </row>
    <row r="562">
      <c r="A562" s="25" t="str">
        <v>TG 25/4 QN</v>
      </c>
      <c r="B562" s="25" t="str">
        <v>DV_Cắt</v>
      </c>
      <c r="C562" s="25">
        <v>513</v>
      </c>
      <c r="D562" s="25" t="str">
        <v>[DV] ShineCombo 10 bước Ultra Care 2023</v>
      </c>
      <c r="E562" s="27">
        <v>122000</v>
      </c>
      <c r="F562" s="26">
        <v>122000</v>
      </c>
      <c r="G562" s="25">
        <f>F562-E562</f>
      </c>
      <c r="H562" s="25"/>
      <c r="I562" s="24">
        <v>122000</v>
      </c>
    </row>
    <row r="563">
      <c r="A563" s="25" t="str">
        <v>TG 25/4 QN</v>
      </c>
      <c r="B563" s="25" t="str">
        <v>DV_Cắt</v>
      </c>
      <c r="C563" s="25">
        <v>891</v>
      </c>
      <c r="D563" s="25" t="str">
        <v>Cắt xả tạo kiểu</v>
      </c>
      <c r="E563" s="27">
        <v>94000</v>
      </c>
      <c r="F563" s="26">
        <v>94000</v>
      </c>
      <c r="G563" s="25">
        <f>F563-E563</f>
      </c>
      <c r="H563" s="25"/>
      <c r="I563" s="24">
        <v>94000</v>
      </c>
    </row>
    <row r="564">
      <c r="A564" s="25" t="str">
        <v>TG 25/4 QN</v>
      </c>
      <c r="B564" s="25" t="str">
        <v>DV_Cắt</v>
      </c>
      <c r="C564" s="25">
        <v>1070</v>
      </c>
      <c r="D564" s="25" t="str">
        <v>Combo Cắt gội Kid</v>
      </c>
      <c r="E564" s="27">
        <v>100000</v>
      </c>
      <c r="F564" s="26">
        <v>100000</v>
      </c>
      <c r="G564" s="25">
        <f>F564-E564</f>
      </c>
      <c r="H564" s="25"/>
      <c r="I564" s="24">
        <v>100000</v>
      </c>
    </row>
    <row r="565">
      <c r="A565" s="25" t="str">
        <v>TG 25/4 QN</v>
      </c>
      <c r="B565" s="25" t="str">
        <v>DV_Cắt</v>
      </c>
      <c r="C565" s="25">
        <v>1002</v>
      </c>
      <c r="D565" s="25" t="str">
        <v>Kid Cắt</v>
      </c>
      <c r="E565" s="27">
        <v>75000</v>
      </c>
      <c r="F565" s="26">
        <v>75000</v>
      </c>
      <c r="G565" s="25">
        <f>F565-E565</f>
      </c>
      <c r="H565" s="25"/>
      <c r="I565" s="24">
        <v>75000</v>
      </c>
    </row>
    <row r="566">
      <c r="A566" s="25" t="str">
        <v>TG 25/4 QN</v>
      </c>
      <c r="B566" s="25" t="str">
        <v>DV_Cắt_Vip</v>
      </c>
      <c r="C566" s="25">
        <v>1047</v>
      </c>
      <c r="D566" s="25" t="str">
        <v>Cắt Gội Combo 3 - Chăm da</v>
      </c>
      <c r="E566" s="27">
        <v>299000</v>
      </c>
      <c r="F566" s="26">
        <v>299000</v>
      </c>
      <c r="G566" s="25">
        <f>F566-E566</f>
      </c>
      <c r="H566" s="25"/>
      <c r="I566" s="24">
        <v>299000</v>
      </c>
    </row>
    <row r="567">
      <c r="A567" s="25" t="str">
        <v>TG 25/4 QN</v>
      </c>
      <c r="B567" s="25" t="str">
        <v>DV_Cắt_Vip</v>
      </c>
      <c r="C567" s="25">
        <v>1048</v>
      </c>
      <c r="D567" s="25" t="str">
        <v>Combo 4</v>
      </c>
      <c r="E567" s="27">
        <v>389000</v>
      </c>
      <c r="F567" s="26">
        <v>389000</v>
      </c>
      <c r="G567" s="25">
        <f>F567-E567</f>
      </c>
      <c r="H567" s="25"/>
      <c r="I567" s="24">
        <v>389000</v>
      </c>
    </row>
    <row r="568">
      <c r="A568" s="25" t="str">
        <v>TG 25/4 QN</v>
      </c>
      <c r="B568" s="25" t="str">
        <v>DV_Cắt_Vip</v>
      </c>
      <c r="C568" s="25">
        <v>1046</v>
      </c>
      <c r="D568" s="25" t="str">
        <v>Shinecombo 2</v>
      </c>
      <c r="E568" s="27">
        <v>199000</v>
      </c>
      <c r="F568" s="26">
        <v>199000</v>
      </c>
      <c r="G568" s="25">
        <f>F568-E568</f>
      </c>
      <c r="H568" s="25"/>
      <c r="I568" s="24">
        <v>199000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9"/>
  </cols>
  <sheetData>
    <row r="1">
      <c r="A1" s="33" t="str">
        <v>CR Uốn Nhuộm Dưỡng ngày 1 đến 14 tháng 1 so sánh với 14 ngày trước đó tháng 12 (từ 17-31/12)</v>
      </c>
    </row>
    <row r="2"/>
    <row r="3">
      <c r="A3" t="str">
        <v>Salon_name</v>
      </c>
      <c r="B3" s="33" t="str">
        <v>CR %UND</v>
      </c>
      <c r="C3" s="33" t="str">
        <v>CR %UND tăng giảm với kì so sánh</v>
      </c>
      <c r="D3" t="str">
        <v>m_%Uon</v>
      </c>
      <c r="E3" t="str">
        <v>m_%uon_ss</v>
      </c>
      <c r="F3" t="str">
        <v>m_%Nhuom</v>
      </c>
      <c r="G3" t="str">
        <v>m_%nhuom_ss</v>
      </c>
      <c r="H3" t="str">
        <v>m_%Duong</v>
      </c>
      <c r="I3" t="str">
        <v>m_%duong_ss</v>
      </c>
    </row>
    <row r="4">
      <c r="A4" t="str">
        <v>451 PVT</v>
      </c>
      <c r="B4" t="str">
        <v>17,38%</v>
      </c>
      <c r="C4" t="str">
        <v>7,68%</v>
      </c>
      <c r="D4" t="str">
        <v>9,57%</v>
      </c>
      <c r="E4" t="str">
        <v>3,51%</v>
      </c>
      <c r="F4" t="str">
        <v>3,53%</v>
      </c>
      <c r="G4" t="str">
        <v>2,52%</v>
      </c>
      <c r="H4" t="str">
        <v>4,28%</v>
      </c>
      <c r="I4" t="str">
        <v>1,66%</v>
      </c>
    </row>
    <row r="5">
      <c r="A5" t="str">
        <v>103 TN</v>
      </c>
      <c r="B5" t="str">
        <v>10,82%</v>
      </c>
      <c r="C5" t="str">
        <v>-0,63%</v>
      </c>
      <c r="D5" t="str">
        <v>5,08%</v>
      </c>
      <c r="E5" t="str">
        <v>-1,17%</v>
      </c>
      <c r="F5" t="str">
        <v>3,51%</v>
      </c>
      <c r="G5" t="str">
        <v>-0,21%</v>
      </c>
      <c r="H5" t="str">
        <v>2,24%</v>
      </c>
      <c r="I5" t="str">
        <v>0,75%</v>
      </c>
    </row>
    <row r="6">
      <c r="A6" t="str">
        <v>401/1 NDT</v>
      </c>
      <c r="B6" t="str">
        <v>6,83%</v>
      </c>
      <c r="C6" t="str">
        <v>-3,52%</v>
      </c>
      <c r="D6" t="str">
        <v>4,32%</v>
      </c>
      <c r="E6" t="str">
        <v>-1,07%</v>
      </c>
      <c r="F6" t="str">
        <v>1,44%</v>
      </c>
      <c r="G6" t="str">
        <v>-1,26%</v>
      </c>
      <c r="H6" t="str">
        <v>1,08%</v>
      </c>
      <c r="I6" t="str">
        <v>-1,19%</v>
      </c>
    </row>
    <row r="7">
      <c r="A7" t="str">
        <v>29 HB</v>
      </c>
      <c r="B7" t="str">
        <v>9,87%</v>
      </c>
      <c r="C7" t="str">
        <v>2,20%</v>
      </c>
      <c r="D7" t="str">
        <v>6,28%</v>
      </c>
      <c r="E7" t="str">
        <v>1,01%</v>
      </c>
      <c r="F7" t="str">
        <v>2,24%</v>
      </c>
      <c r="G7" t="str">
        <v>0,81%</v>
      </c>
      <c r="H7" t="str">
        <v>1,35%</v>
      </c>
      <c r="I7" t="str">
        <v>0,39%</v>
      </c>
    </row>
    <row r="8">
      <c r="A8" t="str">
        <v>10 TP</v>
      </c>
      <c r="B8" t="str">
        <v>12,50%</v>
      </c>
      <c r="C8" t="str">
        <v>-0,48%</v>
      </c>
      <c r="D8" t="str">
        <v>6,74%</v>
      </c>
      <c r="E8" t="str">
        <v>-0,53%</v>
      </c>
      <c r="F8" t="str">
        <v>2,33%</v>
      </c>
      <c r="G8" t="str">
        <v>0,29%</v>
      </c>
      <c r="H8" t="str">
        <v>3,43%</v>
      </c>
      <c r="I8" t="str">
        <v>-0,25%</v>
      </c>
    </row>
    <row r="9">
      <c r="A9" t="str">
        <v>109 TQH</v>
      </c>
      <c r="B9" t="str">
        <v>8,95%</v>
      </c>
      <c r="C9" t="str">
        <v>-2,62%</v>
      </c>
      <c r="D9" t="str">
        <v>4,37%</v>
      </c>
      <c r="E9" t="str">
        <v>-0,66%</v>
      </c>
      <c r="F9" t="str">
        <v>1,49%</v>
      </c>
      <c r="G9" t="str">
        <v>-1,02%</v>
      </c>
      <c r="H9" t="str">
        <v>3,09%</v>
      </c>
      <c r="I9" t="str">
        <v>-0,95%</v>
      </c>
    </row>
    <row r="10">
      <c r="A10" t="str">
        <v>11 PKT</v>
      </c>
      <c r="B10" t="str">
        <v>12,81%</v>
      </c>
      <c r="C10" t="str">
        <v>-2,29%</v>
      </c>
      <c r="D10" t="str">
        <v>6,82%</v>
      </c>
      <c r="E10" t="str">
        <v>-1,17%</v>
      </c>
      <c r="F10" t="str">
        <v>3,31%</v>
      </c>
      <c r="G10" t="str">
        <v>1,17%</v>
      </c>
      <c r="H10" t="str">
        <v>2,69%</v>
      </c>
      <c r="I10" t="str">
        <v>-2,29%</v>
      </c>
    </row>
    <row r="11">
      <c r="A11" t="str">
        <v>113 THD AG</v>
      </c>
      <c r="B11" t="str">
        <v>8,27%</v>
      </c>
      <c r="C11" t="str">
        <v>2,92%</v>
      </c>
      <c r="D11" t="str">
        <v>4,27%</v>
      </c>
      <c r="E11" t="str">
        <v>1,72%</v>
      </c>
      <c r="F11" t="str">
        <v>2,93%</v>
      </c>
      <c r="G11" t="str">
        <v>0,64%</v>
      </c>
      <c r="H11" t="str">
        <v>1,07%</v>
      </c>
      <c r="I11" t="str">
        <v>0,56%</v>
      </c>
    </row>
    <row r="12">
      <c r="A12" t="str">
        <v>1146 KVC</v>
      </c>
      <c r="B12" t="str">
        <v>8,83%</v>
      </c>
      <c r="C12" t="str">
        <v>-2,02%</v>
      </c>
      <c r="D12" t="str">
        <v>6,57%</v>
      </c>
      <c r="E12" t="str">
        <v>0,50%</v>
      </c>
      <c r="F12" t="str">
        <v>1,03%</v>
      </c>
      <c r="G12" t="str">
        <v>-0,81%</v>
      </c>
      <c r="H12" t="str">
        <v>1,23%</v>
      </c>
      <c r="I12" t="str">
        <v>-1,71%</v>
      </c>
    </row>
    <row r="13">
      <c r="A13" t="str">
        <v>116 TK</v>
      </c>
      <c r="B13" t="str">
        <v>10,15%</v>
      </c>
      <c r="C13" t="str">
        <v>-0,22%</v>
      </c>
      <c r="D13" t="str">
        <v>4,87%</v>
      </c>
      <c r="E13" t="str">
        <v>0,24%</v>
      </c>
      <c r="F13" t="str">
        <v>1,43%</v>
      </c>
      <c r="G13" t="str">
        <v>-0,05%</v>
      </c>
      <c r="H13" t="str">
        <v>3,86%</v>
      </c>
      <c r="I13" t="str">
        <v>-0,41%</v>
      </c>
    </row>
    <row r="14">
      <c r="A14" t="str">
        <v>1180 QT</v>
      </c>
      <c r="B14" t="str">
        <v>8,59%</v>
      </c>
      <c r="C14" t="str">
        <v>-0,53%</v>
      </c>
      <c r="D14" t="str">
        <v>5,94%</v>
      </c>
      <c r="E14" t="str">
        <v>0,27%</v>
      </c>
      <c r="F14" t="str">
        <v>1,88%</v>
      </c>
      <c r="G14" t="str">
        <v>-0,10%</v>
      </c>
      <c r="H14" t="str">
        <v>0,78%</v>
      </c>
      <c r="I14" t="str">
        <v>-0,70%</v>
      </c>
    </row>
    <row r="15">
      <c r="A15" t="str">
        <v>12 LDT</v>
      </c>
      <c r="B15" t="str">
        <v>11,03%</v>
      </c>
      <c r="C15" t="str">
        <v>3,69%</v>
      </c>
      <c r="D15" t="str">
        <v>6,50%</v>
      </c>
      <c r="E15" t="str">
        <v>1,84%</v>
      </c>
      <c r="F15" t="str">
        <v>1,63%</v>
      </c>
      <c r="G15" t="str">
        <v>0,53%</v>
      </c>
      <c r="H15" t="str">
        <v>2,90%</v>
      </c>
      <c r="I15" t="str">
        <v>1,31%</v>
      </c>
    </row>
    <row r="16">
      <c r="A16" t="str">
        <v>1371 PVT</v>
      </c>
      <c r="B16" t="str">
        <v>7,09%</v>
      </c>
      <c r="C16" t="str">
        <v>-1,10%</v>
      </c>
      <c r="D16" t="str">
        <v>4,41%</v>
      </c>
      <c r="E16" t="str">
        <v>-2,04%</v>
      </c>
      <c r="F16" t="str">
        <v>2,11%</v>
      </c>
      <c r="G16" t="str">
        <v>0,71%</v>
      </c>
      <c r="H16" t="str">
        <v>0,57%</v>
      </c>
      <c r="I16" t="str">
        <v>0,23%</v>
      </c>
    </row>
    <row r="17">
      <c r="A17" t="str">
        <v>145 THT</v>
      </c>
      <c r="B17" t="str">
        <v>10,47%</v>
      </c>
      <c r="C17" t="str">
        <v>-0,78%</v>
      </c>
      <c r="D17" t="str">
        <v>4,97%</v>
      </c>
      <c r="E17" t="str">
        <v>-0,78%</v>
      </c>
      <c r="F17" t="str">
        <v>2,57%</v>
      </c>
      <c r="G17" t="str">
        <v>0,75%</v>
      </c>
      <c r="H17" t="str">
        <v>2,93%</v>
      </c>
      <c r="I17" t="str">
        <v>-0,76%</v>
      </c>
    </row>
    <row r="18">
      <c r="A18" t="str">
        <v>148 TD</v>
      </c>
      <c r="B18" t="str">
        <v>8,98%</v>
      </c>
      <c r="C18" t="str">
        <v>-1,94%</v>
      </c>
      <c r="D18" t="str">
        <v>4,73%</v>
      </c>
      <c r="E18" t="str">
        <v>-0,84%</v>
      </c>
      <c r="F18" t="str">
        <v>1,18%</v>
      </c>
      <c r="G18" t="str">
        <v>-0,32%</v>
      </c>
      <c r="H18" t="str">
        <v>3,07%</v>
      </c>
      <c r="I18" t="str">
        <v>-0,78%</v>
      </c>
    </row>
    <row r="19">
      <c r="A19" t="str">
        <v>151 CG</v>
      </c>
      <c r="B19" t="str">
        <v>17,29%</v>
      </c>
      <c r="C19" t="str">
        <v>1,16%</v>
      </c>
      <c r="D19" t="str">
        <v>6,44%</v>
      </c>
      <c r="E19" t="str">
        <v>-0,27%</v>
      </c>
      <c r="F19" t="str">
        <v>2,37%</v>
      </c>
      <c r="G19" t="str">
        <v>0,31%</v>
      </c>
      <c r="H19" t="str">
        <v>8,47%</v>
      </c>
      <c r="I19" t="str">
        <v>1,12%</v>
      </c>
    </row>
    <row r="20">
      <c r="A20" t="str">
        <v>168 NVC</v>
      </c>
      <c r="B20" t="str">
        <v>14,42%</v>
      </c>
      <c r="C20" t="str">
        <v>3,03%</v>
      </c>
      <c r="D20" t="str">
        <v>8,20%</v>
      </c>
      <c r="E20" t="str">
        <v>2,26%</v>
      </c>
      <c r="F20" t="str">
        <v>3,54%</v>
      </c>
      <c r="G20" t="str">
        <v>0,99%</v>
      </c>
      <c r="H20" t="str">
        <v>2,68%</v>
      </c>
      <c r="I20" t="str">
        <v>-0,22%</v>
      </c>
    </row>
    <row r="21">
      <c r="A21" t="str">
        <v>173 TN</v>
      </c>
      <c r="B21" t="str">
        <v>8,78%</v>
      </c>
      <c r="C21" t="str">
        <v>-2,37%</v>
      </c>
      <c r="D21" t="str">
        <v>4,10%</v>
      </c>
      <c r="E21" t="str">
        <v>-2,24%</v>
      </c>
      <c r="F21" t="str">
        <v>2,49%</v>
      </c>
      <c r="G21" t="str">
        <v>0,73%</v>
      </c>
      <c r="H21" t="str">
        <v>2,20%</v>
      </c>
      <c r="I21" t="str">
        <v>-0,86%</v>
      </c>
    </row>
    <row r="22">
      <c r="A22" t="str">
        <v>186 DTH</v>
      </c>
      <c r="B22" t="str">
        <v>13,62%</v>
      </c>
      <c r="C22" t="str">
        <v>-0,41%</v>
      </c>
      <c r="D22" t="str">
        <v>6,42%</v>
      </c>
      <c r="E22" t="str">
        <v>0,55%</v>
      </c>
      <c r="F22" t="str">
        <v>3,11%</v>
      </c>
      <c r="G22" t="str">
        <v>-0,15%</v>
      </c>
      <c r="H22" t="str">
        <v>4,09%</v>
      </c>
      <c r="I22" t="str">
        <v>-0,81%</v>
      </c>
    </row>
    <row r="23">
      <c r="A23" t="str">
        <v>186 QT</v>
      </c>
      <c r="B23" t="str">
        <v>19,62%</v>
      </c>
      <c r="C23" t="str">
        <v>8,80%</v>
      </c>
      <c r="D23" t="str">
        <v>7,31%</v>
      </c>
      <c r="E23" t="str">
        <v>3,70%</v>
      </c>
      <c r="F23" t="str">
        <v>2,69%</v>
      </c>
      <c r="G23" t="str">
        <v>0,07%</v>
      </c>
      <c r="H23" t="str">
        <v>9,62%</v>
      </c>
      <c r="I23" t="str">
        <v>5,03%</v>
      </c>
    </row>
    <row r="24">
      <c r="A24" t="str">
        <v>190 HB</v>
      </c>
      <c r="B24" t="str">
        <v>6,10%</v>
      </c>
      <c r="C24" t="str">
        <v>-0,23%</v>
      </c>
      <c r="D24" t="str">
        <v>3,72%</v>
      </c>
      <c r="E24" t="str">
        <v>0,22%</v>
      </c>
      <c r="F24" t="str">
        <v>1,64%</v>
      </c>
      <c r="G24" t="str">
        <v>-0,17%</v>
      </c>
      <c r="H24" t="str">
        <v>0,74%</v>
      </c>
      <c r="I24" t="str">
        <v>-0,27%</v>
      </c>
    </row>
    <row r="25">
      <c r="A25" t="str">
        <v>202 DC</v>
      </c>
      <c r="B25" t="str">
        <v>11,69%</v>
      </c>
      <c r="C25" t="str">
        <v>-4,20%</v>
      </c>
      <c r="D25" t="str">
        <v>6,21%</v>
      </c>
      <c r="E25" t="str">
        <v>-1,60%</v>
      </c>
      <c r="F25" t="str">
        <v>2,86%</v>
      </c>
      <c r="G25" t="str">
        <v>-0,09%</v>
      </c>
      <c r="H25" t="str">
        <v>2,63%</v>
      </c>
      <c r="I25" t="str">
        <v>-2,51%</v>
      </c>
    </row>
    <row r="26">
      <c r="A26" t="str">
        <v>236 DBT</v>
      </c>
      <c r="B26" t="str">
        <v>7,67%</v>
      </c>
      <c r="C26" t="str">
        <v>2,16%</v>
      </c>
      <c r="D26" t="str">
        <v>4,86%</v>
      </c>
      <c r="E26" t="str">
        <v>1,42%</v>
      </c>
      <c r="F26" t="str">
        <v>1,73%</v>
      </c>
      <c r="G26" t="str">
        <v>0,26%</v>
      </c>
      <c r="H26" t="str">
        <v>1,08%</v>
      </c>
      <c r="I26" t="str">
        <v>0,48%</v>
      </c>
    </row>
    <row r="27">
      <c r="A27" t="str">
        <v>237 NTT</v>
      </c>
      <c r="B27" t="str">
        <v>9,80%</v>
      </c>
      <c r="C27" t="str">
        <v>-0,25%</v>
      </c>
      <c r="D27" t="str">
        <v>5,20%</v>
      </c>
      <c r="E27" t="str">
        <v>-0,58%</v>
      </c>
      <c r="F27" t="str">
        <v>2,49%</v>
      </c>
      <c r="G27" t="str">
        <v>0,24%</v>
      </c>
      <c r="H27" t="str">
        <v>2,10%</v>
      </c>
      <c r="I27" t="str">
        <v>0,08%</v>
      </c>
    </row>
    <row r="28">
      <c r="A28" t="str">
        <v>25 TD</v>
      </c>
      <c r="B28" t="str">
        <v>9,64%</v>
      </c>
      <c r="C28" t="str">
        <v>-1,35%</v>
      </c>
      <c r="D28" t="str">
        <v>5,05%</v>
      </c>
      <c r="E28" t="str">
        <v>-1,20%</v>
      </c>
      <c r="F28" t="str">
        <v>2,88%</v>
      </c>
      <c r="G28" t="str">
        <v>-0,21%</v>
      </c>
      <c r="H28" t="str">
        <v>1,71%</v>
      </c>
      <c r="I28" t="str">
        <v>0,06%</v>
      </c>
    </row>
    <row r="29">
      <c r="A29" t="str">
        <v>255 NAN</v>
      </c>
      <c r="B29" t="str">
        <v>10,77%</v>
      </c>
      <c r="C29" t="str">
        <v>1,38%</v>
      </c>
      <c r="D29" t="str">
        <v>6,44%</v>
      </c>
      <c r="E29" t="str">
        <v>0,42%</v>
      </c>
      <c r="F29" t="str">
        <v>1,73%</v>
      </c>
      <c r="G29" t="str">
        <v>-0,21%</v>
      </c>
      <c r="H29" t="str">
        <v>2,60%</v>
      </c>
      <c r="I29" t="str">
        <v>1,17%</v>
      </c>
    </row>
    <row r="30">
      <c r="A30" t="str">
        <v>264 LLQ</v>
      </c>
      <c r="B30" t="str">
        <v>15,22%</v>
      </c>
      <c r="C30" t="str">
        <v>-0,89%</v>
      </c>
      <c r="D30" t="str">
        <v>6,99%</v>
      </c>
      <c r="E30" t="str">
        <v>0,21%</v>
      </c>
      <c r="F30" t="str">
        <v>3,11%</v>
      </c>
      <c r="G30" t="str">
        <v>0,55%</v>
      </c>
      <c r="H30" t="str">
        <v>5,12%</v>
      </c>
      <c r="I30" t="str">
        <v>-1,65%</v>
      </c>
    </row>
    <row r="31">
      <c r="A31" t="str">
        <v>290 QT TH</v>
      </c>
      <c r="B31" t="str">
        <v>7,14%</v>
      </c>
      <c r="C31" t="str">
        <v>-1,40%</v>
      </c>
      <c r="D31" t="str">
        <v>5,95%</v>
      </c>
      <c r="E31" t="str">
        <v>0,56%</v>
      </c>
      <c r="F31" t="str">
        <v>1,19%</v>
      </c>
      <c r="G31" t="str">
        <v>-0,83%</v>
      </c>
      <c r="I31" t="str">
        <v>-1,12%</v>
      </c>
    </row>
    <row r="32">
      <c r="A32" t="str">
        <v>304 NT TH</v>
      </c>
      <c r="B32" t="str">
        <v>9,46%</v>
      </c>
      <c r="C32" t="str">
        <v>-2,37%</v>
      </c>
      <c r="D32" t="str">
        <v>6,31%</v>
      </c>
      <c r="E32" t="str">
        <v>-0,70%</v>
      </c>
      <c r="F32" t="str">
        <v>1,89%</v>
      </c>
      <c r="G32" t="str">
        <v>-1,25%</v>
      </c>
      <c r="H32" t="str">
        <v>1,26%</v>
      </c>
      <c r="I32" t="str">
        <v>-0,43%</v>
      </c>
    </row>
    <row r="33">
      <c r="A33" t="str">
        <v>312 LVS</v>
      </c>
      <c r="B33" t="str">
        <v>9,54%</v>
      </c>
      <c r="C33" t="str">
        <v>0,94%</v>
      </c>
      <c r="D33" t="str">
        <v>4,98%</v>
      </c>
      <c r="E33" t="str">
        <v>-0,10%</v>
      </c>
      <c r="F33" t="str">
        <v>2,95%</v>
      </c>
      <c r="G33" t="str">
        <v>0,52%</v>
      </c>
      <c r="H33" t="str">
        <v>1,61%</v>
      </c>
      <c r="I33" t="str">
        <v>0,52%</v>
      </c>
    </row>
    <row r="34">
      <c r="A34" t="str">
        <v>32 NAT</v>
      </c>
      <c r="B34" t="str">
        <v>12,75%</v>
      </c>
      <c r="C34" t="str">
        <v>-3,57%</v>
      </c>
      <c r="D34" t="str">
        <v>6,49%</v>
      </c>
      <c r="E34" t="str">
        <v>-0,86%</v>
      </c>
      <c r="F34" t="str">
        <v>2,46%</v>
      </c>
      <c r="G34" t="str">
        <v>0,22%</v>
      </c>
      <c r="H34" t="str">
        <v>3,80%</v>
      </c>
      <c r="I34" t="str">
        <v>-2,93%</v>
      </c>
    </row>
    <row r="35">
      <c r="A35" t="str">
        <v>341 XVNT</v>
      </c>
      <c r="B35" t="str">
        <v>8,96%</v>
      </c>
      <c r="C35" t="str">
        <v>1,54%</v>
      </c>
      <c r="D35" t="str">
        <v>2,79%</v>
      </c>
      <c r="E35" t="str">
        <v>-0,08%</v>
      </c>
      <c r="F35" t="str">
        <v>2,59%</v>
      </c>
      <c r="G35" t="str">
        <v>0,57%</v>
      </c>
      <c r="H35" t="str">
        <v>3,59%</v>
      </c>
      <c r="I35" t="str">
        <v>1,06%</v>
      </c>
    </row>
    <row r="36">
      <c r="A36" t="str">
        <v>346 KT</v>
      </c>
      <c r="B36" t="str">
        <v>18,18%</v>
      </c>
      <c r="C36" t="str">
        <v>1,86%</v>
      </c>
      <c r="D36" t="str">
        <v>6,73%</v>
      </c>
      <c r="E36" t="str">
        <v>-0,89%</v>
      </c>
      <c r="F36" t="str">
        <v>4,73%</v>
      </c>
      <c r="G36" t="str">
        <v>2,96%</v>
      </c>
      <c r="H36" t="str">
        <v>6,73%</v>
      </c>
      <c r="I36" t="str">
        <v>-0,21%</v>
      </c>
    </row>
    <row r="37">
      <c r="A37" t="str">
        <v>36 N1 BD</v>
      </c>
      <c r="B37" t="str">
        <v>6,62%</v>
      </c>
      <c r="C37" t="str">
        <v>2,31%</v>
      </c>
      <c r="D37" t="str">
        <v>4,60%</v>
      </c>
      <c r="E37" t="str">
        <v>2,11%</v>
      </c>
      <c r="F37" t="str">
        <v>1,65%</v>
      </c>
      <c r="G37" t="str">
        <v>0,16%</v>
      </c>
      <c r="H37" t="str">
        <v>0,37%</v>
      </c>
      <c r="I37" t="str">
        <v>0,04%</v>
      </c>
    </row>
    <row r="38">
      <c r="A38" t="str">
        <v>362 NGT BN</v>
      </c>
      <c r="B38" t="str">
        <v>9,89%</v>
      </c>
      <c r="C38" t="str">
        <v>-3,02%</v>
      </c>
      <c r="D38" t="str">
        <v>6,29%</v>
      </c>
      <c r="E38" t="str">
        <v>-0,03%</v>
      </c>
      <c r="F38" t="str">
        <v>1,40%</v>
      </c>
      <c r="G38" t="str">
        <v>-1,68%</v>
      </c>
      <c r="H38" t="str">
        <v>2,20%</v>
      </c>
      <c r="I38" t="str">
        <v>-1,31%</v>
      </c>
    </row>
    <row r="39">
      <c r="A39" t="str">
        <v>363 LNQ TN</v>
      </c>
      <c r="B39" t="str">
        <v>6,37%</v>
      </c>
      <c r="C39" t="str">
        <v>-3,86%</v>
      </c>
      <c r="D39" t="str">
        <v>2,83%</v>
      </c>
      <c r="E39" t="str">
        <v>-0,53%</v>
      </c>
      <c r="F39" t="str">
        <v>1,24%</v>
      </c>
      <c r="G39" t="str">
        <v>-1,66%</v>
      </c>
      <c r="H39" t="str">
        <v>2,30%</v>
      </c>
      <c r="I39" t="str">
        <v>-1,67%</v>
      </c>
    </row>
    <row r="40">
      <c r="A40" t="str">
        <v>382 NT</v>
      </c>
      <c r="B40" t="str">
        <v>16,97%</v>
      </c>
      <c r="C40" t="str">
        <v>3,81%</v>
      </c>
      <c r="D40" t="str">
        <v>7,18%</v>
      </c>
      <c r="E40" t="str">
        <v>1,72%</v>
      </c>
      <c r="F40" t="str">
        <v>2,18%</v>
      </c>
      <c r="G40" t="str">
        <v>0,38%</v>
      </c>
      <c r="H40" t="str">
        <v>7,61%</v>
      </c>
      <c r="I40" t="str">
        <v>1,71%</v>
      </c>
    </row>
    <row r="41">
      <c r="A41" t="str">
        <v>39 HBT</v>
      </c>
      <c r="B41" t="str">
        <v>13,45%</v>
      </c>
      <c r="C41" t="str">
        <v>5,08%</v>
      </c>
      <c r="D41" t="str">
        <v>6,92%</v>
      </c>
      <c r="E41" t="str">
        <v>3,17%</v>
      </c>
      <c r="F41" t="str">
        <v>2,61%</v>
      </c>
      <c r="G41" t="str">
        <v>0,98%</v>
      </c>
      <c r="H41" t="str">
        <v>3,92%</v>
      </c>
      <c r="I41" t="str">
        <v>0,94%</v>
      </c>
    </row>
    <row r="42">
      <c r="A42" t="str">
        <v>4 LQD BN</v>
      </c>
      <c r="B42" t="str">
        <v>5,09%</v>
      </c>
      <c r="C42" t="str">
        <v>-0,07%</v>
      </c>
      <c r="D42" t="str">
        <v>3,27%</v>
      </c>
      <c r="E42" t="str">
        <v>1,37%</v>
      </c>
      <c r="F42" t="str">
        <v>1,45%</v>
      </c>
      <c r="G42" t="str">
        <v>-0,99%</v>
      </c>
      <c r="H42" t="str">
        <v>0,36%</v>
      </c>
      <c r="I42" t="str">
        <v>-0,45%</v>
      </c>
    </row>
    <row r="43">
      <c r="A43" t="str">
        <v>420 HTP</v>
      </c>
      <c r="B43" t="str">
        <v>5,76%</v>
      </c>
      <c r="C43" t="str">
        <v>-0,84%</v>
      </c>
      <c r="D43" t="str">
        <v>3,44%</v>
      </c>
      <c r="E43" t="str">
        <v>0,27%</v>
      </c>
      <c r="F43" t="str">
        <v>1,84%</v>
      </c>
      <c r="G43" t="str">
        <v>-0,72%</v>
      </c>
      <c r="H43" t="str">
        <v>0,48%</v>
      </c>
      <c r="I43" t="str">
        <v>-0,40%</v>
      </c>
    </row>
    <row r="44">
      <c r="A44" t="str">
        <v>483 TN</v>
      </c>
      <c r="B44" t="str">
        <v>9,27%</v>
      </c>
      <c r="C44" t="str">
        <v>-1,73%</v>
      </c>
      <c r="D44" t="str">
        <v>4,14%</v>
      </c>
      <c r="E44" t="str">
        <v>-0,50%</v>
      </c>
      <c r="F44" t="str">
        <v>2,63%</v>
      </c>
      <c r="G44" t="str">
        <v>0,26%</v>
      </c>
      <c r="H44" t="str">
        <v>2,51%</v>
      </c>
      <c r="I44" t="str">
        <v>-1,49%</v>
      </c>
    </row>
    <row r="45">
      <c r="A45" t="str">
        <v>50BT4 NPC LD</v>
      </c>
      <c r="B45" t="str">
        <v>17,02%</v>
      </c>
      <c r="C45" t="str">
        <v>-1,45%</v>
      </c>
      <c r="D45" t="str">
        <v>7,88%</v>
      </c>
      <c r="E45" t="str">
        <v>-0,57%</v>
      </c>
      <c r="F45" t="str">
        <v>1,79%</v>
      </c>
      <c r="G45" t="str">
        <v>0,38%</v>
      </c>
      <c r="H45" t="str">
        <v>7,35%</v>
      </c>
      <c r="I45" t="str">
        <v>-1,27%</v>
      </c>
    </row>
    <row r="46">
      <c r="A46" t="str">
        <v>55A NVL</v>
      </c>
      <c r="B46" t="str">
        <v>15,89%</v>
      </c>
      <c r="C46" t="str">
        <v>2,16%</v>
      </c>
      <c r="D46" t="str">
        <v>6,42%</v>
      </c>
      <c r="E46" t="str">
        <v>0,59%</v>
      </c>
      <c r="F46" t="str">
        <v>1,93%</v>
      </c>
      <c r="G46" t="str">
        <v>0,35%</v>
      </c>
      <c r="H46" t="str">
        <v>7,54%</v>
      </c>
      <c r="I46" t="str">
        <v>1,23%</v>
      </c>
    </row>
    <row r="47">
      <c r="A47" t="str">
        <v>575 AC</v>
      </c>
      <c r="B47" t="str">
        <v>6,82%</v>
      </c>
      <c r="C47" t="str">
        <v>-0,17%</v>
      </c>
      <c r="D47" t="str">
        <v>4,11%</v>
      </c>
      <c r="E47" t="str">
        <v>0,36%</v>
      </c>
      <c r="F47" t="str">
        <v>1,95%</v>
      </c>
      <c r="G47" t="str">
        <v>0,11%</v>
      </c>
      <c r="H47" t="str">
        <v>0,76%</v>
      </c>
      <c r="I47" t="str">
        <v>-0,64%</v>
      </c>
    </row>
    <row r="48">
      <c r="A48" t="str">
        <v>58 NVC NA</v>
      </c>
      <c r="B48" t="str">
        <v>9,07%</v>
      </c>
      <c r="C48" t="str">
        <v>0,25%</v>
      </c>
      <c r="D48" t="str">
        <v>6,85%</v>
      </c>
      <c r="E48" t="str">
        <v>0,24%</v>
      </c>
      <c r="F48" t="str">
        <v>2,22%</v>
      </c>
      <c r="G48" t="str">
        <v>0,31%</v>
      </c>
      <c r="I48" t="str">
        <v>-0,29%</v>
      </c>
    </row>
    <row r="49">
      <c r="A49" t="str">
        <v>595 BT TH</v>
      </c>
      <c r="B49" t="str">
        <v>6,39%</v>
      </c>
      <c r="C49" t="str">
        <v>-0,07%</v>
      </c>
      <c r="D49" t="str">
        <v>2,56%</v>
      </c>
      <c r="E49" t="str">
        <v>-0,80%</v>
      </c>
      <c r="F49" t="str">
        <v>1,60%</v>
      </c>
      <c r="G49" t="str">
        <v>0,82%</v>
      </c>
      <c r="H49" t="str">
        <v>2,24%</v>
      </c>
      <c r="I49" t="str">
        <v>-0,09%</v>
      </c>
    </row>
    <row r="50">
      <c r="A50" t="str">
        <v>62 LH</v>
      </c>
      <c r="B50" t="str">
        <v>14,06%</v>
      </c>
      <c r="C50" t="str">
        <v>-0,47%</v>
      </c>
      <c r="D50" t="str">
        <v>4,95%</v>
      </c>
      <c r="E50" t="str">
        <v>0,11%</v>
      </c>
      <c r="F50" t="str">
        <v>2,57%</v>
      </c>
      <c r="G50" t="str">
        <v>-0,13%</v>
      </c>
      <c r="H50" t="str">
        <v>6,53%</v>
      </c>
      <c r="I50" t="str">
        <v>-0,45%</v>
      </c>
    </row>
    <row r="51">
      <c r="A51" t="str">
        <v>65 CD</v>
      </c>
      <c r="B51" t="str">
        <v>14,72%</v>
      </c>
      <c r="C51" t="str">
        <v>3,38%</v>
      </c>
      <c r="D51" t="str">
        <v>5,84%</v>
      </c>
      <c r="E51" t="str">
        <v>1,51%</v>
      </c>
      <c r="F51" t="str">
        <v>2,03%</v>
      </c>
      <c r="G51" t="str">
        <v>0,17%</v>
      </c>
      <c r="H51" t="str">
        <v>6,85%</v>
      </c>
      <c r="I51" t="str">
        <v>1,70%</v>
      </c>
    </row>
    <row r="52">
      <c r="A52" t="str">
        <v>68 LN NA</v>
      </c>
      <c r="B52" t="str">
        <v>5,79%</v>
      </c>
      <c r="C52" t="str">
        <v>1,30%</v>
      </c>
      <c r="D52" t="str">
        <v>5,26%</v>
      </c>
      <c r="E52" t="str">
        <v>2,41%</v>
      </c>
      <c r="F52" t="str">
        <v>0,53%</v>
      </c>
      <c r="G52" t="str">
        <v>-1,11%</v>
      </c>
    </row>
    <row r="53">
      <c r="A53" t="str">
        <v>7 DTP LA</v>
      </c>
      <c r="B53" t="str">
        <v>9,65%</v>
      </c>
      <c r="C53" t="str">
        <v>0,35%</v>
      </c>
      <c r="D53" t="str">
        <v>4,00%</v>
      </c>
      <c r="E53" t="str">
        <v>0,90%</v>
      </c>
      <c r="F53" t="str">
        <v>2,35%</v>
      </c>
      <c r="G53" t="str">
        <v>0,49%</v>
      </c>
      <c r="H53" t="str">
        <v>3,29%</v>
      </c>
      <c r="I53" t="str">
        <v>-1,04%</v>
      </c>
    </row>
    <row r="54">
      <c r="A54" t="str">
        <v>708 LTT</v>
      </c>
      <c r="B54" t="str">
        <v>8,96%</v>
      </c>
      <c r="C54" t="str">
        <v>2,84%</v>
      </c>
      <c r="D54" t="str">
        <v>5,30%</v>
      </c>
      <c r="E54" t="str">
        <v>2,00%</v>
      </c>
      <c r="F54" t="str">
        <v>2,24%</v>
      </c>
      <c r="G54" t="str">
        <v>-0,43%</v>
      </c>
      <c r="H54" t="str">
        <v>1,43%</v>
      </c>
      <c r="I54" t="str">
        <v>1,27%</v>
      </c>
    </row>
    <row r="55">
      <c r="A55" t="str">
        <v>730 TL10</v>
      </c>
      <c r="B55" t="str">
        <v>6,48%</v>
      </c>
      <c r="C55" t="str">
        <v>0,73%</v>
      </c>
      <c r="D55" t="str">
        <v>3,24%</v>
      </c>
      <c r="E55" t="str">
        <v>0,06%</v>
      </c>
      <c r="F55" t="str">
        <v>2,19%</v>
      </c>
      <c r="G55" t="str">
        <v>1,03%</v>
      </c>
      <c r="H55" t="str">
        <v>1,05%</v>
      </c>
      <c r="I55" t="str">
        <v>-0,35%</v>
      </c>
    </row>
    <row r="56">
      <c r="A56" t="str">
        <v>76 PVH</v>
      </c>
      <c r="B56" t="str">
        <v>9,40%</v>
      </c>
      <c r="C56" t="str">
        <v>-1,54%</v>
      </c>
      <c r="D56" t="str">
        <v>5,24%</v>
      </c>
      <c r="E56" t="str">
        <v>1,65%</v>
      </c>
      <c r="F56" t="str">
        <v>1,45%</v>
      </c>
      <c r="G56" t="str">
        <v>-3,35%</v>
      </c>
      <c r="H56" t="str">
        <v>2,71%</v>
      </c>
      <c r="I56" t="str">
        <v>0,16%</v>
      </c>
    </row>
    <row r="57">
      <c r="A57" t="str">
        <v>8 CVL</v>
      </c>
      <c r="B57" t="str">
        <v>10,84%</v>
      </c>
      <c r="C57" t="str">
        <v>-0,32%</v>
      </c>
      <c r="D57" t="str">
        <v>6,68%</v>
      </c>
      <c r="E57" t="str">
        <v>0,38%</v>
      </c>
      <c r="F57" t="str">
        <v>2,71%</v>
      </c>
      <c r="G57" t="str">
        <v>-0,58%</v>
      </c>
      <c r="H57" t="str">
        <v>1,45%</v>
      </c>
      <c r="I57" t="str">
        <v>-0,12%</v>
      </c>
    </row>
    <row r="58">
      <c r="A58" t="str">
        <v>80 PL BD</v>
      </c>
      <c r="B58" t="str">
        <v>9,92%</v>
      </c>
      <c r="C58" t="str">
        <v>1,54%</v>
      </c>
      <c r="D58" t="str">
        <v>7,01%</v>
      </c>
      <c r="E58" t="str">
        <v>1,24%</v>
      </c>
      <c r="F58" t="str">
        <v>2,51%</v>
      </c>
      <c r="G58" t="str">
        <v>0,55%</v>
      </c>
      <c r="H58" t="str">
        <v>0,40%</v>
      </c>
      <c r="I58" t="str">
        <v>-0,26%</v>
      </c>
    </row>
    <row r="59">
      <c r="A59" t="str">
        <v>80 TP TH</v>
      </c>
      <c r="B59" t="str">
        <v>9,78%</v>
      </c>
      <c r="C59" t="str">
        <v>3,64%</v>
      </c>
      <c r="D59" t="str">
        <v>5,56%</v>
      </c>
      <c r="E59" t="str">
        <v>1,91%</v>
      </c>
      <c r="F59" t="str">
        <v>1,78%</v>
      </c>
      <c r="G59" t="str">
        <v>0,45%</v>
      </c>
      <c r="H59" t="str">
        <v>2,44%</v>
      </c>
      <c r="I59" t="str">
        <v>1,28%</v>
      </c>
    </row>
    <row r="60">
      <c r="A60" t="str">
        <v>872 QL22</v>
      </c>
      <c r="B60" t="str">
        <v>6,70%</v>
      </c>
      <c r="C60" t="str">
        <v>-3,47%</v>
      </c>
      <c r="D60" t="str">
        <v>2,23%</v>
      </c>
      <c r="E60" t="str">
        <v>-3,47%</v>
      </c>
      <c r="F60" t="str">
        <v>3,63%</v>
      </c>
      <c r="G60" t="str">
        <v>-0,09%</v>
      </c>
      <c r="H60" t="str">
        <v>0,84%</v>
      </c>
      <c r="I60" t="str">
        <v>0,09%</v>
      </c>
    </row>
    <row r="61">
      <c r="A61" t="str">
        <v>90 NH</v>
      </c>
      <c r="B61" t="str">
        <v>24,30%</v>
      </c>
      <c r="C61" t="str">
        <v>10,08%</v>
      </c>
      <c r="D61" t="str">
        <v>9,09%</v>
      </c>
      <c r="E61" t="str">
        <v>2,72%</v>
      </c>
      <c r="F61" t="str">
        <v>2,97%</v>
      </c>
      <c r="G61" t="str">
        <v>1,61%</v>
      </c>
      <c r="H61" t="str">
        <v>12,24%</v>
      </c>
      <c r="I61" t="str">
        <v>5,74%</v>
      </c>
    </row>
    <row r="62">
      <c r="A62" t="str">
        <v>927 HG</v>
      </c>
      <c r="B62" t="str">
        <v>11,22%</v>
      </c>
      <c r="C62" t="str">
        <v>1,86%</v>
      </c>
      <c r="D62" t="str">
        <v>7,40%</v>
      </c>
      <c r="E62" t="str">
        <v>1,22%</v>
      </c>
      <c r="F62" t="str">
        <v>2,09%</v>
      </c>
      <c r="G62" t="str">
        <v>0,38%</v>
      </c>
      <c r="H62" t="str">
        <v>1,72%</v>
      </c>
      <c r="I62" t="str">
        <v>0,25%</v>
      </c>
    </row>
    <row r="63">
      <c r="A63" t="str">
        <v>99 TSN</v>
      </c>
      <c r="B63" t="str">
        <v>10,55%</v>
      </c>
      <c r="C63" t="str">
        <v>0,49%</v>
      </c>
      <c r="D63" t="str">
        <v>6,96%</v>
      </c>
      <c r="E63" t="str">
        <v>1,11%</v>
      </c>
      <c r="F63" t="str">
        <v>1,42%</v>
      </c>
      <c r="G63" t="str">
        <v>-0,35%</v>
      </c>
      <c r="H63" t="str">
        <v>2,17%</v>
      </c>
      <c r="I63" t="str">
        <v>-0,27%</v>
      </c>
    </row>
    <row r="64">
      <c r="A64" t="str">
        <v>TG 25/4 QN</v>
      </c>
      <c r="B64" t="str">
        <v>8,99%</v>
      </c>
      <c r="C64" t="str">
        <v>2,52%</v>
      </c>
      <c r="D64" t="str">
        <v>5,62%</v>
      </c>
      <c r="E64" t="str">
        <v>2,68%</v>
      </c>
      <c r="F64" t="str">
        <v>1,12%</v>
      </c>
      <c r="G64" t="str">
        <v>-0,64%</v>
      </c>
      <c r="H64" t="str">
        <v>2,25%</v>
      </c>
      <c r="I64" t="str">
        <v>0,48%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72"/>
    <col collapsed="false" customWidth="true" hidden="false" max="3" min="3" style="0" width="31"/>
    <col collapsed="false" customWidth="true" hidden="false" max="4" min="4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6" min="6" style="0" width="14"/>
  </cols>
  <sheetData>
    <row r="1">
      <c r="A1" s="38" t="str">
        <v>main_p_Category_name</v>
      </c>
      <c r="B1" s="39" t="str">
        <v>Name</v>
      </c>
      <c r="C1" s="39" t="str">
        <v>main_Category_name</v>
      </c>
      <c r="D1" s="39" t="str">
        <v>m_DT_detail_all</v>
      </c>
      <c r="E1" s="39" t="str">
        <v>Số gói</v>
      </c>
    </row>
    <row r="2">
      <c r="A2" s="37" t="str">
        <v>DV_Cắt</v>
      </c>
      <c r="B2" s="36" t="str">
        <v>[DV] ShineCombo 10 bước Ultra Care 2023</v>
      </c>
      <c r="C2" s="36" t="str">
        <v>DV Cắt gội massage (SC)</v>
      </c>
      <c r="D2" s="36">
        <v>2233230263</v>
      </c>
      <c r="E2" s="36">
        <v>18901</v>
      </c>
      <c r="F2">
        <f>D2/E2</f>
      </c>
    </row>
    <row r="3">
      <c r="A3" s="35" t="str">
        <v>DV_Cắt</v>
      </c>
      <c r="B3" s="34" t="str">
        <v>Combo 1 - First Class 1</v>
      </c>
      <c r="C3" s="34" t="str">
        <v>DV Cắt gội massage (SC)</v>
      </c>
      <c r="D3" s="34">
        <v>598116278</v>
      </c>
      <c r="E3" s="34">
        <v>4410</v>
      </c>
      <c r="F3">
        <f>D3/E3</f>
      </c>
    </row>
    <row r="4">
      <c r="A4" s="37" t="str">
        <v>DV_Cắt</v>
      </c>
      <c r="B4" s="36" t="str">
        <v>combo cắt gội tiện lợi</v>
      </c>
      <c r="C4" s="36" t="str">
        <v>DV Cắt gội massage (SC)</v>
      </c>
      <c r="D4" s="36">
        <v>199000</v>
      </c>
      <c r="E4" s="36">
        <v>1</v>
      </c>
      <c r="F4">
        <f>D4/E4</f>
      </c>
    </row>
    <row r="5">
      <c r="A5" s="35" t="str">
        <v>DV_Cắt</v>
      </c>
      <c r="B5" s="34" t="str">
        <v>GenZ - Shine combo</v>
      </c>
      <c r="C5" s="34" t="str">
        <v>DV Cắt gội massage (SC)</v>
      </c>
      <c r="D5" s="34"/>
      <c r="E5" s="34"/>
      <c r="F5">
        <f>D5/E5</f>
      </c>
    </row>
    <row r="6">
      <c r="A6" s="37" t="str">
        <v>DV_Cắt</v>
      </c>
      <c r="B6" s="36" t="str">
        <v>Shine cut Genz</v>
      </c>
      <c r="C6" s="36" t="str">
        <v>DV Cắt gội massage (SC)</v>
      </c>
      <c r="D6" s="36">
        <v>59000</v>
      </c>
      <c r="E6" s="36">
        <v>1</v>
      </c>
      <c r="F6">
        <f>D6/E6</f>
      </c>
    </row>
    <row r="7">
      <c r="A7" s="35" t="str">
        <v>DV_Cắt</v>
      </c>
      <c r="B7" s="34" t="str">
        <v>Shinecombo Genz</v>
      </c>
      <c r="C7" s="34" t="str">
        <v>DV Cắt gội massage (SC)</v>
      </c>
      <c r="D7" s="34">
        <v>79000</v>
      </c>
      <c r="E7" s="34">
        <v>1</v>
      </c>
      <c r="F7">
        <f>D7/E7</f>
      </c>
    </row>
    <row r="8">
      <c r="A8" s="37" t="str">
        <v>DV_Cắt</v>
      </c>
      <c r="B8" s="36" t="str">
        <v>VH Cắt gội dưỡng sinh Vip</v>
      </c>
      <c r="C8" s="36" t="str">
        <v>DV Cắt gội massage (SC)</v>
      </c>
      <c r="D8" s="36">
        <v>7547074</v>
      </c>
      <c r="E8" s="36">
        <v>32</v>
      </c>
      <c r="F8">
        <f>D8/E8</f>
      </c>
    </row>
    <row r="9">
      <c r="A9" s="35" t="str">
        <v>DV_Cắt</v>
      </c>
      <c r="B9" s="34" t="str">
        <v>Combo Cắt gội Kid</v>
      </c>
      <c r="C9" s="34" t="str">
        <v>DV Cắt KID</v>
      </c>
      <c r="D9" s="34">
        <v>34380000</v>
      </c>
      <c r="E9" s="34">
        <v>344</v>
      </c>
      <c r="F9">
        <f>D9/E9</f>
      </c>
    </row>
    <row r="10">
      <c r="A10" s="37" t="str">
        <v>DV_Cắt</v>
      </c>
      <c r="B10" s="36" t="str">
        <v>Kid Cắt</v>
      </c>
      <c r="C10" s="36" t="str">
        <v>DV Cắt KID</v>
      </c>
      <c r="D10" s="36">
        <v>98332500</v>
      </c>
      <c r="E10" s="36">
        <v>1313</v>
      </c>
      <c r="F10">
        <f>D10/E10</f>
      </c>
    </row>
    <row r="11">
      <c r="A11" s="35" t="str">
        <v>DV_Cắt</v>
      </c>
      <c r="B11" s="34" t="str">
        <v>[DV] Vuốt sáp - sấy tạo kiểu 10k</v>
      </c>
      <c r="C11" s="34" t="str">
        <v>DV Cắt xả (không gội massage)</v>
      </c>
      <c r="D11" s="34">
        <v>2797000</v>
      </c>
      <c r="E11" s="34">
        <v>280</v>
      </c>
      <c r="F11">
        <f>D11/E11</f>
      </c>
    </row>
    <row r="12">
      <c r="A12" s="37" t="str">
        <v>DV_Cắt</v>
      </c>
      <c r="B12" s="36" t="str">
        <v>Cắt xả tạo kiểu</v>
      </c>
      <c r="C12" s="36" t="str">
        <v>DV Cắt xả (không gội massage)</v>
      </c>
      <c r="D12" s="36">
        <v>1137176247</v>
      </c>
      <c r="E12" s="36">
        <v>12569</v>
      </c>
      <c r="F12">
        <f>D12/E12</f>
      </c>
    </row>
    <row r="13">
      <c r="A13" s="35" t="str">
        <v>DV_Cắt_Vip</v>
      </c>
      <c r="B13" s="34" t="str">
        <v>Cắt Gội Combo 3 - Chăm da</v>
      </c>
      <c r="C13" s="34" t="str">
        <v>DV Cắt gội chăm sóc S-VIP</v>
      </c>
      <c r="D13" s="34">
        <v>789180510</v>
      </c>
      <c r="E13" s="34">
        <v>2713</v>
      </c>
      <c r="F13">
        <f>D13/E13</f>
      </c>
    </row>
    <row r="14">
      <c r="A14" s="37" t="str">
        <v>DV_Cắt_Vip</v>
      </c>
      <c r="B14" s="36" t="str">
        <v>Cắt Gội Combo 3 - Dưỡng sinh</v>
      </c>
      <c r="C14" s="36" t="str">
        <v>DV Cắt gội chăm sóc S-VIP</v>
      </c>
      <c r="D14" s="36">
        <v>210416572</v>
      </c>
      <c r="E14" s="36">
        <v>711</v>
      </c>
      <c r="F14">
        <f>D14/E14</f>
      </c>
    </row>
    <row r="15">
      <c r="A15" s="35" t="str">
        <v>DV_Cắt_Vip</v>
      </c>
      <c r="B15" s="34" t="str">
        <v>Cắt Gội Combo 5 - Chăm da</v>
      </c>
      <c r="C15" s="34" t="str">
        <v>DV Cắt gội chăm sóc S-VIP</v>
      </c>
      <c r="D15" s="34">
        <v>399000</v>
      </c>
      <c r="E15" s="34">
        <v>1</v>
      </c>
      <c r="F15">
        <f>D15/E15</f>
      </c>
    </row>
    <row r="16">
      <c r="A16" s="37" t="str">
        <v>DV_Cắt_Vip</v>
      </c>
      <c r="B16" s="36" t="str">
        <v>Cắt Gội Combo 5 - Dưỡng sinh</v>
      </c>
      <c r="C16" s="36" t="str">
        <v>DV Cắt gội chăm sóc S-VIP</v>
      </c>
      <c r="D16" s="36">
        <v>80738556</v>
      </c>
      <c r="E16" s="36">
        <v>176</v>
      </c>
      <c r="F16">
        <f>D16/E16</f>
      </c>
    </row>
    <row r="17">
      <c r="A17" s="35" t="str">
        <v>DV_Cắt_Vip</v>
      </c>
      <c r="B17" s="34" t="str">
        <v>Combo 2 - First Class 2</v>
      </c>
      <c r="C17" s="34" t="str">
        <v>DV Cắt gội chăm sóc S-VIP</v>
      </c>
      <c r="D17" s="34">
        <v>496430396</v>
      </c>
      <c r="E17" s="34">
        <v>2155</v>
      </c>
      <c r="F17">
        <f>D17/E17</f>
      </c>
    </row>
    <row r="18">
      <c r="A18" s="37" t="str">
        <v>DV_Cắt_Vip</v>
      </c>
      <c r="B18" s="36" t="str">
        <v>Combo 3 - First Class 3</v>
      </c>
      <c r="C18" s="36" t="str">
        <v>DV Cắt gội chăm sóc S-VIP</v>
      </c>
      <c r="D18" s="36">
        <v>229335130</v>
      </c>
      <c r="E18" s="36">
        <v>766</v>
      </c>
      <c r="F18">
        <f>D18/E18</f>
      </c>
    </row>
    <row r="19">
      <c r="A19" s="35" t="str">
        <v>DV_Cắt_Vip</v>
      </c>
      <c r="B19" s="34" t="str">
        <v>Combo 4</v>
      </c>
      <c r="C19" s="34" t="str">
        <v>DV Cắt gội chăm sóc S-VIP</v>
      </c>
      <c r="D19" s="34">
        <v>502570997</v>
      </c>
      <c r="E19" s="34">
        <v>1329</v>
      </c>
      <c r="F19">
        <f>D19/E19</f>
      </c>
    </row>
    <row r="20">
      <c r="A20" s="37" t="str">
        <v>DV_Cắt_Vip</v>
      </c>
      <c r="B20" s="36" t="str">
        <v>Combo 4- First Class 4</v>
      </c>
      <c r="C20" s="36" t="str">
        <v>DV Cắt gội chăm sóc S-VIP</v>
      </c>
      <c r="D20" s="36">
        <v>103661632</v>
      </c>
      <c r="E20" s="36">
        <v>262</v>
      </c>
      <c r="F20">
        <f>D20/E20</f>
      </c>
    </row>
    <row r="21">
      <c r="A21" s="35" t="str">
        <v>DV_Cắt_Vip</v>
      </c>
      <c r="B21" s="34" t="str">
        <v>Combo Best choice</v>
      </c>
      <c r="C21" s="34" t="str">
        <v>DV Cắt gội chăm sóc S-VIP</v>
      </c>
      <c r="D21" s="34">
        <v>23621000</v>
      </c>
      <c r="E21" s="34">
        <v>79</v>
      </c>
      <c r="F21">
        <f>D21/E21</f>
      </c>
    </row>
    <row r="22">
      <c r="A22" s="37" t="str">
        <v>DV_Cắt_Vip</v>
      </c>
      <c r="B22" s="36" t="str">
        <v>Shinecombo 2</v>
      </c>
      <c r="C22" s="36" t="str">
        <v>DV Cắt gội chăm sóc S-VIP</v>
      </c>
      <c r="D22" s="36">
        <v>2326340828</v>
      </c>
      <c r="E22" s="36">
        <v>12492</v>
      </c>
      <c r="F22">
        <f>D22/E22</f>
      </c>
    </row>
    <row r="23">
      <c r="A23" s="35" t="str">
        <v>DV_Cắt_Vip</v>
      </c>
      <c r="B23" s="34" t="str">
        <v>VH Cắt gội dưỡng sinh Vip LRT</v>
      </c>
      <c r="C23" s="34" t="str">
        <v>DV Cắt gội chăm sóc S-VIP</v>
      </c>
      <c r="D23" s="34">
        <v>22873507</v>
      </c>
      <c r="E23" s="34">
        <v>80</v>
      </c>
      <c r="F23">
        <f>D23/E23</f>
      </c>
    </row>
    <row r="24">
      <c r="A24" s="37" t="str">
        <v>DV_Cắt_Vip</v>
      </c>
      <c r="B24" s="36" t="str">
        <v>VH Cắt gội thư giãn phục hồi</v>
      </c>
      <c r="C24" s="36" t="str">
        <v>DV Cắt gội chăm sóc S-VIP</v>
      </c>
      <c r="D24" s="36">
        <v>9426862</v>
      </c>
      <c r="E24" s="36">
        <v>22</v>
      </c>
      <c r="F24">
        <f>D24/E24</f>
      </c>
    </row>
    <row r="25">
      <c r="A25" s="35" t="str">
        <v>DV_Cắt_Vip</v>
      </c>
      <c r="B25" s="34" t="str">
        <v>Combo cắt gội đỉnh cao thư giãn vip</v>
      </c>
      <c r="C25" s="34" t="str">
        <v>DV Cắt gội VIP Paradise</v>
      </c>
      <c r="D25" s="34">
        <v>73745238</v>
      </c>
      <c r="E25" s="34">
        <v>147</v>
      </c>
      <c r="F25">
        <f>D25/E25</f>
      </c>
    </row>
    <row r="26">
      <c r="A26" s="37" t="str">
        <v>DV_chăm sóc</v>
      </c>
      <c r="B26" s="36" t="str">
        <v>[DV] Mặt nạ xông hơi mắt 30k (10)</v>
      </c>
      <c r="C26" s="36" t="str">
        <v>DV Chăm sóc</v>
      </c>
      <c r="D26" s="36">
        <v>90000</v>
      </c>
      <c r="E26" s="36">
        <v>3</v>
      </c>
      <c r="F26">
        <f>D26/E26</f>
      </c>
    </row>
    <row r="27">
      <c r="A27" s="35" t="str">
        <v>DV_chăm sóc</v>
      </c>
      <c r="B27" s="34" t="str">
        <v>Đánh bay mụn cám lột mụn (Full Face)</v>
      </c>
      <c r="C27" s="34" t="str">
        <v>DV Chăm sóc</v>
      </c>
      <c r="D27" s="34">
        <v>46007589</v>
      </c>
      <c r="E27" s="34">
        <v>1156</v>
      </c>
      <c r="F27">
        <f>D27/E27</f>
      </c>
    </row>
    <row r="28">
      <c r="A28" s="37" t="str">
        <v>DV_chăm sóc</v>
      </c>
      <c r="B28" s="36" t="str">
        <v>Đánh mắt 30k</v>
      </c>
      <c r="C28" s="36" t="str">
        <v>DV Chăm sóc</v>
      </c>
      <c r="D28" s="36">
        <v>150000</v>
      </c>
      <c r="E28" s="36">
        <v>5</v>
      </c>
      <c r="F28">
        <f>D28/E28</f>
      </c>
    </row>
    <row r="29">
      <c r="A29" s="35" t="str">
        <v>DV_chăm sóc</v>
      </c>
      <c r="B29" s="34" t="str">
        <v>Đánh mắt, se lỗ ghèn 50k</v>
      </c>
      <c r="C29" s="34" t="str">
        <v>DV Chăm sóc</v>
      </c>
      <c r="D29" s="34">
        <v>100000</v>
      </c>
      <c r="E29" s="34">
        <v>2</v>
      </c>
      <c r="F29">
        <f>D29/E29</f>
      </c>
    </row>
    <row r="30">
      <c r="A30" s="37" t="str">
        <v>DV_chăm sóc</v>
      </c>
      <c r="B30" s="36" t="str">
        <v>Dịch vụ upgrade combo 1 lên combo 2 (dành riêng Khách đã từng mua topup combo 1)</v>
      </c>
      <c r="C30" s="36" t="str">
        <v>DV Chăm sóc</v>
      </c>
      <c r="D30" s="36">
        <v>290500</v>
      </c>
      <c r="E30" s="36">
        <v>7</v>
      </c>
      <c r="F30">
        <f>D30/E30</f>
      </c>
    </row>
    <row r="31">
      <c r="A31" s="35" t="str">
        <v>DV_chăm sóc</v>
      </c>
      <c r="B31" s="34" t="str">
        <v>Dịch vụ upgrade combo 2 lên combo 3 (dành riêng Khách đã từng mua topup combo 2)</v>
      </c>
      <c r="C31" s="34" t="str">
        <v>DV Chăm sóc</v>
      </c>
      <c r="D31" s="34">
        <v>124500</v>
      </c>
      <c r="E31" s="34">
        <v>3</v>
      </c>
      <c r="F31">
        <f>D31/E31</f>
      </c>
    </row>
    <row r="32">
      <c r="A32" s="37" t="str">
        <v>DV_chăm sóc</v>
      </c>
      <c r="B32" s="36" t="str">
        <v>Dịch vụ upgrade combo 3 lên combo 4 (dành riêng Khách đã từng mua topup combo 3)</v>
      </c>
      <c r="C32" s="36" t="str">
        <v>DV Chăm sóc</v>
      </c>
      <c r="D32" s="36">
        <v>100000</v>
      </c>
      <c r="E32" s="36">
        <v>1</v>
      </c>
      <c r="F32">
        <f>D32/E32</f>
      </c>
    </row>
    <row r="33">
      <c r="A33" s="35" t="str">
        <v>DV_chăm sóc</v>
      </c>
      <c r="B33" s="34" t="str">
        <v>Khai trương _gội CVG</v>
      </c>
      <c r="C33" s="34" t="str">
        <v>DV Chăm sóc</v>
      </c>
      <c r="D33" s="34"/>
      <c r="E33" s="34"/>
      <c r="F33">
        <f>D33/E33</f>
      </c>
    </row>
    <row r="34">
      <c r="A34" s="37" t="str">
        <v>DV_chăm sóc</v>
      </c>
      <c r="B34" s="36" t="str">
        <v>Nhổ tóc bạc</v>
      </c>
      <c r="C34" s="36" t="str">
        <v>DV Chăm sóc</v>
      </c>
      <c r="D34" s="36">
        <v>405000</v>
      </c>
      <c r="E34" s="36">
        <v>9</v>
      </c>
      <c r="F34">
        <f>D34/E34</f>
      </c>
    </row>
    <row r="35">
      <c r="A35" s="35" t="str">
        <v>DV_chăm sóc</v>
      </c>
      <c r="B35" s="34" t="str">
        <v>Tái tạo da đầu - Sạch gàu hết ngứa</v>
      </c>
      <c r="C35" s="34" t="str">
        <v>DV Chăm sóc</v>
      </c>
      <c r="D35" s="34">
        <v>1372000</v>
      </c>
      <c r="E35" s="34">
        <v>14</v>
      </c>
      <c r="F35">
        <f>D35/E35</f>
      </c>
    </row>
    <row r="36">
      <c r="A36" s="37" t="str">
        <v>DV_chăm sóc</v>
      </c>
      <c r="B36" s="36" t="str">
        <v>Thư giãn mắt 30k</v>
      </c>
      <c r="C36" s="36" t="str">
        <v>DV Chăm sóc</v>
      </c>
      <c r="D36" s="36"/>
      <c r="E36" s="36"/>
      <c r="F36">
        <f>D36/E36</f>
      </c>
    </row>
    <row r="37">
      <c r="A37" s="35" t="str">
        <v>DV_chăm sóc</v>
      </c>
      <c r="B37" s="34" t="str">
        <v>Trải nghiệm Dầu gội khoa học cao cấp Laborie Derma +10k</v>
      </c>
      <c r="C37" s="34" t="str">
        <v>DV Chăm sóc</v>
      </c>
      <c r="D37" s="34"/>
      <c r="E37" s="34"/>
      <c r="F37">
        <f>D37/E37</f>
      </c>
    </row>
    <row r="38">
      <c r="A38" s="37" t="str">
        <v>DV_chăm sóc</v>
      </c>
      <c r="B38" s="36" t="str">
        <v>Trải nghiệm kem chống nắng Hàn Quốc 10k</v>
      </c>
      <c r="C38" s="36" t="str">
        <v>DV Chăm sóc</v>
      </c>
      <c r="D38" s="36">
        <v>10000</v>
      </c>
      <c r="E38" s="36">
        <v>1</v>
      </c>
      <c r="F38">
        <f>D38/E38</f>
      </c>
    </row>
    <row r="39">
      <c r="A39" s="35" t="str">
        <v>DV_chăm sóc</v>
      </c>
      <c r="B39" s="34" t="str">
        <v>Trẻ hóa da đầu - kích thích mọc tóc</v>
      </c>
      <c r="C39" s="34" t="str">
        <v>DV Chăm sóc</v>
      </c>
      <c r="D39" s="34">
        <v>98000</v>
      </c>
      <c r="E39" s="34">
        <v>1</v>
      </c>
      <c r="F39">
        <f>D39/E39</f>
      </c>
    </row>
    <row r="40">
      <c r="A40" s="37" t="str">
        <v>DV_chăm sóc</v>
      </c>
      <c r="B40" s="36" t="str">
        <v>VH Gội Vip Dưỡng Sinh</v>
      </c>
      <c r="C40" s="36" t="str">
        <v>DV Chăm sóc</v>
      </c>
      <c r="D40" s="36">
        <v>796000</v>
      </c>
      <c r="E40" s="36">
        <v>4</v>
      </c>
      <c r="F40">
        <f>D40/E40</f>
      </c>
    </row>
    <row r="41">
      <c r="A41" s="35" t="str">
        <v>DV_chăm sóc</v>
      </c>
      <c r="B41" s="34" t="str">
        <v>VH Gội Vip Dưỡng Sinh LRT</v>
      </c>
      <c r="C41" s="34" t="str">
        <v>DV Chăm sóc</v>
      </c>
      <c r="D41" s="34">
        <v>2762666</v>
      </c>
      <c r="E41" s="34">
        <v>11</v>
      </c>
      <c r="F41">
        <f>D41/E41</f>
      </c>
    </row>
    <row r="42">
      <c r="A42" s="37" t="str">
        <v>DV_chăm sóc</v>
      </c>
      <c r="B42" s="36" t="str">
        <v>[DV] Mặt nạ lạnh Hàn Quốc</v>
      </c>
      <c r="C42" s="36" t="str">
        <v>Nhóm Da cơ bản (Ngành CS)</v>
      </c>
      <c r="D42" s="36">
        <v>7734167</v>
      </c>
      <c r="E42" s="36">
        <v>222</v>
      </c>
      <c r="F42">
        <f>D42/E42</f>
      </c>
    </row>
    <row r="43">
      <c r="A43" s="35" t="str">
        <v>DV_chăm sóc</v>
      </c>
      <c r="B43" s="34" t="str">
        <v>[DV] Mặt nạ tẩy da chết sủi bọt cao cấp</v>
      </c>
      <c r="C43" s="34" t="str">
        <v>Nhóm Da cơ bản (Ngành CS)</v>
      </c>
      <c r="D43" s="34">
        <v>70653198</v>
      </c>
      <c r="E43" s="34">
        <v>1285</v>
      </c>
      <c r="F43">
        <f>D43/E43</f>
      </c>
    </row>
    <row r="44">
      <c r="A44" s="37" t="str">
        <v>DV_chăm sóc</v>
      </c>
      <c r="B44" s="36" t="str">
        <v>[DV] Tẩy da chết sủi bọt Hàn Quốc</v>
      </c>
      <c r="C44" s="36" t="str">
        <v>Nhóm Da cơ bản (Ngành CS)</v>
      </c>
      <c r="D44" s="36">
        <v>59393755</v>
      </c>
      <c r="E44" s="36">
        <v>1700</v>
      </c>
      <c r="F44">
        <f>D44/E44</f>
      </c>
    </row>
    <row r="45">
      <c r="A45" s="35" t="str">
        <v>DV_chăm sóc</v>
      </c>
      <c r="B45" s="34" t="str">
        <v>[DV] Detox tẩy da chết da đầu</v>
      </c>
      <c r="C45" s="34" t="str">
        <v>Nhóm da đầu (Ngành CS)</v>
      </c>
      <c r="D45" s="34">
        <v>15323073</v>
      </c>
      <c r="E45" s="34">
        <v>341</v>
      </c>
      <c r="F45">
        <f>D45/E45</f>
      </c>
    </row>
    <row r="46">
      <c r="A46" s="37" t="str">
        <v>DV_chăm sóc</v>
      </c>
      <c r="B46" s="36" t="str">
        <v>Nhổ tóc bạc buổi trưa</v>
      </c>
      <c r="C46" s="36" t="str">
        <v>Nhóm da đầu (Ngành CS)</v>
      </c>
      <c r="D46" s="36">
        <v>8250000</v>
      </c>
      <c r="E46" s="36">
        <v>55</v>
      </c>
      <c r="F46">
        <f>D46/E46</f>
      </c>
    </row>
    <row r="47">
      <c r="A47" s="35" t="str">
        <v>DV_chăm sóc</v>
      </c>
      <c r="B47" s="34" t="str">
        <v>[DV] Thư giãn cổ, vai, gáy bạc hà cam ngọt - Thư giãn tai sảng khoái 9 tầng mây 45k</v>
      </c>
      <c r="C47" s="34" t="str">
        <v>Nhóm Massage (ngành CS)</v>
      </c>
      <c r="D47" s="34">
        <v>5706573</v>
      </c>
      <c r="E47" s="34">
        <v>127</v>
      </c>
      <c r="F47">
        <f>D47/E47</f>
      </c>
    </row>
    <row r="48">
      <c r="A48" s="37" t="str">
        <v>DV_Dưỡng</v>
      </c>
      <c r="B48" s="36" t="str">
        <v>(2022T) ATS Control Buffer - Khử mùi tạo thơm cho tóc uốn nhuộm 40k</v>
      </c>
      <c r="C48" s="36" t="str">
        <v>DV Dưỡng</v>
      </c>
      <c r="D48" s="36">
        <v>61135250</v>
      </c>
      <c r="E48" s="36">
        <v>1530</v>
      </c>
      <c r="F48">
        <f>D48/E48</f>
      </c>
    </row>
    <row r="49">
      <c r="A49" s="35" t="str">
        <v>DV_Dưỡng</v>
      </c>
      <c r="B49" s="34" t="str">
        <v>Phục hồi trẻ hóa Lipid Bond</v>
      </c>
      <c r="C49" s="34" t="str">
        <v>DV Dưỡng</v>
      </c>
      <c r="D49" s="34">
        <v>82520903</v>
      </c>
      <c r="E49" s="34">
        <v>571</v>
      </c>
      <c r="F49">
        <f>D49/E49</f>
      </c>
    </row>
    <row r="50">
      <c r="A50" s="37" t="str">
        <v>DV_Gội</v>
      </c>
      <c r="B50" s="36" t="str">
        <v>[NEW] Gội dưỡng sinh</v>
      </c>
      <c r="C50" s="36" t="str">
        <v>DV Gội</v>
      </c>
      <c r="D50" s="36">
        <v>91378150</v>
      </c>
      <c r="E50" s="36">
        <v>1611</v>
      </c>
      <c r="F50">
        <f>D50/E50</f>
      </c>
    </row>
    <row r="51">
      <c r="A51" s="35" t="str">
        <v>DV_Gội</v>
      </c>
      <c r="B51" s="34" t="str">
        <v>[NEW] Gội dưỡng sinh cổ vai gáy và chăm sóc da</v>
      </c>
      <c r="C51" s="34" t="str">
        <v>DV Gội</v>
      </c>
      <c r="D51" s="34">
        <v>139000</v>
      </c>
      <c r="E51" s="34">
        <v>1</v>
      </c>
      <c r="F51">
        <f>D51/E51</f>
      </c>
    </row>
    <row r="52">
      <c r="A52" s="37" t="str">
        <v>DV_Gội</v>
      </c>
      <c r="B52" s="36" t="str">
        <v>Gội Combo 2</v>
      </c>
      <c r="C52" s="36" t="str">
        <v>DV Gội</v>
      </c>
      <c r="D52" s="36">
        <v>417835502</v>
      </c>
      <c r="E52" s="36">
        <v>2740</v>
      </c>
      <c r="F52">
        <f>D52/E52</f>
      </c>
    </row>
    <row r="53">
      <c r="A53" s="35" t="str">
        <v>DV_Gội</v>
      </c>
      <c r="B53" s="34" t="str">
        <v>Gội Combo 3 - Chăm da</v>
      </c>
      <c r="C53" s="34" t="str">
        <v>DV Gội</v>
      </c>
      <c r="D53" s="34">
        <v>325275816</v>
      </c>
      <c r="E53" s="34">
        <v>1428</v>
      </c>
      <c r="F53">
        <f>D53/E53</f>
      </c>
    </row>
    <row r="54">
      <c r="A54" s="37" t="str">
        <v>DV_Gội</v>
      </c>
      <c r="B54" s="36" t="str">
        <v>Gội Combo 4</v>
      </c>
      <c r="C54" s="36" t="str">
        <v>DV Gội</v>
      </c>
      <c r="D54" s="36">
        <v>446957391</v>
      </c>
      <c r="E54" s="36">
        <v>1625</v>
      </c>
      <c r="F54">
        <f>D54/E54</f>
      </c>
    </row>
    <row r="55">
      <c r="A55" s="35" t="str">
        <v>DV_Gội</v>
      </c>
      <c r="B55" s="34" t="str">
        <v>Gội Combo 5 - Chăm da</v>
      </c>
      <c r="C55" s="34" t="str">
        <v>DV Gội</v>
      </c>
      <c r="D55" s="34">
        <v>29916607</v>
      </c>
      <c r="E55" s="34">
        <v>84</v>
      </c>
      <c r="F55">
        <f>D55/E55</f>
      </c>
    </row>
    <row r="56">
      <c r="A56" s="37" t="str">
        <v>DV_Gội</v>
      </c>
      <c r="B56" s="36" t="str">
        <v>Gội dưỡng sinh cổ vai gáy</v>
      </c>
      <c r="C56" s="36" t="str">
        <v>DV Gội</v>
      </c>
      <c r="D56" s="36">
        <v>113379906</v>
      </c>
      <c r="E56" s="36">
        <v>1464</v>
      </c>
      <c r="F56">
        <f>D56/E56</f>
      </c>
    </row>
    <row r="57">
      <c r="A57" s="35" t="str">
        <v>DV_Gội</v>
      </c>
      <c r="B57" s="34" t="str">
        <v>Dual Vip Combo 60p</v>
      </c>
      <c r="C57" s="34" t="str">
        <v>Gội VIP - Paradise</v>
      </c>
      <c r="D57" s="34">
        <v>349500</v>
      </c>
      <c r="E57" s="34">
        <v>1</v>
      </c>
      <c r="F57">
        <f>D57/E57</f>
      </c>
    </row>
    <row r="58">
      <c r="A58" s="37" t="str">
        <v>DV_Gội</v>
      </c>
      <c r="B58" s="36" t="str">
        <v>Gội combo 3 - Dưỡng sinh</v>
      </c>
      <c r="C58" s="36" t="str">
        <v>Gội VIP - Paradise</v>
      </c>
      <c r="D58" s="36">
        <v>87067662</v>
      </c>
      <c r="E58" s="36">
        <v>395</v>
      </c>
      <c r="F58">
        <f>D58/E58</f>
      </c>
    </row>
    <row r="59">
      <c r="A59" s="35" t="str">
        <v>DV_Gội</v>
      </c>
      <c r="B59" s="34" t="str">
        <v>Gội combo 5 dưỡng sinh</v>
      </c>
      <c r="C59" s="34" t="str">
        <v>Gội VIP - Paradise</v>
      </c>
      <c r="D59" s="34">
        <v>89019813</v>
      </c>
      <c r="E59" s="34">
        <v>224</v>
      </c>
      <c r="F59">
        <f>D59/E59</f>
      </c>
    </row>
    <row r="60">
      <c r="A60" s="37" t="str">
        <v>DV_Gội</v>
      </c>
      <c r="B60" s="36" t="str">
        <v>Gội trải nghiệm 115p</v>
      </c>
      <c r="C60" s="36" t="str">
        <v>Gội VIP - Paradise</v>
      </c>
      <c r="D60" s="36">
        <v>78542300</v>
      </c>
      <c r="E60" s="36">
        <v>80</v>
      </c>
      <c r="F60">
        <f>D60/E60</f>
      </c>
    </row>
    <row r="61">
      <c r="A61" s="35" t="str">
        <v>DV_Gội</v>
      </c>
      <c r="B61" s="34" t="str">
        <v>Gội trải nghiệm 140p</v>
      </c>
      <c r="C61" s="34" t="str">
        <v>Gội VIP - Paradise</v>
      </c>
      <c r="D61" s="34">
        <v>32173167</v>
      </c>
      <c r="E61" s="34">
        <v>27</v>
      </c>
      <c r="F61">
        <f>D61/E61</f>
      </c>
    </row>
    <row r="62">
      <c r="A62" s="37" t="str">
        <v>DV_Gội</v>
      </c>
      <c r="B62" s="36" t="str">
        <v>Gội trải nghiệm 75p</v>
      </c>
      <c r="C62" s="36" t="str">
        <v>Gội VIP - Paradise</v>
      </c>
      <c r="D62" s="36">
        <v>349883344</v>
      </c>
      <c r="E62" s="36">
        <v>602</v>
      </c>
      <c r="F62">
        <f>D62/E62</f>
      </c>
    </row>
    <row r="63">
      <c r="A63" s="35" t="str">
        <v>DV_Gội</v>
      </c>
      <c r="B63" s="34" t="str">
        <v>Gội trải nghiệm 90p</v>
      </c>
      <c r="C63" s="34" t="str">
        <v>Gội VIP - Paradise</v>
      </c>
      <c r="D63" s="34">
        <v>140198703</v>
      </c>
      <c r="E63" s="34">
        <v>181</v>
      </c>
      <c r="F63">
        <f>D63/E63</f>
      </c>
    </row>
    <row r="64">
      <c r="A64" s="37" t="str">
        <v>DV_Gội</v>
      </c>
      <c r="B64" s="36" t="str">
        <v>Thư giãn phục hồi (dưỡng sinh đá nóng)</v>
      </c>
      <c r="C64" s="36" t="str">
        <v>Gội VIP - Paradise</v>
      </c>
      <c r="D64" s="36">
        <v>5400000</v>
      </c>
      <c r="E64" s="36">
        <v>12</v>
      </c>
      <c r="F64">
        <f>D64/E64</f>
      </c>
    </row>
    <row r="65">
      <c r="A65" s="35" t="str">
        <v>DV_Gội</v>
      </c>
      <c r="B65" s="34" t="str">
        <v>VH Combo Gội Dưỡng Sinh Phục Hồi</v>
      </c>
      <c r="C65" s="34" t="str">
        <v>Gội VIP - Paradise</v>
      </c>
      <c r="D65" s="34">
        <v>7739833</v>
      </c>
      <c r="E65" s="34">
        <v>20</v>
      </c>
      <c r="F65">
        <f>D65/E65</f>
      </c>
    </row>
    <row r="66">
      <c r="A66" s="37" t="str">
        <v>DV_Lấy ráy tai</v>
      </c>
      <c r="B66" s="36" t="str">
        <v>Combo Lấy ráy tai VIP 70K</v>
      </c>
      <c r="C66" s="36" t="str">
        <v>DỊCH VỤ LRT</v>
      </c>
      <c r="D66" s="36">
        <v>921458483</v>
      </c>
      <c r="E66" s="36">
        <v>13182</v>
      </c>
      <c r="F66">
        <f>D66/E66</f>
      </c>
    </row>
    <row r="67">
      <c r="A67" s="35" t="str">
        <v>DV_Lấy ráy tai</v>
      </c>
      <c r="B67" s="34" t="str">
        <v>Lấy ráy tai 30k</v>
      </c>
      <c r="C67" s="34" t="str">
        <v>DỊCH VỤ LRT</v>
      </c>
      <c r="D67" s="34">
        <v>30000</v>
      </c>
      <c r="E67" s="34">
        <v>1</v>
      </c>
      <c r="F67">
        <f>D67/E67</f>
      </c>
    </row>
    <row r="68">
      <c r="A68" s="37" t="str">
        <v>DV_Lấy ráy tai</v>
      </c>
      <c r="B68" s="36" t="str">
        <v>Lấy ráy tai VIP kèm mặt nạ mắt 100k</v>
      </c>
      <c r="C68" s="36" t="str">
        <v>DỊCH VỤ LRT</v>
      </c>
      <c r="D68" s="36">
        <v>158076055</v>
      </c>
      <c r="E68" s="36">
        <v>1582</v>
      </c>
      <c r="F68">
        <f>D68/E68</f>
      </c>
    </row>
    <row r="69">
      <c r="A69" s="35" t="str">
        <v>DV_Nhuộm</v>
      </c>
      <c r="B69" s="34" t="str">
        <v>(NEW) Nhuộm màu thời trang Milano</v>
      </c>
      <c r="C69" s="34" t="str">
        <v>DV Nhuộm cao cấp (&gt;300k)</v>
      </c>
      <c r="D69" s="34">
        <v>230215271</v>
      </c>
      <c r="E69" s="34">
        <v>667</v>
      </c>
      <c r="F69">
        <f>D69/E69</f>
      </c>
    </row>
    <row r="70">
      <c r="A70" s="37" t="str">
        <v>DV_Nhuộm</v>
      </c>
      <c r="B70" s="36" t="str">
        <v>NHUỘM THIẾT KẾ PHỤC HỒI CHUYÊN SÂU LIPID BOND 2025</v>
      </c>
      <c r="C70" s="36" t="str">
        <v>DV Nhuộm cao cấp (&gt;300k)</v>
      </c>
      <c r="D70" s="36">
        <v>95784290</v>
      </c>
      <c r="E70" s="36">
        <v>135</v>
      </c>
      <c r="F70">
        <f>D70/E70</f>
      </c>
    </row>
    <row r="71">
      <c r="A71" s="35" t="str">
        <v>DV_Nhuộm</v>
      </c>
      <c r="B71" s="34" t="str">
        <v>Phục Hồi kèm Uốn Nhuộm</v>
      </c>
      <c r="C71" s="34" t="str">
        <v>DV Nhuộm MOYO</v>
      </c>
      <c r="D71" s="34"/>
      <c r="E71" s="34"/>
      <c r="F71">
        <f>D71/E71</f>
      </c>
    </row>
    <row r="72">
      <c r="A72" s="37" t="str">
        <v>DV_Nhuộm</v>
      </c>
      <c r="B72" s="36" t="str">
        <v>(NEW) Nhuộm phủ bạc tiêu chuẩn 199K</v>
      </c>
      <c r="C72" s="36" t="str">
        <v>DV Nhuộm tiêu chuẩn (&lt;300k)</v>
      </c>
      <c r="D72" s="36">
        <v>46366663</v>
      </c>
      <c r="E72" s="36">
        <v>233</v>
      </c>
      <c r="F72">
        <f>D72/E72</f>
      </c>
    </row>
    <row r="73">
      <c r="A73" s="35" t="str">
        <v>DV_Nhuộm</v>
      </c>
      <c r="B73" s="34" t="str">
        <v>[DV] Nhuộm đen phủ bạc R&amp;B thảo dược</v>
      </c>
      <c r="C73" s="34" t="str">
        <v>DV Nhuộm tiêu chuẩn (&lt;300k)</v>
      </c>
      <c r="D73" s="34">
        <v>140589531</v>
      </c>
      <c r="E73" s="34">
        <v>487</v>
      </c>
      <c r="F73">
        <f>D73/E73</f>
      </c>
    </row>
    <row r="74">
      <c r="A74" s="37" t="str">
        <v>DV_Nhuộm</v>
      </c>
      <c r="B74" s="36" t="str">
        <v>[DV] Tẩy tóc bật tông Ý (1 lần)</v>
      </c>
      <c r="C74" s="36" t="str">
        <v>DV Nhuộm tiêu chuẩn (&lt;300k)</v>
      </c>
      <c r="D74" s="36">
        <v>13474160</v>
      </c>
      <c r="E74" s="36">
        <v>53</v>
      </c>
      <c r="F74">
        <f>D74/E74</f>
      </c>
    </row>
    <row r="75">
      <c r="A75" s="35" t="str">
        <v>DV_Nhuộm</v>
      </c>
      <c r="B75" s="34" t="str">
        <v>[DV] Tẩy tóc bật tông Ý (2 lần) 500k</v>
      </c>
      <c r="C75" s="34" t="str">
        <v>DV Nhuộm tiêu chuẩn (&lt;300k)</v>
      </c>
      <c r="D75" s="34">
        <v>21844000</v>
      </c>
      <c r="E75" s="34">
        <v>43</v>
      </c>
      <c r="F75">
        <f>D75/E75</f>
      </c>
    </row>
    <row r="76">
      <c r="A76" s="37" t="str">
        <v>DV_Spa</v>
      </c>
      <c r="B76" s="36" t="str">
        <v>[NEW] Chăm sóc da Shine Spa 199k (có phân tích da)</v>
      </c>
      <c r="C76" s="36" t="str">
        <v>DV Spa</v>
      </c>
      <c r="D76" s="36">
        <v>569286</v>
      </c>
      <c r="E76" s="36">
        <v>3</v>
      </c>
      <c r="F76">
        <f>D76/E76</f>
      </c>
    </row>
    <row r="77">
      <c r="A77" s="35" t="str">
        <v>DV_Spa</v>
      </c>
      <c r="B77" s="34" t="str">
        <v>[NEW] Lấy mụn &amp; chăm sóc da CNC Light Smooth (có phân tích da)</v>
      </c>
      <c r="C77" s="34" t="str">
        <v>DV Spa</v>
      </c>
      <c r="D77" s="34"/>
      <c r="E77" s="34"/>
      <c r="F77">
        <f>D77/E77</f>
      </c>
    </row>
    <row r="78">
      <c r="A78" s="37" t="str">
        <v>DV_Spa</v>
      </c>
      <c r="B78" s="36" t="str">
        <v>[NEW] Trắng đều màu da &amp; Spa da chuyên sâu NANO TECH 449k</v>
      </c>
      <c r="C78" s="36" t="str">
        <v>DV Spa</v>
      </c>
      <c r="D78" s="36">
        <v>215833</v>
      </c>
      <c r="E78" s="36">
        <v>1</v>
      </c>
      <c r="F78">
        <f>D78/E78</f>
      </c>
    </row>
    <row r="79">
      <c r="A79" s="35" t="str">
        <v>DV_Uốn</v>
      </c>
      <c r="B79" s="34" t="str">
        <v>Uốn/ Nhuộm thiết kế phục hồi 2025</v>
      </c>
      <c r="C79" s="34" t="str">
        <v>Combo UND</v>
      </c>
      <c r="D79" s="34">
        <v>4796000</v>
      </c>
      <c r="E79" s="34">
        <v>4</v>
      </c>
      <c r="F79">
        <f>D79/E79</f>
      </c>
    </row>
    <row r="80">
      <c r="A80" s="37" t="str">
        <v>DV_Uốn</v>
      </c>
      <c r="B80" s="36" t="str">
        <v>(NEW) Duỗi tạo phồng</v>
      </c>
      <c r="C80" s="36" t="str">
        <v>DV Duỗi Ép</v>
      </c>
      <c r="D80" s="36">
        <v>1935000</v>
      </c>
      <c r="E80" s="36">
        <v>5</v>
      </c>
      <c r="F80">
        <f>D80/E80</f>
      </c>
    </row>
    <row r="81">
      <c r="A81" s="35" t="str">
        <v>DV_Uốn</v>
      </c>
      <c r="B81" s="34" t="str">
        <v>[DV] Ép side hai bên</v>
      </c>
      <c r="C81" s="34" t="str">
        <v>DV Duỗi Ép</v>
      </c>
      <c r="D81" s="34">
        <v>27621610</v>
      </c>
      <c r="E81" s="34">
        <v>136</v>
      </c>
      <c r="F81">
        <f>D81/E81</f>
      </c>
    </row>
    <row r="82">
      <c r="A82" s="37" t="str">
        <v>DV_Uốn</v>
      </c>
      <c r="B82" s="36" t="str">
        <v>[DV] Uốn Texture con sâu/Uốn Ruffled</v>
      </c>
      <c r="C82" s="36" t="str">
        <v>DV Uốn cao cấp (&gt;340k)</v>
      </c>
      <c r="D82" s="36">
        <v>123344149</v>
      </c>
      <c r="E82" s="36">
        <v>233</v>
      </c>
      <c r="F82">
        <f>D82/E82</f>
      </c>
    </row>
    <row r="83">
      <c r="A83" s="35" t="str">
        <v>DV_Uốn</v>
      </c>
      <c r="B83" s="34" t="str">
        <v>Uốn định hình nếp tóc cao cấp (K-Perm Collection)</v>
      </c>
      <c r="C83" s="34" t="str">
        <v>DV Uốn cao cấp (&gt;340k)</v>
      </c>
      <c r="D83" s="34">
        <v>755868170</v>
      </c>
      <c r="E83" s="34">
        <v>1612</v>
      </c>
      <c r="F83">
        <f>D83/E83</f>
      </c>
    </row>
    <row r="84">
      <c r="A84" s="37" t="str">
        <v>DV_Uốn</v>
      </c>
      <c r="B84" s="36" t="str">
        <v>UỐN THIẾT KẾ PHỤC HỒI CHUYÊN SÂU LIPID BOND 2025</v>
      </c>
      <c r="C84" s="36" t="str">
        <v>DV Uốn cao cấp (&gt;340k)</v>
      </c>
      <c r="D84" s="36">
        <v>472197676</v>
      </c>
      <c r="E84" s="36">
        <v>689</v>
      </c>
      <c r="F84">
        <f>D84/E84</f>
      </c>
    </row>
    <row r="85">
      <c r="A85" s="35" t="str">
        <v>DV_Uốn</v>
      </c>
      <c r="B85" s="34" t="str">
        <v>(NEW) Uốn/Duỗi/Định hình full đầu tạo form vào nếp tự nhiên</v>
      </c>
      <c r="C85" s="34" t="str">
        <v>DV Uốn tiêu chuẩn (&lt;340k)</v>
      </c>
      <c r="D85" s="34">
        <v>616992191</v>
      </c>
      <c r="E85" s="34">
        <v>1609</v>
      </c>
      <c r="F85">
        <f>D85/E85</f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67"/>
  </cols>
  <sheetData>
    <row r="1">
      <c r="A1" t="str">
        <v>service_id</v>
      </c>
      <c r="B1" t="str">
        <v>service_name</v>
      </c>
      <c r="C1" t="str">
        <v>service_code</v>
      </c>
      <c r="D1" t="str">
        <v>list_price</v>
      </c>
    </row>
    <row r="2">
      <c r="A2">
        <v>1197</v>
      </c>
      <c r="B2" t="str">
        <v>Hấp phục hồi tóc bọc keratin bổ sung lipid cấp độ phân tử 120p</v>
      </c>
      <c r="C2" t="str">
        <v>SP01166</v>
      </c>
      <c r="D2">
        <v>1749000</v>
      </c>
    </row>
    <row r="3">
      <c r="A3">
        <v>1069</v>
      </c>
      <c r="B3" t="str">
        <v>Gội trải nghiệm 140p</v>
      </c>
      <c r="C3" t="str">
        <v>SP01038</v>
      </c>
      <c r="D3">
        <v>1199000</v>
      </c>
    </row>
    <row r="4">
      <c r="A4">
        <v>1193</v>
      </c>
      <c r="B4" t="str">
        <v>Uốn/ Nhuộm thiết kế phục hồi 2025</v>
      </c>
      <c r="C4" t="str">
        <v>SP01162</v>
      </c>
      <c r="D4">
        <v>1199000</v>
      </c>
    </row>
    <row r="5">
      <c r="A5">
        <v>963</v>
      </c>
      <c r="B5" t="str">
        <v>(NEW) [DV] Premlock Cao cấp 1049K</v>
      </c>
      <c r="C5" t="str">
        <v>SP00932</v>
      </c>
      <c r="D5">
        <v>1049000</v>
      </c>
    </row>
    <row r="6">
      <c r="A6">
        <v>1068</v>
      </c>
      <c r="B6" t="str">
        <v>Gội trải nghiệm 115p</v>
      </c>
      <c r="C6" t="str">
        <v>SP01037</v>
      </c>
      <c r="D6">
        <v>999000</v>
      </c>
    </row>
    <row r="7">
      <c r="A7">
        <v>170</v>
      </c>
      <c r="B7" t="str">
        <v>[DV] Premlock 899k</v>
      </c>
      <c r="C7" t="str">
        <v>SP00153</v>
      </c>
      <c r="D7">
        <v>899000</v>
      </c>
    </row>
    <row r="8">
      <c r="A8">
        <v>1067</v>
      </c>
      <c r="B8" t="str">
        <v>Gội trải nghiệm 90p</v>
      </c>
      <c r="C8" t="str">
        <v>SP01036</v>
      </c>
      <c r="D8">
        <v>789000</v>
      </c>
    </row>
    <row r="9">
      <c r="A9">
        <v>836</v>
      </c>
      <c r="B9" t="str">
        <v>Ruffled Perm 758k</v>
      </c>
      <c r="C9" t="str">
        <v>SP00805</v>
      </c>
      <c r="D9">
        <v>758000</v>
      </c>
    </row>
    <row r="10">
      <c r="A10">
        <v>1268</v>
      </c>
      <c r="B10" t="str">
        <v>Combo Vip 2</v>
      </c>
      <c r="C10" t="str">
        <v>SP01237</v>
      </c>
      <c r="D10">
        <v>748000</v>
      </c>
    </row>
    <row r="11">
      <c r="A11">
        <v>945</v>
      </c>
      <c r="B11" t="str">
        <v>(NEW) Grass Perm Cao cấp 688K</v>
      </c>
      <c r="C11" t="str">
        <v>SP00914</v>
      </c>
      <c r="D11">
        <v>688000</v>
      </c>
    </row>
    <row r="12">
      <c r="A12">
        <v>947</v>
      </c>
      <c r="B12" t="str">
        <v>(NEW) Tailor Perm Cao cấp 688K</v>
      </c>
      <c r="C12" t="str">
        <v>SP00916</v>
      </c>
      <c r="D12">
        <v>688000</v>
      </c>
    </row>
    <row r="13">
      <c r="A13">
        <v>1148</v>
      </c>
      <c r="B13" t="str">
        <v>UỐN THIẾT KẾ PHỤC HỒI CHUYÊN SÂU LIPID BOND 2025</v>
      </c>
      <c r="C13" t="str">
        <v>SP01117</v>
      </c>
      <c r="D13">
        <v>686000</v>
      </c>
    </row>
    <row r="14">
      <c r="A14">
        <v>1149</v>
      </c>
      <c r="B14" t="str">
        <v>NHUỘM THIẾT KẾ PHỤC HỒI CHUYÊN SÂU LIPID BOND 2025</v>
      </c>
      <c r="C14" t="str">
        <v>SP01118</v>
      </c>
      <c r="D14">
        <v>686000</v>
      </c>
    </row>
    <row r="15">
      <c r="A15">
        <v>1267</v>
      </c>
      <c r="B15" t="str">
        <v>Combo Vip 1</v>
      </c>
      <c r="C15" t="str">
        <v>SP01236</v>
      </c>
      <c r="D15">
        <v>628000</v>
      </c>
    </row>
    <row r="16">
      <c r="A16">
        <v>1150</v>
      </c>
      <c r="B16" t="str">
        <v>Combo cắt gội đỉnh cao thư giãn vip</v>
      </c>
      <c r="C16" t="str">
        <v>SP01119</v>
      </c>
      <c r="D16">
        <v>600000</v>
      </c>
    </row>
    <row r="17">
      <c r="A17">
        <v>674</v>
      </c>
      <c r="B17" t="str">
        <v>[DV] Uốn Texture con sâu/Uốn Ruffled</v>
      </c>
      <c r="C17" t="str">
        <v>SP00657</v>
      </c>
      <c r="D17">
        <v>599000</v>
      </c>
    </row>
    <row r="18">
      <c r="A18">
        <v>1279</v>
      </c>
      <c r="B18" t="str">
        <v>LIỆU TRÌNH VÀNG</v>
      </c>
      <c r="C18" t="str">
        <v>SP01248</v>
      </c>
      <c r="D18">
        <v>599000</v>
      </c>
    </row>
    <row r="19">
      <c r="A19">
        <v>1066</v>
      </c>
      <c r="B19" t="str">
        <v>Gội trải nghiệm 75p</v>
      </c>
      <c r="C19" t="str">
        <v>SP01035</v>
      </c>
      <c r="D19">
        <v>589000</v>
      </c>
    </row>
    <row r="20">
      <c r="A20">
        <v>1287</v>
      </c>
      <c r="B20" t="str">
        <v>Combo ALL in 1 DIAMOND</v>
      </c>
      <c r="C20" t="str">
        <v>SP01256</v>
      </c>
      <c r="D20">
        <v>589000</v>
      </c>
    </row>
    <row r="21">
      <c r="A21">
        <v>1129</v>
      </c>
      <c r="B21" t="str">
        <v>Nhuộm Tóc Bob - Size M</v>
      </c>
      <c r="C21" t="str">
        <v>SP01098</v>
      </c>
      <c r="D21">
        <v>569000</v>
      </c>
    </row>
    <row r="22">
      <c r="A22">
        <v>1250</v>
      </c>
      <c r="B22" t="str">
        <v>GenZ - Uốn ruffer</v>
      </c>
      <c r="C22" t="str">
        <v>SP01219</v>
      </c>
      <c r="D22">
        <v>530000</v>
      </c>
    </row>
    <row r="23">
      <c r="A23">
        <v>953</v>
      </c>
      <c r="B23" t="str">
        <v>(NEW) Fit Perm Cao cấp 528K</v>
      </c>
      <c r="C23" t="str">
        <v>SP00922</v>
      </c>
      <c r="D23">
        <v>528000</v>
      </c>
    </row>
    <row r="24">
      <c r="A24">
        <v>916</v>
      </c>
      <c r="B24" t="str">
        <v>[DV] Tẩy tóc bật tông Ý (2 lần) 500k</v>
      </c>
      <c r="C24" t="str">
        <v>SP00885</v>
      </c>
      <c r="D24">
        <v>500000</v>
      </c>
    </row>
    <row r="25">
      <c r="A25">
        <v>956</v>
      </c>
      <c r="B25" t="str">
        <v>(NEW) Quiff Perm Cao cấp 498K</v>
      </c>
      <c r="C25" t="str">
        <v>SP00925</v>
      </c>
      <c r="D25">
        <v>498000</v>
      </c>
    </row>
    <row r="26">
      <c r="A26">
        <v>841</v>
      </c>
      <c r="B26" t="str">
        <v>Tailor Perm 478k</v>
      </c>
      <c r="C26" t="str">
        <v>SP00810</v>
      </c>
      <c r="D26">
        <v>478000</v>
      </c>
    </row>
    <row r="27">
      <c r="A27">
        <v>532</v>
      </c>
      <c r="B27" t="str">
        <v>[DV] Uốn Siêu Cấp</v>
      </c>
      <c r="C27" t="str">
        <v>SP00515</v>
      </c>
      <c r="D27">
        <v>469000</v>
      </c>
    </row>
    <row r="28">
      <c r="A28">
        <v>1064</v>
      </c>
      <c r="B28" t="str">
        <v>Cắt Gội Combo 5 - Dưỡng sinh</v>
      </c>
      <c r="C28" t="str">
        <v>SP01033</v>
      </c>
      <c r="D28">
        <v>459000</v>
      </c>
    </row>
    <row r="29">
      <c r="A29">
        <v>1196</v>
      </c>
      <c r="B29" t="str">
        <v>Thư giãn phục hồi (dưỡng sinh đá nóng)</v>
      </c>
      <c r="C29" t="str">
        <v>SP01165</v>
      </c>
      <c r="D29">
        <v>450000</v>
      </c>
    </row>
    <row r="30">
      <c r="A30">
        <v>1105</v>
      </c>
      <c r="B30" t="str">
        <v>Dual Vip Combo 90p</v>
      </c>
      <c r="C30" t="str">
        <v>SP01074</v>
      </c>
      <c r="D30">
        <v>449500</v>
      </c>
    </row>
    <row r="31">
      <c r="A31">
        <v>939</v>
      </c>
      <c r="B31" t="str">
        <v>[NEW] Trắng đều màu da &amp; Spa da chuyên sâu NANO TECH 449k</v>
      </c>
      <c r="C31" t="str">
        <v>SP00908</v>
      </c>
      <c r="D31">
        <v>449000</v>
      </c>
    </row>
    <row r="32">
      <c r="A32">
        <v>952</v>
      </c>
      <c r="B32" t="str">
        <v>Uốn định hình nếp tóc cao cấp (K-Perm Collection)</v>
      </c>
      <c r="C32" t="str">
        <v>SP00921</v>
      </c>
      <c r="D32">
        <v>449000</v>
      </c>
    </row>
    <row r="33">
      <c r="A33">
        <v>961</v>
      </c>
      <c r="B33" t="str">
        <v>(NEW) Nhuộm màu thời trang Milano Cao cấp</v>
      </c>
      <c r="C33" t="str">
        <v>SP00930</v>
      </c>
      <c r="D33">
        <v>449000</v>
      </c>
    </row>
    <row r="34">
      <c r="A34">
        <v>965</v>
      </c>
      <c r="B34" t="str">
        <v>(NEW) Duỗi tạo phồng</v>
      </c>
      <c r="C34" t="str">
        <v>SP00934</v>
      </c>
      <c r="D34">
        <v>449000</v>
      </c>
    </row>
    <row r="35">
      <c r="A35">
        <v>1257</v>
      </c>
      <c r="B35" t="str">
        <v>VH Cắt gội thư giãn phục hồi</v>
      </c>
      <c r="C35" t="str">
        <v>SP01226</v>
      </c>
      <c r="D35">
        <v>449000</v>
      </c>
    </row>
    <row r="36">
      <c r="A36">
        <v>1286</v>
      </c>
      <c r="B36" t="str">
        <v>Combo ALL in 1 RUBY</v>
      </c>
      <c r="C36" t="str">
        <v>SP01255</v>
      </c>
      <c r="D36">
        <v>449000</v>
      </c>
    </row>
    <row r="37">
      <c r="A37">
        <v>1056</v>
      </c>
      <c r="B37" t="str">
        <v>Combo 5 - First Class 5</v>
      </c>
      <c r="C37" t="str">
        <v>SP01025</v>
      </c>
      <c r="D37">
        <v>429000</v>
      </c>
    </row>
    <row r="38">
      <c r="A38">
        <v>954</v>
      </c>
      <c r="B38" t="str">
        <v>(NEW) Fit Perm 418K</v>
      </c>
      <c r="C38" t="str">
        <v>SP00923</v>
      </c>
      <c r="D38">
        <v>418000</v>
      </c>
    </row>
    <row r="39">
      <c r="A39">
        <v>517</v>
      </c>
      <c r="B39" t="str">
        <v>[DV] Uốn cao cấp</v>
      </c>
      <c r="C39" t="str">
        <v>SP00500</v>
      </c>
      <c r="D39">
        <v>399000</v>
      </c>
    </row>
    <row r="40">
      <c r="A40">
        <v>919</v>
      </c>
      <c r="B40" t="str">
        <v>Gội dưỡng sinh đá nóng Super Paradise</v>
      </c>
      <c r="C40" t="str">
        <v>SP00888</v>
      </c>
      <c r="D40">
        <v>399000</v>
      </c>
    </row>
    <row r="41">
      <c r="A41">
        <v>932</v>
      </c>
      <c r="B41" t="str">
        <v>Gội combo 5 dưỡng sinh</v>
      </c>
      <c r="C41" t="str">
        <v>SP00901</v>
      </c>
      <c r="D41">
        <v>399000</v>
      </c>
    </row>
    <row r="42">
      <c r="A42">
        <v>1049</v>
      </c>
      <c r="B42" t="str">
        <v>Cắt Gội Combo 5 - Chăm da</v>
      </c>
      <c r="C42" t="str">
        <v>SP01018</v>
      </c>
      <c r="D42">
        <v>399000</v>
      </c>
    </row>
    <row r="43">
      <c r="A43">
        <v>1055</v>
      </c>
      <c r="B43" t="str">
        <v>Combo 4- First Class 4</v>
      </c>
      <c r="C43" t="str">
        <v>SP01024</v>
      </c>
      <c r="D43">
        <v>399000</v>
      </c>
    </row>
    <row r="44">
      <c r="A44">
        <v>1260</v>
      </c>
      <c r="B44" t="str">
        <v>VH Combo Gội Dưỡng Sinh Phục Hồi</v>
      </c>
      <c r="C44" t="str">
        <v>SP01229</v>
      </c>
      <c r="D44">
        <v>399000</v>
      </c>
    </row>
    <row r="45">
      <c r="A45">
        <v>1273</v>
      </c>
      <c r="B45" t="str">
        <v>BÀI TIẾT HÀN KHÍ</v>
      </c>
      <c r="C45" t="str">
        <v>SP01242</v>
      </c>
      <c r="D45">
        <v>399000</v>
      </c>
    </row>
    <row r="46">
      <c r="A46">
        <v>1275</v>
      </c>
      <c r="B46" t="str">
        <v>THANH LỌC MỤN CHUẨN Y KHOA (TẶNG GỘI ĐẦU)</v>
      </c>
      <c r="C46" t="str">
        <v>SP01244</v>
      </c>
      <c r="D46">
        <v>399000</v>
      </c>
    </row>
    <row r="47">
      <c r="A47">
        <v>957</v>
      </c>
      <c r="B47" t="str">
        <v>(NEW) Quiff Perm 398K</v>
      </c>
      <c r="C47" t="str">
        <v>SP00926</v>
      </c>
      <c r="D47">
        <v>398000</v>
      </c>
    </row>
    <row r="48">
      <c r="A48">
        <v>1009</v>
      </c>
      <c r="B48" t="str">
        <v>(NEW) Uốn/Duỗi/Định hình full đầu tạo form vào nếp tự nhiên</v>
      </c>
      <c r="C48" t="str">
        <v>SP00978</v>
      </c>
      <c r="D48">
        <v>379000</v>
      </c>
    </row>
    <row r="49">
      <c r="A49">
        <v>1048</v>
      </c>
      <c r="B49" t="str">
        <v>Combo 4</v>
      </c>
      <c r="C49" t="str">
        <v>SP01017</v>
      </c>
      <c r="D49">
        <v>379000</v>
      </c>
    </row>
    <row r="50">
      <c r="A50">
        <v>1216</v>
      </c>
      <c r="B50" t="str" xml:space="preserve">
        <v>Gội Spa Trẻ Hóa Da Skin Elixir </v>
      </c>
      <c r="C50" t="str">
        <v>SP01185</v>
      </c>
      <c r="D50">
        <v>369000</v>
      </c>
    </row>
    <row r="51">
      <c r="A51">
        <v>1285</v>
      </c>
      <c r="B51" t="str">
        <v>Combo ALL in 1 GOLD</v>
      </c>
      <c r="C51" t="str">
        <v>SP01254</v>
      </c>
      <c r="D51">
        <v>369000</v>
      </c>
    </row>
    <row r="52">
      <c r="A52">
        <v>938</v>
      </c>
      <c r="B52" t="str">
        <v>[NEW] Lấy mụn &amp; chăm sóc da CNC Light Smooth (có phân tích da)</v>
      </c>
      <c r="C52" t="str">
        <v>SP00907</v>
      </c>
      <c r="D52">
        <v>359000</v>
      </c>
    </row>
    <row r="53">
      <c r="A53">
        <v>1061</v>
      </c>
      <c r="B53" t="str">
        <v>Gội Combo 5 - Chăm da</v>
      </c>
      <c r="C53" t="str">
        <v>SP01030</v>
      </c>
      <c r="D53">
        <v>359000</v>
      </c>
    </row>
    <row r="54">
      <c r="A54">
        <v>1118</v>
      </c>
      <c r="B54" t="str">
        <v>Tái tạo da đầu Sạch Gàu &amp; Viêm Da DetoxScalp</v>
      </c>
      <c r="C54" t="str">
        <v>SP01087</v>
      </c>
      <c r="D54">
        <v>359000</v>
      </c>
    </row>
    <row r="55">
      <c r="A55">
        <v>1243</v>
      </c>
      <c r="B55" t="str">
        <v>Gội paradise LRT plus</v>
      </c>
      <c r="C55" t="str">
        <v>SP01212</v>
      </c>
      <c r="D55">
        <v>359000</v>
      </c>
    </row>
    <row r="56">
      <c r="A56">
        <v>1278</v>
      </c>
      <c r="B56" t="str">
        <v>GỘI TRẺ HÓA NANG TÓC</v>
      </c>
      <c r="C56" t="str">
        <v>SP01247</v>
      </c>
      <c r="D56">
        <v>359000</v>
      </c>
    </row>
    <row r="57">
      <c r="A57">
        <v>1133</v>
      </c>
      <c r="B57" t="str">
        <v>Uốn Phồng Chân Tóc</v>
      </c>
      <c r="C57" t="str">
        <v>SP01102</v>
      </c>
      <c r="D57">
        <v>350000</v>
      </c>
    </row>
    <row r="58">
      <c r="A58">
        <v>1104</v>
      </c>
      <c r="B58" t="str">
        <v>Dual Vip Combo 60p</v>
      </c>
      <c r="C58" t="str">
        <v>SP01073</v>
      </c>
      <c r="D58">
        <v>349500</v>
      </c>
    </row>
    <row r="59">
      <c r="A59">
        <v>964</v>
      </c>
      <c r="B59" t="str">
        <v>(NEW) Duỗi tạo phồng 349K</v>
      </c>
      <c r="C59" t="str">
        <v>SP00933</v>
      </c>
      <c r="D59">
        <v>349000</v>
      </c>
    </row>
    <row r="60">
      <c r="A60">
        <v>990</v>
      </c>
      <c r="B60" t="str">
        <v>Uốn Kid Xoăn Lơi 348K</v>
      </c>
      <c r="C60" t="str">
        <v>SP00959</v>
      </c>
      <c r="D60">
        <v>348000</v>
      </c>
    </row>
    <row r="61">
      <c r="A61">
        <v>1272</v>
      </c>
      <c r="B61" t="str">
        <v>DƯỠNG SINH ĐÁ NÓNG THƯ GIÃN</v>
      </c>
      <c r="C61" t="str">
        <v>SP01241</v>
      </c>
      <c r="D61">
        <v>339000</v>
      </c>
    </row>
    <row r="62">
      <c r="A62">
        <v>960</v>
      </c>
      <c r="B62" t="str">
        <v>(NEW) Nhuộm màu thời trang Milano</v>
      </c>
      <c r="C62" t="str">
        <v>SP00929</v>
      </c>
      <c r="D62">
        <v>329000</v>
      </c>
    </row>
    <row r="63">
      <c r="A63">
        <v>515</v>
      </c>
      <c r="B63" t="str">
        <v>[DV] Uốn tiêu chuẩn</v>
      </c>
      <c r="C63" t="str">
        <v>SP00498</v>
      </c>
      <c r="D63">
        <v>319000</v>
      </c>
    </row>
    <row r="64">
      <c r="A64">
        <v>523</v>
      </c>
      <c r="B64" t="str">
        <v>[DV] Nhuộm Davines</v>
      </c>
      <c r="C64" t="str">
        <v>SP00506</v>
      </c>
      <c r="D64">
        <v>319000</v>
      </c>
    </row>
    <row r="65">
      <c r="A65">
        <v>1060</v>
      </c>
      <c r="B65" t="str">
        <v>Gội Combo 4</v>
      </c>
      <c r="C65" t="str">
        <v>SP01029</v>
      </c>
      <c r="D65">
        <v>319000</v>
      </c>
    </row>
    <row r="66">
      <c r="A66">
        <v>1047</v>
      </c>
      <c r="B66" t="str">
        <v>Cắt Gội Combo 3 - Chăm da</v>
      </c>
      <c r="C66" t="str">
        <v>SP01016</v>
      </c>
      <c r="D66">
        <v>299000</v>
      </c>
    </row>
    <row r="67">
      <c r="A67">
        <v>1054</v>
      </c>
      <c r="B67" t="str">
        <v>Combo 3 - First Class 3</v>
      </c>
      <c r="C67" t="str">
        <v>SP01023</v>
      </c>
      <c r="D67">
        <v>299000</v>
      </c>
    </row>
    <row r="68">
      <c r="A68">
        <v>1065</v>
      </c>
      <c r="B68" t="str">
        <v>Cắt Gội Combo 3 - Dưỡng sinh</v>
      </c>
      <c r="C68" t="str">
        <v>SP01034</v>
      </c>
      <c r="D68">
        <v>299000</v>
      </c>
    </row>
    <row r="69">
      <c r="A69">
        <v>1085</v>
      </c>
      <c r="B69" t="str" xml:space="preserve">
        <v>Cắt tóc sáng tạo 2024 </v>
      </c>
      <c r="C69" t="str">
        <v>SP01054</v>
      </c>
      <c r="D69">
        <v>299000</v>
      </c>
    </row>
    <row r="70">
      <c r="A70">
        <v>1194</v>
      </c>
      <c r="B70" t="str">
        <v>Combo Best choice</v>
      </c>
      <c r="C70" t="str">
        <v>SP01163</v>
      </c>
      <c r="D70">
        <v>299000</v>
      </c>
    </row>
    <row r="71">
      <c r="A71">
        <v>1256</v>
      </c>
      <c r="B71" t="str">
        <v>VH Cắt gội dưỡng sinh Vip LRT</v>
      </c>
      <c r="C71" t="str">
        <v>SP01225</v>
      </c>
      <c r="D71">
        <v>299000</v>
      </c>
    </row>
    <row r="72">
      <c r="A72">
        <v>1284</v>
      </c>
      <c r="B72" t="str">
        <v>Combo ALL in 1 SILVER</v>
      </c>
      <c r="C72" t="str">
        <v>SP01253</v>
      </c>
      <c r="D72">
        <v>299000</v>
      </c>
    </row>
    <row r="73">
      <c r="A73">
        <v>989</v>
      </c>
      <c r="B73" t="str">
        <v>Uốn Kid Layer 298K</v>
      </c>
      <c r="C73" t="str">
        <v>SP00958</v>
      </c>
      <c r="D73">
        <v>298000</v>
      </c>
    </row>
    <row r="74">
      <c r="A74">
        <v>912</v>
      </c>
      <c r="B74" t="str">
        <v>[DV] Nhuộm đen phủ bạc R&amp;B thảo dược</v>
      </c>
      <c r="C74" t="str">
        <v>SP00881</v>
      </c>
      <c r="D74">
        <v>289000</v>
      </c>
    </row>
    <row r="75">
      <c r="A75">
        <v>1218</v>
      </c>
      <c r="B75" t="str" xml:space="preserve">
        <v>Gội Cổ Vai Gáy Mặt Ngọc Dưỡng Nhan </v>
      </c>
      <c r="C75" t="str">
        <v>SP01187</v>
      </c>
      <c r="D75">
        <v>289000</v>
      </c>
    </row>
    <row r="76">
      <c r="A76">
        <v>1274</v>
      </c>
      <c r="B76" t="str">
        <v>THƯ GIÃN TRẺ HOÁ DA (TẶNG GỘI ĐẦU)</v>
      </c>
      <c r="C76" t="str">
        <v>SP01243</v>
      </c>
      <c r="D76">
        <v>289000</v>
      </c>
    </row>
    <row r="77">
      <c r="A77">
        <v>902</v>
      </c>
      <c r="B77" t="str">
        <v>[DV] Ép side hai bên</v>
      </c>
      <c r="C77" t="str">
        <v>SP00871</v>
      </c>
      <c r="D77">
        <v>269000</v>
      </c>
    </row>
    <row r="78">
      <c r="A78">
        <v>1309</v>
      </c>
      <c r="B78" t="str">
        <v>[DV] Ép side full đầu</v>
      </c>
      <c r="C78" t="str">
        <v>SP01278</v>
      </c>
      <c r="D78">
        <v>269000</v>
      </c>
    </row>
    <row r="79">
      <c r="A79">
        <v>1217</v>
      </c>
      <c r="B79" t="str" xml:space="preserve">
        <v>Gội Cổ Vai Gáy Mặt Ngọc Thải độc Mắt </v>
      </c>
      <c r="C79" t="str">
        <v>SP01186</v>
      </c>
      <c r="D79">
        <v>259000</v>
      </c>
    </row>
    <row r="80">
      <c r="A80">
        <v>1241</v>
      </c>
      <c r="B80" t="str">
        <v>Combo cắt gội - Detox Scalp Pro</v>
      </c>
      <c r="C80" t="str">
        <v>SP01210</v>
      </c>
      <c r="D80">
        <v>259000</v>
      </c>
    </row>
    <row r="81">
      <c r="A81">
        <v>1259</v>
      </c>
      <c r="B81" t="str">
        <v>VH Gội Vip Dưỡng Sinh LRT</v>
      </c>
      <c r="C81" t="str">
        <v>SP01228</v>
      </c>
      <c r="D81">
        <v>259000</v>
      </c>
    </row>
    <row r="82">
      <c r="A82">
        <v>1281</v>
      </c>
      <c r="B82" t="str">
        <v>Gội Shiatsu chuyên sâu</v>
      </c>
      <c r="C82" t="str">
        <v>SP01250</v>
      </c>
      <c r="D82">
        <v>259000</v>
      </c>
    </row>
    <row r="83">
      <c r="A83">
        <v>915</v>
      </c>
      <c r="B83" t="str">
        <v>[DV] Tẩy tóc bật tông Ý (1 lần)</v>
      </c>
      <c r="C83" t="str">
        <v>SP00884</v>
      </c>
      <c r="D83">
        <v>250000</v>
      </c>
    </row>
    <row r="84">
      <c r="A84">
        <v>931</v>
      </c>
      <c r="B84" t="str">
        <v>[NEW] Gội dưỡng sinh đá nóng - Paradise dưỡng sinh đá nóng</v>
      </c>
      <c r="C84" t="str">
        <v>SP00900</v>
      </c>
      <c r="D84">
        <v>250000</v>
      </c>
    </row>
    <row r="85">
      <c r="A85">
        <v>1255</v>
      </c>
      <c r="B85" t="str" xml:space="preserve">
        <v>VH Cắt gội dưỡng sinh Vip </v>
      </c>
      <c r="C85" t="str">
        <v>SP01224</v>
      </c>
      <c r="D85">
        <v>249000</v>
      </c>
    </row>
    <row r="86">
      <c r="A86">
        <v>1053</v>
      </c>
      <c r="B86" t="str">
        <v>Combo 2 - First Class 2</v>
      </c>
      <c r="C86" t="str">
        <v>SP01022</v>
      </c>
      <c r="D86">
        <v>239000</v>
      </c>
    </row>
    <row r="87">
      <c r="A87">
        <v>934</v>
      </c>
      <c r="B87" t="str">
        <v>Gội combo 3 - Dưỡng sinh</v>
      </c>
      <c r="C87" t="str">
        <v>SP00903</v>
      </c>
      <c r="D87">
        <v>229000</v>
      </c>
    </row>
    <row r="88">
      <c r="A88">
        <v>1059</v>
      </c>
      <c r="B88" t="str">
        <v>Gội Combo 3 - Chăm da</v>
      </c>
      <c r="C88" t="str">
        <v>SP01028</v>
      </c>
      <c r="D88">
        <v>219000</v>
      </c>
    </row>
    <row r="89">
      <c r="A89">
        <v>1271</v>
      </c>
      <c r="B89" t="str">
        <v>GỘI SHIATSU CHUYÊN SÂU</v>
      </c>
      <c r="C89" t="str">
        <v>SP01240</v>
      </c>
      <c r="D89">
        <v>219000</v>
      </c>
    </row>
    <row r="90">
      <c r="A90">
        <v>1282</v>
      </c>
      <c r="B90" t="str">
        <v>Gội Detox thư giãn</v>
      </c>
      <c r="C90" t="str">
        <v>SP01251</v>
      </c>
      <c r="D90">
        <v>219000</v>
      </c>
    </row>
    <row r="91">
      <c r="A91">
        <v>1283</v>
      </c>
      <c r="B91" t="str">
        <v>Gội Shiatsu chăm sóc da</v>
      </c>
      <c r="C91" t="str">
        <v>SP01252</v>
      </c>
      <c r="D91">
        <v>219000</v>
      </c>
    </row>
    <row r="92">
      <c r="A92">
        <v>1246</v>
      </c>
      <c r="B92" t="str">
        <v>GenZ - Combo 3</v>
      </c>
      <c r="C92" t="str">
        <v>SP01215</v>
      </c>
      <c r="D92">
        <v>209000</v>
      </c>
    </row>
    <row r="93">
      <c r="A93">
        <v>1132</v>
      </c>
      <c r="B93" t="str">
        <v>Cắt Thiết Kế Tạo Kiểu</v>
      </c>
      <c r="C93" t="str">
        <v>SP01101</v>
      </c>
      <c r="D93">
        <v>200000</v>
      </c>
    </row>
    <row r="94">
      <c r="A94">
        <v>652</v>
      </c>
      <c r="B94" t="str">
        <v>Phục hồi chữa trị Tóc với Robot Nano 2022 199k</v>
      </c>
      <c r="C94" t="str">
        <v>SP00635</v>
      </c>
      <c r="D94">
        <v>199000</v>
      </c>
    </row>
    <row r="95">
      <c r="A95">
        <v>936</v>
      </c>
      <c r="B95" t="str">
        <v>[NEW] Chăm sóc da Shine Spa 199k (có phân tích da)</v>
      </c>
      <c r="C95" t="str">
        <v>SP00905</v>
      </c>
      <c r="D95">
        <v>199000</v>
      </c>
    </row>
    <row r="96">
      <c r="A96">
        <v>967</v>
      </c>
      <c r="B96" t="str">
        <v>(NEW) Nhuộm phủ bạc tiêu chuẩn 199K</v>
      </c>
      <c r="C96" t="str">
        <v>SP00936</v>
      </c>
      <c r="D96">
        <v>199000</v>
      </c>
    </row>
    <row r="97">
      <c r="A97">
        <v>1046</v>
      </c>
      <c r="B97" t="str" xml:space="preserve">
        <v>Shinecombo 2 </v>
      </c>
      <c r="C97" t="str">
        <v>SP01015</v>
      </c>
      <c r="D97">
        <v>199000</v>
      </c>
    </row>
    <row r="98">
      <c r="A98">
        <v>1076</v>
      </c>
      <c r="B98" t="str">
        <v>Combo Cắt Gội Ráy Tai Đắp Mặt 280k còn 199k</v>
      </c>
      <c r="C98" t="str">
        <v>SP01045</v>
      </c>
      <c r="D98">
        <v>199000</v>
      </c>
    </row>
    <row r="99">
      <c r="A99">
        <v>1135</v>
      </c>
      <c r="B99" t="str">
        <v>Phục Hồi kèm Uốn Nhuộm</v>
      </c>
      <c r="C99" t="str">
        <v>SP01104</v>
      </c>
      <c r="D99">
        <v>199000</v>
      </c>
    </row>
    <row r="100">
      <c r="A100">
        <v>1179</v>
      </c>
      <c r="B100" t="str">
        <v>Fullcombo</v>
      </c>
      <c r="C100" t="str">
        <v>SP01148</v>
      </c>
      <c r="D100">
        <v>199000</v>
      </c>
    </row>
    <row r="101">
      <c r="A101">
        <v>1211</v>
      </c>
      <c r="B101" t="str">
        <v>Combo Cắt tóc- Gội đầu- Cạo mặt - LRT</v>
      </c>
      <c r="C101" t="str">
        <v>SP01180</v>
      </c>
      <c r="D101">
        <v>199000</v>
      </c>
    </row>
    <row r="102">
      <c r="A102">
        <v>1242</v>
      </c>
      <c r="B102" t="str">
        <v>combo cắt gội tiện lợi</v>
      </c>
      <c r="C102" t="str">
        <v>SP01211</v>
      </c>
      <c r="D102">
        <v>199000</v>
      </c>
    </row>
    <row r="103">
      <c r="A103">
        <v>1258</v>
      </c>
      <c r="B103" t="str">
        <v>VH Gội Vip Dưỡng Sinh</v>
      </c>
      <c r="C103" t="str">
        <v>SP01227</v>
      </c>
      <c r="D103">
        <v>199000</v>
      </c>
    </row>
    <row r="104">
      <c r="A104">
        <v>1277</v>
      </c>
      <c r="B104" t="str">
        <v>GỘI DETOX CÂN BẰNG DẦU</v>
      </c>
      <c r="C104" t="str">
        <v>SP01246</v>
      </c>
      <c r="D104">
        <v>199000</v>
      </c>
    </row>
    <row r="105">
      <c r="A105">
        <v>1299</v>
      </c>
      <c r="B105" t="str">
        <v>Combo Tái Sinh</v>
      </c>
      <c r="C105" t="str">
        <v>SP01268</v>
      </c>
      <c r="D105">
        <v>199000</v>
      </c>
    </row>
    <row r="106">
      <c r="A106">
        <v>1262</v>
      </c>
      <c r="B106" t="str">
        <v>Cắt gội nhuộm phủ bạc</v>
      </c>
      <c r="C106" t="str">
        <v>SP01231</v>
      </c>
      <c r="D106">
        <v>188000</v>
      </c>
    </row>
    <row r="107">
      <c r="A107">
        <v>1113</v>
      </c>
      <c r="B107" t="str">
        <v>[Khuya] Gội combo 2</v>
      </c>
      <c r="C107" t="str">
        <v>SP01082</v>
      </c>
      <c r="D107">
        <v>179000</v>
      </c>
    </row>
    <row r="108">
      <c r="A108">
        <v>1240</v>
      </c>
      <c r="B108" t="str">
        <v>Gội Detox Scalp Pro</v>
      </c>
      <c r="C108" t="str">
        <v>SP01209</v>
      </c>
      <c r="D108">
        <v>179000</v>
      </c>
    </row>
    <row r="109">
      <c r="A109">
        <v>1295</v>
      </c>
      <c r="B109" t="str">
        <v>Combo Relax 2</v>
      </c>
      <c r="C109" t="str">
        <v>SP01264</v>
      </c>
      <c r="D109">
        <v>179000</v>
      </c>
    </row>
    <row r="110">
      <c r="A110">
        <v>1159</v>
      </c>
      <c r="B110" t="str">
        <v>Phục Hồi Beauty Box (đi kèm)</v>
      </c>
      <c r="C110" t="str">
        <v>SP01128</v>
      </c>
      <c r="D110">
        <v>160000</v>
      </c>
    </row>
    <row r="111">
      <c r="A111">
        <v>1052</v>
      </c>
      <c r="B111" t="str">
        <v>Combo 1 - First Class 1</v>
      </c>
      <c r="C111" t="str">
        <v>SP01021</v>
      </c>
      <c r="D111">
        <v>159000</v>
      </c>
    </row>
    <row r="112">
      <c r="A112">
        <v>1058</v>
      </c>
      <c r="B112" t="str" xml:space="preserve">
        <v>Gội Combo 2 </v>
      </c>
      <c r="C112" t="str">
        <v>SP01027</v>
      </c>
      <c r="D112">
        <v>159000</v>
      </c>
    </row>
    <row r="113">
      <c r="A113">
        <v>1298</v>
      </c>
      <c r="B113" t="str">
        <v>Combo Lấy Ráy Tai Hoàng Cung</v>
      </c>
      <c r="C113" t="str">
        <v>SP01267</v>
      </c>
      <c r="D113">
        <v>159000</v>
      </c>
    </row>
    <row r="114">
      <c r="A114">
        <v>615</v>
      </c>
      <c r="B114" t="str">
        <v>Nhổ tóc bạc buổi trưa</v>
      </c>
      <c r="C114" t="str">
        <v>SP00598</v>
      </c>
      <c r="D114">
        <v>150000</v>
      </c>
    </row>
    <row r="115">
      <c r="A115">
        <v>904</v>
      </c>
      <c r="B115" t="str">
        <v>[DV] Ép side (1 side) 149k</v>
      </c>
      <c r="C115" t="str">
        <v>SP00873</v>
      </c>
      <c r="D115">
        <v>149000</v>
      </c>
    </row>
    <row r="116">
      <c r="A116">
        <v>1093</v>
      </c>
      <c r="B116" t="str">
        <v>SHINECOMBO 2IN1 NEW 2024</v>
      </c>
      <c r="C116" t="str">
        <v>SP01062</v>
      </c>
      <c r="D116">
        <v>149000</v>
      </c>
    </row>
    <row r="117">
      <c r="A117">
        <v>1180</v>
      </c>
      <c r="B117" t="str" xml:space="preserve">
        <v>Combo tiện lợi </v>
      </c>
      <c r="C117" t="str">
        <v>SP01149</v>
      </c>
      <c r="D117">
        <v>149000</v>
      </c>
    </row>
    <row r="118">
      <c r="A118">
        <v>1212</v>
      </c>
      <c r="B118" t="str">
        <v>Combo Gội đầu- cạo mặt-LRT</v>
      </c>
      <c r="C118" t="str">
        <v>SP01181</v>
      </c>
      <c r="D118">
        <v>149000</v>
      </c>
    </row>
    <row r="119">
      <c r="A119">
        <v>1276</v>
      </c>
      <c r="B119" t="str">
        <v>GỘI NHANH, TIỆN, LỢI</v>
      </c>
      <c r="C119" t="str">
        <v>SP01245</v>
      </c>
      <c r="D119">
        <v>139000</v>
      </c>
    </row>
    <row r="120">
      <c r="A120">
        <v>930</v>
      </c>
      <c r="B120" t="str">
        <v>[NEW] Gội dưỡng sinh cổ vai gáy và chăm sóc da</v>
      </c>
      <c r="C120" t="str">
        <v>SP00899</v>
      </c>
      <c r="D120">
        <v>135000</v>
      </c>
    </row>
    <row r="121">
      <c r="A121">
        <v>1101</v>
      </c>
      <c r="B121" t="str">
        <v>Phục hồi trẻ hóa Lipid Bond</v>
      </c>
      <c r="C121" t="str">
        <v>SP01070</v>
      </c>
      <c r="D121">
        <v>129000</v>
      </c>
    </row>
    <row r="122">
      <c r="A122">
        <v>513</v>
      </c>
      <c r="B122" t="str">
        <v>[DV] ShineCombo 10 bước Ultra Care 2023</v>
      </c>
      <c r="C122" t="str">
        <v>SP00496</v>
      </c>
      <c r="D122">
        <v>120000</v>
      </c>
    </row>
    <row r="123">
      <c r="A123">
        <v>304</v>
      </c>
      <c r="B123" t="str">
        <v>[DV] Hấp dưỡng tinh chất Oliu 119k</v>
      </c>
      <c r="C123" t="str">
        <v>SP00287</v>
      </c>
      <c r="D123">
        <v>119000</v>
      </c>
    </row>
    <row r="124">
      <c r="A124">
        <v>1294</v>
      </c>
      <c r="B124" t="str">
        <v>Combo Relax 1</v>
      </c>
      <c r="C124" t="str">
        <v>SP01263</v>
      </c>
      <c r="D124">
        <v>119000</v>
      </c>
    </row>
    <row r="125">
      <c r="A125">
        <v>1070</v>
      </c>
      <c r="B125" t="str">
        <v>Combo Cắt gội Kid</v>
      </c>
      <c r="C125" t="str">
        <v>SP01039</v>
      </c>
      <c r="D125">
        <v>100000</v>
      </c>
    </row>
    <row r="126">
      <c r="A126">
        <v>1301</v>
      </c>
      <c r="B126" t="str">
        <v>Dịch vụ upgrade combo 2 lên combo 3 (dành riêng Khách đã từng mua topup combo 2)</v>
      </c>
      <c r="C126" t="str">
        <v>SP01270</v>
      </c>
      <c r="D126">
        <v>100000</v>
      </c>
    </row>
    <row r="127">
      <c r="A127">
        <v>1302</v>
      </c>
      <c r="B127" t="str">
        <v>Dịch vụ upgrade combo 3 lên combo 4 (dành riêng Khách đã từng mua topup combo 3)</v>
      </c>
      <c r="C127" t="str">
        <v>SP01271</v>
      </c>
      <c r="D127">
        <v>100000</v>
      </c>
    </row>
    <row r="128">
      <c r="A128">
        <v>764</v>
      </c>
      <c r="B128" t="str">
        <v>Thư giãn chân</v>
      </c>
      <c r="C128" t="str">
        <v>SP00747</v>
      </c>
      <c r="D128">
        <v>99000</v>
      </c>
    </row>
    <row r="129">
      <c r="A129">
        <v>1213</v>
      </c>
      <c r="B129" t="str">
        <v>LRT - cạo mặt</v>
      </c>
      <c r="C129" t="str">
        <v>SP01182</v>
      </c>
      <c r="D129">
        <v>99000</v>
      </c>
    </row>
    <row r="130">
      <c r="A130">
        <v>1102</v>
      </c>
      <c r="B130" t="str">
        <v>Tái tạo da đầu - Sạch gàu hết ngứa</v>
      </c>
      <c r="C130" t="str">
        <v>SP01071</v>
      </c>
      <c r="D130">
        <v>98000</v>
      </c>
    </row>
    <row r="131">
      <c r="A131">
        <v>1114</v>
      </c>
      <c r="B131" t="str">
        <v>Trẻ hóa da đầu - kích thích mọc tóc</v>
      </c>
      <c r="C131" t="str">
        <v>SP01083</v>
      </c>
      <c r="D131">
        <v>98000</v>
      </c>
    </row>
    <row r="132">
      <c r="A132">
        <v>867</v>
      </c>
      <c r="B132" t="str">
        <v>Gội dưỡng sinh cổ vai gáy</v>
      </c>
      <c r="C132" t="str">
        <v>SP00836</v>
      </c>
      <c r="D132">
        <v>95000</v>
      </c>
    </row>
    <row r="133">
      <c r="A133">
        <v>891</v>
      </c>
      <c r="B133" t="str">
        <v>Cắt xả tạo kiểu</v>
      </c>
      <c r="C133" t="str">
        <v>SP00860</v>
      </c>
      <c r="D133">
        <v>90000</v>
      </c>
    </row>
    <row r="134">
      <c r="A134">
        <v>1141</v>
      </c>
      <c r="B134" t="str">
        <v>DV cổ vai gáy Shiatshu (dùng thêm)</v>
      </c>
      <c r="C134" t="str">
        <v>SP01110</v>
      </c>
      <c r="D134">
        <v>80000</v>
      </c>
    </row>
    <row r="135">
      <c r="A135">
        <v>1195</v>
      </c>
      <c r="B135" t="str">
        <v>Cắt kiểu (không xả )</v>
      </c>
      <c r="C135" t="str">
        <v>SP01164</v>
      </c>
      <c r="D135">
        <v>80000</v>
      </c>
    </row>
    <row r="136">
      <c r="A136">
        <v>1215</v>
      </c>
      <c r="B136" t="str">
        <v>Shinecombo Genz</v>
      </c>
      <c r="C136" t="str">
        <v>SP01184</v>
      </c>
      <c r="D136">
        <v>79000</v>
      </c>
    </row>
    <row r="137">
      <c r="A137">
        <v>1239</v>
      </c>
      <c r="B137" t="str">
        <v>Shinecombo Genz 1</v>
      </c>
      <c r="C137" t="str">
        <v>SP01208</v>
      </c>
      <c r="D137">
        <v>79000</v>
      </c>
    </row>
    <row r="138">
      <c r="A138">
        <v>1245</v>
      </c>
      <c r="B138" t="str">
        <v>GenZ - Shine combo</v>
      </c>
      <c r="C138" t="str">
        <v>SP01214</v>
      </c>
      <c r="D138">
        <v>79000</v>
      </c>
    </row>
    <row r="139">
      <c r="A139">
        <v>1300</v>
      </c>
      <c r="B139" t="str">
        <v>Dịch vụ upgrade combo 1 lên combo 2 (dành riêng Khách đã từng mua topup combo 1)</v>
      </c>
      <c r="C139" t="str">
        <v>SP01269</v>
      </c>
      <c r="D139">
        <v>79000</v>
      </c>
    </row>
    <row r="140">
      <c r="A140">
        <v>1002</v>
      </c>
      <c r="B140" t="str">
        <v>Kid Cắt</v>
      </c>
      <c r="C140" t="str">
        <v>SP00971</v>
      </c>
      <c r="D140">
        <v>75000</v>
      </c>
    </row>
    <row r="141">
      <c r="A141">
        <v>1028</v>
      </c>
      <c r="B141" t="str">
        <v>Topup</v>
      </c>
      <c r="C141" t="str">
        <v>SP00997</v>
      </c>
      <c r="D141">
        <v>70000</v>
      </c>
    </row>
    <row r="142">
      <c r="A142">
        <v>1266</v>
      </c>
      <c r="B142" t="str">
        <v>Ngâm chân thảo mộc</v>
      </c>
      <c r="C142" t="str">
        <v>SP01235</v>
      </c>
      <c r="D142">
        <v>70000</v>
      </c>
    </row>
    <row r="143">
      <c r="A143">
        <v>1214</v>
      </c>
      <c r="B143" t="str">
        <v>Shine cut Genz</v>
      </c>
      <c r="C143" t="str">
        <v>SP01183</v>
      </c>
      <c r="D143">
        <v>59000</v>
      </c>
    </row>
    <row r="144">
      <c r="A144">
        <v>625</v>
      </c>
      <c r="B144" t="str">
        <v>[DV] Mặt nạ tẩy da chết sủi bọt cao cấp</v>
      </c>
      <c r="C144" t="str">
        <v>SP00608</v>
      </c>
      <c r="D144">
        <v>50000</v>
      </c>
    </row>
    <row r="145">
      <c r="A145">
        <v>940</v>
      </c>
      <c r="B145" t="str">
        <v>[NEW] Gội dưỡng sinh</v>
      </c>
      <c r="C145" t="str">
        <v>SP00909</v>
      </c>
      <c r="D145">
        <v>50000</v>
      </c>
    </row>
    <row r="146">
      <c r="A146">
        <v>1017</v>
      </c>
      <c r="B146" t="str">
        <v>Khai trương _LRT</v>
      </c>
      <c r="C146" t="str">
        <v>SP00986</v>
      </c>
      <c r="D146">
        <v>50000</v>
      </c>
    </row>
    <row r="147">
      <c r="A147">
        <v>1019</v>
      </c>
      <c r="B147" t="str">
        <v>Khai trương _gội CVG</v>
      </c>
      <c r="C147" t="str">
        <v>SP00988</v>
      </c>
      <c r="D147">
        <v>50000</v>
      </c>
    </row>
    <row r="148">
      <c r="A148">
        <v>1021</v>
      </c>
      <c r="B148" t="str">
        <v>Khai trương_Shinecombo</v>
      </c>
      <c r="C148" t="str">
        <v>SP00990</v>
      </c>
      <c r="D148">
        <v>50000</v>
      </c>
    </row>
    <row r="149">
      <c r="A149">
        <v>1238</v>
      </c>
      <c r="B149" t="str">
        <v>Shine cut Genz 1</v>
      </c>
      <c r="C149" t="str">
        <v>SP01207</v>
      </c>
      <c r="D149">
        <v>49000</v>
      </c>
    </row>
    <row r="150">
      <c r="A150">
        <v>1244</v>
      </c>
      <c r="B150" t="str">
        <v>GenZ - Shine cut</v>
      </c>
      <c r="C150" t="str">
        <v>SP01213</v>
      </c>
      <c r="D150">
        <v>49000</v>
      </c>
    </row>
    <row r="151">
      <c r="A151">
        <v>462</v>
      </c>
      <c r="B151" t="str">
        <v>[DV] Thư giãn cổ, vai, gáy bạc hà cam ngọt - Thư giãn tai sảng khoái 9 tầng mây 45k</v>
      </c>
      <c r="C151" t="str">
        <v>SP00445</v>
      </c>
      <c r="D151">
        <v>45000</v>
      </c>
    </row>
    <row r="152">
      <c r="A152">
        <v>603</v>
      </c>
      <c r="B152" t="str">
        <v>Đánh bay mụn cám lột mụn (Full Face)</v>
      </c>
      <c r="C152" t="str">
        <v>SP00586</v>
      </c>
      <c r="D152">
        <v>45000</v>
      </c>
    </row>
    <row r="153">
      <c r="A153">
        <v>610</v>
      </c>
      <c r="B153" t="str">
        <v>(2022T) ATS Control Buffer - Khử mùi tạo thơm cho tóc uốn nhuộm 40k</v>
      </c>
      <c r="C153" t="str">
        <v>SP00593</v>
      </c>
      <c r="D153">
        <v>40000</v>
      </c>
    </row>
    <row r="154">
      <c r="A154">
        <v>635</v>
      </c>
      <c r="B154" t="str">
        <v>[DV] Detox tẩy da chết da đầu</v>
      </c>
      <c r="C154" t="str">
        <v>SP00618</v>
      </c>
      <c r="D154">
        <v>40000</v>
      </c>
    </row>
    <row r="155">
      <c r="A155">
        <v>634</v>
      </c>
      <c r="B155" t="str">
        <v>[DV] Tẩy da chết sủi bọt Hàn Quốc</v>
      </c>
      <c r="C155" t="str">
        <v>SP00617</v>
      </c>
      <c r="D155">
        <v>30000</v>
      </c>
    </row>
    <row r="156">
      <c r="A156">
        <v>636</v>
      </c>
      <c r="B156" t="str">
        <v>[DV] Mặt nạ lạnh Hàn Quốc</v>
      </c>
      <c r="C156" t="str">
        <v>SP00619</v>
      </c>
      <c r="D156">
        <v>30000</v>
      </c>
    </row>
    <row r="157">
      <c r="A157">
        <v>1152</v>
      </c>
      <c r="B157" t="str">
        <v>Upgrade 20k</v>
      </c>
      <c r="C157" t="str">
        <v>SP01121</v>
      </c>
      <c r="D157">
        <v>20000</v>
      </c>
    </row>
    <row r="158">
      <c r="A158">
        <v>941</v>
      </c>
      <c r="B158" t="str">
        <v>[DV] Vuốt sáp - sấy tạo kiểu 10k</v>
      </c>
      <c r="C158" t="str">
        <v>SP00910</v>
      </c>
      <c r="D158">
        <v>10000</v>
      </c>
    </row>
    <row r="159">
      <c r="A159">
        <v>1151</v>
      </c>
      <c r="B159" t="str">
        <v>Upgrade 10k</v>
      </c>
      <c r="C159" t="str">
        <v>SP01120</v>
      </c>
      <c r="D159">
        <v>10000</v>
      </c>
    </row>
    <row r="160">
      <c r="A160">
        <v>1253</v>
      </c>
      <c r="B160" t="str">
        <v>Trải nghiệm Dầu gội khoa học cao cấp Laborie Derma +10k</v>
      </c>
      <c r="C160" t="str">
        <v>SP01222</v>
      </c>
      <c r="D160">
        <v>10000</v>
      </c>
    </row>
    <row r="161">
      <c r="A161">
        <v>1254</v>
      </c>
      <c r="B161" t="str">
        <v>Trải nghiệm Dầu gội trị gàu mát lạnh da đầu Paul Mitchell Teatrea +10k</v>
      </c>
      <c r="C161" t="str">
        <v>SP01223</v>
      </c>
      <c r="D161">
        <v>10000</v>
      </c>
    </row>
    <row r="162">
      <c r="A162">
        <v>1288</v>
      </c>
      <c r="B162" t="str">
        <v>Trải nghiệm Dầu gội trị gàu cao cấp Vichy Dercos +10k</v>
      </c>
      <c r="C162" t="str">
        <v>SP01257</v>
      </c>
      <c r="D162">
        <v>10000</v>
      </c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2"/>
    <col collapsed="false" customWidth="true" hidden="false" max="3" min="3" style="0" width="10"/>
    <col collapsed="false" customWidth="true" hidden="false" max="4" min="4" style="0" width="82"/>
    <col collapsed="false" customWidth="true" hidden="false" max="5" min="5" style="0" width="16"/>
  </cols>
  <sheetData>
    <row r="1">
      <c r="A1" s="40" t="str">
        <v>salon_id</v>
      </c>
      <c r="B1" s="40" t="str">
        <v>salon_name</v>
      </c>
      <c r="C1" s="40" t="str">
        <v>service_id</v>
      </c>
      <c r="D1" s="40" t="str">
        <v>service_name</v>
      </c>
      <c r="E1" s="40" t="str">
        <v>Giá dịch vụ</v>
      </c>
    </row>
    <row r="2">
      <c r="A2" s="40">
        <v>2</v>
      </c>
      <c r="B2" s="40" t="str">
        <v>346 Khâm Thiên</v>
      </c>
      <c r="C2" s="40">
        <v>610</v>
      </c>
      <c r="D2" s="40" t="str">
        <v>(2022T) ATS Control Buffer - Khử mùi tạo thơm cho tóc uốn nhuộm 40k</v>
      </c>
      <c r="E2" s="40">
        <v>40000</v>
      </c>
    </row>
    <row r="3">
      <c r="A3" s="40">
        <v>2</v>
      </c>
      <c r="B3" s="40" t="str">
        <v>346 Khâm Thiên</v>
      </c>
      <c r="C3" s="40">
        <v>960</v>
      </c>
      <c r="D3" s="40" t="str">
        <v>(NEW) Nhuộm màu thời trang Milano</v>
      </c>
      <c r="E3" s="40">
        <v>369000</v>
      </c>
    </row>
    <row r="4">
      <c r="A4" s="40">
        <v>2</v>
      </c>
      <c r="B4" s="40" t="str">
        <v>346 Khâm Thiên</v>
      </c>
      <c r="C4" s="40">
        <v>967</v>
      </c>
      <c r="D4" s="40" t="str">
        <v>(NEW) Nhuộm phủ bạc tiêu chuẩn 199K</v>
      </c>
      <c r="E4" s="40">
        <v>227000</v>
      </c>
    </row>
    <row r="5">
      <c r="A5" s="40">
        <v>2</v>
      </c>
      <c r="B5" s="40" t="str">
        <v>346 Khâm Thiên</v>
      </c>
      <c r="C5" s="40">
        <v>1009</v>
      </c>
      <c r="D5" s="40" t="str">
        <v>(NEW) Uốn/Duỗi/Định hình full đầu tạo form vào nếp tự nhiên</v>
      </c>
      <c r="E5" s="40">
        <v>406000</v>
      </c>
    </row>
    <row r="6">
      <c r="A6" s="40">
        <v>2</v>
      </c>
      <c r="B6" s="40" t="str">
        <v>346 Khâm Thiên</v>
      </c>
      <c r="C6" s="40">
        <v>1052</v>
      </c>
      <c r="D6" s="40" t="str">
        <v>Combo 1 - First Class 1</v>
      </c>
      <c r="E6" s="40">
        <v>159000</v>
      </c>
    </row>
    <row r="7">
      <c r="A7" s="40">
        <v>2</v>
      </c>
      <c r="B7" s="40" t="str">
        <v>346 Khâm Thiên</v>
      </c>
      <c r="C7" s="40">
        <v>1048</v>
      </c>
      <c r="D7" s="40" t="str">
        <v>Combo 4</v>
      </c>
      <c r="E7" s="40">
        <v>379000</v>
      </c>
    </row>
    <row r="8">
      <c r="A8" s="40">
        <v>2</v>
      </c>
      <c r="B8" s="40" t="str">
        <v>346 Khâm Thiên</v>
      </c>
      <c r="C8" s="40">
        <v>1048</v>
      </c>
      <c r="D8" s="40" t="str">
        <v>Combo 4</v>
      </c>
      <c r="E8" s="40">
        <v>389000</v>
      </c>
    </row>
    <row r="9">
      <c r="A9" s="40">
        <v>2</v>
      </c>
      <c r="B9" s="40" t="str">
        <v>346 Khâm Thiên</v>
      </c>
      <c r="C9" s="40">
        <v>1070</v>
      </c>
      <c r="D9" s="40" t="str">
        <v>Combo Cắt gội Kid</v>
      </c>
      <c r="E9" s="40">
        <v>100000</v>
      </c>
    </row>
    <row r="10">
      <c r="A10" s="40">
        <v>2</v>
      </c>
      <c r="B10" s="40" t="str">
        <v>346 Khâm Thiên</v>
      </c>
      <c r="C10" s="40">
        <v>1047</v>
      </c>
      <c r="D10" s="40" t="str">
        <v>Cắt Gội Combo 3 - Chăm da</v>
      </c>
      <c r="E10" s="40">
        <v>299000</v>
      </c>
    </row>
    <row r="11">
      <c r="A11" s="40">
        <v>2</v>
      </c>
      <c r="B11" s="40" t="str">
        <v>346 Khâm Thiên</v>
      </c>
      <c r="C11" s="40">
        <v>1065</v>
      </c>
      <c r="D11" s="40" t="str">
        <v>Cắt Gội Combo 3 - Dưỡng sinh</v>
      </c>
      <c r="E11" s="40">
        <v>299000</v>
      </c>
    </row>
    <row r="12">
      <c r="A12" s="40">
        <v>2</v>
      </c>
      <c r="B12" s="40" t="str">
        <v>346 Khâm Thiên</v>
      </c>
      <c r="C12" s="40">
        <v>1064</v>
      </c>
      <c r="D12" s="40" t="str">
        <v>Cắt Gội Combo 5 - Dưỡng sinh</v>
      </c>
      <c r="E12" s="40">
        <v>459000</v>
      </c>
    </row>
    <row r="13">
      <c r="A13" s="40">
        <v>2</v>
      </c>
      <c r="B13" s="40" t="str">
        <v>346 Khâm Thiên</v>
      </c>
      <c r="C13" s="40">
        <v>891</v>
      </c>
      <c r="D13" s="40" t="str">
        <v>Cắt xả tạo kiểu</v>
      </c>
      <c r="E13" s="40">
        <v>90000</v>
      </c>
    </row>
    <row r="14">
      <c r="A14" s="40">
        <v>2</v>
      </c>
      <c r="B14" s="40" t="str">
        <v>346 Khâm Thiên</v>
      </c>
      <c r="C14" s="40">
        <v>891</v>
      </c>
      <c r="D14" s="40" t="str">
        <v>Cắt xả tạo kiểu</v>
      </c>
      <c r="E14" s="40">
        <v>94000</v>
      </c>
    </row>
    <row r="15">
      <c r="A15" s="40">
        <v>2</v>
      </c>
      <c r="B15" s="40" t="str">
        <v>346 Khâm Thiên</v>
      </c>
      <c r="C15" s="40">
        <v>1058</v>
      </c>
      <c r="D15" s="40" t="str" xml:space="preserve">
        <v>Gội Combo 2 </v>
      </c>
      <c r="E15" s="40">
        <v>159000</v>
      </c>
    </row>
    <row r="16">
      <c r="A16" s="40">
        <v>2</v>
      </c>
      <c r="B16" s="40" t="str">
        <v>346 Khâm Thiên</v>
      </c>
      <c r="C16" s="40">
        <v>1059</v>
      </c>
      <c r="D16" s="40" t="str">
        <v>Gội Combo 3 - Chăm da</v>
      </c>
      <c r="E16" s="40">
        <v>219000</v>
      </c>
    </row>
    <row r="17">
      <c r="A17" s="40">
        <v>2</v>
      </c>
      <c r="B17" s="40" t="str">
        <v>346 Khâm Thiên</v>
      </c>
      <c r="C17" s="40">
        <v>1059</v>
      </c>
      <c r="D17" s="40" t="str">
        <v>Gội Combo 3 - Chăm da</v>
      </c>
      <c r="E17" s="40">
        <v>239000</v>
      </c>
    </row>
    <row r="18">
      <c r="A18" s="40">
        <v>2</v>
      </c>
      <c r="B18" s="40" t="str">
        <v>346 Khâm Thiên</v>
      </c>
      <c r="C18" s="40">
        <v>1060</v>
      </c>
      <c r="D18" s="40" t="str">
        <v>Gội Combo 4</v>
      </c>
      <c r="E18" s="40">
        <v>289000</v>
      </c>
    </row>
    <row r="19">
      <c r="A19" s="40">
        <v>2</v>
      </c>
      <c r="B19" s="40" t="str">
        <v>346 Khâm Thiên</v>
      </c>
      <c r="C19" s="40">
        <v>1060</v>
      </c>
      <c r="D19" s="40" t="str">
        <v>Gội Combo 4</v>
      </c>
      <c r="E19" s="40">
        <v>319000</v>
      </c>
    </row>
    <row r="20">
      <c r="A20" s="40">
        <v>2</v>
      </c>
      <c r="B20" s="40" t="str">
        <v>346 Khâm Thiên</v>
      </c>
      <c r="C20" s="40">
        <v>867</v>
      </c>
      <c r="D20" s="40" t="str">
        <v>Gội dưỡng sinh cổ vai gáy</v>
      </c>
      <c r="E20" s="40">
        <v>95000</v>
      </c>
    </row>
    <row r="21">
      <c r="A21" s="40">
        <v>2</v>
      </c>
      <c r="B21" s="40" t="str">
        <v>346 Khâm Thiên</v>
      </c>
      <c r="C21" s="40">
        <v>867</v>
      </c>
      <c r="D21" s="40" t="str">
        <v>Gội dưỡng sinh cổ vai gáy</v>
      </c>
      <c r="E21" s="40">
        <v>99000</v>
      </c>
    </row>
    <row r="22">
      <c r="A22" s="40">
        <v>2</v>
      </c>
      <c r="B22" s="40" t="str">
        <v>346 Khâm Thiên</v>
      </c>
      <c r="C22" s="40">
        <v>1066</v>
      </c>
      <c r="D22" s="40" t="str">
        <v>Gội trải nghiệm 75p</v>
      </c>
      <c r="E22" s="40">
        <v>589000</v>
      </c>
    </row>
    <row r="23">
      <c r="A23" s="40">
        <v>2</v>
      </c>
      <c r="B23" s="40" t="str">
        <v>346 Khâm Thiên</v>
      </c>
      <c r="C23" s="40">
        <v>1067</v>
      </c>
      <c r="D23" s="40" t="str">
        <v>Gội trải nghiệm 90p</v>
      </c>
      <c r="E23" s="40">
        <v>789000</v>
      </c>
    </row>
    <row r="24">
      <c r="A24" s="40">
        <v>2</v>
      </c>
      <c r="B24" s="40" t="str">
        <v>346 Khâm Thiên</v>
      </c>
      <c r="C24" s="40">
        <v>1002</v>
      </c>
      <c r="D24" s="40" t="str">
        <v>Kid Cắt</v>
      </c>
      <c r="E24" s="40">
        <v>75000</v>
      </c>
    </row>
    <row r="25">
      <c r="A25" s="40">
        <v>2</v>
      </c>
      <c r="B25" s="40" t="str">
        <v>346 Khâm Thiên</v>
      </c>
      <c r="C25" s="40">
        <v>1149</v>
      </c>
      <c r="D25" s="40" t="str">
        <v>NHUỘM THIẾT KẾ PHỤC HỒI CHUYÊN SÂU LIPID BOND 2025</v>
      </c>
      <c r="E25" s="40">
        <v>759000</v>
      </c>
    </row>
    <row r="26">
      <c r="A26" s="40">
        <v>2</v>
      </c>
      <c r="B26" s="40" t="str">
        <v>346 Khâm Thiên</v>
      </c>
      <c r="C26" s="40">
        <v>615</v>
      </c>
      <c r="D26" s="40" t="str">
        <v>Nhổ tóc bạc buổi trưa</v>
      </c>
      <c r="E26" s="40">
        <v>150000</v>
      </c>
    </row>
    <row r="27">
      <c r="A27" s="40">
        <v>2</v>
      </c>
      <c r="B27" s="40" t="str">
        <v>346 Khâm Thiên</v>
      </c>
      <c r="C27" s="40">
        <v>1101</v>
      </c>
      <c r="D27" s="40" t="str">
        <v>Phục hồi trẻ hóa Lipid Bond</v>
      </c>
      <c r="E27" s="40">
        <v>146000</v>
      </c>
    </row>
    <row r="28">
      <c r="A28" s="40">
        <v>2</v>
      </c>
      <c r="B28" s="40" t="str">
        <v>346 Khâm Thiên</v>
      </c>
      <c r="C28" s="40">
        <v>1046</v>
      </c>
      <c r="D28" s="40" t="str" xml:space="preserve">
        <v>Shinecombo 2 </v>
      </c>
      <c r="E28" s="40">
        <v>199000</v>
      </c>
    </row>
    <row r="29">
      <c r="A29" s="40">
        <v>2</v>
      </c>
      <c r="B29" s="40" t="str">
        <v>346 Khâm Thiên</v>
      </c>
      <c r="C29" s="40">
        <v>1114</v>
      </c>
      <c r="D29" s="40" t="str">
        <v>Trẻ hóa da đầu - kích thích mọc tóc</v>
      </c>
      <c r="E29" s="40">
        <v>98000</v>
      </c>
    </row>
    <row r="30">
      <c r="A30" s="40">
        <v>2</v>
      </c>
      <c r="B30" s="40" t="str">
        <v>346 Khâm Thiên</v>
      </c>
      <c r="C30" s="40">
        <v>1148</v>
      </c>
      <c r="D30" s="40" t="str">
        <v>UỐN THIẾT KẾ PHỤC HỒI CHUYÊN SÂU LIPID BOND 2025</v>
      </c>
      <c r="E30" s="40">
        <v>729000</v>
      </c>
    </row>
    <row r="31">
      <c r="A31" s="40">
        <v>2</v>
      </c>
      <c r="B31" s="40" t="str">
        <v>346 Khâm Thiên</v>
      </c>
      <c r="C31" s="40">
        <v>952</v>
      </c>
      <c r="D31" s="40" t="str">
        <v>Uốn định hình nếp tóc cao cấp (K-Perm Collection)</v>
      </c>
      <c r="E31" s="40">
        <v>502000</v>
      </c>
    </row>
    <row r="32">
      <c r="A32" s="40">
        <v>2</v>
      </c>
      <c r="B32" s="40" t="str">
        <v>346 Khâm Thiên</v>
      </c>
      <c r="C32" s="40">
        <v>635</v>
      </c>
      <c r="D32" s="40" t="str">
        <v>[DV] Detox tẩy da chết da đầu</v>
      </c>
      <c r="E32" s="40">
        <v>45000</v>
      </c>
    </row>
    <row r="33">
      <c r="A33" s="40">
        <v>2</v>
      </c>
      <c r="B33" s="40" t="str">
        <v>346 Khâm Thiên</v>
      </c>
      <c r="C33" s="40">
        <v>636</v>
      </c>
      <c r="D33" s="40" t="str">
        <v>[DV] Mặt nạ lạnh Hàn Quốc</v>
      </c>
      <c r="E33" s="40">
        <v>35000</v>
      </c>
    </row>
    <row r="34">
      <c r="A34" s="40">
        <v>2</v>
      </c>
      <c r="B34" s="40" t="str">
        <v>346 Khâm Thiên</v>
      </c>
      <c r="C34" s="40">
        <v>625</v>
      </c>
      <c r="D34" s="40" t="str">
        <v>[DV] Mặt nạ tẩy da chết sủi bọt cao cấp</v>
      </c>
      <c r="E34" s="40">
        <v>55000</v>
      </c>
    </row>
    <row r="35">
      <c r="A35" s="40">
        <v>2</v>
      </c>
      <c r="B35" s="40" t="str">
        <v>346 Khâm Thiên</v>
      </c>
      <c r="C35" s="40">
        <v>912</v>
      </c>
      <c r="D35" s="40" t="str">
        <v>[DV] Nhuộm đen phủ bạc R&amp;B thảo dược</v>
      </c>
      <c r="E35" s="40">
        <v>329000</v>
      </c>
    </row>
    <row r="36">
      <c r="A36" s="40">
        <v>2</v>
      </c>
      <c r="B36" s="40" t="str">
        <v>346 Khâm Thiên</v>
      </c>
      <c r="C36" s="40">
        <v>513</v>
      </c>
      <c r="D36" s="40" t="str">
        <v>[DV] ShineCombo 10 bước Ultra Care 2023</v>
      </c>
      <c r="E36" s="40">
        <v>120000</v>
      </c>
    </row>
    <row r="37">
      <c r="A37" s="40">
        <v>2</v>
      </c>
      <c r="B37" s="40" t="str">
        <v>346 Khâm Thiên</v>
      </c>
      <c r="C37" s="40">
        <v>513</v>
      </c>
      <c r="D37" s="40" t="str">
        <v>[DV] ShineCombo 10 bước Ultra Care 2023</v>
      </c>
      <c r="E37" s="40">
        <v>122000</v>
      </c>
    </row>
    <row r="38">
      <c r="A38" s="40">
        <v>2</v>
      </c>
      <c r="B38" s="40" t="str">
        <v>346 Khâm Thiên</v>
      </c>
      <c r="C38" s="40">
        <v>462</v>
      </c>
      <c r="D38" s="40" t="str">
        <v>[DV] Thư giãn cổ, vai, gáy bạc hà cam ngọt - Thư giãn tai sảng khoái 9 tầng mây 45k</v>
      </c>
      <c r="E38" s="40">
        <v>45000</v>
      </c>
    </row>
    <row r="39">
      <c r="A39" s="40">
        <v>2</v>
      </c>
      <c r="B39" s="40" t="str">
        <v>346 Khâm Thiên</v>
      </c>
      <c r="C39" s="40">
        <v>634</v>
      </c>
      <c r="D39" s="40" t="str">
        <v>[DV] Tẩy da chết sủi bọt Hàn Quốc</v>
      </c>
      <c r="E39" s="40">
        <v>35000</v>
      </c>
    </row>
    <row r="40">
      <c r="A40" s="40">
        <v>2</v>
      </c>
      <c r="B40" s="40" t="str">
        <v>346 Khâm Thiên</v>
      </c>
      <c r="C40" s="40">
        <v>915</v>
      </c>
      <c r="D40" s="40" t="str">
        <v>[DV] Tẩy tóc bật tông Ý (1 lần)</v>
      </c>
      <c r="E40" s="40">
        <v>269000</v>
      </c>
    </row>
    <row r="41">
      <c r="A41" s="40">
        <v>2</v>
      </c>
      <c r="B41" s="40" t="str">
        <v>346 Khâm Thiên</v>
      </c>
      <c r="C41" s="40">
        <v>941</v>
      </c>
      <c r="D41" s="40" t="str">
        <v>[DV] Vuốt sáp - sấy tạo kiểu 10k</v>
      </c>
      <c r="E41" s="40">
        <v>10000</v>
      </c>
    </row>
    <row r="42">
      <c r="A42" s="40">
        <v>2</v>
      </c>
      <c r="B42" s="40" t="str">
        <v>346 Khâm Thiên</v>
      </c>
      <c r="C42" s="40">
        <v>902</v>
      </c>
      <c r="D42" s="40" t="str">
        <v>[DV] Ép side hai bên</v>
      </c>
      <c r="E42" s="40">
        <v>198000</v>
      </c>
    </row>
    <row r="43">
      <c r="A43" s="40">
        <v>2</v>
      </c>
      <c r="B43" s="40" t="str">
        <v>346 Khâm Thiên</v>
      </c>
      <c r="C43" s="40">
        <v>940</v>
      </c>
      <c r="D43" s="40" t="str">
        <v>[NEW] Gội dưỡng sinh</v>
      </c>
      <c r="E43" s="40">
        <v>59000</v>
      </c>
    </row>
    <row r="44">
      <c r="A44" s="40">
        <v>2</v>
      </c>
      <c r="B44" s="40" t="str">
        <v>346 Khâm Thiên</v>
      </c>
      <c r="C44" s="40">
        <v>603</v>
      </c>
      <c r="D44" s="40" t="str">
        <v>Đánh bay mụn cám lột mụn (Full Face)</v>
      </c>
      <c r="E44" s="40">
        <v>49000</v>
      </c>
    </row>
    <row r="45">
      <c r="A45" s="40">
        <v>11</v>
      </c>
      <c r="B45" s="40" t="str">
        <v>8 Châu Văn Liêm</v>
      </c>
      <c r="C45" s="40">
        <v>610</v>
      </c>
      <c r="D45" s="40" t="str">
        <v>(2022T) ATS Control Buffer - Khử mùi tạo thơm cho tóc uốn nhuộm 40k</v>
      </c>
      <c r="E45" s="40">
        <v>40000</v>
      </c>
    </row>
    <row r="46">
      <c r="A46" s="40">
        <v>11</v>
      </c>
      <c r="B46" s="40" t="str">
        <v>8 Châu Văn Liêm</v>
      </c>
      <c r="C46" s="40">
        <v>960</v>
      </c>
      <c r="D46" s="40" t="str">
        <v>(NEW) Nhuộm màu thời trang Milano</v>
      </c>
      <c r="E46" s="40">
        <v>366000</v>
      </c>
    </row>
    <row r="47">
      <c r="A47" s="40">
        <v>11</v>
      </c>
      <c r="B47" s="40" t="str">
        <v>8 Châu Văn Liêm</v>
      </c>
      <c r="C47" s="40">
        <v>967</v>
      </c>
      <c r="D47" s="40" t="str">
        <v>(NEW) Nhuộm phủ bạc tiêu chuẩn 199K</v>
      </c>
      <c r="E47" s="40">
        <v>199000</v>
      </c>
    </row>
    <row r="48">
      <c r="A48" s="40">
        <v>11</v>
      </c>
      <c r="B48" s="40" t="str">
        <v>8 Châu Văn Liêm</v>
      </c>
      <c r="C48" s="40">
        <v>1009</v>
      </c>
      <c r="D48" s="40" t="str">
        <v>(NEW) Uốn/Duỗi/Định hình full đầu tạo form vào nếp tự nhiên</v>
      </c>
      <c r="E48" s="40">
        <v>386000</v>
      </c>
    </row>
    <row r="49">
      <c r="A49" s="40">
        <v>11</v>
      </c>
      <c r="B49" s="40" t="str">
        <v>8 Châu Văn Liêm</v>
      </c>
      <c r="C49" s="40">
        <v>1052</v>
      </c>
      <c r="D49" s="40" t="str">
        <v>Combo 1 - First Class 1</v>
      </c>
      <c r="E49" s="40">
        <v>159000</v>
      </c>
    </row>
    <row r="50">
      <c r="A50" s="40">
        <v>11</v>
      </c>
      <c r="B50" s="40" t="str">
        <v>8 Châu Văn Liêm</v>
      </c>
      <c r="C50" s="40">
        <v>1048</v>
      </c>
      <c r="D50" s="40" t="str">
        <v>Combo 4</v>
      </c>
      <c r="E50" s="40">
        <v>389000</v>
      </c>
    </row>
    <row r="51">
      <c r="A51" s="40">
        <v>11</v>
      </c>
      <c r="B51" s="40" t="str">
        <v>8 Châu Văn Liêm</v>
      </c>
      <c r="C51" s="40">
        <v>1048</v>
      </c>
      <c r="D51" s="40" t="str">
        <v>Combo 4</v>
      </c>
      <c r="E51" s="40">
        <v>379000</v>
      </c>
    </row>
    <row r="52">
      <c r="A52" s="40">
        <v>11</v>
      </c>
      <c r="B52" s="40" t="str">
        <v>8 Châu Văn Liêm</v>
      </c>
      <c r="C52" s="40">
        <v>1065</v>
      </c>
      <c r="D52" s="40" t="str">
        <v>Cắt Gội Combo 3 - Dưỡng sinh</v>
      </c>
      <c r="E52" s="40">
        <v>299000</v>
      </c>
    </row>
    <row r="53">
      <c r="A53" s="40">
        <v>11</v>
      </c>
      <c r="B53" s="40" t="str">
        <v>8 Châu Văn Liêm</v>
      </c>
      <c r="C53" s="40">
        <v>1064</v>
      </c>
      <c r="D53" s="40" t="str">
        <v>Cắt Gội Combo 5 - Dưỡng sinh</v>
      </c>
      <c r="E53" s="40">
        <v>459000</v>
      </c>
    </row>
    <row r="54">
      <c r="A54" s="40">
        <v>11</v>
      </c>
      <c r="B54" s="40" t="str">
        <v>8 Châu Văn Liêm</v>
      </c>
      <c r="C54" s="40">
        <v>891</v>
      </c>
      <c r="D54" s="40" t="str">
        <v>Cắt xả tạo kiểu</v>
      </c>
      <c r="E54" s="40">
        <v>94000</v>
      </c>
    </row>
    <row r="55">
      <c r="A55" s="40">
        <v>11</v>
      </c>
      <c r="B55" s="40" t="str">
        <v>8 Châu Văn Liêm</v>
      </c>
      <c r="C55" s="40">
        <v>891</v>
      </c>
      <c r="D55" s="40" t="str">
        <v>Cắt xả tạo kiểu</v>
      </c>
      <c r="E55" s="40">
        <v>90000</v>
      </c>
    </row>
    <row r="56">
      <c r="A56" s="40">
        <v>11</v>
      </c>
      <c r="B56" s="40" t="str">
        <v>8 Châu Văn Liêm</v>
      </c>
      <c r="C56" s="40">
        <v>1058</v>
      </c>
      <c r="D56" s="40" t="str" xml:space="preserve">
        <v>Gội Combo 2 </v>
      </c>
      <c r="E56" s="40">
        <v>159000</v>
      </c>
    </row>
    <row r="57">
      <c r="A57" s="40">
        <v>11</v>
      </c>
      <c r="B57" s="40" t="str">
        <v>8 Châu Văn Liêm</v>
      </c>
      <c r="C57" s="40">
        <v>1059</v>
      </c>
      <c r="D57" s="40" t="str">
        <v>Gội Combo 3 - Chăm da</v>
      </c>
      <c r="E57" s="40">
        <v>219000</v>
      </c>
    </row>
    <row r="58">
      <c r="A58" s="40">
        <v>11</v>
      </c>
      <c r="B58" s="40" t="str">
        <v>8 Châu Văn Liêm</v>
      </c>
      <c r="C58" s="40">
        <v>1060</v>
      </c>
      <c r="D58" s="40" t="str">
        <v>Gội Combo 4</v>
      </c>
      <c r="E58" s="40">
        <v>319000</v>
      </c>
    </row>
    <row r="59">
      <c r="A59" s="40">
        <v>11</v>
      </c>
      <c r="B59" s="40" t="str">
        <v>8 Châu Văn Liêm</v>
      </c>
      <c r="C59" s="40">
        <v>1060</v>
      </c>
      <c r="D59" s="40" t="str">
        <v>Gội Combo 4</v>
      </c>
      <c r="E59" s="40">
        <v>289000</v>
      </c>
    </row>
    <row r="60">
      <c r="A60" s="40">
        <v>11</v>
      </c>
      <c r="B60" s="40" t="str">
        <v>8 Châu Văn Liêm</v>
      </c>
      <c r="C60" s="40">
        <v>934</v>
      </c>
      <c r="D60" s="40" t="str">
        <v>Gội combo 3 - Dưỡng sinh</v>
      </c>
      <c r="E60" s="40">
        <v>229000</v>
      </c>
    </row>
    <row r="61">
      <c r="A61" s="40">
        <v>11</v>
      </c>
      <c r="B61" s="40" t="str">
        <v>8 Châu Văn Liêm</v>
      </c>
      <c r="C61" s="40">
        <v>932</v>
      </c>
      <c r="D61" s="40" t="str">
        <v>Gội combo 5 dưỡng sinh</v>
      </c>
      <c r="E61" s="40">
        <v>389000</v>
      </c>
    </row>
    <row r="62">
      <c r="A62" s="40">
        <v>11</v>
      </c>
      <c r="B62" s="40" t="str">
        <v>8 Châu Văn Liêm</v>
      </c>
      <c r="C62" s="40">
        <v>867</v>
      </c>
      <c r="D62" s="40" t="str">
        <v>Gội dưỡng sinh cổ vai gáy</v>
      </c>
      <c r="E62" s="40">
        <v>95000</v>
      </c>
    </row>
    <row r="63">
      <c r="A63" s="40">
        <v>11</v>
      </c>
      <c r="B63" s="40" t="str">
        <v>8 Châu Văn Liêm</v>
      </c>
      <c r="C63" s="40">
        <v>867</v>
      </c>
      <c r="D63" s="40" t="str">
        <v>Gội dưỡng sinh cổ vai gáy</v>
      </c>
      <c r="E63" s="40">
        <v>99000</v>
      </c>
    </row>
    <row r="64">
      <c r="A64" s="40">
        <v>11</v>
      </c>
      <c r="B64" s="40" t="str">
        <v>8 Châu Văn Liêm</v>
      </c>
      <c r="C64" s="40">
        <v>1068</v>
      </c>
      <c r="D64" s="40" t="str">
        <v>Gội trải nghiệm 115p</v>
      </c>
      <c r="E64" s="40">
        <v>999000</v>
      </c>
    </row>
    <row r="65">
      <c r="A65" s="40">
        <v>11</v>
      </c>
      <c r="B65" s="40" t="str">
        <v>8 Châu Văn Liêm</v>
      </c>
      <c r="C65" s="40">
        <v>1002</v>
      </c>
      <c r="D65" s="40" t="str">
        <v>Kid Cắt</v>
      </c>
      <c r="E65" s="40">
        <v>75000</v>
      </c>
    </row>
    <row r="66">
      <c r="A66" s="40">
        <v>11</v>
      </c>
      <c r="B66" s="40" t="str">
        <v>8 Châu Văn Liêm</v>
      </c>
      <c r="C66" s="40">
        <v>1149</v>
      </c>
      <c r="D66" s="40" t="str">
        <v>NHUỘM THIẾT KẾ PHỤC HỒI CHUYÊN SÂU LIPID BOND 2025</v>
      </c>
      <c r="E66" s="40">
        <v>759000</v>
      </c>
    </row>
    <row r="67">
      <c r="A67" s="40">
        <v>11</v>
      </c>
      <c r="B67" s="40" t="str">
        <v>8 Châu Văn Liêm</v>
      </c>
      <c r="C67" s="40">
        <v>1046</v>
      </c>
      <c r="D67" s="40" t="str" xml:space="preserve">
        <v>Shinecombo 2 </v>
      </c>
      <c r="E67" s="40">
        <v>199000</v>
      </c>
    </row>
    <row r="68">
      <c r="A68" s="40">
        <v>11</v>
      </c>
      <c r="B68" s="40" t="str">
        <v>8 Châu Văn Liêm</v>
      </c>
      <c r="C68" s="40">
        <v>1102</v>
      </c>
      <c r="D68" s="40" t="str">
        <v>Tái tạo da đầu - Sạch gàu hết ngứa</v>
      </c>
      <c r="E68" s="40">
        <v>98000</v>
      </c>
    </row>
    <row r="69">
      <c r="A69" s="40">
        <v>11</v>
      </c>
      <c r="B69" s="40" t="str">
        <v>8 Châu Văn Liêm</v>
      </c>
      <c r="C69" s="40">
        <v>1148</v>
      </c>
      <c r="D69" s="40" t="str">
        <v>UỐN THIẾT KẾ PHỤC HỒI CHUYÊN SÂU LIPID BOND 2025</v>
      </c>
      <c r="E69" s="40">
        <v>689000</v>
      </c>
    </row>
    <row r="70">
      <c r="A70" s="40">
        <v>11</v>
      </c>
      <c r="B70" s="40" t="str">
        <v>8 Châu Văn Liêm</v>
      </c>
      <c r="C70" s="40">
        <v>952</v>
      </c>
      <c r="D70" s="40" t="str">
        <v>Uốn định hình nếp tóc cao cấp (K-Perm Collection)</v>
      </c>
      <c r="E70" s="40">
        <v>478000</v>
      </c>
    </row>
    <row r="71">
      <c r="A71" s="40">
        <v>11</v>
      </c>
      <c r="B71" s="40" t="str">
        <v>8 Châu Văn Liêm</v>
      </c>
      <c r="C71" s="40">
        <v>635</v>
      </c>
      <c r="D71" s="40" t="str">
        <v>[DV] Detox tẩy da chết da đầu</v>
      </c>
      <c r="E71" s="40">
        <v>45000</v>
      </c>
    </row>
    <row r="72">
      <c r="A72" s="40">
        <v>11</v>
      </c>
      <c r="B72" s="40" t="str">
        <v>8 Châu Văn Liêm</v>
      </c>
      <c r="C72" s="40">
        <v>636</v>
      </c>
      <c r="D72" s="40" t="str">
        <v>[DV] Mặt nạ lạnh Hàn Quốc</v>
      </c>
      <c r="E72" s="40">
        <v>35000</v>
      </c>
    </row>
    <row r="73">
      <c r="A73" s="40">
        <v>11</v>
      </c>
      <c r="B73" s="40" t="str">
        <v>8 Châu Văn Liêm</v>
      </c>
      <c r="C73" s="40">
        <v>625</v>
      </c>
      <c r="D73" s="40" t="str">
        <v>[DV] Mặt nạ tẩy da chết sủi bọt cao cấp</v>
      </c>
      <c r="E73" s="40">
        <v>55000</v>
      </c>
    </row>
    <row r="74">
      <c r="A74" s="40">
        <v>11</v>
      </c>
      <c r="B74" s="40" t="str">
        <v>8 Châu Văn Liêm</v>
      </c>
      <c r="C74" s="40">
        <v>912</v>
      </c>
      <c r="D74" s="40" t="str">
        <v>[DV] Nhuộm đen phủ bạc R&amp;B thảo dược</v>
      </c>
      <c r="E74" s="40">
        <v>289000</v>
      </c>
    </row>
    <row r="75">
      <c r="A75" s="40">
        <v>11</v>
      </c>
      <c r="B75" s="40" t="str">
        <v>8 Châu Văn Liêm</v>
      </c>
      <c r="C75" s="40">
        <v>513</v>
      </c>
      <c r="D75" s="40" t="str">
        <v>[DV] ShineCombo 10 bước Ultra Care 2023</v>
      </c>
      <c r="E75" s="40">
        <v>120000</v>
      </c>
    </row>
    <row r="76">
      <c r="A76" s="40">
        <v>11</v>
      </c>
      <c r="B76" s="40" t="str">
        <v>8 Châu Văn Liêm</v>
      </c>
      <c r="C76" s="40">
        <v>513</v>
      </c>
      <c r="D76" s="40" t="str">
        <v>[DV] ShineCombo 10 bước Ultra Care 2023</v>
      </c>
      <c r="E76" s="40">
        <v>122000</v>
      </c>
    </row>
    <row r="77">
      <c r="A77" s="40">
        <v>11</v>
      </c>
      <c r="B77" s="40" t="str">
        <v>8 Châu Văn Liêm</v>
      </c>
      <c r="C77" s="40">
        <v>462</v>
      </c>
      <c r="D77" s="40" t="str">
        <v>[DV] Thư giãn cổ, vai, gáy bạc hà cam ngọt - Thư giãn tai sảng khoái 9 tầng mây 45k</v>
      </c>
      <c r="E77" s="40">
        <v>45000</v>
      </c>
    </row>
    <row r="78">
      <c r="A78" s="40">
        <v>11</v>
      </c>
      <c r="B78" s="40" t="str">
        <v>8 Châu Văn Liêm</v>
      </c>
      <c r="C78" s="40">
        <v>634</v>
      </c>
      <c r="D78" s="40" t="str">
        <v>[DV] Tẩy da chết sủi bọt Hàn Quốc</v>
      </c>
      <c r="E78" s="40">
        <v>35000</v>
      </c>
    </row>
    <row r="79">
      <c r="A79" s="40">
        <v>11</v>
      </c>
      <c r="B79" s="40" t="str">
        <v>8 Châu Văn Liêm</v>
      </c>
      <c r="C79" s="40">
        <v>915</v>
      </c>
      <c r="D79" s="40" t="str">
        <v>[DV] Tẩy tóc bật tông Ý (1 lần)</v>
      </c>
      <c r="E79" s="40">
        <v>252000</v>
      </c>
    </row>
    <row r="80">
      <c r="A80" s="40">
        <v>11</v>
      </c>
      <c r="B80" s="40" t="str">
        <v>8 Châu Văn Liêm</v>
      </c>
      <c r="C80" s="40">
        <v>916</v>
      </c>
      <c r="D80" s="40" t="str">
        <v>[DV] Tẩy tóc bật tông Ý (2 lần) 500k</v>
      </c>
      <c r="E80" s="40">
        <v>500000</v>
      </c>
    </row>
    <row r="81">
      <c r="A81" s="40">
        <v>11</v>
      </c>
      <c r="B81" s="40" t="str">
        <v>8 Châu Văn Liêm</v>
      </c>
      <c r="C81" s="40">
        <v>674</v>
      </c>
      <c r="D81" s="40" t="str">
        <v>[DV] Uốn Texture con sâu/Uốn Ruffled</v>
      </c>
      <c r="E81" s="40">
        <v>550000</v>
      </c>
    </row>
    <row r="82">
      <c r="A82" s="40">
        <v>11</v>
      </c>
      <c r="B82" s="40" t="str">
        <v>8 Châu Văn Liêm</v>
      </c>
      <c r="C82" s="40">
        <v>941</v>
      </c>
      <c r="D82" s="40" t="str">
        <v>[DV] Vuốt sáp - sấy tạo kiểu 10k</v>
      </c>
      <c r="E82" s="40">
        <v>10000</v>
      </c>
    </row>
    <row r="83">
      <c r="A83" s="40">
        <v>11</v>
      </c>
      <c r="B83" s="40" t="str">
        <v>8 Châu Văn Liêm</v>
      </c>
      <c r="C83" s="40">
        <v>902</v>
      </c>
      <c r="D83" s="40" t="str">
        <v>[DV] Ép side hai bên</v>
      </c>
      <c r="E83" s="40">
        <v>209000</v>
      </c>
    </row>
    <row r="84">
      <c r="A84" s="40">
        <v>11</v>
      </c>
      <c r="B84" s="40" t="str">
        <v>8 Châu Văn Liêm</v>
      </c>
      <c r="C84" s="40">
        <v>940</v>
      </c>
      <c r="D84" s="40" t="str">
        <v>[NEW] Gội dưỡng sinh</v>
      </c>
      <c r="E84" s="40">
        <v>50000</v>
      </c>
    </row>
    <row r="85">
      <c r="A85" s="40">
        <v>11</v>
      </c>
      <c r="B85" s="40" t="str">
        <v>8 Châu Văn Liêm</v>
      </c>
      <c r="C85" s="40">
        <v>940</v>
      </c>
      <c r="D85" s="40" t="str">
        <v>[NEW] Gội dưỡng sinh</v>
      </c>
      <c r="E85" s="40">
        <v>59000</v>
      </c>
    </row>
    <row r="86">
      <c r="A86" s="40">
        <v>11</v>
      </c>
      <c r="B86" s="40" t="str">
        <v>8 Châu Văn Liêm</v>
      </c>
      <c r="C86" s="40">
        <v>603</v>
      </c>
      <c r="D86" s="40" t="str">
        <v>Đánh bay mụn cám lột mụn (Full Face)</v>
      </c>
      <c r="E86" s="40">
        <v>49000</v>
      </c>
    </row>
    <row r="87">
      <c r="A87" s="40">
        <v>12</v>
      </c>
      <c r="B87" s="40" t="str">
        <v>12 Lê Đức Thọ</v>
      </c>
      <c r="C87" s="40">
        <v>610</v>
      </c>
      <c r="D87" s="40" t="str">
        <v>(2022T) ATS Control Buffer - Khử mùi tạo thơm cho tóc uốn nhuộm 40k</v>
      </c>
      <c r="E87" s="40">
        <v>40000</v>
      </c>
    </row>
    <row r="88">
      <c r="A88" s="40">
        <v>12</v>
      </c>
      <c r="B88" s="40" t="str">
        <v>12 Lê Đức Thọ</v>
      </c>
      <c r="C88" s="40">
        <v>960</v>
      </c>
      <c r="D88" s="40" t="str">
        <v>(NEW) Nhuộm màu thời trang Milano</v>
      </c>
      <c r="E88" s="40">
        <v>366000</v>
      </c>
    </row>
    <row r="89">
      <c r="A89" s="40">
        <v>12</v>
      </c>
      <c r="B89" s="40" t="str">
        <v>12 Lê Đức Thọ</v>
      </c>
      <c r="C89" s="40">
        <v>967</v>
      </c>
      <c r="D89" s="40" t="str">
        <v>(NEW) Nhuộm phủ bạc tiêu chuẩn 199K</v>
      </c>
      <c r="E89" s="40">
        <v>199000</v>
      </c>
    </row>
    <row r="90">
      <c r="A90" s="40">
        <v>12</v>
      </c>
      <c r="B90" s="40" t="str">
        <v>12 Lê Đức Thọ</v>
      </c>
      <c r="C90" s="40">
        <v>1009</v>
      </c>
      <c r="D90" s="40" t="str">
        <v>(NEW) Uốn/Duỗi/Định hình full đầu tạo form vào nếp tự nhiên</v>
      </c>
      <c r="E90" s="40">
        <v>386000</v>
      </c>
    </row>
    <row r="91">
      <c r="A91" s="40">
        <v>12</v>
      </c>
      <c r="B91" s="40" t="str">
        <v>12 Lê Đức Thọ</v>
      </c>
      <c r="C91" s="40">
        <v>1052</v>
      </c>
      <c r="D91" s="40" t="str">
        <v>Combo 1 - First Class 1</v>
      </c>
      <c r="E91" s="40">
        <v>139000</v>
      </c>
    </row>
    <row r="92">
      <c r="A92" s="40">
        <v>12</v>
      </c>
      <c r="B92" s="40" t="str">
        <v>12 Lê Đức Thọ</v>
      </c>
      <c r="C92" s="40">
        <v>1052</v>
      </c>
      <c r="D92" s="40" t="str">
        <v>Combo 1 - First Class 1</v>
      </c>
      <c r="E92" s="40">
        <v>159000</v>
      </c>
    </row>
    <row r="93">
      <c r="A93" s="40">
        <v>12</v>
      </c>
      <c r="B93" s="40" t="str">
        <v>12 Lê Đức Thọ</v>
      </c>
      <c r="C93" s="40">
        <v>1053</v>
      </c>
      <c r="D93" s="40" t="str">
        <v>Combo 2 - First Class 2</v>
      </c>
      <c r="E93" s="40">
        <v>239000</v>
      </c>
    </row>
    <row r="94">
      <c r="A94" s="40">
        <v>12</v>
      </c>
      <c r="B94" s="40" t="str">
        <v>12 Lê Đức Thọ</v>
      </c>
      <c r="C94" s="40">
        <v>1054</v>
      </c>
      <c r="D94" s="40" t="str">
        <v>Combo 3 - First Class 3</v>
      </c>
      <c r="E94" s="40">
        <v>299000</v>
      </c>
    </row>
    <row r="95">
      <c r="A95" s="40">
        <v>12</v>
      </c>
      <c r="B95" s="40" t="str">
        <v>12 Lê Đức Thọ</v>
      </c>
      <c r="C95" s="40">
        <v>1054</v>
      </c>
      <c r="D95" s="40" t="str">
        <v>Combo 3 - First Class 3</v>
      </c>
      <c r="E95" s="40">
        <v>309000</v>
      </c>
    </row>
    <row r="96">
      <c r="A96" s="40">
        <v>12</v>
      </c>
      <c r="B96" s="40" t="str">
        <v>12 Lê Đức Thọ</v>
      </c>
      <c r="C96" s="40">
        <v>1048</v>
      </c>
      <c r="D96" s="40" t="str">
        <v>Combo 4</v>
      </c>
      <c r="E96" s="40">
        <v>379000</v>
      </c>
    </row>
    <row r="97">
      <c r="A97" s="40">
        <v>12</v>
      </c>
      <c r="B97" s="40" t="str">
        <v>12 Lê Đức Thọ</v>
      </c>
      <c r="C97" s="40">
        <v>1055</v>
      </c>
      <c r="D97" s="40" t="str">
        <v>Combo 4- First Class 4</v>
      </c>
      <c r="E97" s="40">
        <v>399000</v>
      </c>
    </row>
    <row r="98">
      <c r="A98" s="40">
        <v>12</v>
      </c>
      <c r="B98" s="40" t="str">
        <v>12 Lê Đức Thọ</v>
      </c>
      <c r="C98" s="40">
        <v>1055</v>
      </c>
      <c r="D98" s="40" t="str">
        <v>Combo 4- First Class 4</v>
      </c>
      <c r="E98" s="40">
        <v>409000</v>
      </c>
    </row>
    <row r="99">
      <c r="A99" s="40">
        <v>12</v>
      </c>
      <c r="B99" s="40" t="str">
        <v>12 Lê Đức Thọ</v>
      </c>
      <c r="C99" s="40">
        <v>1070</v>
      </c>
      <c r="D99" s="40" t="str">
        <v>Combo Cắt gội Kid</v>
      </c>
      <c r="E99" s="40">
        <v>100000</v>
      </c>
    </row>
    <row r="100">
      <c r="A100" s="40">
        <v>12</v>
      </c>
      <c r="B100" s="40" t="str">
        <v>12 Lê Đức Thọ</v>
      </c>
      <c r="C100" s="40">
        <v>1064</v>
      </c>
      <c r="D100" s="40" t="str">
        <v>Cắt Gội Combo 5 - Dưỡng sinh</v>
      </c>
      <c r="E100" s="40">
        <v>459000</v>
      </c>
    </row>
    <row r="101">
      <c r="A101" s="40">
        <v>12</v>
      </c>
      <c r="B101" s="40" t="str">
        <v>12 Lê Đức Thọ</v>
      </c>
      <c r="C101" s="40">
        <v>891</v>
      </c>
      <c r="D101" s="40" t="str">
        <v>Cắt xả tạo kiểu</v>
      </c>
      <c r="E101" s="40">
        <v>94000</v>
      </c>
    </row>
    <row r="102">
      <c r="A102" s="40">
        <v>12</v>
      </c>
      <c r="B102" s="40" t="str">
        <v>12 Lê Đức Thọ</v>
      </c>
      <c r="C102" s="40">
        <v>891</v>
      </c>
      <c r="D102" s="40" t="str">
        <v>Cắt xả tạo kiểu</v>
      </c>
      <c r="E102" s="40">
        <v>90000</v>
      </c>
    </row>
    <row r="103">
      <c r="A103" s="40">
        <v>12</v>
      </c>
      <c r="B103" s="40" t="str">
        <v>12 Lê Đức Thọ</v>
      </c>
      <c r="C103" s="40">
        <v>1058</v>
      </c>
      <c r="D103" s="40" t="str" xml:space="preserve">
        <v>Gội Combo 2 </v>
      </c>
      <c r="E103" s="40">
        <v>159000</v>
      </c>
    </row>
    <row r="104">
      <c r="A104" s="40">
        <v>12</v>
      </c>
      <c r="B104" s="40" t="str">
        <v>12 Lê Đức Thọ</v>
      </c>
      <c r="C104" s="40">
        <v>1059</v>
      </c>
      <c r="D104" s="40" t="str">
        <v>Gội Combo 3 - Chăm da</v>
      </c>
      <c r="E104" s="40">
        <v>239000</v>
      </c>
    </row>
    <row r="105">
      <c r="A105" s="40">
        <v>12</v>
      </c>
      <c r="B105" s="40" t="str">
        <v>12 Lê Đức Thọ</v>
      </c>
      <c r="C105" s="40">
        <v>1060</v>
      </c>
      <c r="D105" s="40" t="str">
        <v>Gội Combo 4</v>
      </c>
      <c r="E105" s="40">
        <v>319000</v>
      </c>
    </row>
    <row r="106">
      <c r="A106" s="40">
        <v>12</v>
      </c>
      <c r="B106" s="40" t="str">
        <v>12 Lê Đức Thọ</v>
      </c>
      <c r="C106" s="40">
        <v>1060</v>
      </c>
      <c r="D106" s="40" t="str">
        <v>Gội Combo 4</v>
      </c>
      <c r="E106" s="40">
        <v>329000</v>
      </c>
    </row>
    <row r="107">
      <c r="A107" s="40">
        <v>12</v>
      </c>
      <c r="B107" s="40" t="str">
        <v>12 Lê Đức Thọ</v>
      </c>
      <c r="C107" s="40">
        <v>1061</v>
      </c>
      <c r="D107" s="40" t="str">
        <v>Gội Combo 5 - Chăm da</v>
      </c>
      <c r="E107" s="40">
        <v>359000</v>
      </c>
    </row>
    <row r="108">
      <c r="A108" s="40">
        <v>12</v>
      </c>
      <c r="B108" s="40" t="str">
        <v>12 Lê Đức Thọ</v>
      </c>
      <c r="C108" s="40">
        <v>934</v>
      </c>
      <c r="D108" s="40" t="str">
        <v>Gội combo 3 - Dưỡng sinh</v>
      </c>
      <c r="E108" s="40">
        <v>229000</v>
      </c>
    </row>
    <row r="109">
      <c r="A109" s="40">
        <v>12</v>
      </c>
      <c r="B109" s="40" t="str">
        <v>12 Lê Đức Thọ</v>
      </c>
      <c r="C109" s="40">
        <v>867</v>
      </c>
      <c r="D109" s="40" t="str">
        <v>Gội dưỡng sinh cổ vai gáy</v>
      </c>
      <c r="E109" s="40">
        <v>99000</v>
      </c>
    </row>
    <row r="110">
      <c r="A110" s="40">
        <v>12</v>
      </c>
      <c r="B110" s="40" t="str">
        <v>12 Lê Đức Thọ</v>
      </c>
      <c r="C110" s="40">
        <v>867</v>
      </c>
      <c r="D110" s="40" t="str">
        <v>Gội dưỡng sinh cổ vai gáy</v>
      </c>
      <c r="E110" s="40">
        <v>95000</v>
      </c>
    </row>
    <row r="111">
      <c r="A111" s="40">
        <v>12</v>
      </c>
      <c r="B111" s="40" t="str">
        <v>12 Lê Đức Thọ</v>
      </c>
      <c r="C111" s="40">
        <v>1068</v>
      </c>
      <c r="D111" s="40" t="str">
        <v>Gội trải nghiệm 115p</v>
      </c>
      <c r="E111" s="40">
        <v>999000</v>
      </c>
    </row>
    <row r="112">
      <c r="A112" s="40">
        <v>12</v>
      </c>
      <c r="B112" s="40" t="str">
        <v>12 Lê Đức Thọ</v>
      </c>
      <c r="C112" s="40">
        <v>1002</v>
      </c>
      <c r="D112" s="40" t="str">
        <v>Kid Cắt</v>
      </c>
      <c r="E112" s="40">
        <v>75000</v>
      </c>
    </row>
    <row r="113">
      <c r="A113" s="40">
        <v>12</v>
      </c>
      <c r="B113" s="40" t="str">
        <v>12 Lê Đức Thọ</v>
      </c>
      <c r="C113" s="40">
        <v>1149</v>
      </c>
      <c r="D113" s="40" t="str">
        <v>NHUỘM THIẾT KẾ PHỤC HỒI CHUYÊN SÂU LIPID BOND 2025</v>
      </c>
      <c r="E113" s="40">
        <v>759000</v>
      </c>
    </row>
    <row r="114">
      <c r="A114" s="40">
        <v>12</v>
      </c>
      <c r="B114" s="40" t="str">
        <v>12 Lê Đức Thọ</v>
      </c>
      <c r="C114" s="40">
        <v>615</v>
      </c>
      <c r="D114" s="40" t="str">
        <v>Nhổ tóc bạc buổi trưa</v>
      </c>
      <c r="E114" s="40">
        <v>150000</v>
      </c>
    </row>
    <row r="115">
      <c r="A115" s="40">
        <v>12</v>
      </c>
      <c r="B115" s="40" t="str">
        <v>12 Lê Đức Thọ</v>
      </c>
      <c r="C115" s="40">
        <v>1101</v>
      </c>
      <c r="D115" s="40" t="str">
        <v>Phục hồi trẻ hóa Lipid Bond</v>
      </c>
      <c r="E115" s="40">
        <v>146000</v>
      </c>
    </row>
    <row r="116">
      <c r="A116" s="40">
        <v>12</v>
      </c>
      <c r="B116" s="40" t="str">
        <v>12 Lê Đức Thọ</v>
      </c>
      <c r="C116" s="40">
        <v>1046</v>
      </c>
      <c r="D116" s="40" t="str" xml:space="preserve">
        <v>Shinecombo 2 </v>
      </c>
      <c r="E116" s="40">
        <v>199000</v>
      </c>
    </row>
    <row r="117">
      <c r="A117" s="40">
        <v>12</v>
      </c>
      <c r="B117" s="40" t="str">
        <v>12 Lê Đức Thọ</v>
      </c>
      <c r="C117" s="40">
        <v>1148</v>
      </c>
      <c r="D117" s="40" t="str">
        <v>UỐN THIẾT KẾ PHỤC HỒI CHUYÊN SÂU LIPID BOND 2025</v>
      </c>
      <c r="E117" s="40">
        <v>689000</v>
      </c>
    </row>
    <row r="118">
      <c r="A118" s="40">
        <v>12</v>
      </c>
      <c r="B118" s="40" t="str">
        <v>12 Lê Đức Thọ</v>
      </c>
      <c r="C118" s="40">
        <v>952</v>
      </c>
      <c r="D118" s="40" t="str">
        <v>Uốn định hình nếp tóc cao cấp (K-Perm Collection)</v>
      </c>
      <c r="E118" s="40">
        <v>478000</v>
      </c>
    </row>
    <row r="119">
      <c r="A119" s="40">
        <v>12</v>
      </c>
      <c r="B119" s="40" t="str">
        <v>12 Lê Đức Thọ</v>
      </c>
      <c r="C119" s="40">
        <v>635</v>
      </c>
      <c r="D119" s="40" t="str">
        <v>[DV] Detox tẩy da chết da đầu</v>
      </c>
      <c r="E119" s="40">
        <v>45000</v>
      </c>
    </row>
    <row r="120">
      <c r="A120" s="40">
        <v>12</v>
      </c>
      <c r="B120" s="40" t="str">
        <v>12 Lê Đức Thọ</v>
      </c>
      <c r="C120" s="40">
        <v>636</v>
      </c>
      <c r="D120" s="40" t="str">
        <v>[DV] Mặt nạ lạnh Hàn Quốc</v>
      </c>
      <c r="E120" s="40">
        <v>35000</v>
      </c>
    </row>
    <row r="121">
      <c r="A121" s="40">
        <v>12</v>
      </c>
      <c r="B121" s="40" t="str">
        <v>12 Lê Đức Thọ</v>
      </c>
      <c r="C121" s="40">
        <v>625</v>
      </c>
      <c r="D121" s="40" t="str">
        <v>[DV] Mặt nạ tẩy da chết sủi bọt cao cấp</v>
      </c>
      <c r="E121" s="40">
        <v>55000</v>
      </c>
    </row>
    <row r="122">
      <c r="A122" s="40">
        <v>12</v>
      </c>
      <c r="B122" s="40" t="str">
        <v>12 Lê Đức Thọ</v>
      </c>
      <c r="C122" s="40">
        <v>912</v>
      </c>
      <c r="D122" s="40" t="str">
        <v>[DV] Nhuộm đen phủ bạc R&amp;B thảo dược</v>
      </c>
      <c r="E122" s="40">
        <v>289000</v>
      </c>
    </row>
    <row r="123">
      <c r="A123" s="40">
        <v>12</v>
      </c>
      <c r="B123" s="40" t="str">
        <v>12 Lê Đức Thọ</v>
      </c>
      <c r="C123" s="40">
        <v>513</v>
      </c>
      <c r="D123" s="40" t="str">
        <v>[DV] ShineCombo 10 bước Ultra Care 2023</v>
      </c>
      <c r="E123" s="40">
        <v>120000</v>
      </c>
    </row>
    <row r="124">
      <c r="A124" s="40">
        <v>12</v>
      </c>
      <c r="B124" s="40" t="str">
        <v>12 Lê Đức Thọ</v>
      </c>
      <c r="C124" s="40">
        <v>634</v>
      </c>
      <c r="D124" s="40" t="str">
        <v>[DV] Tẩy da chết sủi bọt Hàn Quốc</v>
      </c>
      <c r="E124" s="40">
        <v>35000</v>
      </c>
    </row>
    <row r="125">
      <c r="A125" s="40">
        <v>12</v>
      </c>
      <c r="B125" s="40" t="str">
        <v>12 Lê Đức Thọ</v>
      </c>
      <c r="C125" s="40">
        <v>915</v>
      </c>
      <c r="D125" s="40" t="str">
        <v>[DV] Tẩy tóc bật tông Ý (1 lần)</v>
      </c>
      <c r="E125" s="40">
        <v>252000</v>
      </c>
    </row>
    <row r="126">
      <c r="A126" s="40">
        <v>12</v>
      </c>
      <c r="B126" s="40" t="str">
        <v>12 Lê Đức Thọ</v>
      </c>
      <c r="C126" s="40">
        <v>674</v>
      </c>
      <c r="D126" s="40" t="str">
        <v>[DV] Uốn Texture con sâu/Uốn Ruffled</v>
      </c>
      <c r="E126" s="40">
        <v>550000</v>
      </c>
    </row>
    <row r="127">
      <c r="A127" s="40">
        <v>12</v>
      </c>
      <c r="B127" s="40" t="str">
        <v>12 Lê Đức Thọ</v>
      </c>
      <c r="C127" s="40">
        <v>941</v>
      </c>
      <c r="D127" s="40" t="str">
        <v>[DV] Vuốt sáp - sấy tạo kiểu 10k</v>
      </c>
      <c r="E127" s="40">
        <v>10000</v>
      </c>
    </row>
    <row r="128">
      <c r="A128" s="40">
        <v>12</v>
      </c>
      <c r="B128" s="40" t="str">
        <v>12 Lê Đức Thọ</v>
      </c>
      <c r="C128" s="40">
        <v>902</v>
      </c>
      <c r="D128" s="40" t="str">
        <v>[DV] Ép side hai bên</v>
      </c>
      <c r="E128" s="40">
        <v>216000</v>
      </c>
    </row>
    <row r="129">
      <c r="A129" s="40">
        <v>12</v>
      </c>
      <c r="B129" s="40" t="str">
        <v>12 Lê Đức Thọ</v>
      </c>
      <c r="C129" s="40">
        <v>940</v>
      </c>
      <c r="D129" s="40" t="str">
        <v>[NEW] Gội dưỡng sinh</v>
      </c>
      <c r="E129" s="40">
        <v>59000</v>
      </c>
    </row>
    <row r="130">
      <c r="A130" s="40">
        <v>12</v>
      </c>
      <c r="B130" s="40" t="str">
        <v>12 Lê Đức Thọ</v>
      </c>
      <c r="C130" s="40">
        <v>603</v>
      </c>
      <c r="D130" s="40" t="str">
        <v>Đánh bay mụn cám lột mụn (Full Face)</v>
      </c>
      <c r="E130" s="40">
        <v>49000</v>
      </c>
    </row>
    <row r="131">
      <c r="A131" s="40">
        <v>20</v>
      </c>
      <c r="B131" s="40" t="str">
        <v>382 Nguyễn Trãi</v>
      </c>
      <c r="C131" s="40">
        <v>610</v>
      </c>
      <c r="D131" s="40" t="str">
        <v>(2022T) ATS Control Buffer - Khử mùi tạo thơm cho tóc uốn nhuộm 40k</v>
      </c>
      <c r="E131" s="40">
        <v>40000</v>
      </c>
    </row>
    <row r="132">
      <c r="A132" s="40">
        <v>20</v>
      </c>
      <c r="B132" s="40" t="str">
        <v>382 Nguyễn Trãi</v>
      </c>
      <c r="C132" s="40">
        <v>960</v>
      </c>
      <c r="D132" s="40" t="str">
        <v>(NEW) Nhuộm màu thời trang Milano</v>
      </c>
      <c r="E132" s="40">
        <v>369000</v>
      </c>
    </row>
    <row r="133">
      <c r="A133" s="40">
        <v>20</v>
      </c>
      <c r="B133" s="40" t="str">
        <v>382 Nguyễn Trãi</v>
      </c>
      <c r="C133" s="40">
        <v>967</v>
      </c>
      <c r="D133" s="40" t="str">
        <v>(NEW) Nhuộm phủ bạc tiêu chuẩn 199K</v>
      </c>
      <c r="E133" s="40">
        <v>207000</v>
      </c>
    </row>
    <row r="134">
      <c r="A134" s="40">
        <v>20</v>
      </c>
      <c r="B134" s="40" t="str">
        <v>382 Nguyễn Trãi</v>
      </c>
      <c r="C134" s="40">
        <v>1009</v>
      </c>
      <c r="D134" s="40" t="str">
        <v>(NEW) Uốn/Duỗi/Định hình full đầu tạo form vào nếp tự nhiên</v>
      </c>
      <c r="E134" s="40">
        <v>386000</v>
      </c>
    </row>
    <row r="135">
      <c r="A135" s="40">
        <v>20</v>
      </c>
      <c r="B135" s="40" t="str">
        <v>382 Nguyễn Trãi</v>
      </c>
      <c r="C135" s="40">
        <v>1052</v>
      </c>
      <c r="D135" s="40" t="str">
        <v>Combo 1 - First Class 1</v>
      </c>
      <c r="E135" s="40">
        <v>159000</v>
      </c>
    </row>
    <row r="136">
      <c r="A136" s="40">
        <v>20</v>
      </c>
      <c r="B136" s="40" t="str">
        <v>382 Nguyễn Trãi</v>
      </c>
      <c r="C136" s="40">
        <v>1053</v>
      </c>
      <c r="D136" s="40" t="str">
        <v>Combo 2 - First Class 2</v>
      </c>
      <c r="E136" s="40">
        <v>239000</v>
      </c>
    </row>
    <row r="137">
      <c r="A137" s="40">
        <v>20</v>
      </c>
      <c r="B137" s="40" t="str">
        <v>382 Nguyễn Trãi</v>
      </c>
      <c r="C137" s="40">
        <v>1054</v>
      </c>
      <c r="D137" s="40" t="str">
        <v>Combo 3 - First Class 3</v>
      </c>
      <c r="E137" s="40">
        <v>299000</v>
      </c>
    </row>
    <row r="138">
      <c r="A138" s="40">
        <v>20</v>
      </c>
      <c r="B138" s="40" t="str">
        <v>382 Nguyễn Trãi</v>
      </c>
      <c r="C138" s="40">
        <v>1048</v>
      </c>
      <c r="D138" s="40" t="str">
        <v>Combo 4</v>
      </c>
      <c r="E138" s="40">
        <v>379000</v>
      </c>
    </row>
    <row r="139">
      <c r="A139" s="40">
        <v>20</v>
      </c>
      <c r="B139" s="40" t="str">
        <v>382 Nguyễn Trãi</v>
      </c>
      <c r="C139" s="40">
        <v>1048</v>
      </c>
      <c r="D139" s="40" t="str">
        <v>Combo 4</v>
      </c>
      <c r="E139" s="40">
        <v>389000</v>
      </c>
    </row>
    <row r="140">
      <c r="A140" s="40">
        <v>20</v>
      </c>
      <c r="B140" s="40" t="str">
        <v>382 Nguyễn Trãi</v>
      </c>
      <c r="C140" s="40">
        <v>1070</v>
      </c>
      <c r="D140" s="40" t="str">
        <v>Combo Cắt gội Kid</v>
      </c>
      <c r="E140" s="40">
        <v>100000</v>
      </c>
    </row>
    <row r="141">
      <c r="A141" s="40">
        <v>20</v>
      </c>
      <c r="B141" s="40" t="str">
        <v>382 Nguyễn Trãi</v>
      </c>
      <c r="C141" s="40">
        <v>1047</v>
      </c>
      <c r="D141" s="40" t="str">
        <v>Cắt Gội Combo 3 - Chăm da</v>
      </c>
      <c r="E141" s="40">
        <v>299000</v>
      </c>
    </row>
    <row r="142">
      <c r="A142" s="40">
        <v>20</v>
      </c>
      <c r="B142" s="40" t="str">
        <v>382 Nguyễn Trãi</v>
      </c>
      <c r="C142" s="40">
        <v>1064</v>
      </c>
      <c r="D142" s="40" t="str">
        <v>Cắt Gội Combo 5 - Dưỡng sinh</v>
      </c>
      <c r="E142" s="40">
        <v>459000</v>
      </c>
    </row>
    <row r="143">
      <c r="A143" s="40">
        <v>20</v>
      </c>
      <c r="B143" s="40" t="str">
        <v>382 Nguyễn Trãi</v>
      </c>
      <c r="C143" s="40">
        <v>891</v>
      </c>
      <c r="D143" s="40" t="str">
        <v>Cắt xả tạo kiểu</v>
      </c>
      <c r="E143" s="40">
        <v>94000</v>
      </c>
    </row>
    <row r="144">
      <c r="A144" s="40">
        <v>20</v>
      </c>
      <c r="B144" s="40" t="str">
        <v>382 Nguyễn Trãi</v>
      </c>
      <c r="C144" s="40">
        <v>891</v>
      </c>
      <c r="D144" s="40" t="str">
        <v>Cắt xả tạo kiểu</v>
      </c>
      <c r="E144" s="40">
        <v>90000</v>
      </c>
    </row>
    <row r="145">
      <c r="A145" s="40">
        <v>20</v>
      </c>
      <c r="B145" s="40" t="str">
        <v>382 Nguyễn Trãi</v>
      </c>
      <c r="C145" s="40">
        <v>1058</v>
      </c>
      <c r="D145" s="40" t="str" xml:space="preserve">
        <v>Gội Combo 2 </v>
      </c>
      <c r="E145" s="40">
        <v>159000</v>
      </c>
    </row>
    <row r="146">
      <c r="A146" s="40">
        <v>20</v>
      </c>
      <c r="B146" s="40" t="str">
        <v>382 Nguyễn Trãi</v>
      </c>
      <c r="C146" s="40">
        <v>1059</v>
      </c>
      <c r="D146" s="40" t="str">
        <v>Gội Combo 3 - Chăm da</v>
      </c>
      <c r="E146" s="40">
        <v>219000</v>
      </c>
    </row>
    <row r="147">
      <c r="A147" s="40">
        <v>20</v>
      </c>
      <c r="B147" s="40" t="str">
        <v>382 Nguyễn Trãi</v>
      </c>
      <c r="C147" s="40">
        <v>1059</v>
      </c>
      <c r="D147" s="40" t="str">
        <v>Gội Combo 3 - Chăm da</v>
      </c>
      <c r="E147" s="40">
        <v>239000</v>
      </c>
    </row>
    <row r="148">
      <c r="A148" s="40">
        <v>20</v>
      </c>
      <c r="B148" s="40" t="str">
        <v>382 Nguyễn Trãi</v>
      </c>
      <c r="C148" s="40">
        <v>1060</v>
      </c>
      <c r="D148" s="40" t="str">
        <v>Gội Combo 4</v>
      </c>
      <c r="E148" s="40">
        <v>319000</v>
      </c>
    </row>
    <row r="149">
      <c r="A149" s="40">
        <v>20</v>
      </c>
      <c r="B149" s="40" t="str">
        <v>382 Nguyễn Trãi</v>
      </c>
      <c r="C149" s="40">
        <v>1060</v>
      </c>
      <c r="D149" s="40" t="str">
        <v>Gội Combo 4</v>
      </c>
      <c r="E149" s="40">
        <v>289000</v>
      </c>
    </row>
    <row r="150">
      <c r="A150" s="40">
        <v>20</v>
      </c>
      <c r="B150" s="40" t="str">
        <v>382 Nguyễn Trãi</v>
      </c>
      <c r="C150" s="40">
        <v>1061</v>
      </c>
      <c r="D150" s="40" t="str">
        <v>Gội Combo 5 - Chăm da</v>
      </c>
      <c r="E150" s="40">
        <v>359000</v>
      </c>
    </row>
    <row r="151">
      <c r="A151" s="40">
        <v>20</v>
      </c>
      <c r="B151" s="40" t="str">
        <v>382 Nguyễn Trãi</v>
      </c>
      <c r="C151" s="40">
        <v>934</v>
      </c>
      <c r="D151" s="40" t="str">
        <v>Gội combo 3 - Dưỡng sinh</v>
      </c>
      <c r="E151" s="40">
        <v>229000</v>
      </c>
    </row>
    <row r="152">
      <c r="A152" s="40">
        <v>20</v>
      </c>
      <c r="B152" s="40" t="str">
        <v>382 Nguyễn Trãi</v>
      </c>
      <c r="C152" s="40">
        <v>867</v>
      </c>
      <c r="D152" s="40" t="str">
        <v>Gội dưỡng sinh cổ vai gáy</v>
      </c>
      <c r="E152" s="40">
        <v>99000</v>
      </c>
    </row>
    <row r="153">
      <c r="A153" s="40">
        <v>20</v>
      </c>
      <c r="B153" s="40" t="str">
        <v>382 Nguyễn Trãi</v>
      </c>
      <c r="C153" s="40">
        <v>867</v>
      </c>
      <c r="D153" s="40" t="str">
        <v>Gội dưỡng sinh cổ vai gáy</v>
      </c>
      <c r="E153" s="40">
        <v>95000</v>
      </c>
    </row>
    <row r="154">
      <c r="A154" s="40">
        <v>20</v>
      </c>
      <c r="B154" s="40" t="str">
        <v>382 Nguyễn Trãi</v>
      </c>
      <c r="C154" s="40">
        <v>1068</v>
      </c>
      <c r="D154" s="40" t="str">
        <v>Gội trải nghiệm 115p</v>
      </c>
      <c r="E154" s="40">
        <v>999000</v>
      </c>
    </row>
    <row r="155">
      <c r="A155" s="40">
        <v>20</v>
      </c>
      <c r="B155" s="40" t="str">
        <v>382 Nguyễn Trãi</v>
      </c>
      <c r="C155" s="40">
        <v>1069</v>
      </c>
      <c r="D155" s="40" t="str">
        <v>Gội trải nghiệm 140p</v>
      </c>
      <c r="E155" s="40">
        <v>1199000</v>
      </c>
    </row>
    <row r="156">
      <c r="A156" s="40">
        <v>20</v>
      </c>
      <c r="B156" s="40" t="str">
        <v>382 Nguyễn Trãi</v>
      </c>
      <c r="C156" s="40">
        <v>1066</v>
      </c>
      <c r="D156" s="40" t="str">
        <v>Gội trải nghiệm 75p</v>
      </c>
      <c r="E156" s="40">
        <v>589000</v>
      </c>
    </row>
    <row r="157">
      <c r="A157" s="40">
        <v>20</v>
      </c>
      <c r="B157" s="40" t="str">
        <v>382 Nguyễn Trãi</v>
      </c>
      <c r="C157" s="40">
        <v>1067</v>
      </c>
      <c r="D157" s="40" t="str">
        <v>Gội trải nghiệm 90p</v>
      </c>
      <c r="E157" s="40">
        <v>789000</v>
      </c>
    </row>
    <row r="158">
      <c r="A158" s="40">
        <v>20</v>
      </c>
      <c r="B158" s="40" t="str">
        <v>382 Nguyễn Trãi</v>
      </c>
      <c r="C158" s="40">
        <v>1002</v>
      </c>
      <c r="D158" s="40" t="str">
        <v>Kid Cắt</v>
      </c>
      <c r="E158" s="40">
        <v>75000</v>
      </c>
    </row>
    <row r="159">
      <c r="A159" s="40">
        <v>20</v>
      </c>
      <c r="B159" s="40" t="str">
        <v>382 Nguyễn Trãi</v>
      </c>
      <c r="C159" s="40">
        <v>1149</v>
      </c>
      <c r="D159" s="40" t="str">
        <v>NHUỘM THIẾT KẾ PHỤC HỒI CHUYÊN SÂU LIPID BOND 2025</v>
      </c>
      <c r="E159" s="40">
        <v>759000</v>
      </c>
    </row>
    <row r="160">
      <c r="A160" s="40">
        <v>20</v>
      </c>
      <c r="B160" s="40" t="str">
        <v>382 Nguyễn Trãi</v>
      </c>
      <c r="C160" s="40">
        <v>1101</v>
      </c>
      <c r="D160" s="40" t="str">
        <v>Phục hồi trẻ hóa Lipid Bond</v>
      </c>
      <c r="E160" s="40">
        <v>146000</v>
      </c>
    </row>
    <row r="161">
      <c r="A161" s="40">
        <v>20</v>
      </c>
      <c r="B161" s="40" t="str">
        <v>382 Nguyễn Trãi</v>
      </c>
      <c r="C161" s="40">
        <v>1046</v>
      </c>
      <c r="D161" s="40" t="str" xml:space="preserve">
        <v>Shinecombo 2 </v>
      </c>
      <c r="E161" s="40">
        <v>199000</v>
      </c>
    </row>
    <row r="162">
      <c r="A162" s="40">
        <v>20</v>
      </c>
      <c r="B162" s="40" t="str">
        <v>382 Nguyễn Trãi</v>
      </c>
      <c r="C162" s="40">
        <v>1148</v>
      </c>
      <c r="D162" s="40" t="str">
        <v>UỐN THIẾT KẾ PHỤC HỒI CHUYÊN SÂU LIPID BOND 2025</v>
      </c>
      <c r="E162" s="40">
        <v>689000</v>
      </c>
    </row>
    <row r="163">
      <c r="A163" s="40">
        <v>20</v>
      </c>
      <c r="B163" s="40" t="str">
        <v>382 Nguyễn Trãi</v>
      </c>
      <c r="C163" s="40">
        <v>952</v>
      </c>
      <c r="D163" s="40" t="str">
        <v>Uốn định hình nếp tóc cao cấp (K-Perm Collection)</v>
      </c>
      <c r="E163" s="40">
        <v>478000</v>
      </c>
    </row>
    <row r="164">
      <c r="A164" s="40">
        <v>20</v>
      </c>
      <c r="B164" s="40" t="str">
        <v>382 Nguyễn Trãi</v>
      </c>
      <c r="C164" s="40">
        <v>635</v>
      </c>
      <c r="D164" s="40" t="str">
        <v>[DV] Detox tẩy da chết da đầu</v>
      </c>
      <c r="E164" s="40">
        <v>45000</v>
      </c>
    </row>
    <row r="165">
      <c r="A165" s="40">
        <v>20</v>
      </c>
      <c r="B165" s="40" t="str">
        <v>382 Nguyễn Trãi</v>
      </c>
      <c r="C165" s="40">
        <v>636</v>
      </c>
      <c r="D165" s="40" t="str">
        <v>[DV] Mặt nạ lạnh Hàn Quốc</v>
      </c>
      <c r="E165" s="40">
        <v>35000</v>
      </c>
    </row>
    <row r="166">
      <c r="A166" s="40">
        <v>20</v>
      </c>
      <c r="B166" s="40" t="str">
        <v>382 Nguyễn Trãi</v>
      </c>
      <c r="C166" s="40">
        <v>625</v>
      </c>
      <c r="D166" s="40" t="str">
        <v>[DV] Mặt nạ tẩy da chết sủi bọt cao cấp</v>
      </c>
      <c r="E166" s="40">
        <v>55000</v>
      </c>
    </row>
    <row r="167">
      <c r="A167" s="40">
        <v>20</v>
      </c>
      <c r="B167" s="40" t="str">
        <v>382 Nguyễn Trãi</v>
      </c>
      <c r="C167" s="40">
        <v>912</v>
      </c>
      <c r="D167" s="40" t="str">
        <v>[DV] Nhuộm đen phủ bạc R&amp;B thảo dược</v>
      </c>
      <c r="E167" s="40">
        <v>299000</v>
      </c>
    </row>
    <row r="168">
      <c r="A168" s="40">
        <v>20</v>
      </c>
      <c r="B168" s="40" t="str">
        <v>382 Nguyễn Trãi</v>
      </c>
      <c r="C168" s="40">
        <v>513</v>
      </c>
      <c r="D168" s="40" t="str">
        <v>[DV] ShineCombo 10 bước Ultra Care 2023</v>
      </c>
      <c r="E168" s="40">
        <v>122000</v>
      </c>
    </row>
    <row r="169">
      <c r="A169" s="40">
        <v>20</v>
      </c>
      <c r="B169" s="40" t="str">
        <v>382 Nguyễn Trãi</v>
      </c>
      <c r="C169" s="40">
        <v>513</v>
      </c>
      <c r="D169" s="40" t="str">
        <v>[DV] ShineCombo 10 bước Ultra Care 2023</v>
      </c>
      <c r="E169" s="40">
        <v>120000</v>
      </c>
    </row>
    <row r="170">
      <c r="A170" s="40">
        <v>20</v>
      </c>
      <c r="B170" s="40" t="str">
        <v>382 Nguyễn Trãi</v>
      </c>
      <c r="C170" s="40">
        <v>462</v>
      </c>
      <c r="D170" s="40" t="str">
        <v>[DV] Thư giãn cổ, vai, gáy bạc hà cam ngọt - Thư giãn tai sảng khoái 9 tầng mây 45k</v>
      </c>
      <c r="E170" s="40">
        <v>45000</v>
      </c>
    </row>
    <row r="171">
      <c r="A171" s="40">
        <v>20</v>
      </c>
      <c r="B171" s="40" t="str">
        <v>382 Nguyễn Trãi</v>
      </c>
      <c r="C171" s="40">
        <v>634</v>
      </c>
      <c r="D171" s="40" t="str">
        <v>[DV] Tẩy da chết sủi bọt Hàn Quốc</v>
      </c>
      <c r="E171" s="40">
        <v>35000</v>
      </c>
    </row>
    <row r="172">
      <c r="A172" s="40">
        <v>20</v>
      </c>
      <c r="B172" s="40" t="str">
        <v>382 Nguyễn Trãi</v>
      </c>
      <c r="C172" s="40">
        <v>915</v>
      </c>
      <c r="D172" s="40" t="str">
        <v>[DV] Tẩy tóc bật tông Ý (1 lần)</v>
      </c>
      <c r="E172" s="40">
        <v>269000</v>
      </c>
    </row>
    <row r="173">
      <c r="A173" s="40">
        <v>20</v>
      </c>
      <c r="B173" s="40" t="str">
        <v>382 Nguyễn Trãi</v>
      </c>
      <c r="C173" s="40">
        <v>916</v>
      </c>
      <c r="D173" s="40" t="str">
        <v>[DV] Tẩy tóc bật tông Ý (2 lần) 500k</v>
      </c>
      <c r="E173" s="40">
        <v>534000</v>
      </c>
    </row>
    <row r="174">
      <c r="A174" s="40">
        <v>20</v>
      </c>
      <c r="B174" s="40" t="str">
        <v>382 Nguyễn Trãi</v>
      </c>
      <c r="C174" s="40">
        <v>674</v>
      </c>
      <c r="D174" s="40" t="str">
        <v>[DV] Uốn Texture con sâu/Uốn Ruffled</v>
      </c>
      <c r="E174" s="40">
        <v>554000</v>
      </c>
    </row>
    <row r="175">
      <c r="A175" s="40">
        <v>20</v>
      </c>
      <c r="B175" s="40" t="str">
        <v>382 Nguyễn Trãi</v>
      </c>
      <c r="C175" s="40">
        <v>941</v>
      </c>
      <c r="D175" s="40" t="str">
        <v>[DV] Vuốt sáp - sấy tạo kiểu 10k</v>
      </c>
      <c r="E175" s="40">
        <v>10000</v>
      </c>
    </row>
    <row r="176">
      <c r="A176" s="40">
        <v>20</v>
      </c>
      <c r="B176" s="40" t="str">
        <v>382 Nguyễn Trãi</v>
      </c>
      <c r="C176" s="40">
        <v>940</v>
      </c>
      <c r="D176" s="40" t="str">
        <v>[NEW] Gội dưỡng sinh</v>
      </c>
      <c r="E176" s="40">
        <v>59000</v>
      </c>
    </row>
    <row r="177">
      <c r="A177" s="40">
        <v>20</v>
      </c>
      <c r="B177" s="40" t="str">
        <v>382 Nguyễn Trãi</v>
      </c>
      <c r="C177" s="40">
        <v>603</v>
      </c>
      <c r="D177" s="40" t="str">
        <v>Đánh bay mụn cám lột mụn (Full Face)</v>
      </c>
      <c r="E177" s="40">
        <v>49000</v>
      </c>
    </row>
    <row r="178">
      <c r="A178" s="40">
        <v>21</v>
      </c>
      <c r="B178" s="40" t="str">
        <v>575 Âu Cơ</v>
      </c>
      <c r="C178" s="40">
        <v>610</v>
      </c>
      <c r="D178" s="40" t="str">
        <v>(2022T) ATS Control Buffer - Khử mùi tạo thơm cho tóc uốn nhuộm 40k</v>
      </c>
      <c r="E178" s="40">
        <v>40000</v>
      </c>
    </row>
    <row r="179">
      <c r="A179" s="40">
        <v>21</v>
      </c>
      <c r="B179" s="40" t="str">
        <v>575 Âu Cơ</v>
      </c>
      <c r="C179" s="40">
        <v>960</v>
      </c>
      <c r="D179" s="40" t="str">
        <v>(NEW) Nhuộm màu thời trang Milano</v>
      </c>
      <c r="E179" s="40">
        <v>366000</v>
      </c>
    </row>
    <row r="180">
      <c r="A180" s="40">
        <v>21</v>
      </c>
      <c r="B180" s="40" t="str">
        <v>575 Âu Cơ</v>
      </c>
      <c r="C180" s="40">
        <v>967</v>
      </c>
      <c r="D180" s="40" t="str">
        <v>(NEW) Nhuộm phủ bạc tiêu chuẩn 199K</v>
      </c>
      <c r="E180" s="40">
        <v>199000</v>
      </c>
    </row>
    <row r="181">
      <c r="A181" s="40">
        <v>21</v>
      </c>
      <c r="B181" s="40" t="str">
        <v>575 Âu Cơ</v>
      </c>
      <c r="C181" s="40">
        <v>1009</v>
      </c>
      <c r="D181" s="40" t="str">
        <v>(NEW) Uốn/Duỗi/Định hình full đầu tạo form vào nếp tự nhiên</v>
      </c>
      <c r="E181" s="40">
        <v>386000</v>
      </c>
    </row>
    <row r="182">
      <c r="A182" s="40">
        <v>21</v>
      </c>
      <c r="B182" s="40" t="str">
        <v>575 Âu Cơ</v>
      </c>
      <c r="C182" s="40">
        <v>1053</v>
      </c>
      <c r="D182" s="40" t="str">
        <v>Combo 2 - First Class 2</v>
      </c>
      <c r="E182" s="40">
        <v>239000</v>
      </c>
    </row>
    <row r="183">
      <c r="A183" s="40">
        <v>21</v>
      </c>
      <c r="B183" s="40" t="str">
        <v>575 Âu Cơ</v>
      </c>
      <c r="C183" s="40">
        <v>1054</v>
      </c>
      <c r="D183" s="40" t="str">
        <v>Combo 3 - First Class 3</v>
      </c>
      <c r="E183" s="40">
        <v>299000</v>
      </c>
    </row>
    <row r="184">
      <c r="A184" s="40">
        <v>21</v>
      </c>
      <c r="B184" s="40" t="str">
        <v>575 Âu Cơ</v>
      </c>
      <c r="C184" s="40">
        <v>1048</v>
      </c>
      <c r="D184" s="40" t="str">
        <v>Combo 4</v>
      </c>
      <c r="E184" s="40">
        <v>379000</v>
      </c>
    </row>
    <row r="185">
      <c r="A185" s="40">
        <v>21</v>
      </c>
      <c r="B185" s="40" t="str">
        <v>575 Âu Cơ</v>
      </c>
      <c r="C185" s="40">
        <v>1048</v>
      </c>
      <c r="D185" s="40" t="str">
        <v>Combo 4</v>
      </c>
      <c r="E185" s="40">
        <v>389000</v>
      </c>
    </row>
    <row r="186">
      <c r="A186" s="40">
        <v>21</v>
      </c>
      <c r="B186" s="40" t="str">
        <v>575 Âu Cơ</v>
      </c>
      <c r="C186" s="40">
        <v>1194</v>
      </c>
      <c r="D186" s="40" t="str">
        <v>Combo Best choice</v>
      </c>
      <c r="E186" s="40">
        <v>299000</v>
      </c>
    </row>
    <row r="187">
      <c r="A187" s="40">
        <v>21</v>
      </c>
      <c r="B187" s="40" t="str">
        <v>575 Âu Cơ</v>
      </c>
      <c r="C187" s="40">
        <v>1070</v>
      </c>
      <c r="D187" s="40" t="str">
        <v>Combo Cắt gội Kid</v>
      </c>
      <c r="E187" s="40">
        <v>100000</v>
      </c>
    </row>
    <row r="188">
      <c r="A188" s="40">
        <v>21</v>
      </c>
      <c r="B188" s="40" t="str">
        <v>575 Âu Cơ</v>
      </c>
      <c r="C188" s="40">
        <v>1047</v>
      </c>
      <c r="D188" s="40" t="str">
        <v>Cắt Gội Combo 3 - Chăm da</v>
      </c>
      <c r="E188" s="40">
        <v>299000</v>
      </c>
    </row>
    <row r="189">
      <c r="A189" s="40">
        <v>21</v>
      </c>
      <c r="B189" s="40" t="str">
        <v>575 Âu Cơ</v>
      </c>
      <c r="C189" s="40">
        <v>1065</v>
      </c>
      <c r="D189" s="40" t="str">
        <v>Cắt Gội Combo 3 - Dưỡng sinh</v>
      </c>
      <c r="E189" s="40">
        <v>299000</v>
      </c>
    </row>
    <row r="190">
      <c r="A190" s="40">
        <v>21</v>
      </c>
      <c r="B190" s="40" t="str">
        <v>575 Âu Cơ</v>
      </c>
      <c r="C190" s="40">
        <v>1064</v>
      </c>
      <c r="D190" s="40" t="str">
        <v>Cắt Gội Combo 5 - Dưỡng sinh</v>
      </c>
      <c r="E190" s="40">
        <v>459000</v>
      </c>
    </row>
    <row r="191">
      <c r="A191" s="40">
        <v>21</v>
      </c>
      <c r="B191" s="40" t="str">
        <v>575 Âu Cơ</v>
      </c>
      <c r="C191" s="40">
        <v>891</v>
      </c>
      <c r="D191" s="40" t="str">
        <v>Cắt xả tạo kiểu</v>
      </c>
      <c r="E191" s="40">
        <v>94000</v>
      </c>
    </row>
    <row r="192">
      <c r="A192" s="40">
        <v>21</v>
      </c>
      <c r="B192" s="40" t="str">
        <v>575 Âu Cơ</v>
      </c>
      <c r="C192" s="40">
        <v>891</v>
      </c>
      <c r="D192" s="40" t="str">
        <v>Cắt xả tạo kiểu</v>
      </c>
      <c r="E192" s="40">
        <v>90000</v>
      </c>
    </row>
    <row r="193">
      <c r="A193" s="40">
        <v>21</v>
      </c>
      <c r="B193" s="40" t="str">
        <v>575 Âu Cơ</v>
      </c>
      <c r="C193" s="40">
        <v>1058</v>
      </c>
      <c r="D193" s="40" t="str" xml:space="preserve">
        <v>Gội Combo 2 </v>
      </c>
      <c r="E193" s="40">
        <v>159000</v>
      </c>
    </row>
    <row r="194">
      <c r="A194" s="40">
        <v>21</v>
      </c>
      <c r="B194" s="40" t="str">
        <v>575 Âu Cơ</v>
      </c>
      <c r="C194" s="40">
        <v>1059</v>
      </c>
      <c r="D194" s="40" t="str">
        <v>Gội Combo 3 - Chăm da</v>
      </c>
      <c r="E194" s="40">
        <v>219000</v>
      </c>
    </row>
    <row r="195">
      <c r="A195" s="40">
        <v>21</v>
      </c>
      <c r="B195" s="40" t="str">
        <v>575 Âu Cơ</v>
      </c>
      <c r="C195" s="40">
        <v>1059</v>
      </c>
      <c r="D195" s="40" t="str">
        <v>Gội Combo 3 - Chăm da</v>
      </c>
      <c r="E195" s="40">
        <v>239000</v>
      </c>
    </row>
    <row r="196">
      <c r="A196" s="40">
        <v>21</v>
      </c>
      <c r="B196" s="40" t="str">
        <v>575 Âu Cơ</v>
      </c>
      <c r="C196" s="40">
        <v>1060</v>
      </c>
      <c r="D196" s="40" t="str">
        <v>Gội Combo 4</v>
      </c>
      <c r="E196" s="40">
        <v>319000</v>
      </c>
    </row>
    <row r="197">
      <c r="A197" s="40">
        <v>21</v>
      </c>
      <c r="B197" s="40" t="str">
        <v>575 Âu Cơ</v>
      </c>
      <c r="C197" s="40">
        <v>1060</v>
      </c>
      <c r="D197" s="40" t="str">
        <v>Gội Combo 4</v>
      </c>
      <c r="E197" s="40">
        <v>289000</v>
      </c>
    </row>
    <row r="198">
      <c r="A198" s="40">
        <v>21</v>
      </c>
      <c r="B198" s="40" t="str">
        <v>575 Âu Cơ</v>
      </c>
      <c r="C198" s="40">
        <v>934</v>
      </c>
      <c r="D198" s="40" t="str">
        <v>Gội combo 3 - Dưỡng sinh</v>
      </c>
      <c r="E198" s="40">
        <v>229000</v>
      </c>
    </row>
    <row r="199">
      <c r="A199" s="40">
        <v>21</v>
      </c>
      <c r="B199" s="40" t="str">
        <v>575 Âu Cơ</v>
      </c>
      <c r="C199" s="40">
        <v>932</v>
      </c>
      <c r="D199" s="40" t="str">
        <v>Gội combo 5 dưỡng sinh</v>
      </c>
      <c r="E199" s="40">
        <v>389000</v>
      </c>
    </row>
    <row r="200">
      <c r="A200" s="40">
        <v>21</v>
      </c>
      <c r="B200" s="40" t="str">
        <v>575 Âu Cơ</v>
      </c>
      <c r="C200" s="40">
        <v>867</v>
      </c>
      <c r="D200" s="40" t="str">
        <v>Gội dưỡng sinh cổ vai gáy</v>
      </c>
      <c r="E200" s="40">
        <v>100000</v>
      </c>
    </row>
    <row r="201">
      <c r="A201" s="40">
        <v>21</v>
      </c>
      <c r="B201" s="40" t="str">
        <v>575 Âu Cơ</v>
      </c>
      <c r="C201" s="40">
        <v>867</v>
      </c>
      <c r="D201" s="40" t="str">
        <v>Gội dưỡng sinh cổ vai gáy</v>
      </c>
      <c r="E201" s="40">
        <v>95000</v>
      </c>
    </row>
    <row r="202">
      <c r="A202" s="40">
        <v>21</v>
      </c>
      <c r="B202" s="40" t="str">
        <v>575 Âu Cơ</v>
      </c>
      <c r="C202" s="40">
        <v>1068</v>
      </c>
      <c r="D202" s="40" t="str">
        <v>Gội trải nghiệm 115p</v>
      </c>
      <c r="E202" s="40">
        <v>999000</v>
      </c>
    </row>
    <row r="203">
      <c r="A203" s="40">
        <v>21</v>
      </c>
      <c r="B203" s="40" t="str">
        <v>575 Âu Cơ</v>
      </c>
      <c r="C203" s="40">
        <v>1066</v>
      </c>
      <c r="D203" s="40" t="str">
        <v>Gội trải nghiệm 75p</v>
      </c>
      <c r="E203" s="40">
        <v>459000</v>
      </c>
    </row>
    <row r="204">
      <c r="A204" s="40">
        <v>21</v>
      </c>
      <c r="B204" s="40" t="str">
        <v>575 Âu Cơ</v>
      </c>
      <c r="C204" s="40">
        <v>1067</v>
      </c>
      <c r="D204" s="40" t="str">
        <v>Gội trải nghiệm 90p</v>
      </c>
      <c r="E204" s="40">
        <v>789000</v>
      </c>
    </row>
    <row r="205">
      <c r="A205" s="40">
        <v>21</v>
      </c>
      <c r="B205" s="40" t="str">
        <v>575 Âu Cơ</v>
      </c>
      <c r="C205" s="40">
        <v>1002</v>
      </c>
      <c r="D205" s="40" t="str">
        <v>Kid Cắt</v>
      </c>
      <c r="E205" s="40">
        <v>75000</v>
      </c>
    </row>
    <row r="206">
      <c r="A206" s="40">
        <v>21</v>
      </c>
      <c r="B206" s="40" t="str">
        <v>575 Âu Cơ</v>
      </c>
      <c r="C206" s="40">
        <v>1149</v>
      </c>
      <c r="D206" s="40" t="str">
        <v>NHUỘM THIẾT KẾ PHỤC HỒI CHUYÊN SÂU LIPID BOND 2025</v>
      </c>
      <c r="E206" s="40">
        <v>759000</v>
      </c>
    </row>
    <row r="207">
      <c r="A207" s="40">
        <v>21</v>
      </c>
      <c r="B207" s="40" t="str">
        <v>575 Âu Cơ</v>
      </c>
      <c r="C207" s="40">
        <v>1101</v>
      </c>
      <c r="D207" s="40" t="str">
        <v>Phục hồi trẻ hóa Lipid Bond</v>
      </c>
      <c r="E207" s="40">
        <v>146000</v>
      </c>
    </row>
    <row r="208">
      <c r="A208" s="40">
        <v>21</v>
      </c>
      <c r="B208" s="40" t="str">
        <v>575 Âu Cơ</v>
      </c>
      <c r="C208" s="40">
        <v>1046</v>
      </c>
      <c r="D208" s="40" t="str" xml:space="preserve">
        <v>Shinecombo 2 </v>
      </c>
      <c r="E208" s="40">
        <v>199000</v>
      </c>
    </row>
    <row r="209">
      <c r="A209" s="40">
        <v>21</v>
      </c>
      <c r="B209" s="40" t="str">
        <v>575 Âu Cơ</v>
      </c>
      <c r="C209" s="40">
        <v>1102</v>
      </c>
      <c r="D209" s="40" t="str">
        <v>Tái tạo da đầu - Sạch gàu hết ngứa</v>
      </c>
      <c r="E209" s="40">
        <v>98000</v>
      </c>
    </row>
    <row r="210">
      <c r="A210" s="40">
        <v>21</v>
      </c>
      <c r="B210" s="40" t="str">
        <v>575 Âu Cơ</v>
      </c>
      <c r="C210" s="40">
        <v>1148</v>
      </c>
      <c r="D210" s="40" t="str">
        <v>UỐN THIẾT KẾ PHỤC HỒI CHUYÊN SÂU LIPID BOND 2025</v>
      </c>
      <c r="E210" s="40">
        <v>689000</v>
      </c>
    </row>
    <row r="211">
      <c r="A211" s="40">
        <v>21</v>
      </c>
      <c r="B211" s="40" t="str">
        <v>575 Âu Cơ</v>
      </c>
      <c r="C211" s="40">
        <v>952</v>
      </c>
      <c r="D211" s="40" t="str">
        <v>Uốn định hình nếp tóc cao cấp (K-Perm Collection)</v>
      </c>
      <c r="E211" s="40">
        <v>478000</v>
      </c>
    </row>
    <row r="212">
      <c r="A212" s="40">
        <v>21</v>
      </c>
      <c r="B212" s="40" t="str">
        <v>575 Âu Cơ</v>
      </c>
      <c r="C212" s="40">
        <v>635</v>
      </c>
      <c r="D212" s="40" t="str">
        <v>[DV] Detox tẩy da chết da đầu</v>
      </c>
      <c r="E212" s="40">
        <v>45000</v>
      </c>
    </row>
    <row r="213">
      <c r="A213" s="40">
        <v>21</v>
      </c>
      <c r="B213" s="40" t="str">
        <v>575 Âu Cơ</v>
      </c>
      <c r="C213" s="40">
        <v>636</v>
      </c>
      <c r="D213" s="40" t="str">
        <v>[DV] Mặt nạ lạnh Hàn Quốc</v>
      </c>
      <c r="E213" s="40">
        <v>35000</v>
      </c>
    </row>
    <row r="214">
      <c r="A214" s="40">
        <v>21</v>
      </c>
      <c r="B214" s="40" t="str">
        <v>575 Âu Cơ</v>
      </c>
      <c r="C214" s="40">
        <v>625</v>
      </c>
      <c r="D214" s="40" t="str">
        <v>[DV] Mặt nạ tẩy da chết sủi bọt cao cấp</v>
      </c>
      <c r="E214" s="40">
        <v>55000</v>
      </c>
    </row>
    <row r="215">
      <c r="A215" s="40">
        <v>21</v>
      </c>
      <c r="B215" s="40" t="str">
        <v>575 Âu Cơ</v>
      </c>
      <c r="C215" s="40">
        <v>912</v>
      </c>
      <c r="D215" s="40" t="str">
        <v>[DV] Nhuộm đen phủ bạc R&amp;B thảo dược</v>
      </c>
      <c r="E215" s="40">
        <v>289000</v>
      </c>
    </row>
    <row r="216">
      <c r="A216" s="40">
        <v>21</v>
      </c>
      <c r="B216" s="40" t="str">
        <v>575 Âu Cơ</v>
      </c>
      <c r="C216" s="40">
        <v>513</v>
      </c>
      <c r="D216" s="40" t="str">
        <v>[DV] ShineCombo 10 bước Ultra Care 2023</v>
      </c>
      <c r="E216" s="40">
        <v>122000</v>
      </c>
    </row>
    <row r="217">
      <c r="A217" s="40">
        <v>21</v>
      </c>
      <c r="B217" s="40" t="str">
        <v>575 Âu Cơ</v>
      </c>
      <c r="C217" s="40">
        <v>513</v>
      </c>
      <c r="D217" s="40" t="str">
        <v>[DV] ShineCombo 10 bước Ultra Care 2023</v>
      </c>
      <c r="E217" s="40">
        <v>120000</v>
      </c>
    </row>
    <row r="218">
      <c r="A218" s="40">
        <v>21</v>
      </c>
      <c r="B218" s="40" t="str">
        <v>575 Âu Cơ</v>
      </c>
      <c r="C218" s="40">
        <v>462</v>
      </c>
      <c r="D218" s="40" t="str">
        <v>[DV] Thư giãn cổ, vai, gáy bạc hà cam ngọt - Thư giãn tai sảng khoái 9 tầng mây 45k</v>
      </c>
      <c r="E218" s="40">
        <v>45000</v>
      </c>
    </row>
    <row r="219">
      <c r="A219" s="40">
        <v>21</v>
      </c>
      <c r="B219" s="40" t="str">
        <v>575 Âu Cơ</v>
      </c>
      <c r="C219" s="40">
        <v>634</v>
      </c>
      <c r="D219" s="40" t="str">
        <v>[DV] Tẩy da chết sủi bọt Hàn Quốc</v>
      </c>
      <c r="E219" s="40">
        <v>35000</v>
      </c>
    </row>
    <row r="220">
      <c r="A220" s="40">
        <v>21</v>
      </c>
      <c r="B220" s="40" t="str">
        <v>575 Âu Cơ</v>
      </c>
      <c r="C220" s="40">
        <v>916</v>
      </c>
      <c r="D220" s="40" t="str">
        <v>[DV] Tẩy tóc bật tông Ý (2 lần) 500k</v>
      </c>
      <c r="E220" s="40">
        <v>500000</v>
      </c>
    </row>
    <row r="221">
      <c r="A221" s="40">
        <v>21</v>
      </c>
      <c r="B221" s="40" t="str">
        <v>575 Âu Cơ</v>
      </c>
      <c r="C221" s="40">
        <v>674</v>
      </c>
      <c r="D221" s="40" t="str">
        <v>[DV] Uốn Texture con sâu/Uốn Ruffled</v>
      </c>
      <c r="E221" s="40">
        <v>550000</v>
      </c>
    </row>
    <row r="222">
      <c r="A222" s="40">
        <v>21</v>
      </c>
      <c r="B222" s="40" t="str">
        <v>575 Âu Cơ</v>
      </c>
      <c r="C222" s="40">
        <v>941</v>
      </c>
      <c r="D222" s="40" t="str">
        <v>[DV] Vuốt sáp - sấy tạo kiểu 10k</v>
      </c>
      <c r="E222" s="40">
        <v>10000</v>
      </c>
    </row>
    <row r="223">
      <c r="A223" s="40">
        <v>21</v>
      </c>
      <c r="B223" s="40" t="str">
        <v>575 Âu Cơ</v>
      </c>
      <c r="C223" s="40">
        <v>902</v>
      </c>
      <c r="D223" s="40" t="str">
        <v>[DV] Ép side hai bên</v>
      </c>
      <c r="E223" s="40">
        <v>189000</v>
      </c>
    </row>
    <row r="224">
      <c r="A224" s="40">
        <v>21</v>
      </c>
      <c r="B224" s="40" t="str">
        <v>575 Âu Cơ</v>
      </c>
      <c r="C224" s="40">
        <v>940</v>
      </c>
      <c r="D224" s="40" t="str">
        <v>[NEW] Gội dưỡng sinh</v>
      </c>
      <c r="E224" s="40">
        <v>59000</v>
      </c>
    </row>
    <row r="225">
      <c r="A225" s="40">
        <v>21</v>
      </c>
      <c r="B225" s="40" t="str">
        <v>575 Âu Cơ</v>
      </c>
      <c r="C225" s="40">
        <v>940</v>
      </c>
      <c r="D225" s="40" t="str">
        <v>[NEW] Gội dưỡng sinh</v>
      </c>
      <c r="E225" s="40">
        <v>50000</v>
      </c>
    </row>
    <row r="226">
      <c r="A226" s="40">
        <v>21</v>
      </c>
      <c r="B226" s="40" t="str">
        <v>575 Âu Cơ</v>
      </c>
      <c r="C226" s="40">
        <v>603</v>
      </c>
      <c r="D226" s="40" t="str">
        <v>Đánh bay mụn cám lột mụn (Full Face)</v>
      </c>
      <c r="E226" s="40">
        <v>49000</v>
      </c>
    </row>
    <row r="227">
      <c r="A227" s="40">
        <v>22</v>
      </c>
      <c r="B227" s="40" t="str">
        <v>927 Hậu Giang</v>
      </c>
      <c r="C227" s="40">
        <v>610</v>
      </c>
      <c r="D227" s="40" t="str">
        <v>(2022T) ATS Control Buffer - Khử mùi tạo thơm cho tóc uốn nhuộm 40k</v>
      </c>
      <c r="E227" s="40">
        <v>40000</v>
      </c>
    </row>
    <row r="228">
      <c r="A228" s="40">
        <v>22</v>
      </c>
      <c r="B228" s="40" t="str">
        <v>927 Hậu Giang</v>
      </c>
      <c r="C228" s="40">
        <v>960</v>
      </c>
      <c r="D228" s="40" t="str">
        <v>(NEW) Nhuộm màu thời trang Milano</v>
      </c>
      <c r="E228" s="40">
        <v>366000</v>
      </c>
    </row>
    <row r="229">
      <c r="A229" s="40">
        <v>22</v>
      </c>
      <c r="B229" s="40" t="str">
        <v>927 Hậu Giang</v>
      </c>
      <c r="C229" s="40">
        <v>967</v>
      </c>
      <c r="D229" s="40" t="str">
        <v>(NEW) Nhuộm phủ bạc tiêu chuẩn 199K</v>
      </c>
      <c r="E229" s="40">
        <v>199000</v>
      </c>
    </row>
    <row r="230">
      <c r="A230" s="40">
        <v>22</v>
      </c>
      <c r="B230" s="40" t="str">
        <v>927 Hậu Giang</v>
      </c>
      <c r="C230" s="40">
        <v>1009</v>
      </c>
      <c r="D230" s="40" t="str">
        <v>(NEW) Uốn/Duỗi/Định hình full đầu tạo form vào nếp tự nhiên</v>
      </c>
      <c r="E230" s="40">
        <v>386000</v>
      </c>
    </row>
    <row r="231">
      <c r="A231" s="40">
        <v>22</v>
      </c>
      <c r="B231" s="40" t="str">
        <v>927 Hậu Giang</v>
      </c>
      <c r="C231" s="40">
        <v>1052</v>
      </c>
      <c r="D231" s="40" t="str">
        <v>Combo 1 - First Class 1</v>
      </c>
      <c r="E231" s="40">
        <v>139000</v>
      </c>
    </row>
    <row r="232">
      <c r="A232" s="40">
        <v>22</v>
      </c>
      <c r="B232" s="40" t="str">
        <v>927 Hậu Giang</v>
      </c>
      <c r="C232" s="40">
        <v>1052</v>
      </c>
      <c r="D232" s="40" t="str">
        <v>Combo 1 - First Class 1</v>
      </c>
      <c r="E232" s="40">
        <v>159000</v>
      </c>
    </row>
    <row r="233">
      <c r="A233" s="40">
        <v>22</v>
      </c>
      <c r="B233" s="40" t="str">
        <v>927 Hậu Giang</v>
      </c>
      <c r="C233" s="40">
        <v>1053</v>
      </c>
      <c r="D233" s="40" t="str">
        <v>Combo 2 - First Class 2</v>
      </c>
      <c r="E233" s="40">
        <v>239000</v>
      </c>
    </row>
    <row r="234">
      <c r="A234" s="40">
        <v>22</v>
      </c>
      <c r="B234" s="40" t="str">
        <v>927 Hậu Giang</v>
      </c>
      <c r="C234" s="40">
        <v>1054</v>
      </c>
      <c r="D234" s="40" t="str">
        <v>Combo 3 - First Class 3</v>
      </c>
      <c r="E234" s="40">
        <v>309000</v>
      </c>
    </row>
    <row r="235">
      <c r="A235" s="40">
        <v>22</v>
      </c>
      <c r="B235" s="40" t="str">
        <v>927 Hậu Giang</v>
      </c>
      <c r="C235" s="40">
        <v>1054</v>
      </c>
      <c r="D235" s="40" t="str">
        <v>Combo 3 - First Class 3</v>
      </c>
      <c r="E235" s="40">
        <v>299000</v>
      </c>
    </row>
    <row r="236">
      <c r="A236" s="40">
        <v>22</v>
      </c>
      <c r="B236" s="40" t="str">
        <v>927 Hậu Giang</v>
      </c>
      <c r="C236" s="40">
        <v>1048</v>
      </c>
      <c r="D236" s="40" t="str">
        <v>Combo 4</v>
      </c>
      <c r="E236" s="40">
        <v>379000</v>
      </c>
    </row>
    <row r="237">
      <c r="A237" s="40">
        <v>22</v>
      </c>
      <c r="B237" s="40" t="str">
        <v>927 Hậu Giang</v>
      </c>
      <c r="C237" s="40">
        <v>1055</v>
      </c>
      <c r="D237" s="40" t="str">
        <v>Combo 4- First Class 4</v>
      </c>
      <c r="E237" s="40">
        <v>409000</v>
      </c>
    </row>
    <row r="238">
      <c r="A238" s="40">
        <v>22</v>
      </c>
      <c r="B238" s="40" t="str">
        <v>927 Hậu Giang</v>
      </c>
      <c r="C238" s="40">
        <v>1055</v>
      </c>
      <c r="D238" s="40" t="str">
        <v>Combo 4- First Class 4</v>
      </c>
      <c r="E238" s="40">
        <v>399000</v>
      </c>
    </row>
    <row r="239">
      <c r="A239" s="40">
        <v>22</v>
      </c>
      <c r="B239" s="40" t="str">
        <v>927 Hậu Giang</v>
      </c>
      <c r="C239" s="40">
        <v>1070</v>
      </c>
      <c r="D239" s="40" t="str">
        <v>Combo Cắt gội Kid</v>
      </c>
      <c r="E239" s="40">
        <v>100000</v>
      </c>
    </row>
    <row r="240">
      <c r="A240" s="40">
        <v>22</v>
      </c>
      <c r="B240" s="40" t="str">
        <v>927 Hậu Giang</v>
      </c>
      <c r="C240" s="40">
        <v>1047</v>
      </c>
      <c r="D240" s="40" t="str">
        <v>Cắt Gội Combo 3 - Chăm da</v>
      </c>
      <c r="E240" s="40">
        <v>299000</v>
      </c>
    </row>
    <row r="241">
      <c r="A241" s="40">
        <v>22</v>
      </c>
      <c r="B241" s="40" t="str">
        <v>927 Hậu Giang</v>
      </c>
      <c r="C241" s="40">
        <v>891</v>
      </c>
      <c r="D241" s="40" t="str">
        <v>Cắt xả tạo kiểu</v>
      </c>
      <c r="E241" s="40">
        <v>94000</v>
      </c>
    </row>
    <row r="242">
      <c r="A242" s="40">
        <v>22</v>
      </c>
      <c r="B242" s="40" t="str">
        <v>927 Hậu Giang</v>
      </c>
      <c r="C242" s="40">
        <v>891</v>
      </c>
      <c r="D242" s="40" t="str">
        <v>Cắt xả tạo kiểu</v>
      </c>
      <c r="E242" s="40">
        <v>90000</v>
      </c>
    </row>
    <row r="243">
      <c r="A243" s="40">
        <v>22</v>
      </c>
      <c r="B243" s="40" t="str">
        <v>927 Hậu Giang</v>
      </c>
      <c r="C243" s="40">
        <v>1300</v>
      </c>
      <c r="D243" s="40" t="str">
        <v>Dịch vụ upgrade combo 1 lên combo 2 (dành riêng Khách đã từng mua topup combo 1)</v>
      </c>
      <c r="E243" s="40">
        <v>79000</v>
      </c>
    </row>
    <row r="244">
      <c r="A244" s="40">
        <v>22</v>
      </c>
      <c r="B244" s="40" t="str">
        <v>927 Hậu Giang</v>
      </c>
      <c r="C244" s="40">
        <v>1301</v>
      </c>
      <c r="D244" s="40" t="str">
        <v>Dịch vụ upgrade combo 2 lên combo 3 (dành riêng Khách đã từng mua topup combo 2)</v>
      </c>
      <c r="E244" s="40">
        <v>100000</v>
      </c>
    </row>
    <row r="245">
      <c r="A245" s="40">
        <v>22</v>
      </c>
      <c r="B245" s="40" t="str">
        <v>927 Hậu Giang</v>
      </c>
      <c r="C245" s="40">
        <v>1302</v>
      </c>
      <c r="D245" s="40" t="str">
        <v>Dịch vụ upgrade combo 3 lên combo 4 (dành riêng Khách đã từng mua topup combo 3)</v>
      </c>
      <c r="E245" s="40">
        <v>100000</v>
      </c>
    </row>
    <row r="246">
      <c r="A246" s="40">
        <v>22</v>
      </c>
      <c r="B246" s="40" t="str">
        <v>927 Hậu Giang</v>
      </c>
      <c r="C246" s="40">
        <v>1058</v>
      </c>
      <c r="D246" s="40" t="str" xml:space="preserve">
        <v>Gội Combo 2 </v>
      </c>
      <c r="E246" s="40">
        <v>159000</v>
      </c>
    </row>
    <row r="247">
      <c r="A247" s="40">
        <v>22</v>
      </c>
      <c r="B247" s="40" t="str">
        <v>927 Hậu Giang</v>
      </c>
      <c r="C247" s="40">
        <v>1059</v>
      </c>
      <c r="D247" s="40" t="str">
        <v>Gội Combo 3 - Chăm da</v>
      </c>
      <c r="E247" s="40">
        <v>239000</v>
      </c>
    </row>
    <row r="248">
      <c r="A248" s="40">
        <v>22</v>
      </c>
      <c r="B248" s="40" t="str">
        <v>927 Hậu Giang</v>
      </c>
      <c r="C248" s="40">
        <v>1059</v>
      </c>
      <c r="D248" s="40" t="str">
        <v>Gội Combo 3 - Chăm da</v>
      </c>
      <c r="E248" s="40">
        <v>219000</v>
      </c>
    </row>
    <row r="249">
      <c r="A249" s="40">
        <v>22</v>
      </c>
      <c r="B249" s="40" t="str">
        <v>927 Hậu Giang</v>
      </c>
      <c r="C249" s="40">
        <v>1060</v>
      </c>
      <c r="D249" s="40" t="str">
        <v>Gội Combo 4</v>
      </c>
      <c r="E249" s="40">
        <v>319000</v>
      </c>
    </row>
    <row r="250">
      <c r="A250" s="40">
        <v>22</v>
      </c>
      <c r="B250" s="40" t="str">
        <v>927 Hậu Giang</v>
      </c>
      <c r="C250" s="40">
        <v>1060</v>
      </c>
      <c r="D250" s="40" t="str">
        <v>Gội Combo 4</v>
      </c>
      <c r="E250" s="40">
        <v>329000</v>
      </c>
    </row>
    <row r="251">
      <c r="A251" s="40">
        <v>22</v>
      </c>
      <c r="B251" s="40" t="str">
        <v>927 Hậu Giang</v>
      </c>
      <c r="C251" s="40">
        <v>1061</v>
      </c>
      <c r="D251" s="40" t="str">
        <v>Gội Combo 5 - Chăm da</v>
      </c>
      <c r="E251" s="40">
        <v>359000</v>
      </c>
    </row>
    <row r="252">
      <c r="A252" s="40">
        <v>22</v>
      </c>
      <c r="B252" s="40" t="str">
        <v>927 Hậu Giang</v>
      </c>
      <c r="C252" s="40">
        <v>934</v>
      </c>
      <c r="D252" s="40" t="str">
        <v>Gội combo 3 - Dưỡng sinh</v>
      </c>
      <c r="E252" s="40">
        <v>229000</v>
      </c>
    </row>
    <row r="253">
      <c r="A253" s="40">
        <v>22</v>
      </c>
      <c r="B253" s="40" t="str">
        <v>927 Hậu Giang</v>
      </c>
      <c r="C253" s="40">
        <v>932</v>
      </c>
      <c r="D253" s="40" t="str">
        <v>Gội combo 5 dưỡng sinh</v>
      </c>
      <c r="E253" s="40">
        <v>399000</v>
      </c>
    </row>
    <row r="254">
      <c r="A254" s="40">
        <v>22</v>
      </c>
      <c r="B254" s="40" t="str">
        <v>927 Hậu Giang</v>
      </c>
      <c r="C254" s="40">
        <v>867</v>
      </c>
      <c r="D254" s="40" t="str">
        <v>Gội dưỡng sinh cổ vai gáy</v>
      </c>
      <c r="E254" s="40">
        <v>95000</v>
      </c>
    </row>
    <row r="255">
      <c r="A255" s="40">
        <v>22</v>
      </c>
      <c r="B255" s="40" t="str">
        <v>927 Hậu Giang</v>
      </c>
      <c r="C255" s="40">
        <v>867</v>
      </c>
      <c r="D255" s="40" t="str">
        <v>Gội dưỡng sinh cổ vai gáy</v>
      </c>
      <c r="E255" s="40">
        <v>99000</v>
      </c>
    </row>
    <row r="256">
      <c r="A256" s="40">
        <v>22</v>
      </c>
      <c r="B256" s="40" t="str">
        <v>927 Hậu Giang</v>
      </c>
      <c r="C256" s="40">
        <v>1068</v>
      </c>
      <c r="D256" s="40" t="str">
        <v>Gội trải nghiệm 115p</v>
      </c>
      <c r="E256" s="40">
        <v>999000</v>
      </c>
    </row>
    <row r="257">
      <c r="A257" s="40">
        <v>22</v>
      </c>
      <c r="B257" s="40" t="str">
        <v>927 Hậu Giang</v>
      </c>
      <c r="C257" s="40">
        <v>1066</v>
      </c>
      <c r="D257" s="40" t="str">
        <v>Gội trải nghiệm 75p</v>
      </c>
      <c r="E257" s="40">
        <v>589000</v>
      </c>
    </row>
    <row r="258">
      <c r="A258" s="40">
        <v>22</v>
      </c>
      <c r="B258" s="40" t="str">
        <v>927 Hậu Giang</v>
      </c>
      <c r="C258" s="40">
        <v>1067</v>
      </c>
      <c r="D258" s="40" t="str">
        <v>Gội trải nghiệm 90p</v>
      </c>
      <c r="E258" s="40">
        <v>789000</v>
      </c>
    </row>
    <row r="259">
      <c r="A259" s="40">
        <v>22</v>
      </c>
      <c r="B259" s="40" t="str">
        <v>927 Hậu Giang</v>
      </c>
      <c r="C259" s="40">
        <v>1002</v>
      </c>
      <c r="D259" s="40" t="str">
        <v>Kid Cắt</v>
      </c>
      <c r="E259" s="40">
        <v>75000</v>
      </c>
    </row>
    <row r="260">
      <c r="A260" s="40">
        <v>22</v>
      </c>
      <c r="B260" s="40" t="str">
        <v>927 Hậu Giang</v>
      </c>
      <c r="C260" s="40">
        <v>1149</v>
      </c>
      <c r="D260" s="40" t="str">
        <v>NHUỘM THIẾT KẾ PHỤC HỒI CHUYÊN SÂU LIPID BOND 2025</v>
      </c>
      <c r="E260" s="40">
        <v>759000</v>
      </c>
    </row>
    <row r="261">
      <c r="A261" s="40">
        <v>22</v>
      </c>
      <c r="B261" s="40" t="str">
        <v>927 Hậu Giang</v>
      </c>
      <c r="C261" s="40">
        <v>1101</v>
      </c>
      <c r="D261" s="40" t="str">
        <v>Phục hồi trẻ hóa Lipid Bond</v>
      </c>
      <c r="E261" s="40">
        <v>146000</v>
      </c>
    </row>
    <row r="262">
      <c r="A262" s="40">
        <v>22</v>
      </c>
      <c r="B262" s="40" t="str">
        <v>927 Hậu Giang</v>
      </c>
      <c r="C262" s="40">
        <v>1046</v>
      </c>
      <c r="D262" s="40" t="str" xml:space="preserve">
        <v>Shinecombo 2 </v>
      </c>
      <c r="E262" s="40">
        <v>199000</v>
      </c>
    </row>
    <row r="263">
      <c r="A263" s="40">
        <v>22</v>
      </c>
      <c r="B263" s="40" t="str">
        <v>927 Hậu Giang</v>
      </c>
      <c r="C263" s="40">
        <v>653</v>
      </c>
      <c r="D263" s="40" t="str">
        <v>Trải nghiệm dầu gội trị gàu ngứa cao cấp Davines Ý 10k</v>
      </c>
      <c r="E263" s="40">
        <v>10000</v>
      </c>
    </row>
    <row r="264">
      <c r="A264" s="40">
        <v>22</v>
      </c>
      <c r="B264" s="40" t="str">
        <v>927 Hậu Giang</v>
      </c>
      <c r="C264" s="40">
        <v>716</v>
      </c>
      <c r="D264" s="40" t="str">
        <v>Trải nghiệm kem chống nắng Hàn Quốc 10k</v>
      </c>
      <c r="E264" s="40">
        <v>10000</v>
      </c>
    </row>
    <row r="265">
      <c r="A265" s="40">
        <v>22</v>
      </c>
      <c r="B265" s="40" t="str">
        <v>927 Hậu Giang</v>
      </c>
      <c r="C265" s="40">
        <v>1148</v>
      </c>
      <c r="D265" s="40" t="str">
        <v>UỐN THIẾT KẾ PHỤC HỒI CHUYÊN SÂU LIPID BOND 2025</v>
      </c>
      <c r="E265" s="40">
        <v>689000</v>
      </c>
    </row>
    <row r="266">
      <c r="A266" s="40">
        <v>22</v>
      </c>
      <c r="B266" s="40" t="str">
        <v>927 Hậu Giang</v>
      </c>
      <c r="C266" s="40">
        <v>952</v>
      </c>
      <c r="D266" s="40" t="str">
        <v>Uốn định hình nếp tóc cao cấp (K-Perm Collection)</v>
      </c>
      <c r="E266" s="40">
        <v>478000</v>
      </c>
    </row>
    <row r="267">
      <c r="A267" s="40">
        <v>22</v>
      </c>
      <c r="B267" s="40" t="str">
        <v>927 Hậu Giang</v>
      </c>
      <c r="C267" s="40">
        <v>635</v>
      </c>
      <c r="D267" s="40" t="str">
        <v>[DV] Detox tẩy da chết da đầu</v>
      </c>
      <c r="E267" s="40">
        <v>45000</v>
      </c>
    </row>
    <row r="268">
      <c r="A268" s="40">
        <v>22</v>
      </c>
      <c r="B268" s="40" t="str">
        <v>927 Hậu Giang</v>
      </c>
      <c r="C268" s="40">
        <v>636</v>
      </c>
      <c r="D268" s="40" t="str">
        <v>[DV] Mặt nạ lạnh Hàn Quốc</v>
      </c>
      <c r="E268" s="40">
        <v>35000</v>
      </c>
    </row>
    <row r="269">
      <c r="A269" s="40">
        <v>22</v>
      </c>
      <c r="B269" s="40" t="str">
        <v>927 Hậu Giang</v>
      </c>
      <c r="C269" s="40">
        <v>625</v>
      </c>
      <c r="D269" s="40" t="str">
        <v>[DV] Mặt nạ tẩy da chết sủi bọt cao cấp</v>
      </c>
      <c r="E269" s="40">
        <v>55000</v>
      </c>
    </row>
    <row r="270">
      <c r="A270" s="40">
        <v>22</v>
      </c>
      <c r="B270" s="40" t="str">
        <v>927 Hậu Giang</v>
      </c>
      <c r="C270" s="40">
        <v>912</v>
      </c>
      <c r="D270" s="40" t="str">
        <v>[DV] Nhuộm đen phủ bạc R&amp;B thảo dược</v>
      </c>
      <c r="E270" s="40">
        <v>289000</v>
      </c>
    </row>
    <row r="271">
      <c r="A271" s="40">
        <v>22</v>
      </c>
      <c r="B271" s="40" t="str">
        <v>927 Hậu Giang</v>
      </c>
      <c r="C271" s="40">
        <v>513</v>
      </c>
      <c r="D271" s="40" t="str">
        <v>[DV] ShineCombo 10 bước Ultra Care 2023</v>
      </c>
      <c r="E271" s="40">
        <v>122000</v>
      </c>
    </row>
    <row r="272">
      <c r="A272" s="40">
        <v>22</v>
      </c>
      <c r="B272" s="40" t="str">
        <v>927 Hậu Giang</v>
      </c>
      <c r="C272" s="40">
        <v>513</v>
      </c>
      <c r="D272" s="40" t="str">
        <v>[DV] ShineCombo 10 bước Ultra Care 2023</v>
      </c>
      <c r="E272" s="40">
        <v>120000</v>
      </c>
    </row>
    <row r="273">
      <c r="A273" s="40">
        <v>22</v>
      </c>
      <c r="B273" s="40" t="str">
        <v>927 Hậu Giang</v>
      </c>
      <c r="C273" s="40">
        <v>462</v>
      </c>
      <c r="D273" s="40" t="str">
        <v>[DV] Thư giãn cổ, vai, gáy bạc hà cam ngọt - Thư giãn tai sảng khoái 9 tầng mây 45k</v>
      </c>
      <c r="E273" s="40">
        <v>45000</v>
      </c>
    </row>
    <row r="274">
      <c r="A274" s="40">
        <v>22</v>
      </c>
      <c r="B274" s="40" t="str">
        <v>927 Hậu Giang</v>
      </c>
      <c r="C274" s="40">
        <v>634</v>
      </c>
      <c r="D274" s="40" t="str">
        <v>[DV] Tẩy da chết sủi bọt Hàn Quốc</v>
      </c>
      <c r="E274" s="40">
        <v>35000</v>
      </c>
    </row>
    <row r="275">
      <c r="A275" s="40">
        <v>22</v>
      </c>
      <c r="B275" s="40" t="str">
        <v>927 Hậu Giang</v>
      </c>
      <c r="C275" s="40">
        <v>916</v>
      </c>
      <c r="D275" s="40" t="str">
        <v>[DV] Tẩy tóc bật tông Ý (2 lần) 500k</v>
      </c>
      <c r="E275" s="40">
        <v>514000</v>
      </c>
    </row>
    <row r="276">
      <c r="A276" s="40">
        <v>22</v>
      </c>
      <c r="B276" s="40" t="str">
        <v>927 Hậu Giang</v>
      </c>
      <c r="C276" s="40">
        <v>674</v>
      </c>
      <c r="D276" s="40" t="str">
        <v>[DV] Uốn Texture con sâu/Uốn Ruffled</v>
      </c>
      <c r="E276" s="40">
        <v>550000</v>
      </c>
    </row>
    <row r="277">
      <c r="A277" s="40">
        <v>22</v>
      </c>
      <c r="B277" s="40" t="str">
        <v>927 Hậu Giang</v>
      </c>
      <c r="C277" s="40">
        <v>941</v>
      </c>
      <c r="D277" s="40" t="str">
        <v>[DV] Vuốt sáp - sấy tạo kiểu 10k</v>
      </c>
      <c r="E277" s="40">
        <v>10000</v>
      </c>
    </row>
    <row r="278">
      <c r="A278" s="40">
        <v>22</v>
      </c>
      <c r="B278" s="40" t="str">
        <v>927 Hậu Giang</v>
      </c>
      <c r="C278" s="40">
        <v>902</v>
      </c>
      <c r="D278" s="40" t="str">
        <v>[DV] Ép side hai bên</v>
      </c>
      <c r="E278" s="40">
        <v>216000</v>
      </c>
    </row>
    <row r="279">
      <c r="A279" s="40">
        <v>22</v>
      </c>
      <c r="B279" s="40" t="str">
        <v>927 Hậu Giang</v>
      </c>
      <c r="C279" s="40">
        <v>940</v>
      </c>
      <c r="D279" s="40" t="str">
        <v>[NEW] Gội dưỡng sinh</v>
      </c>
      <c r="E279" s="40">
        <v>50000</v>
      </c>
    </row>
    <row r="280">
      <c r="A280" s="40">
        <v>22</v>
      </c>
      <c r="B280" s="40" t="str">
        <v>927 Hậu Giang</v>
      </c>
      <c r="C280" s="40">
        <v>603</v>
      </c>
      <c r="D280" s="40" t="str">
        <v>Đánh bay mụn cám lột mụn (Full Face)</v>
      </c>
      <c r="E280" s="40">
        <v>49000</v>
      </c>
    </row>
    <row r="281">
      <c r="A281" s="40">
        <v>39</v>
      </c>
      <c r="B281" s="40" t="str">
        <v>151 Cầu Giấy, Q. CG</v>
      </c>
      <c r="C281" s="40">
        <v>610</v>
      </c>
      <c r="D281" s="40" t="str">
        <v>(2022T) ATS Control Buffer - Khử mùi tạo thơm cho tóc uốn nhuộm 40k</v>
      </c>
      <c r="E281" s="40">
        <v>40000</v>
      </c>
    </row>
    <row r="282">
      <c r="A282" s="40">
        <v>39</v>
      </c>
      <c r="B282" s="40" t="str">
        <v>151 Cầu Giấy, Q. CG</v>
      </c>
      <c r="C282" s="40">
        <v>960</v>
      </c>
      <c r="D282" s="40" t="str">
        <v>(NEW) Nhuộm màu thời trang Milano</v>
      </c>
      <c r="E282" s="40">
        <v>346000</v>
      </c>
    </row>
    <row r="283">
      <c r="A283" s="40">
        <v>39</v>
      </c>
      <c r="B283" s="40" t="str">
        <v>151 Cầu Giấy, Q. CG</v>
      </c>
      <c r="C283" s="40">
        <v>967</v>
      </c>
      <c r="D283" s="40" t="str">
        <v>(NEW) Nhuộm phủ bạc tiêu chuẩn 199K</v>
      </c>
      <c r="E283" s="40">
        <v>202000</v>
      </c>
    </row>
    <row r="284">
      <c r="A284" s="40">
        <v>39</v>
      </c>
      <c r="B284" s="40" t="str">
        <v>151 Cầu Giấy, Q. CG</v>
      </c>
      <c r="C284" s="40">
        <v>1009</v>
      </c>
      <c r="D284" s="40" t="str">
        <v>(NEW) Uốn/Duỗi/Định hình full đầu tạo form vào nếp tự nhiên</v>
      </c>
      <c r="E284" s="40">
        <v>386000</v>
      </c>
    </row>
    <row r="285">
      <c r="A285" s="40">
        <v>39</v>
      </c>
      <c r="B285" s="40" t="str">
        <v>151 Cầu Giấy, Q. CG</v>
      </c>
      <c r="C285" s="40">
        <v>1048</v>
      </c>
      <c r="D285" s="40" t="str">
        <v>Combo 4</v>
      </c>
      <c r="E285" s="40">
        <v>379000</v>
      </c>
    </row>
    <row r="286">
      <c r="A286" s="40">
        <v>39</v>
      </c>
      <c r="B286" s="40" t="str">
        <v>151 Cầu Giấy, Q. CG</v>
      </c>
      <c r="C286" s="40">
        <v>1048</v>
      </c>
      <c r="D286" s="40" t="str">
        <v>Combo 4</v>
      </c>
      <c r="E286" s="40">
        <v>389000</v>
      </c>
    </row>
    <row r="287">
      <c r="A287" s="40">
        <v>39</v>
      </c>
      <c r="B287" s="40" t="str">
        <v>151 Cầu Giấy, Q. CG</v>
      </c>
      <c r="C287" s="40">
        <v>1070</v>
      </c>
      <c r="D287" s="40" t="str">
        <v>Combo Cắt gội Kid</v>
      </c>
      <c r="E287" s="40">
        <v>100000</v>
      </c>
    </row>
    <row r="288">
      <c r="A288" s="40">
        <v>39</v>
      </c>
      <c r="B288" s="40" t="str">
        <v>151 Cầu Giấy, Q. CG</v>
      </c>
      <c r="C288" s="40">
        <v>1047</v>
      </c>
      <c r="D288" s="40" t="str">
        <v>Cắt Gội Combo 3 - Chăm da</v>
      </c>
      <c r="E288" s="40">
        <v>299000</v>
      </c>
    </row>
    <row r="289">
      <c r="A289" s="40">
        <v>39</v>
      </c>
      <c r="B289" s="40" t="str">
        <v>151 Cầu Giấy, Q. CG</v>
      </c>
      <c r="C289" s="40">
        <v>891</v>
      </c>
      <c r="D289" s="40" t="str">
        <v>Cắt xả tạo kiểu</v>
      </c>
      <c r="E289" s="40">
        <v>90000</v>
      </c>
    </row>
    <row r="290">
      <c r="A290" s="40">
        <v>39</v>
      </c>
      <c r="B290" s="40" t="str">
        <v>151 Cầu Giấy, Q. CG</v>
      </c>
      <c r="C290" s="40">
        <v>891</v>
      </c>
      <c r="D290" s="40" t="str">
        <v>Cắt xả tạo kiểu</v>
      </c>
      <c r="E290" s="40">
        <v>94000</v>
      </c>
    </row>
    <row r="291">
      <c r="A291" s="40">
        <v>39</v>
      </c>
      <c r="B291" s="40" t="str">
        <v>151 Cầu Giấy, Q. CG</v>
      </c>
      <c r="C291" s="40">
        <v>1058</v>
      </c>
      <c r="D291" s="40" t="str" xml:space="preserve">
        <v>Gội Combo 2 </v>
      </c>
      <c r="E291" s="40">
        <v>159000</v>
      </c>
    </row>
    <row r="292">
      <c r="A292" s="40">
        <v>39</v>
      </c>
      <c r="B292" s="40" t="str">
        <v>151 Cầu Giấy, Q. CG</v>
      </c>
      <c r="C292" s="40">
        <v>1059</v>
      </c>
      <c r="D292" s="40" t="str">
        <v>Gội Combo 3 - Chăm da</v>
      </c>
      <c r="E292" s="40">
        <v>219000</v>
      </c>
    </row>
    <row r="293">
      <c r="A293" s="40">
        <v>39</v>
      </c>
      <c r="B293" s="40" t="str">
        <v>151 Cầu Giấy, Q. CG</v>
      </c>
      <c r="C293" s="40">
        <v>1059</v>
      </c>
      <c r="D293" s="40" t="str">
        <v>Gội Combo 3 - Chăm da</v>
      </c>
      <c r="E293" s="40">
        <v>239000</v>
      </c>
    </row>
    <row r="294">
      <c r="A294" s="40">
        <v>39</v>
      </c>
      <c r="B294" s="40" t="str">
        <v>151 Cầu Giấy, Q. CG</v>
      </c>
      <c r="C294" s="40">
        <v>1060</v>
      </c>
      <c r="D294" s="40" t="str">
        <v>Gội Combo 4</v>
      </c>
      <c r="E294" s="40">
        <v>319000</v>
      </c>
    </row>
    <row r="295">
      <c r="A295" s="40">
        <v>39</v>
      </c>
      <c r="B295" s="40" t="str">
        <v>151 Cầu Giấy, Q. CG</v>
      </c>
      <c r="C295" s="40">
        <v>1060</v>
      </c>
      <c r="D295" s="40" t="str">
        <v>Gội Combo 4</v>
      </c>
      <c r="E295" s="40">
        <v>289000</v>
      </c>
    </row>
    <row r="296">
      <c r="A296" s="40">
        <v>39</v>
      </c>
      <c r="B296" s="40" t="str">
        <v>151 Cầu Giấy, Q. CG</v>
      </c>
      <c r="C296" s="40">
        <v>934</v>
      </c>
      <c r="D296" s="40" t="str">
        <v>Gội combo 3 - Dưỡng sinh</v>
      </c>
      <c r="E296" s="40">
        <v>229000</v>
      </c>
    </row>
    <row r="297">
      <c r="A297" s="40">
        <v>39</v>
      </c>
      <c r="B297" s="40" t="str">
        <v>151 Cầu Giấy, Q. CG</v>
      </c>
      <c r="C297" s="40">
        <v>867</v>
      </c>
      <c r="D297" s="40" t="str">
        <v>Gội dưỡng sinh cổ vai gáy</v>
      </c>
      <c r="E297" s="40">
        <v>95000</v>
      </c>
    </row>
    <row r="298">
      <c r="A298" s="40">
        <v>39</v>
      </c>
      <c r="B298" s="40" t="str">
        <v>151 Cầu Giấy, Q. CG</v>
      </c>
      <c r="C298" s="40">
        <v>867</v>
      </c>
      <c r="D298" s="40" t="str">
        <v>Gội dưỡng sinh cổ vai gáy</v>
      </c>
      <c r="E298" s="40">
        <v>99000</v>
      </c>
    </row>
    <row r="299">
      <c r="A299" s="40">
        <v>39</v>
      </c>
      <c r="B299" s="40" t="str">
        <v>151 Cầu Giấy, Q. CG</v>
      </c>
      <c r="C299" s="40">
        <v>1068</v>
      </c>
      <c r="D299" s="40" t="str">
        <v>Gội trải nghiệm 115p</v>
      </c>
      <c r="E299" s="40">
        <v>999000</v>
      </c>
    </row>
    <row r="300">
      <c r="A300" s="40">
        <v>39</v>
      </c>
      <c r="B300" s="40" t="str">
        <v>151 Cầu Giấy, Q. CG</v>
      </c>
      <c r="C300" s="40">
        <v>1066</v>
      </c>
      <c r="D300" s="40" t="str">
        <v>Gội trải nghiệm 75p</v>
      </c>
      <c r="E300" s="40">
        <v>589000</v>
      </c>
    </row>
    <row r="301">
      <c r="A301" s="40">
        <v>39</v>
      </c>
      <c r="B301" s="40" t="str">
        <v>151 Cầu Giấy, Q. CG</v>
      </c>
      <c r="C301" s="40">
        <v>1067</v>
      </c>
      <c r="D301" s="40" t="str">
        <v>Gội trải nghiệm 90p</v>
      </c>
      <c r="E301" s="40">
        <v>789000</v>
      </c>
    </row>
    <row r="302">
      <c r="A302" s="40">
        <v>39</v>
      </c>
      <c r="B302" s="40" t="str">
        <v>151 Cầu Giấy, Q. CG</v>
      </c>
      <c r="C302" s="40">
        <v>1002</v>
      </c>
      <c r="D302" s="40" t="str">
        <v>Kid Cắt</v>
      </c>
      <c r="E302" s="40">
        <v>75000</v>
      </c>
    </row>
    <row r="303">
      <c r="A303" s="40">
        <v>39</v>
      </c>
      <c r="B303" s="40" t="str">
        <v>151 Cầu Giấy, Q. CG</v>
      </c>
      <c r="C303" s="40">
        <v>1149</v>
      </c>
      <c r="D303" s="40" t="str">
        <v>NHUỘM THIẾT KẾ PHỤC HỒI CHUYÊN SÂU LIPID BOND 2025</v>
      </c>
      <c r="E303" s="40">
        <v>719000</v>
      </c>
    </row>
    <row r="304">
      <c r="A304" s="40">
        <v>39</v>
      </c>
      <c r="B304" s="40" t="str">
        <v>151 Cầu Giấy, Q. CG</v>
      </c>
      <c r="C304" s="40">
        <v>1101</v>
      </c>
      <c r="D304" s="40" t="str">
        <v>Phục hồi trẻ hóa Lipid Bond</v>
      </c>
      <c r="E304" s="40">
        <v>146000</v>
      </c>
    </row>
    <row r="305">
      <c r="A305" s="40">
        <v>39</v>
      </c>
      <c r="B305" s="40" t="str">
        <v>151 Cầu Giấy, Q. CG</v>
      </c>
      <c r="C305" s="40">
        <v>1046</v>
      </c>
      <c r="D305" s="40" t="str" xml:space="preserve">
        <v>Shinecombo 2 </v>
      </c>
      <c r="E305" s="40">
        <v>199000</v>
      </c>
    </row>
    <row r="306">
      <c r="A306" s="40">
        <v>39</v>
      </c>
      <c r="B306" s="40" t="str">
        <v>151 Cầu Giấy, Q. CG</v>
      </c>
      <c r="C306" s="40">
        <v>1148</v>
      </c>
      <c r="D306" s="40" t="str">
        <v>UỐN THIẾT KẾ PHỤC HỒI CHUYÊN SÂU LIPID BOND 2025</v>
      </c>
      <c r="E306" s="40">
        <v>689000</v>
      </c>
    </row>
    <row r="307">
      <c r="A307" s="40">
        <v>39</v>
      </c>
      <c r="B307" s="40" t="str">
        <v>151 Cầu Giấy, Q. CG</v>
      </c>
      <c r="C307" s="40">
        <v>952</v>
      </c>
      <c r="D307" s="40" t="str">
        <v>Uốn định hình nếp tóc cao cấp (K-Perm Collection)</v>
      </c>
      <c r="E307" s="40">
        <v>478000</v>
      </c>
    </row>
    <row r="308">
      <c r="A308" s="40">
        <v>39</v>
      </c>
      <c r="B308" s="40" t="str">
        <v>151 Cầu Giấy, Q. CG</v>
      </c>
      <c r="C308" s="40">
        <v>635</v>
      </c>
      <c r="D308" s="40" t="str">
        <v>[DV] Detox tẩy da chết da đầu</v>
      </c>
      <c r="E308" s="40">
        <v>45000</v>
      </c>
    </row>
    <row r="309">
      <c r="A309" s="40">
        <v>39</v>
      </c>
      <c r="B309" s="40" t="str">
        <v>151 Cầu Giấy, Q. CG</v>
      </c>
      <c r="C309" s="40">
        <v>636</v>
      </c>
      <c r="D309" s="40" t="str">
        <v>[DV] Mặt nạ lạnh Hàn Quốc</v>
      </c>
      <c r="E309" s="40">
        <v>35000</v>
      </c>
    </row>
    <row r="310">
      <c r="A310" s="40">
        <v>39</v>
      </c>
      <c r="B310" s="40" t="str">
        <v>151 Cầu Giấy, Q. CG</v>
      </c>
      <c r="C310" s="40">
        <v>625</v>
      </c>
      <c r="D310" s="40" t="str">
        <v>[DV] Mặt nạ tẩy da chết sủi bọt cao cấp</v>
      </c>
      <c r="E310" s="40">
        <v>55000</v>
      </c>
    </row>
    <row r="311">
      <c r="A311" s="40">
        <v>39</v>
      </c>
      <c r="B311" s="40" t="str">
        <v>151 Cầu Giấy, Q. CG</v>
      </c>
      <c r="C311" s="40">
        <v>912</v>
      </c>
      <c r="D311" s="40" t="str">
        <v>[DV] Nhuộm đen phủ bạc R&amp;B thảo dược</v>
      </c>
      <c r="E311" s="40">
        <v>293000</v>
      </c>
    </row>
    <row r="312">
      <c r="A312" s="40">
        <v>39</v>
      </c>
      <c r="B312" s="40" t="str">
        <v>151 Cầu Giấy, Q. CG</v>
      </c>
      <c r="C312" s="40">
        <v>513</v>
      </c>
      <c r="D312" s="40" t="str">
        <v>[DV] ShineCombo 10 bước Ultra Care 2023</v>
      </c>
      <c r="E312" s="40">
        <v>122000</v>
      </c>
    </row>
    <row r="313">
      <c r="A313" s="40">
        <v>39</v>
      </c>
      <c r="B313" s="40" t="str">
        <v>151 Cầu Giấy, Q. CG</v>
      </c>
      <c r="C313" s="40">
        <v>513</v>
      </c>
      <c r="D313" s="40" t="str">
        <v>[DV] ShineCombo 10 bước Ultra Care 2023</v>
      </c>
      <c r="E313" s="40">
        <v>120000</v>
      </c>
    </row>
    <row r="314">
      <c r="A314" s="40">
        <v>39</v>
      </c>
      <c r="B314" s="40" t="str">
        <v>151 Cầu Giấy, Q. CG</v>
      </c>
      <c r="C314" s="40">
        <v>634</v>
      </c>
      <c r="D314" s="40" t="str">
        <v>[DV] Tẩy da chết sủi bọt Hàn Quốc</v>
      </c>
      <c r="E314" s="40">
        <v>35000</v>
      </c>
    </row>
    <row r="315">
      <c r="A315" s="40">
        <v>39</v>
      </c>
      <c r="B315" s="40" t="str">
        <v>151 Cầu Giấy, Q. CG</v>
      </c>
      <c r="C315" s="40">
        <v>915</v>
      </c>
      <c r="D315" s="40" t="str">
        <v>[DV] Tẩy tóc bật tông Ý (1 lần)</v>
      </c>
      <c r="E315" s="40">
        <v>252000</v>
      </c>
    </row>
    <row r="316">
      <c r="A316" s="40">
        <v>39</v>
      </c>
      <c r="B316" s="40" t="str">
        <v>151 Cầu Giấy, Q. CG</v>
      </c>
      <c r="C316" s="40">
        <v>674</v>
      </c>
      <c r="D316" s="40" t="str">
        <v>[DV] Uốn Texture con sâu/Uốn Ruffled</v>
      </c>
      <c r="E316" s="40">
        <v>520000</v>
      </c>
    </row>
    <row r="317">
      <c r="A317" s="40">
        <v>39</v>
      </c>
      <c r="B317" s="40" t="str">
        <v>151 Cầu Giấy, Q. CG</v>
      </c>
      <c r="C317" s="40">
        <v>902</v>
      </c>
      <c r="D317" s="40" t="str">
        <v>[DV] Ép side hai bên</v>
      </c>
      <c r="E317" s="40">
        <v>198000</v>
      </c>
    </row>
    <row r="318">
      <c r="A318" s="40">
        <v>39</v>
      </c>
      <c r="B318" s="40" t="str">
        <v>151 Cầu Giấy, Q. CG</v>
      </c>
      <c r="C318" s="40">
        <v>940</v>
      </c>
      <c r="D318" s="40" t="str">
        <v>[NEW] Gội dưỡng sinh</v>
      </c>
      <c r="E318" s="40">
        <v>59000</v>
      </c>
    </row>
    <row r="319">
      <c r="A319" s="40">
        <v>39</v>
      </c>
      <c r="B319" s="40" t="str">
        <v>151 Cầu Giấy, Q. CG</v>
      </c>
      <c r="C319" s="40">
        <v>603</v>
      </c>
      <c r="D319" s="40" t="str">
        <v>Đánh bay mụn cám lột mụn (Full Face)</v>
      </c>
      <c r="E319" s="40">
        <v>49000</v>
      </c>
    </row>
    <row r="320">
      <c r="A320" s="40">
        <v>44</v>
      </c>
      <c r="B320" s="40" t="str">
        <v>103 Trần Não</v>
      </c>
      <c r="C320" s="40">
        <v>610</v>
      </c>
      <c r="D320" s="40" t="str">
        <v>(2022T) ATS Control Buffer - Khử mùi tạo thơm cho tóc uốn nhuộm 40k</v>
      </c>
      <c r="E320" s="40">
        <v>40000</v>
      </c>
    </row>
    <row r="321">
      <c r="A321" s="40">
        <v>44</v>
      </c>
      <c r="B321" s="40" t="str">
        <v>103 Trần Não</v>
      </c>
      <c r="C321" s="40">
        <v>960</v>
      </c>
      <c r="D321" s="40" t="str">
        <v>(NEW) Nhuộm màu thời trang Milano</v>
      </c>
      <c r="E321" s="40">
        <v>369000</v>
      </c>
    </row>
    <row r="322">
      <c r="A322" s="40">
        <v>44</v>
      </c>
      <c r="B322" s="40" t="str">
        <v>103 Trần Não</v>
      </c>
      <c r="C322" s="40">
        <v>967</v>
      </c>
      <c r="D322" s="40" t="str">
        <v>(NEW) Nhuộm phủ bạc tiêu chuẩn 199K</v>
      </c>
      <c r="E322" s="40">
        <v>207000</v>
      </c>
    </row>
    <row r="323">
      <c r="A323" s="40">
        <v>44</v>
      </c>
      <c r="B323" s="40" t="str">
        <v>103 Trần Não</v>
      </c>
      <c r="C323" s="40">
        <v>1009</v>
      </c>
      <c r="D323" s="40" t="str">
        <v>(NEW) Uốn/Duỗi/Định hình full đầu tạo form vào nếp tự nhiên</v>
      </c>
      <c r="E323" s="40">
        <v>406000</v>
      </c>
    </row>
    <row r="324">
      <c r="A324" s="40">
        <v>44</v>
      </c>
      <c r="B324" s="40" t="str">
        <v>103 Trần Não</v>
      </c>
      <c r="C324" s="40">
        <v>1052</v>
      </c>
      <c r="D324" s="40" t="str">
        <v>Combo 1 - First Class 1</v>
      </c>
      <c r="E324" s="40">
        <v>139000</v>
      </c>
    </row>
    <row r="325">
      <c r="A325" s="40">
        <v>44</v>
      </c>
      <c r="B325" s="40" t="str">
        <v>103 Trần Não</v>
      </c>
      <c r="C325" s="40">
        <v>1052</v>
      </c>
      <c r="D325" s="40" t="str">
        <v>Combo 1 - First Class 1</v>
      </c>
      <c r="E325" s="40">
        <v>159000</v>
      </c>
    </row>
    <row r="326">
      <c r="A326" s="40">
        <v>44</v>
      </c>
      <c r="B326" s="40" t="str">
        <v>103 Trần Não</v>
      </c>
      <c r="C326" s="40">
        <v>1053</v>
      </c>
      <c r="D326" s="40" t="str">
        <v>Combo 2 - First Class 2</v>
      </c>
      <c r="E326" s="40">
        <v>239000</v>
      </c>
    </row>
    <row r="327">
      <c r="A327" s="40">
        <v>44</v>
      </c>
      <c r="B327" s="40" t="str">
        <v>103 Trần Não</v>
      </c>
      <c r="C327" s="40">
        <v>1054</v>
      </c>
      <c r="D327" s="40" t="str">
        <v>Combo 3 - First Class 3</v>
      </c>
      <c r="E327" s="40">
        <v>309000</v>
      </c>
    </row>
    <row r="328">
      <c r="A328" s="40">
        <v>44</v>
      </c>
      <c r="B328" s="40" t="str">
        <v>103 Trần Não</v>
      </c>
      <c r="C328" s="40">
        <v>1054</v>
      </c>
      <c r="D328" s="40" t="str">
        <v>Combo 3 - First Class 3</v>
      </c>
      <c r="E328" s="40">
        <v>299000</v>
      </c>
    </row>
    <row r="329">
      <c r="A329" s="40">
        <v>44</v>
      </c>
      <c r="B329" s="40" t="str">
        <v>103 Trần Não</v>
      </c>
      <c r="C329" s="40">
        <v>1048</v>
      </c>
      <c r="D329" s="40" t="str">
        <v>Combo 4</v>
      </c>
      <c r="E329" s="40">
        <v>379000</v>
      </c>
    </row>
    <row r="330">
      <c r="A330" s="40">
        <v>44</v>
      </c>
      <c r="B330" s="40" t="str">
        <v>103 Trần Não</v>
      </c>
      <c r="C330" s="40">
        <v>1055</v>
      </c>
      <c r="D330" s="40" t="str">
        <v>Combo 4- First Class 4</v>
      </c>
      <c r="E330" s="40">
        <v>409000</v>
      </c>
    </row>
    <row r="331">
      <c r="A331" s="40">
        <v>44</v>
      </c>
      <c r="B331" s="40" t="str">
        <v>103 Trần Não</v>
      </c>
      <c r="C331" s="40">
        <v>1070</v>
      </c>
      <c r="D331" s="40" t="str">
        <v>Combo Cắt gội Kid</v>
      </c>
      <c r="E331" s="40">
        <v>100000</v>
      </c>
    </row>
    <row r="332">
      <c r="A332" s="40">
        <v>44</v>
      </c>
      <c r="B332" s="40" t="str">
        <v>103 Trần Não</v>
      </c>
      <c r="C332" s="40">
        <v>1047</v>
      </c>
      <c r="D332" s="40" t="str">
        <v>Cắt Gội Combo 3 - Chăm da</v>
      </c>
      <c r="E332" s="40">
        <v>299000</v>
      </c>
    </row>
    <row r="333">
      <c r="A333" s="40">
        <v>44</v>
      </c>
      <c r="B333" s="40" t="str">
        <v>103 Trần Não</v>
      </c>
      <c r="C333" s="40">
        <v>1065</v>
      </c>
      <c r="D333" s="40" t="str">
        <v>Cắt Gội Combo 3 - Dưỡng sinh</v>
      </c>
      <c r="E333" s="40">
        <v>299000</v>
      </c>
    </row>
    <row r="334">
      <c r="A334" s="40">
        <v>44</v>
      </c>
      <c r="B334" s="40" t="str">
        <v>103 Trần Não</v>
      </c>
      <c r="C334" s="40">
        <v>891</v>
      </c>
      <c r="D334" s="40" t="str">
        <v>Cắt xả tạo kiểu</v>
      </c>
      <c r="E334" s="40">
        <v>94000</v>
      </c>
    </row>
    <row r="335">
      <c r="A335" s="40">
        <v>44</v>
      </c>
      <c r="B335" s="40" t="str">
        <v>103 Trần Não</v>
      </c>
      <c r="C335" s="40">
        <v>891</v>
      </c>
      <c r="D335" s="40" t="str">
        <v>Cắt xả tạo kiểu</v>
      </c>
      <c r="E335" s="40">
        <v>90000</v>
      </c>
    </row>
    <row r="336">
      <c r="A336" s="40">
        <v>44</v>
      </c>
      <c r="B336" s="40" t="str">
        <v>103 Trần Não</v>
      </c>
      <c r="C336" s="40">
        <v>1058</v>
      </c>
      <c r="D336" s="40" t="str" xml:space="preserve">
        <v>Gội Combo 2 </v>
      </c>
      <c r="E336" s="40">
        <v>159000</v>
      </c>
    </row>
    <row r="337">
      <c r="A337" s="40">
        <v>44</v>
      </c>
      <c r="B337" s="40" t="str">
        <v>103 Trần Não</v>
      </c>
      <c r="C337" s="40">
        <v>1059</v>
      </c>
      <c r="D337" s="40" t="str">
        <v>Gội Combo 3 - Chăm da</v>
      </c>
      <c r="E337" s="40">
        <v>219000</v>
      </c>
    </row>
    <row r="338">
      <c r="A338" s="40">
        <v>44</v>
      </c>
      <c r="B338" s="40" t="str">
        <v>103 Trần Não</v>
      </c>
      <c r="C338" s="40">
        <v>1059</v>
      </c>
      <c r="D338" s="40" t="str">
        <v>Gội Combo 3 - Chăm da</v>
      </c>
      <c r="E338" s="40">
        <v>239000</v>
      </c>
    </row>
    <row r="339">
      <c r="A339" s="40">
        <v>44</v>
      </c>
      <c r="B339" s="40" t="str">
        <v>103 Trần Não</v>
      </c>
      <c r="C339" s="40">
        <v>1060</v>
      </c>
      <c r="D339" s="40" t="str">
        <v>Gội Combo 4</v>
      </c>
      <c r="E339" s="40">
        <v>319000</v>
      </c>
    </row>
    <row r="340">
      <c r="A340" s="40">
        <v>44</v>
      </c>
      <c r="B340" s="40" t="str">
        <v>103 Trần Não</v>
      </c>
      <c r="C340" s="40">
        <v>1060</v>
      </c>
      <c r="D340" s="40" t="str">
        <v>Gội Combo 4</v>
      </c>
      <c r="E340" s="40">
        <v>329000</v>
      </c>
    </row>
    <row r="341">
      <c r="A341" s="40">
        <v>44</v>
      </c>
      <c r="B341" s="40" t="str">
        <v>103 Trần Não</v>
      </c>
      <c r="C341" s="40">
        <v>934</v>
      </c>
      <c r="D341" s="40" t="str">
        <v>Gội combo 3 - Dưỡng sinh</v>
      </c>
      <c r="E341" s="40">
        <v>229000</v>
      </c>
    </row>
    <row r="342">
      <c r="A342" s="40">
        <v>44</v>
      </c>
      <c r="B342" s="40" t="str">
        <v>103 Trần Não</v>
      </c>
      <c r="C342" s="40">
        <v>867</v>
      </c>
      <c r="D342" s="40" t="str">
        <v>Gội dưỡng sinh cổ vai gáy</v>
      </c>
      <c r="E342" s="40">
        <v>95000</v>
      </c>
    </row>
    <row r="343">
      <c r="A343" s="40">
        <v>44</v>
      </c>
      <c r="B343" s="40" t="str">
        <v>103 Trần Não</v>
      </c>
      <c r="C343" s="40">
        <v>867</v>
      </c>
      <c r="D343" s="40" t="str">
        <v>Gội dưỡng sinh cổ vai gáy</v>
      </c>
      <c r="E343" s="40">
        <v>99000</v>
      </c>
    </row>
    <row r="344">
      <c r="A344" s="40">
        <v>44</v>
      </c>
      <c r="B344" s="40" t="str">
        <v>103 Trần Não</v>
      </c>
      <c r="C344" s="40">
        <v>1068</v>
      </c>
      <c r="D344" s="40" t="str">
        <v>Gội trải nghiệm 115p</v>
      </c>
      <c r="E344" s="40">
        <v>999000</v>
      </c>
    </row>
    <row r="345">
      <c r="A345" s="40">
        <v>44</v>
      </c>
      <c r="B345" s="40" t="str">
        <v>103 Trần Não</v>
      </c>
      <c r="C345" s="40">
        <v>1066</v>
      </c>
      <c r="D345" s="40" t="str">
        <v>Gội trải nghiệm 75p</v>
      </c>
      <c r="E345" s="40">
        <v>589000</v>
      </c>
    </row>
    <row r="346">
      <c r="A346" s="40">
        <v>44</v>
      </c>
      <c r="B346" s="40" t="str">
        <v>103 Trần Não</v>
      </c>
      <c r="C346" s="40">
        <v>1002</v>
      </c>
      <c r="D346" s="40" t="str">
        <v>Kid Cắt</v>
      </c>
      <c r="E346" s="40">
        <v>75000</v>
      </c>
    </row>
    <row r="347">
      <c r="A347" s="40">
        <v>44</v>
      </c>
      <c r="B347" s="40" t="str">
        <v>103 Trần Não</v>
      </c>
      <c r="C347" s="40">
        <v>1149</v>
      </c>
      <c r="D347" s="40" t="str">
        <v>NHUỘM THIẾT KẾ PHỤC HỒI CHUYÊN SÂU LIPID BOND 2025</v>
      </c>
      <c r="E347" s="40">
        <v>759000</v>
      </c>
    </row>
    <row r="348">
      <c r="A348" s="40">
        <v>44</v>
      </c>
      <c r="B348" s="40" t="str">
        <v>103 Trần Não</v>
      </c>
      <c r="C348" s="40">
        <v>1101</v>
      </c>
      <c r="D348" s="40" t="str">
        <v>Phục hồi trẻ hóa Lipid Bond</v>
      </c>
      <c r="E348" s="40">
        <v>146000</v>
      </c>
    </row>
    <row r="349">
      <c r="A349" s="40">
        <v>44</v>
      </c>
      <c r="B349" s="40" t="str">
        <v>103 Trần Não</v>
      </c>
      <c r="C349" s="40">
        <v>1046</v>
      </c>
      <c r="D349" s="40" t="str" xml:space="preserve">
        <v>Shinecombo 2 </v>
      </c>
      <c r="E349" s="40">
        <v>199000</v>
      </c>
    </row>
    <row r="350">
      <c r="A350" s="40">
        <v>44</v>
      </c>
      <c r="B350" s="40" t="str">
        <v>103 Trần Não</v>
      </c>
      <c r="C350" s="40">
        <v>1148</v>
      </c>
      <c r="D350" s="40" t="str">
        <v>UỐN THIẾT KẾ PHỤC HỒI CHUYÊN SÂU LIPID BOND 2025</v>
      </c>
      <c r="E350" s="40">
        <v>729000</v>
      </c>
    </row>
    <row r="351">
      <c r="A351" s="40">
        <v>44</v>
      </c>
      <c r="B351" s="40" t="str">
        <v>103 Trần Não</v>
      </c>
      <c r="C351" s="40">
        <v>952</v>
      </c>
      <c r="D351" s="40" t="str">
        <v>Uốn định hình nếp tóc cao cấp (K-Perm Collection)</v>
      </c>
      <c r="E351" s="40">
        <v>502000</v>
      </c>
    </row>
    <row r="352">
      <c r="A352" s="40">
        <v>44</v>
      </c>
      <c r="B352" s="40" t="str">
        <v>103 Trần Não</v>
      </c>
      <c r="C352" s="40">
        <v>1193</v>
      </c>
      <c r="D352" s="40" t="str">
        <v>Uốn/ Nhuộm thiết kế phục hồi 2025</v>
      </c>
      <c r="E352" s="40">
        <v>1199000</v>
      </c>
    </row>
    <row r="353">
      <c r="A353" s="40">
        <v>44</v>
      </c>
      <c r="B353" s="40" t="str">
        <v>103 Trần Não</v>
      </c>
      <c r="C353" s="40">
        <v>635</v>
      </c>
      <c r="D353" s="40" t="str">
        <v>[DV] Detox tẩy da chết da đầu</v>
      </c>
      <c r="E353" s="40">
        <v>45000</v>
      </c>
    </row>
    <row r="354">
      <c r="A354" s="40">
        <v>44</v>
      </c>
      <c r="B354" s="40" t="str">
        <v>103 Trần Não</v>
      </c>
      <c r="C354" s="40">
        <v>636</v>
      </c>
      <c r="D354" s="40" t="str">
        <v>[DV] Mặt nạ lạnh Hàn Quốc</v>
      </c>
      <c r="E354" s="40">
        <v>35000</v>
      </c>
    </row>
    <row r="355">
      <c r="A355" s="40">
        <v>44</v>
      </c>
      <c r="B355" s="40" t="str">
        <v>103 Trần Não</v>
      </c>
      <c r="C355" s="40">
        <v>625</v>
      </c>
      <c r="D355" s="40" t="str">
        <v>[DV] Mặt nạ tẩy da chết sủi bọt cao cấp</v>
      </c>
      <c r="E355" s="40">
        <v>55000</v>
      </c>
    </row>
    <row r="356">
      <c r="A356" s="40">
        <v>44</v>
      </c>
      <c r="B356" s="40" t="str">
        <v>103 Trần Não</v>
      </c>
      <c r="C356" s="40">
        <v>912</v>
      </c>
      <c r="D356" s="40" t="str">
        <v>[DV] Nhuộm đen phủ bạc R&amp;B thảo dược</v>
      </c>
      <c r="E356" s="40">
        <v>299000</v>
      </c>
    </row>
    <row r="357">
      <c r="A357" s="40">
        <v>44</v>
      </c>
      <c r="B357" s="40" t="str">
        <v>103 Trần Não</v>
      </c>
      <c r="C357" s="40">
        <v>513</v>
      </c>
      <c r="D357" s="40" t="str">
        <v>[DV] ShineCombo 10 bước Ultra Care 2023</v>
      </c>
      <c r="E357" s="40">
        <v>120000</v>
      </c>
    </row>
    <row r="358">
      <c r="A358" s="40">
        <v>44</v>
      </c>
      <c r="B358" s="40" t="str">
        <v>103 Trần Não</v>
      </c>
      <c r="C358" s="40">
        <v>462</v>
      </c>
      <c r="D358" s="40" t="str">
        <v>[DV] Thư giãn cổ, vai, gáy bạc hà cam ngọt - Thư giãn tai sảng khoái 9 tầng mây 45k</v>
      </c>
      <c r="E358" s="40">
        <v>45000</v>
      </c>
    </row>
    <row r="359">
      <c r="A359" s="40">
        <v>44</v>
      </c>
      <c r="B359" s="40" t="str">
        <v>103 Trần Não</v>
      </c>
      <c r="C359" s="40">
        <v>634</v>
      </c>
      <c r="D359" s="40" t="str">
        <v>[DV] Tẩy da chết sủi bọt Hàn Quốc</v>
      </c>
      <c r="E359" s="40">
        <v>35000</v>
      </c>
    </row>
    <row r="360">
      <c r="A360" s="40">
        <v>44</v>
      </c>
      <c r="B360" s="40" t="str">
        <v>103 Trần Não</v>
      </c>
      <c r="C360" s="40">
        <v>916</v>
      </c>
      <c r="D360" s="40" t="str">
        <v>[DV] Tẩy tóc bật tông Ý (2 lần) 500k</v>
      </c>
      <c r="E360" s="40">
        <v>525000</v>
      </c>
    </row>
    <row r="361">
      <c r="A361" s="40">
        <v>44</v>
      </c>
      <c r="B361" s="40" t="str">
        <v>103 Trần Não</v>
      </c>
      <c r="C361" s="40">
        <v>674</v>
      </c>
      <c r="D361" s="40" t="str">
        <v>[DV] Uốn Texture con sâu/Uốn Ruffled</v>
      </c>
      <c r="E361" s="40">
        <v>554000</v>
      </c>
    </row>
    <row r="362">
      <c r="A362" s="40">
        <v>44</v>
      </c>
      <c r="B362" s="40" t="str">
        <v>103 Trần Não</v>
      </c>
      <c r="C362" s="40">
        <v>941</v>
      </c>
      <c r="D362" s="40" t="str">
        <v>[DV] Vuốt sáp - sấy tạo kiểu 10k</v>
      </c>
      <c r="E362" s="40">
        <v>10000</v>
      </c>
    </row>
    <row r="363">
      <c r="A363" s="40">
        <v>44</v>
      </c>
      <c r="B363" s="40" t="str">
        <v>103 Trần Não</v>
      </c>
      <c r="C363" s="40">
        <v>902</v>
      </c>
      <c r="D363" s="40" t="str">
        <v>[DV] Ép side hai bên</v>
      </c>
      <c r="E363" s="40">
        <v>219000</v>
      </c>
    </row>
    <row r="364">
      <c r="A364" s="40">
        <v>44</v>
      </c>
      <c r="B364" s="40" t="str">
        <v>103 Trần Não</v>
      </c>
      <c r="C364" s="40">
        <v>940</v>
      </c>
      <c r="D364" s="40" t="str">
        <v>[NEW] Gội dưỡng sinh</v>
      </c>
      <c r="E364" s="40">
        <v>50000</v>
      </c>
    </row>
    <row r="365">
      <c r="A365" s="40">
        <v>44</v>
      </c>
      <c r="B365" s="40" t="str">
        <v>103 Trần Não</v>
      </c>
      <c r="C365" s="40">
        <v>940</v>
      </c>
      <c r="D365" s="40" t="str">
        <v>[NEW] Gội dưỡng sinh</v>
      </c>
      <c r="E365" s="40">
        <v>59000</v>
      </c>
    </row>
    <row r="366">
      <c r="A366" s="40">
        <v>44</v>
      </c>
      <c r="B366" s="40" t="str">
        <v>103 Trần Não</v>
      </c>
      <c r="C366" s="40">
        <v>603</v>
      </c>
      <c r="D366" s="40" t="str">
        <v>Đánh bay mụn cám lột mụn (Full Face)</v>
      </c>
      <c r="E366" s="40">
        <v>49000</v>
      </c>
    </row>
    <row r="367">
      <c r="A367" s="40">
        <v>45</v>
      </c>
      <c r="B367" s="40" t="str">
        <v>25 Tôn Đản</v>
      </c>
      <c r="C367" s="40">
        <v>610</v>
      </c>
      <c r="D367" s="40" t="str">
        <v>(2022T) ATS Control Buffer - Khử mùi tạo thơm cho tóc uốn nhuộm 40k</v>
      </c>
      <c r="E367" s="40">
        <v>40000</v>
      </c>
    </row>
    <row r="368">
      <c r="A368" s="40">
        <v>45</v>
      </c>
      <c r="B368" s="40" t="str">
        <v>25 Tôn Đản</v>
      </c>
      <c r="C368" s="40">
        <v>960</v>
      </c>
      <c r="D368" s="40" t="str">
        <v>(NEW) Nhuộm màu thời trang Milano</v>
      </c>
      <c r="E368" s="40">
        <v>369000</v>
      </c>
    </row>
    <row r="369">
      <c r="A369" s="40">
        <v>45</v>
      </c>
      <c r="B369" s="40" t="str">
        <v>25 Tôn Đản</v>
      </c>
      <c r="C369" s="40">
        <v>967</v>
      </c>
      <c r="D369" s="40" t="str">
        <v>(NEW) Nhuộm phủ bạc tiêu chuẩn 199K</v>
      </c>
      <c r="E369" s="40">
        <v>207000</v>
      </c>
    </row>
    <row r="370">
      <c r="A370" s="40">
        <v>45</v>
      </c>
      <c r="B370" s="40" t="str">
        <v>25 Tôn Đản</v>
      </c>
      <c r="C370" s="40">
        <v>1009</v>
      </c>
      <c r="D370" s="40" t="str">
        <v>(NEW) Uốn/Duỗi/Định hình full đầu tạo form vào nếp tự nhiên</v>
      </c>
      <c r="E370" s="40">
        <v>406000</v>
      </c>
    </row>
    <row r="371">
      <c r="A371" s="40">
        <v>45</v>
      </c>
      <c r="B371" s="40" t="str">
        <v>25 Tôn Đản</v>
      </c>
      <c r="C371" s="40">
        <v>1052</v>
      </c>
      <c r="D371" s="40" t="str">
        <v>Combo 1 - First Class 1</v>
      </c>
      <c r="E371" s="40">
        <v>159000</v>
      </c>
    </row>
    <row r="372">
      <c r="A372" s="40">
        <v>45</v>
      </c>
      <c r="B372" s="40" t="str">
        <v>25 Tôn Đản</v>
      </c>
      <c r="C372" s="40">
        <v>1052</v>
      </c>
      <c r="D372" s="40" t="str">
        <v>Combo 1 - First Class 1</v>
      </c>
      <c r="E372" s="40">
        <v>139000</v>
      </c>
    </row>
    <row r="373">
      <c r="A373" s="40">
        <v>45</v>
      </c>
      <c r="B373" s="40" t="str">
        <v>25 Tôn Đản</v>
      </c>
      <c r="C373" s="40">
        <v>1053</v>
      </c>
      <c r="D373" s="40" t="str">
        <v>Combo 2 - First Class 2</v>
      </c>
      <c r="E373" s="40">
        <v>239000</v>
      </c>
    </row>
    <row r="374">
      <c r="A374" s="40">
        <v>45</v>
      </c>
      <c r="B374" s="40" t="str">
        <v>25 Tôn Đản</v>
      </c>
      <c r="C374" s="40">
        <v>1054</v>
      </c>
      <c r="D374" s="40" t="str">
        <v>Combo 3 - First Class 3</v>
      </c>
      <c r="E374" s="40">
        <v>309000</v>
      </c>
    </row>
    <row r="375">
      <c r="A375" s="40">
        <v>45</v>
      </c>
      <c r="B375" s="40" t="str">
        <v>25 Tôn Đản</v>
      </c>
      <c r="C375" s="40">
        <v>1054</v>
      </c>
      <c r="D375" s="40" t="str">
        <v>Combo 3 - First Class 3</v>
      </c>
      <c r="E375" s="40">
        <v>299000</v>
      </c>
    </row>
    <row r="376">
      <c r="A376" s="40">
        <v>45</v>
      </c>
      <c r="B376" s="40" t="str">
        <v>25 Tôn Đản</v>
      </c>
      <c r="C376" s="40">
        <v>1048</v>
      </c>
      <c r="D376" s="40" t="str">
        <v>Combo 4</v>
      </c>
      <c r="E376" s="40">
        <v>379000</v>
      </c>
    </row>
    <row r="377">
      <c r="A377" s="40">
        <v>45</v>
      </c>
      <c r="B377" s="40" t="str">
        <v>25 Tôn Đản</v>
      </c>
      <c r="C377" s="40">
        <v>1055</v>
      </c>
      <c r="D377" s="40" t="str">
        <v>Combo 4- First Class 4</v>
      </c>
      <c r="E377" s="40">
        <v>409000</v>
      </c>
    </row>
    <row r="378">
      <c r="A378" s="40">
        <v>45</v>
      </c>
      <c r="B378" s="40" t="str">
        <v>25 Tôn Đản</v>
      </c>
      <c r="C378" s="40">
        <v>1070</v>
      </c>
      <c r="D378" s="40" t="str">
        <v>Combo Cắt gội Kid</v>
      </c>
      <c r="E378" s="40">
        <v>100000</v>
      </c>
    </row>
    <row r="379">
      <c r="A379" s="40">
        <v>45</v>
      </c>
      <c r="B379" s="40" t="str">
        <v>25 Tôn Đản</v>
      </c>
      <c r="C379" s="40">
        <v>1047</v>
      </c>
      <c r="D379" s="40" t="str">
        <v>Cắt Gội Combo 3 - Chăm da</v>
      </c>
      <c r="E379" s="40">
        <v>299000</v>
      </c>
    </row>
    <row r="380">
      <c r="A380" s="40">
        <v>45</v>
      </c>
      <c r="B380" s="40" t="str">
        <v>25 Tôn Đản</v>
      </c>
      <c r="C380" s="40">
        <v>891</v>
      </c>
      <c r="D380" s="40" t="str">
        <v>Cắt xả tạo kiểu</v>
      </c>
      <c r="E380" s="40">
        <v>94000</v>
      </c>
    </row>
    <row r="381">
      <c r="A381" s="40">
        <v>45</v>
      </c>
      <c r="B381" s="40" t="str">
        <v>25 Tôn Đản</v>
      </c>
      <c r="C381" s="40">
        <v>891</v>
      </c>
      <c r="D381" s="40" t="str">
        <v>Cắt xả tạo kiểu</v>
      </c>
      <c r="E381" s="40">
        <v>90000</v>
      </c>
    </row>
    <row r="382">
      <c r="A382" s="40">
        <v>45</v>
      </c>
      <c r="B382" s="40" t="str">
        <v>25 Tôn Đản</v>
      </c>
      <c r="C382" s="40">
        <v>1058</v>
      </c>
      <c r="D382" s="40" t="str" xml:space="preserve">
        <v>Gội Combo 2 </v>
      </c>
      <c r="E382" s="40">
        <v>159000</v>
      </c>
    </row>
    <row r="383">
      <c r="A383" s="40">
        <v>45</v>
      </c>
      <c r="B383" s="40" t="str">
        <v>25 Tôn Đản</v>
      </c>
      <c r="C383" s="40">
        <v>1059</v>
      </c>
      <c r="D383" s="40" t="str">
        <v>Gội Combo 3 - Chăm da</v>
      </c>
      <c r="E383" s="40">
        <v>219000</v>
      </c>
    </row>
    <row r="384">
      <c r="A384" s="40">
        <v>45</v>
      </c>
      <c r="B384" s="40" t="str">
        <v>25 Tôn Đản</v>
      </c>
      <c r="C384" s="40">
        <v>1059</v>
      </c>
      <c r="D384" s="40" t="str">
        <v>Gội Combo 3 - Chăm da</v>
      </c>
      <c r="E384" s="40">
        <v>239000</v>
      </c>
    </row>
    <row r="385">
      <c r="A385" s="40">
        <v>45</v>
      </c>
      <c r="B385" s="40" t="str">
        <v>25 Tôn Đản</v>
      </c>
      <c r="C385" s="40">
        <v>1060</v>
      </c>
      <c r="D385" s="40" t="str">
        <v>Gội Combo 4</v>
      </c>
      <c r="E385" s="40">
        <v>329000</v>
      </c>
    </row>
    <row r="386">
      <c r="A386" s="40">
        <v>45</v>
      </c>
      <c r="B386" s="40" t="str">
        <v>25 Tôn Đản</v>
      </c>
      <c r="C386" s="40">
        <v>1060</v>
      </c>
      <c r="D386" s="40" t="str">
        <v>Gội Combo 4</v>
      </c>
      <c r="E386" s="40">
        <v>319000</v>
      </c>
    </row>
    <row r="387">
      <c r="A387" s="40">
        <v>45</v>
      </c>
      <c r="B387" s="40" t="str">
        <v>25 Tôn Đản</v>
      </c>
      <c r="C387" s="40">
        <v>932</v>
      </c>
      <c r="D387" s="40" t="str">
        <v>Gội combo 5 dưỡng sinh</v>
      </c>
      <c r="E387" s="40">
        <v>399000</v>
      </c>
    </row>
    <row r="388">
      <c r="A388" s="40">
        <v>45</v>
      </c>
      <c r="B388" s="40" t="str">
        <v>25 Tôn Đản</v>
      </c>
      <c r="C388" s="40">
        <v>867</v>
      </c>
      <c r="D388" s="40" t="str">
        <v>Gội dưỡng sinh cổ vai gáy</v>
      </c>
      <c r="E388" s="40">
        <v>99000</v>
      </c>
    </row>
    <row r="389">
      <c r="A389" s="40">
        <v>45</v>
      </c>
      <c r="B389" s="40" t="str">
        <v>25 Tôn Đản</v>
      </c>
      <c r="C389" s="40">
        <v>867</v>
      </c>
      <c r="D389" s="40" t="str">
        <v>Gội dưỡng sinh cổ vai gáy</v>
      </c>
      <c r="E389" s="40">
        <v>95000</v>
      </c>
    </row>
    <row r="390">
      <c r="A390" s="40">
        <v>45</v>
      </c>
      <c r="B390" s="40" t="str">
        <v>25 Tôn Đản</v>
      </c>
      <c r="C390" s="40">
        <v>1002</v>
      </c>
      <c r="D390" s="40" t="str">
        <v>Kid Cắt</v>
      </c>
      <c r="E390" s="40">
        <v>75000</v>
      </c>
    </row>
    <row r="391">
      <c r="A391" s="40">
        <v>45</v>
      </c>
      <c r="B391" s="40" t="str">
        <v>25 Tôn Đản</v>
      </c>
      <c r="C391" s="40">
        <v>1149</v>
      </c>
      <c r="D391" s="40" t="str">
        <v>NHUỘM THIẾT KẾ PHỤC HỒI CHUYÊN SÂU LIPID BOND 2025</v>
      </c>
      <c r="E391" s="40">
        <v>759000</v>
      </c>
    </row>
    <row r="392">
      <c r="A392" s="40">
        <v>45</v>
      </c>
      <c r="B392" s="40" t="str">
        <v>25 Tôn Đản</v>
      </c>
      <c r="C392" s="40">
        <v>615</v>
      </c>
      <c r="D392" s="40" t="str">
        <v>Nhổ tóc bạc buổi trưa</v>
      </c>
      <c r="E392" s="40">
        <v>150000</v>
      </c>
    </row>
    <row r="393">
      <c r="A393" s="40">
        <v>45</v>
      </c>
      <c r="B393" s="40" t="str">
        <v>25 Tôn Đản</v>
      </c>
      <c r="C393" s="40">
        <v>1101</v>
      </c>
      <c r="D393" s="40" t="str">
        <v>Phục hồi trẻ hóa Lipid Bond</v>
      </c>
      <c r="E393" s="40">
        <v>146000</v>
      </c>
    </row>
    <row r="394">
      <c r="A394" s="40">
        <v>45</v>
      </c>
      <c r="B394" s="40" t="str">
        <v>25 Tôn Đản</v>
      </c>
      <c r="C394" s="40">
        <v>1046</v>
      </c>
      <c r="D394" s="40" t="str" xml:space="preserve">
        <v>Shinecombo 2 </v>
      </c>
      <c r="E394" s="40">
        <v>199000</v>
      </c>
    </row>
    <row r="395">
      <c r="A395" s="40">
        <v>45</v>
      </c>
      <c r="B395" s="40" t="str">
        <v>25 Tôn Đản</v>
      </c>
      <c r="C395" s="40">
        <v>1148</v>
      </c>
      <c r="D395" s="40" t="str">
        <v>UỐN THIẾT KẾ PHỤC HỒI CHUYÊN SÂU LIPID BOND 2025</v>
      </c>
      <c r="E395" s="40">
        <v>729000</v>
      </c>
    </row>
    <row r="396">
      <c r="A396" s="40">
        <v>45</v>
      </c>
      <c r="B396" s="40" t="str">
        <v>25 Tôn Đản</v>
      </c>
      <c r="C396" s="40">
        <v>952</v>
      </c>
      <c r="D396" s="40" t="str">
        <v>Uốn định hình nếp tóc cao cấp (K-Perm Collection)</v>
      </c>
      <c r="E396" s="40">
        <v>502000</v>
      </c>
    </row>
    <row r="397">
      <c r="A397" s="40">
        <v>45</v>
      </c>
      <c r="B397" s="40" t="str">
        <v>25 Tôn Đản</v>
      </c>
      <c r="C397" s="40">
        <v>635</v>
      </c>
      <c r="D397" s="40" t="str">
        <v>[DV] Detox tẩy da chết da đầu</v>
      </c>
      <c r="E397" s="40">
        <v>45000</v>
      </c>
    </row>
    <row r="398">
      <c r="A398" s="40">
        <v>45</v>
      </c>
      <c r="B398" s="40" t="str">
        <v>25 Tôn Đản</v>
      </c>
      <c r="C398" s="40">
        <v>636</v>
      </c>
      <c r="D398" s="40" t="str">
        <v>[DV] Mặt nạ lạnh Hàn Quốc</v>
      </c>
      <c r="E398" s="40">
        <v>35000</v>
      </c>
    </row>
    <row r="399">
      <c r="A399" s="40">
        <v>45</v>
      </c>
      <c r="B399" s="40" t="str">
        <v>25 Tôn Đản</v>
      </c>
      <c r="C399" s="40">
        <v>625</v>
      </c>
      <c r="D399" s="40" t="str">
        <v>[DV] Mặt nạ tẩy da chết sủi bọt cao cấp</v>
      </c>
      <c r="E399" s="40">
        <v>55000</v>
      </c>
    </row>
    <row r="400">
      <c r="A400" s="40">
        <v>45</v>
      </c>
      <c r="B400" s="40" t="str">
        <v>25 Tôn Đản</v>
      </c>
      <c r="C400" s="40">
        <v>912</v>
      </c>
      <c r="D400" s="40" t="str">
        <v>[DV] Nhuộm đen phủ bạc R&amp;B thảo dược</v>
      </c>
      <c r="E400" s="40">
        <v>299000</v>
      </c>
    </row>
    <row r="401">
      <c r="A401" s="40">
        <v>45</v>
      </c>
      <c r="B401" s="40" t="str">
        <v>25 Tôn Đản</v>
      </c>
      <c r="C401" s="40">
        <v>513</v>
      </c>
      <c r="D401" s="40" t="str">
        <v>[DV] ShineCombo 10 bước Ultra Care 2023</v>
      </c>
      <c r="E401" s="40">
        <v>120000</v>
      </c>
    </row>
    <row r="402">
      <c r="A402" s="40">
        <v>45</v>
      </c>
      <c r="B402" s="40" t="str">
        <v>25 Tôn Đản</v>
      </c>
      <c r="C402" s="40">
        <v>462</v>
      </c>
      <c r="D402" s="40" t="str">
        <v>[DV] Thư giãn cổ, vai, gáy bạc hà cam ngọt - Thư giãn tai sảng khoái 9 tầng mây 45k</v>
      </c>
      <c r="E402" s="40">
        <v>45000</v>
      </c>
    </row>
    <row r="403">
      <c r="A403" s="40">
        <v>45</v>
      </c>
      <c r="B403" s="40" t="str">
        <v>25 Tôn Đản</v>
      </c>
      <c r="C403" s="40">
        <v>634</v>
      </c>
      <c r="D403" s="40" t="str">
        <v>[DV] Tẩy da chết sủi bọt Hàn Quốc</v>
      </c>
      <c r="E403" s="40">
        <v>35000</v>
      </c>
    </row>
    <row r="404">
      <c r="A404" s="40">
        <v>45</v>
      </c>
      <c r="B404" s="40" t="str">
        <v>25 Tôn Đản</v>
      </c>
      <c r="C404" s="40">
        <v>915</v>
      </c>
      <c r="D404" s="40" t="str">
        <v>[DV] Tẩy tóc bật tông Ý (1 lần)</v>
      </c>
      <c r="E404" s="40">
        <v>269000</v>
      </c>
    </row>
    <row r="405">
      <c r="A405" s="40">
        <v>45</v>
      </c>
      <c r="B405" s="40" t="str">
        <v>25 Tôn Đản</v>
      </c>
      <c r="C405" s="40">
        <v>916</v>
      </c>
      <c r="D405" s="40" t="str">
        <v>[DV] Tẩy tóc bật tông Ý (2 lần) 500k</v>
      </c>
      <c r="E405" s="40">
        <v>534000</v>
      </c>
    </row>
    <row r="406">
      <c r="A406" s="40">
        <v>45</v>
      </c>
      <c r="B406" s="40" t="str">
        <v>25 Tôn Đản</v>
      </c>
      <c r="C406" s="40">
        <v>674</v>
      </c>
      <c r="D406" s="40" t="str">
        <v>[DV] Uốn Texture con sâu/Uốn Ruffled</v>
      </c>
      <c r="E406" s="40">
        <v>554000</v>
      </c>
    </row>
    <row r="407">
      <c r="A407" s="40">
        <v>45</v>
      </c>
      <c r="B407" s="40" t="str">
        <v>25 Tôn Đản</v>
      </c>
      <c r="C407" s="40">
        <v>941</v>
      </c>
      <c r="D407" s="40" t="str">
        <v>[DV] Vuốt sáp - sấy tạo kiểu 10k</v>
      </c>
      <c r="E407" s="40">
        <v>10000</v>
      </c>
    </row>
    <row r="408">
      <c r="A408" s="40">
        <v>45</v>
      </c>
      <c r="B408" s="40" t="str">
        <v>25 Tôn Đản</v>
      </c>
      <c r="C408" s="40">
        <v>902</v>
      </c>
      <c r="D408" s="40" t="str">
        <v>[DV] Ép side hai bên</v>
      </c>
      <c r="E408" s="40">
        <v>219000</v>
      </c>
    </row>
    <row r="409">
      <c r="A409" s="40">
        <v>45</v>
      </c>
      <c r="B409" s="40" t="str">
        <v>25 Tôn Đản</v>
      </c>
      <c r="C409" s="40">
        <v>940</v>
      </c>
      <c r="D409" s="40" t="str">
        <v>[NEW] Gội dưỡng sinh</v>
      </c>
      <c r="E409" s="40">
        <v>50000</v>
      </c>
    </row>
    <row r="410">
      <c r="A410" s="40">
        <v>45</v>
      </c>
      <c r="B410" s="40" t="str">
        <v>25 Tôn Đản</v>
      </c>
      <c r="C410" s="40">
        <v>940</v>
      </c>
      <c r="D410" s="40" t="str">
        <v>[NEW] Gội dưỡng sinh</v>
      </c>
      <c r="E410" s="40">
        <v>59000</v>
      </c>
    </row>
    <row r="411">
      <c r="A411" s="40">
        <v>45</v>
      </c>
      <c r="B411" s="40" t="str">
        <v>25 Tôn Đản</v>
      </c>
      <c r="C411" s="40">
        <v>603</v>
      </c>
      <c r="D411" s="40" t="str">
        <v>Đánh bay mụn cám lột mụn (Full Face)</v>
      </c>
      <c r="E411" s="40">
        <v>49000</v>
      </c>
    </row>
    <row r="412">
      <c r="A412" s="40">
        <v>46</v>
      </c>
      <c r="B412" s="40" t="str">
        <v>483 Thống Nhất</v>
      </c>
      <c r="C412" s="40">
        <v>610</v>
      </c>
      <c r="D412" s="40" t="str">
        <v>(2022T) ATS Control Buffer - Khử mùi tạo thơm cho tóc uốn nhuộm 40k</v>
      </c>
      <c r="E412" s="40">
        <v>40000</v>
      </c>
    </row>
    <row r="413">
      <c r="A413" s="40">
        <v>46</v>
      </c>
      <c r="B413" s="40" t="str">
        <v>483 Thống Nhất</v>
      </c>
      <c r="C413" s="40">
        <v>960</v>
      </c>
      <c r="D413" s="40" t="str">
        <v>(NEW) Nhuộm màu thời trang Milano</v>
      </c>
      <c r="E413" s="40">
        <v>366000</v>
      </c>
    </row>
    <row r="414">
      <c r="A414" s="40">
        <v>46</v>
      </c>
      <c r="B414" s="40" t="str">
        <v>483 Thống Nhất</v>
      </c>
      <c r="C414" s="40">
        <v>967</v>
      </c>
      <c r="D414" s="40" t="str">
        <v>(NEW) Nhuộm phủ bạc tiêu chuẩn 199K</v>
      </c>
      <c r="E414" s="40">
        <v>199000</v>
      </c>
    </row>
    <row r="415">
      <c r="A415" s="40">
        <v>46</v>
      </c>
      <c r="B415" s="40" t="str">
        <v>483 Thống Nhất</v>
      </c>
      <c r="C415" s="40">
        <v>1009</v>
      </c>
      <c r="D415" s="40" t="str">
        <v>(NEW) Uốn/Duỗi/Định hình full đầu tạo form vào nếp tự nhiên</v>
      </c>
      <c r="E415" s="40">
        <v>386000</v>
      </c>
    </row>
    <row r="416">
      <c r="A416" s="40">
        <v>46</v>
      </c>
      <c r="B416" s="40" t="str">
        <v>483 Thống Nhất</v>
      </c>
      <c r="C416" s="40">
        <v>1053</v>
      </c>
      <c r="D416" s="40" t="str">
        <v>Combo 2 - First Class 2</v>
      </c>
      <c r="E416" s="40">
        <v>239000</v>
      </c>
    </row>
    <row r="417">
      <c r="A417" s="40">
        <v>46</v>
      </c>
      <c r="B417" s="40" t="str">
        <v>483 Thống Nhất</v>
      </c>
      <c r="C417" s="40">
        <v>1054</v>
      </c>
      <c r="D417" s="40" t="str">
        <v>Combo 3 - First Class 3</v>
      </c>
      <c r="E417" s="40">
        <v>299000</v>
      </c>
    </row>
    <row r="418">
      <c r="A418" s="40">
        <v>46</v>
      </c>
      <c r="B418" s="40" t="str">
        <v>483 Thống Nhất</v>
      </c>
      <c r="C418" s="40">
        <v>1048</v>
      </c>
      <c r="D418" s="40" t="str">
        <v>Combo 4</v>
      </c>
      <c r="E418" s="40">
        <v>389000</v>
      </c>
    </row>
    <row r="419">
      <c r="A419" s="40">
        <v>46</v>
      </c>
      <c r="B419" s="40" t="str">
        <v>483 Thống Nhất</v>
      </c>
      <c r="C419" s="40">
        <v>1048</v>
      </c>
      <c r="D419" s="40" t="str">
        <v>Combo 4</v>
      </c>
      <c r="E419" s="40">
        <v>379000</v>
      </c>
    </row>
    <row r="420">
      <c r="A420" s="40">
        <v>46</v>
      </c>
      <c r="B420" s="40" t="str">
        <v>483 Thống Nhất</v>
      </c>
      <c r="C420" s="40">
        <v>1070</v>
      </c>
      <c r="D420" s="40" t="str">
        <v>Combo Cắt gội Kid</v>
      </c>
      <c r="E420" s="40">
        <v>100000</v>
      </c>
    </row>
    <row r="421">
      <c r="A421" s="40">
        <v>46</v>
      </c>
      <c r="B421" s="40" t="str">
        <v>483 Thống Nhất</v>
      </c>
      <c r="C421" s="40">
        <v>1047</v>
      </c>
      <c r="D421" s="40" t="str">
        <v>Cắt Gội Combo 3 - Chăm da</v>
      </c>
      <c r="E421" s="40">
        <v>299000</v>
      </c>
    </row>
    <row r="422">
      <c r="A422" s="40">
        <v>46</v>
      </c>
      <c r="B422" s="40" t="str">
        <v>483 Thống Nhất</v>
      </c>
      <c r="C422" s="40">
        <v>1064</v>
      </c>
      <c r="D422" s="40" t="str">
        <v>Cắt Gội Combo 5 - Dưỡng sinh</v>
      </c>
      <c r="E422" s="40">
        <v>459000</v>
      </c>
    </row>
    <row r="423">
      <c r="A423" s="40">
        <v>46</v>
      </c>
      <c r="B423" s="40" t="str">
        <v>483 Thống Nhất</v>
      </c>
      <c r="C423" s="40">
        <v>891</v>
      </c>
      <c r="D423" s="40" t="str">
        <v>Cắt xả tạo kiểu</v>
      </c>
      <c r="E423" s="40">
        <v>90000</v>
      </c>
    </row>
    <row r="424">
      <c r="A424" s="40">
        <v>46</v>
      </c>
      <c r="B424" s="40" t="str">
        <v>483 Thống Nhất</v>
      </c>
      <c r="C424" s="40">
        <v>891</v>
      </c>
      <c r="D424" s="40" t="str">
        <v>Cắt xả tạo kiểu</v>
      </c>
      <c r="E424" s="40">
        <v>94000</v>
      </c>
    </row>
    <row r="425">
      <c r="A425" s="40">
        <v>46</v>
      </c>
      <c r="B425" s="40" t="str">
        <v>483 Thống Nhất</v>
      </c>
      <c r="C425" s="40">
        <v>1058</v>
      </c>
      <c r="D425" s="40" t="str" xml:space="preserve">
        <v>Gội Combo 2 </v>
      </c>
      <c r="E425" s="40">
        <v>159000</v>
      </c>
    </row>
    <row r="426">
      <c r="A426" s="40">
        <v>46</v>
      </c>
      <c r="B426" s="40" t="str">
        <v>483 Thống Nhất</v>
      </c>
      <c r="C426" s="40">
        <v>1059</v>
      </c>
      <c r="D426" s="40" t="str">
        <v>Gội Combo 3 - Chăm da</v>
      </c>
      <c r="E426" s="40">
        <v>239000</v>
      </c>
    </row>
    <row r="427">
      <c r="A427" s="40">
        <v>46</v>
      </c>
      <c r="B427" s="40" t="str">
        <v>483 Thống Nhất</v>
      </c>
      <c r="C427" s="40">
        <v>1059</v>
      </c>
      <c r="D427" s="40" t="str">
        <v>Gội Combo 3 - Chăm da</v>
      </c>
      <c r="E427" s="40">
        <v>219000</v>
      </c>
    </row>
    <row r="428">
      <c r="A428" s="40">
        <v>46</v>
      </c>
      <c r="B428" s="40" t="str">
        <v>483 Thống Nhất</v>
      </c>
      <c r="C428" s="40">
        <v>1060</v>
      </c>
      <c r="D428" s="40" t="str">
        <v>Gội Combo 4</v>
      </c>
      <c r="E428" s="40">
        <v>319000</v>
      </c>
    </row>
    <row r="429">
      <c r="A429" s="40">
        <v>46</v>
      </c>
      <c r="B429" s="40" t="str">
        <v>483 Thống Nhất</v>
      </c>
      <c r="C429" s="40">
        <v>1060</v>
      </c>
      <c r="D429" s="40" t="str">
        <v>Gội Combo 4</v>
      </c>
      <c r="E429" s="40">
        <v>289000</v>
      </c>
    </row>
    <row r="430">
      <c r="A430" s="40">
        <v>46</v>
      </c>
      <c r="B430" s="40" t="str">
        <v>483 Thống Nhất</v>
      </c>
      <c r="C430" s="40">
        <v>1061</v>
      </c>
      <c r="D430" s="40" t="str">
        <v>Gội Combo 5 - Chăm da</v>
      </c>
      <c r="E430" s="40">
        <v>359000</v>
      </c>
    </row>
    <row r="431">
      <c r="A431" s="40">
        <v>46</v>
      </c>
      <c r="B431" s="40" t="str">
        <v>483 Thống Nhất</v>
      </c>
      <c r="C431" s="40">
        <v>867</v>
      </c>
      <c r="D431" s="40" t="str">
        <v>Gội dưỡng sinh cổ vai gáy</v>
      </c>
      <c r="E431" s="40">
        <v>95000</v>
      </c>
    </row>
    <row r="432">
      <c r="A432" s="40">
        <v>46</v>
      </c>
      <c r="B432" s="40" t="str">
        <v>483 Thống Nhất</v>
      </c>
      <c r="C432" s="40">
        <v>867</v>
      </c>
      <c r="D432" s="40" t="str">
        <v>Gội dưỡng sinh cổ vai gáy</v>
      </c>
      <c r="E432" s="40">
        <v>99000</v>
      </c>
    </row>
    <row r="433">
      <c r="A433" s="40">
        <v>46</v>
      </c>
      <c r="B433" s="40" t="str">
        <v>483 Thống Nhất</v>
      </c>
      <c r="C433" s="40">
        <v>1067</v>
      </c>
      <c r="D433" s="40" t="str">
        <v>Gội trải nghiệm 90p</v>
      </c>
      <c r="E433" s="40">
        <v>789000</v>
      </c>
    </row>
    <row r="434">
      <c r="A434" s="40">
        <v>46</v>
      </c>
      <c r="B434" s="40" t="str">
        <v>483 Thống Nhất</v>
      </c>
      <c r="C434" s="40">
        <v>1002</v>
      </c>
      <c r="D434" s="40" t="str">
        <v>Kid Cắt</v>
      </c>
      <c r="E434" s="40">
        <v>75000</v>
      </c>
    </row>
    <row r="435">
      <c r="A435" s="40">
        <v>46</v>
      </c>
      <c r="B435" s="40" t="str">
        <v>483 Thống Nhất</v>
      </c>
      <c r="C435" s="40">
        <v>1101</v>
      </c>
      <c r="D435" s="40" t="str">
        <v>Phục hồi trẻ hóa Lipid Bond</v>
      </c>
      <c r="E435" s="40">
        <v>146000</v>
      </c>
    </row>
    <row r="436">
      <c r="A436" s="40">
        <v>46</v>
      </c>
      <c r="B436" s="40" t="str">
        <v>483 Thống Nhất</v>
      </c>
      <c r="C436" s="40">
        <v>1046</v>
      </c>
      <c r="D436" s="40" t="str" xml:space="preserve">
        <v>Shinecombo 2 </v>
      </c>
      <c r="E436" s="40">
        <v>199000</v>
      </c>
    </row>
    <row r="437">
      <c r="A437" s="40">
        <v>46</v>
      </c>
      <c r="B437" s="40" t="str">
        <v>483 Thống Nhất</v>
      </c>
      <c r="C437" s="40">
        <v>1148</v>
      </c>
      <c r="D437" s="40" t="str">
        <v>UỐN THIẾT KẾ PHỤC HỒI CHUYÊN SÂU LIPID BOND 2025</v>
      </c>
      <c r="E437" s="40">
        <v>689000</v>
      </c>
    </row>
    <row r="438">
      <c r="A438" s="40">
        <v>46</v>
      </c>
      <c r="B438" s="40" t="str">
        <v>483 Thống Nhất</v>
      </c>
      <c r="C438" s="40">
        <v>952</v>
      </c>
      <c r="D438" s="40" t="str">
        <v>Uốn định hình nếp tóc cao cấp (K-Perm Collection)</v>
      </c>
      <c r="E438" s="40">
        <v>478000</v>
      </c>
    </row>
    <row r="439">
      <c r="A439" s="40">
        <v>46</v>
      </c>
      <c r="B439" s="40" t="str">
        <v>483 Thống Nhất</v>
      </c>
      <c r="C439" s="40">
        <v>635</v>
      </c>
      <c r="D439" s="40" t="str">
        <v>[DV] Detox tẩy da chết da đầu</v>
      </c>
      <c r="E439" s="40">
        <v>45000</v>
      </c>
    </row>
    <row r="440">
      <c r="A440" s="40">
        <v>46</v>
      </c>
      <c r="B440" s="40" t="str">
        <v>483 Thống Nhất</v>
      </c>
      <c r="C440" s="40">
        <v>636</v>
      </c>
      <c r="D440" s="40" t="str">
        <v>[DV] Mặt nạ lạnh Hàn Quốc</v>
      </c>
      <c r="E440" s="40">
        <v>35000</v>
      </c>
    </row>
    <row r="441">
      <c r="A441" s="40">
        <v>46</v>
      </c>
      <c r="B441" s="40" t="str">
        <v>483 Thống Nhất</v>
      </c>
      <c r="C441" s="40">
        <v>625</v>
      </c>
      <c r="D441" s="40" t="str">
        <v>[DV] Mặt nạ tẩy da chết sủi bọt cao cấp</v>
      </c>
      <c r="E441" s="40">
        <v>55000</v>
      </c>
    </row>
    <row r="442">
      <c r="A442" s="40">
        <v>46</v>
      </c>
      <c r="B442" s="40" t="str">
        <v>483 Thống Nhất</v>
      </c>
      <c r="C442" s="40">
        <v>912</v>
      </c>
      <c r="D442" s="40" t="str">
        <v>[DV] Nhuộm đen phủ bạc R&amp;B thảo dược</v>
      </c>
      <c r="E442" s="40">
        <v>289000</v>
      </c>
    </row>
    <row r="443">
      <c r="A443" s="40">
        <v>46</v>
      </c>
      <c r="B443" s="40" t="str">
        <v>483 Thống Nhất</v>
      </c>
      <c r="C443" s="40">
        <v>513</v>
      </c>
      <c r="D443" s="40" t="str">
        <v>[DV] ShineCombo 10 bước Ultra Care 2023</v>
      </c>
      <c r="E443" s="40">
        <v>120000</v>
      </c>
    </row>
    <row r="444">
      <c r="A444" s="40">
        <v>46</v>
      </c>
      <c r="B444" s="40" t="str">
        <v>483 Thống Nhất</v>
      </c>
      <c r="C444" s="40">
        <v>513</v>
      </c>
      <c r="D444" s="40" t="str">
        <v>[DV] ShineCombo 10 bước Ultra Care 2023</v>
      </c>
      <c r="E444" s="40">
        <v>122000</v>
      </c>
    </row>
    <row r="445">
      <c r="A445" s="40">
        <v>46</v>
      </c>
      <c r="B445" s="40" t="str">
        <v>483 Thống Nhất</v>
      </c>
      <c r="C445" s="40">
        <v>634</v>
      </c>
      <c r="D445" s="40" t="str">
        <v>[DV] Tẩy da chết sủi bọt Hàn Quốc</v>
      </c>
      <c r="E445" s="40">
        <v>35000</v>
      </c>
    </row>
    <row r="446">
      <c r="A446" s="40">
        <v>46</v>
      </c>
      <c r="B446" s="40" t="str">
        <v>483 Thống Nhất</v>
      </c>
      <c r="C446" s="40">
        <v>915</v>
      </c>
      <c r="D446" s="40" t="str">
        <v>[DV] Tẩy tóc bật tông Ý (1 lần)</v>
      </c>
      <c r="E446" s="40">
        <v>252000</v>
      </c>
    </row>
    <row r="447">
      <c r="A447" s="40">
        <v>46</v>
      </c>
      <c r="B447" s="40" t="str">
        <v>483 Thống Nhất</v>
      </c>
      <c r="C447" s="40">
        <v>916</v>
      </c>
      <c r="D447" s="40" t="str">
        <v>[DV] Tẩy tóc bật tông Ý (2 lần) 500k</v>
      </c>
      <c r="E447" s="40">
        <v>500000</v>
      </c>
    </row>
    <row r="448">
      <c r="A448" s="40">
        <v>46</v>
      </c>
      <c r="B448" s="40" t="str">
        <v>483 Thống Nhất</v>
      </c>
      <c r="C448" s="40">
        <v>674</v>
      </c>
      <c r="D448" s="40" t="str">
        <v>[DV] Uốn Texture con sâu/Uốn Ruffled</v>
      </c>
      <c r="E448" s="40">
        <v>550000</v>
      </c>
    </row>
    <row r="449">
      <c r="A449" s="40">
        <v>46</v>
      </c>
      <c r="B449" s="40" t="str">
        <v>483 Thống Nhất</v>
      </c>
      <c r="C449" s="40">
        <v>941</v>
      </c>
      <c r="D449" s="40" t="str">
        <v>[DV] Vuốt sáp - sấy tạo kiểu 10k</v>
      </c>
      <c r="E449" s="40">
        <v>10000</v>
      </c>
    </row>
    <row r="450">
      <c r="A450" s="40">
        <v>46</v>
      </c>
      <c r="B450" s="40" t="str">
        <v>483 Thống Nhất</v>
      </c>
      <c r="C450" s="40">
        <v>902</v>
      </c>
      <c r="D450" s="40" t="str">
        <v>[DV] Ép side hai bên</v>
      </c>
      <c r="E450" s="40">
        <v>216000</v>
      </c>
    </row>
    <row r="451">
      <c r="A451" s="40">
        <v>46</v>
      </c>
      <c r="B451" s="40" t="str">
        <v>483 Thống Nhất</v>
      </c>
      <c r="C451" s="40">
        <v>940</v>
      </c>
      <c r="D451" s="40" t="str">
        <v>[NEW] Gội dưỡng sinh</v>
      </c>
      <c r="E451" s="40">
        <v>59000</v>
      </c>
    </row>
    <row r="452">
      <c r="A452" s="40">
        <v>46</v>
      </c>
      <c r="B452" s="40" t="str">
        <v>483 Thống Nhất</v>
      </c>
      <c r="C452" s="40">
        <v>603</v>
      </c>
      <c r="D452" s="40" t="str">
        <v>Đánh bay mụn cám lột mụn (Full Face)</v>
      </c>
      <c r="E452" s="40">
        <v>49000</v>
      </c>
    </row>
    <row r="453">
      <c r="A453" s="40">
        <v>47</v>
      </c>
      <c r="B453" s="40" t="str">
        <v>708 Lê Trọng Tấn</v>
      </c>
      <c r="C453" s="40">
        <v>610</v>
      </c>
      <c r="D453" s="40" t="str">
        <v>(2022T) ATS Control Buffer - Khử mùi tạo thơm cho tóc uốn nhuộm 40k</v>
      </c>
      <c r="E453" s="40">
        <v>40000</v>
      </c>
    </row>
    <row r="454">
      <c r="A454" s="40">
        <v>47</v>
      </c>
      <c r="B454" s="40" t="str">
        <v>708 Lê Trọng Tấn</v>
      </c>
      <c r="C454" s="40">
        <v>960</v>
      </c>
      <c r="D454" s="40" t="str">
        <v>(NEW) Nhuộm màu thời trang Milano</v>
      </c>
      <c r="E454" s="40">
        <v>346000</v>
      </c>
    </row>
    <row r="455">
      <c r="A455" s="40">
        <v>47</v>
      </c>
      <c r="B455" s="40" t="str">
        <v>708 Lê Trọng Tấn</v>
      </c>
      <c r="C455" s="40">
        <v>967</v>
      </c>
      <c r="D455" s="40" t="str">
        <v>(NEW) Nhuộm phủ bạc tiêu chuẩn 199K</v>
      </c>
      <c r="E455" s="40">
        <v>199000</v>
      </c>
    </row>
    <row r="456">
      <c r="A456" s="40">
        <v>47</v>
      </c>
      <c r="B456" s="40" t="str">
        <v>708 Lê Trọng Tấn</v>
      </c>
      <c r="C456" s="40">
        <v>1009</v>
      </c>
      <c r="D456" s="40" t="str">
        <v>(NEW) Uốn/Duỗi/Định hình full đầu tạo form vào nếp tự nhiên</v>
      </c>
      <c r="E456" s="40">
        <v>386000</v>
      </c>
    </row>
    <row r="457">
      <c r="A457" s="40">
        <v>47</v>
      </c>
      <c r="B457" s="40" t="str">
        <v>708 Lê Trọng Tấn</v>
      </c>
      <c r="C457" s="40">
        <v>1048</v>
      </c>
      <c r="D457" s="40" t="str">
        <v>Combo 4</v>
      </c>
      <c r="E457" s="40">
        <v>389000</v>
      </c>
    </row>
    <row r="458">
      <c r="A458" s="40">
        <v>47</v>
      </c>
      <c r="B458" s="40" t="str">
        <v>708 Lê Trọng Tấn</v>
      </c>
      <c r="C458" s="40">
        <v>1194</v>
      </c>
      <c r="D458" s="40" t="str">
        <v>Combo Best choice</v>
      </c>
      <c r="E458" s="40">
        <v>299000</v>
      </c>
    </row>
    <row r="459">
      <c r="A459" s="40">
        <v>47</v>
      </c>
      <c r="B459" s="40" t="str">
        <v>708 Lê Trọng Tấn</v>
      </c>
      <c r="C459" s="40">
        <v>1070</v>
      </c>
      <c r="D459" s="40" t="str">
        <v>Combo Cắt gội Kid</v>
      </c>
      <c r="E459" s="40">
        <v>100000</v>
      </c>
    </row>
    <row r="460">
      <c r="A460" s="40">
        <v>47</v>
      </c>
      <c r="B460" s="40" t="str">
        <v>708 Lê Trọng Tấn</v>
      </c>
      <c r="C460" s="40">
        <v>1047</v>
      </c>
      <c r="D460" s="40" t="str">
        <v>Cắt Gội Combo 3 - Chăm da</v>
      </c>
      <c r="E460" s="40">
        <v>299000</v>
      </c>
    </row>
    <row r="461">
      <c r="A461" s="40">
        <v>47</v>
      </c>
      <c r="B461" s="40" t="str">
        <v>708 Lê Trọng Tấn</v>
      </c>
      <c r="C461" s="40">
        <v>1065</v>
      </c>
      <c r="D461" s="40" t="str">
        <v>Cắt Gội Combo 3 - Dưỡng sinh</v>
      </c>
      <c r="E461" s="40">
        <v>299000</v>
      </c>
    </row>
    <row r="462">
      <c r="A462" s="40">
        <v>47</v>
      </c>
      <c r="B462" s="40" t="str">
        <v>708 Lê Trọng Tấn</v>
      </c>
      <c r="C462" s="40">
        <v>891</v>
      </c>
      <c r="D462" s="40" t="str">
        <v>Cắt xả tạo kiểu</v>
      </c>
      <c r="E462" s="40">
        <v>90000</v>
      </c>
    </row>
    <row r="463">
      <c r="A463" s="40">
        <v>47</v>
      </c>
      <c r="B463" s="40" t="str">
        <v>708 Lê Trọng Tấn</v>
      </c>
      <c r="C463" s="40">
        <v>891</v>
      </c>
      <c r="D463" s="40" t="str">
        <v>Cắt xả tạo kiểu</v>
      </c>
      <c r="E463" s="40">
        <v>94000</v>
      </c>
    </row>
    <row r="464">
      <c r="A464" s="40">
        <v>47</v>
      </c>
      <c r="B464" s="40" t="str">
        <v>708 Lê Trọng Tấn</v>
      </c>
      <c r="C464" s="40">
        <v>1058</v>
      </c>
      <c r="D464" s="40" t="str" xml:space="preserve">
        <v>Gội Combo 2 </v>
      </c>
      <c r="E464" s="40">
        <v>159000</v>
      </c>
    </row>
    <row r="465">
      <c r="A465" s="40">
        <v>47</v>
      </c>
      <c r="B465" s="40" t="str">
        <v>708 Lê Trọng Tấn</v>
      </c>
      <c r="C465" s="40">
        <v>1059</v>
      </c>
      <c r="D465" s="40" t="str">
        <v>Gội Combo 3 - Chăm da</v>
      </c>
      <c r="E465" s="40">
        <v>239000</v>
      </c>
    </row>
    <row r="466">
      <c r="A466" s="40">
        <v>47</v>
      </c>
      <c r="B466" s="40" t="str">
        <v>708 Lê Trọng Tấn</v>
      </c>
      <c r="C466" s="40">
        <v>1059</v>
      </c>
      <c r="D466" s="40" t="str">
        <v>Gội Combo 3 - Chăm da</v>
      </c>
      <c r="E466" s="40">
        <v>219000</v>
      </c>
    </row>
    <row r="467">
      <c r="A467" s="40">
        <v>47</v>
      </c>
      <c r="B467" s="40" t="str">
        <v>708 Lê Trọng Tấn</v>
      </c>
      <c r="C467" s="40">
        <v>1060</v>
      </c>
      <c r="D467" s="40" t="str">
        <v>Gội Combo 4</v>
      </c>
      <c r="E467" s="40">
        <v>289000</v>
      </c>
    </row>
    <row r="468">
      <c r="A468" s="40">
        <v>47</v>
      </c>
      <c r="B468" s="40" t="str">
        <v>708 Lê Trọng Tấn</v>
      </c>
      <c r="C468" s="40">
        <v>1060</v>
      </c>
      <c r="D468" s="40" t="str">
        <v>Gội Combo 4</v>
      </c>
      <c r="E468" s="40">
        <v>319000</v>
      </c>
    </row>
    <row r="469">
      <c r="A469" s="40">
        <v>47</v>
      </c>
      <c r="B469" s="40" t="str">
        <v>708 Lê Trọng Tấn</v>
      </c>
      <c r="C469" s="40">
        <v>934</v>
      </c>
      <c r="D469" s="40" t="str">
        <v>Gội combo 3 - Dưỡng sinh</v>
      </c>
      <c r="E469" s="40">
        <v>229000</v>
      </c>
    </row>
    <row r="470">
      <c r="A470" s="40">
        <v>47</v>
      </c>
      <c r="B470" s="40" t="str">
        <v>708 Lê Trọng Tấn</v>
      </c>
      <c r="C470" s="40">
        <v>867</v>
      </c>
      <c r="D470" s="40" t="str">
        <v>Gội dưỡng sinh cổ vai gáy</v>
      </c>
      <c r="E470" s="40">
        <v>100000</v>
      </c>
    </row>
    <row r="471">
      <c r="A471" s="40">
        <v>47</v>
      </c>
      <c r="B471" s="40" t="str">
        <v>708 Lê Trọng Tấn</v>
      </c>
      <c r="C471" s="40">
        <v>1002</v>
      </c>
      <c r="D471" s="40" t="str">
        <v>Kid Cắt</v>
      </c>
      <c r="E471" s="40">
        <v>75000</v>
      </c>
    </row>
    <row r="472">
      <c r="A472" s="40">
        <v>47</v>
      </c>
      <c r="B472" s="40" t="str">
        <v>708 Lê Trọng Tấn</v>
      </c>
      <c r="C472" s="40">
        <v>1149</v>
      </c>
      <c r="D472" s="40" t="str">
        <v>NHUỘM THIẾT KẾ PHỤC HỒI CHUYÊN SÂU LIPID BOND 2025</v>
      </c>
      <c r="E472" s="40">
        <v>719000</v>
      </c>
    </row>
    <row r="473">
      <c r="A473" s="40">
        <v>47</v>
      </c>
      <c r="B473" s="40" t="str">
        <v>708 Lê Trọng Tấn</v>
      </c>
      <c r="C473" s="40">
        <v>1046</v>
      </c>
      <c r="D473" s="40" t="str" xml:space="preserve">
        <v>Shinecombo 2 </v>
      </c>
      <c r="E473" s="40">
        <v>199000</v>
      </c>
    </row>
    <row r="474">
      <c r="A474" s="40">
        <v>47</v>
      </c>
      <c r="B474" s="40" t="str">
        <v>708 Lê Trọng Tấn</v>
      </c>
      <c r="C474" s="40">
        <v>1148</v>
      </c>
      <c r="D474" s="40" t="str">
        <v>UỐN THIẾT KẾ PHỤC HỒI CHUYÊN SÂU LIPID BOND 2025</v>
      </c>
      <c r="E474" s="40">
        <v>689000</v>
      </c>
    </row>
    <row r="475">
      <c r="A475" s="40">
        <v>47</v>
      </c>
      <c r="B475" s="40" t="str">
        <v>708 Lê Trọng Tấn</v>
      </c>
      <c r="C475" s="40">
        <v>952</v>
      </c>
      <c r="D475" s="40" t="str">
        <v>Uốn định hình nếp tóc cao cấp (K-Perm Collection)</v>
      </c>
      <c r="E475" s="40">
        <v>478000</v>
      </c>
    </row>
    <row r="476">
      <c r="A476" s="40">
        <v>47</v>
      </c>
      <c r="B476" s="40" t="str">
        <v>708 Lê Trọng Tấn</v>
      </c>
      <c r="C476" s="40">
        <v>635</v>
      </c>
      <c r="D476" s="40" t="str">
        <v>[DV] Detox tẩy da chết da đầu</v>
      </c>
      <c r="E476" s="40">
        <v>45000</v>
      </c>
    </row>
    <row r="477">
      <c r="A477" s="40">
        <v>47</v>
      </c>
      <c r="B477" s="40" t="str">
        <v>708 Lê Trọng Tấn</v>
      </c>
      <c r="C477" s="40">
        <v>636</v>
      </c>
      <c r="D477" s="40" t="str">
        <v>[DV] Mặt nạ lạnh Hàn Quốc</v>
      </c>
      <c r="E477" s="40">
        <v>35000</v>
      </c>
    </row>
    <row r="478">
      <c r="A478" s="40">
        <v>47</v>
      </c>
      <c r="B478" s="40" t="str">
        <v>708 Lê Trọng Tấn</v>
      </c>
      <c r="C478" s="40">
        <v>625</v>
      </c>
      <c r="D478" s="40" t="str">
        <v>[DV] Mặt nạ tẩy da chết sủi bọt cao cấp</v>
      </c>
      <c r="E478" s="40">
        <v>55000</v>
      </c>
    </row>
    <row r="479">
      <c r="A479" s="40">
        <v>47</v>
      </c>
      <c r="B479" s="40" t="str">
        <v>708 Lê Trọng Tấn</v>
      </c>
      <c r="C479" s="40">
        <v>912</v>
      </c>
      <c r="D479" s="40" t="str">
        <v>[DV] Nhuộm đen phủ bạc R&amp;B thảo dược</v>
      </c>
      <c r="E479" s="40">
        <v>289000</v>
      </c>
    </row>
    <row r="480">
      <c r="A480" s="40">
        <v>47</v>
      </c>
      <c r="B480" s="40" t="str">
        <v>708 Lê Trọng Tấn</v>
      </c>
      <c r="C480" s="40">
        <v>513</v>
      </c>
      <c r="D480" s="40" t="str">
        <v>[DV] ShineCombo 10 bước Ultra Care 2023</v>
      </c>
      <c r="E480" s="40">
        <v>120000</v>
      </c>
    </row>
    <row r="481">
      <c r="A481" s="40">
        <v>47</v>
      </c>
      <c r="B481" s="40" t="str">
        <v>708 Lê Trọng Tấn</v>
      </c>
      <c r="C481" s="40">
        <v>513</v>
      </c>
      <c r="D481" s="40" t="str">
        <v>[DV] ShineCombo 10 bước Ultra Care 2023</v>
      </c>
      <c r="E481" s="40">
        <v>122000</v>
      </c>
    </row>
    <row r="482">
      <c r="A482" s="40">
        <v>47</v>
      </c>
      <c r="B482" s="40" t="str">
        <v>708 Lê Trọng Tấn</v>
      </c>
      <c r="C482" s="40">
        <v>462</v>
      </c>
      <c r="D482" s="40" t="str">
        <v>[DV] Thư giãn cổ, vai, gáy bạc hà cam ngọt - Thư giãn tai sảng khoái 9 tầng mây 45k</v>
      </c>
      <c r="E482" s="40">
        <v>45000</v>
      </c>
    </row>
    <row r="483">
      <c r="A483" s="40">
        <v>47</v>
      </c>
      <c r="B483" s="40" t="str">
        <v>708 Lê Trọng Tấn</v>
      </c>
      <c r="C483" s="40">
        <v>634</v>
      </c>
      <c r="D483" s="40" t="str">
        <v>[DV] Tẩy da chết sủi bọt Hàn Quốc</v>
      </c>
      <c r="E483" s="40">
        <v>35000</v>
      </c>
    </row>
    <row r="484">
      <c r="A484" s="40">
        <v>47</v>
      </c>
      <c r="B484" s="40" t="str">
        <v>708 Lê Trọng Tấn</v>
      </c>
      <c r="C484" s="40">
        <v>915</v>
      </c>
      <c r="D484" s="40" t="str">
        <v>[DV] Tẩy tóc bật tông Ý (1 lần)</v>
      </c>
      <c r="E484" s="40">
        <v>252000</v>
      </c>
    </row>
    <row r="485">
      <c r="A485" s="40">
        <v>47</v>
      </c>
      <c r="B485" s="40" t="str">
        <v>708 Lê Trọng Tấn</v>
      </c>
      <c r="C485" s="40">
        <v>902</v>
      </c>
      <c r="D485" s="40" t="str">
        <v>[DV] Ép side hai bên</v>
      </c>
      <c r="E485" s="40">
        <v>198000</v>
      </c>
    </row>
    <row r="486">
      <c r="A486" s="40">
        <v>47</v>
      </c>
      <c r="B486" s="40" t="str">
        <v>708 Lê Trọng Tấn</v>
      </c>
      <c r="C486" s="40">
        <v>940</v>
      </c>
      <c r="D486" s="40" t="str">
        <v>[NEW] Gội dưỡng sinh</v>
      </c>
      <c r="E486" s="40">
        <v>59000</v>
      </c>
    </row>
    <row r="487">
      <c r="A487" s="40">
        <v>47</v>
      </c>
      <c r="B487" s="40" t="str">
        <v>708 Lê Trọng Tấn</v>
      </c>
      <c r="C487" s="40">
        <v>603</v>
      </c>
      <c r="D487" s="40" t="str">
        <v>Đánh bay mụn cám lột mụn (Full Face)</v>
      </c>
      <c r="E487" s="40">
        <v>49000</v>
      </c>
    </row>
    <row r="488">
      <c r="A488" s="40">
        <v>51</v>
      </c>
      <c r="B488" s="40" t="str">
        <v>420 Huỳnh Tấn Phát</v>
      </c>
      <c r="C488" s="40">
        <v>610</v>
      </c>
      <c r="D488" s="40" t="str">
        <v>(2022T) ATS Control Buffer - Khử mùi tạo thơm cho tóc uốn nhuộm 40k</v>
      </c>
      <c r="E488" s="40">
        <v>40000</v>
      </c>
    </row>
    <row r="489">
      <c r="A489" s="40">
        <v>51</v>
      </c>
      <c r="B489" s="40" t="str">
        <v>420 Huỳnh Tấn Phát</v>
      </c>
      <c r="C489" s="40">
        <v>960</v>
      </c>
      <c r="D489" s="40" t="str">
        <v>(NEW) Nhuộm màu thời trang Milano</v>
      </c>
      <c r="E489" s="40">
        <v>366000</v>
      </c>
    </row>
    <row r="490">
      <c r="A490" s="40">
        <v>51</v>
      </c>
      <c r="B490" s="40" t="str">
        <v>420 Huỳnh Tấn Phát</v>
      </c>
      <c r="C490" s="40">
        <v>967</v>
      </c>
      <c r="D490" s="40" t="str">
        <v>(NEW) Nhuộm phủ bạc tiêu chuẩn 199K</v>
      </c>
      <c r="E490" s="40">
        <v>199000</v>
      </c>
    </row>
    <row r="491">
      <c r="A491" s="40">
        <v>51</v>
      </c>
      <c r="B491" s="40" t="str">
        <v>420 Huỳnh Tấn Phát</v>
      </c>
      <c r="C491" s="40">
        <v>1009</v>
      </c>
      <c r="D491" s="40" t="str">
        <v>(NEW) Uốn/Duỗi/Định hình full đầu tạo form vào nếp tự nhiên</v>
      </c>
      <c r="E491" s="40">
        <v>386000</v>
      </c>
    </row>
    <row r="492">
      <c r="A492" s="40">
        <v>51</v>
      </c>
      <c r="B492" s="40" t="str">
        <v>420 Huỳnh Tấn Phát</v>
      </c>
      <c r="C492" s="40">
        <v>1052</v>
      </c>
      <c r="D492" s="40" t="str">
        <v>Combo 1 - First Class 1</v>
      </c>
      <c r="E492" s="40">
        <v>159000</v>
      </c>
    </row>
    <row r="493">
      <c r="A493" s="40">
        <v>51</v>
      </c>
      <c r="B493" s="40" t="str">
        <v>420 Huỳnh Tấn Phát</v>
      </c>
      <c r="C493" s="40">
        <v>1048</v>
      </c>
      <c r="D493" s="40" t="str">
        <v>Combo 4</v>
      </c>
      <c r="E493" s="40">
        <v>379000</v>
      </c>
    </row>
    <row r="494">
      <c r="A494" s="40">
        <v>51</v>
      </c>
      <c r="B494" s="40" t="str">
        <v>420 Huỳnh Tấn Phát</v>
      </c>
      <c r="C494" s="40">
        <v>1048</v>
      </c>
      <c r="D494" s="40" t="str">
        <v>Combo 4</v>
      </c>
      <c r="E494" s="40">
        <v>389000</v>
      </c>
    </row>
    <row r="495">
      <c r="A495" s="40">
        <v>51</v>
      </c>
      <c r="B495" s="40" t="str">
        <v>420 Huỳnh Tấn Phát</v>
      </c>
      <c r="C495" s="40">
        <v>1055</v>
      </c>
      <c r="D495" s="40" t="str">
        <v>Combo 4- First Class 4</v>
      </c>
      <c r="E495" s="40">
        <v>399000</v>
      </c>
    </row>
    <row r="496">
      <c r="A496" s="40">
        <v>51</v>
      </c>
      <c r="B496" s="40" t="str">
        <v>420 Huỳnh Tấn Phát</v>
      </c>
      <c r="C496" s="40">
        <v>1070</v>
      </c>
      <c r="D496" s="40" t="str">
        <v>Combo Cắt gội Kid</v>
      </c>
      <c r="E496" s="40">
        <v>100000</v>
      </c>
    </row>
    <row r="497">
      <c r="A497" s="40">
        <v>51</v>
      </c>
      <c r="B497" s="40" t="str">
        <v>420 Huỳnh Tấn Phát</v>
      </c>
      <c r="C497" s="40">
        <v>1047</v>
      </c>
      <c r="D497" s="40" t="str">
        <v>Cắt Gội Combo 3 - Chăm da</v>
      </c>
      <c r="E497" s="40">
        <v>299000</v>
      </c>
    </row>
    <row r="498">
      <c r="A498" s="40">
        <v>51</v>
      </c>
      <c r="B498" s="40" t="str">
        <v>420 Huỳnh Tấn Phát</v>
      </c>
      <c r="C498" s="40">
        <v>891</v>
      </c>
      <c r="D498" s="40" t="str">
        <v>Cắt xả tạo kiểu</v>
      </c>
      <c r="E498" s="40">
        <v>94000</v>
      </c>
    </row>
    <row r="499">
      <c r="A499" s="40">
        <v>51</v>
      </c>
      <c r="B499" s="40" t="str">
        <v>420 Huỳnh Tấn Phát</v>
      </c>
      <c r="C499" s="40">
        <v>891</v>
      </c>
      <c r="D499" s="40" t="str">
        <v>Cắt xả tạo kiểu</v>
      </c>
      <c r="E499" s="40">
        <v>90000</v>
      </c>
    </row>
    <row r="500">
      <c r="A500" s="40">
        <v>51</v>
      </c>
      <c r="B500" s="40" t="str">
        <v>420 Huỳnh Tấn Phát</v>
      </c>
      <c r="C500" s="40">
        <v>1058</v>
      </c>
      <c r="D500" s="40" t="str" xml:space="preserve">
        <v>Gội Combo 2 </v>
      </c>
      <c r="E500" s="40">
        <v>159000</v>
      </c>
    </row>
    <row r="501">
      <c r="A501" s="40">
        <v>51</v>
      </c>
      <c r="B501" s="40" t="str">
        <v>420 Huỳnh Tấn Phát</v>
      </c>
      <c r="C501" s="40">
        <v>1059</v>
      </c>
      <c r="D501" s="40" t="str">
        <v>Gội Combo 3 - Chăm da</v>
      </c>
      <c r="E501" s="40">
        <v>239000</v>
      </c>
    </row>
    <row r="502">
      <c r="A502" s="40">
        <v>51</v>
      </c>
      <c r="B502" s="40" t="str">
        <v>420 Huỳnh Tấn Phát</v>
      </c>
      <c r="C502" s="40">
        <v>1059</v>
      </c>
      <c r="D502" s="40" t="str">
        <v>Gội Combo 3 - Chăm da</v>
      </c>
      <c r="E502" s="40">
        <v>219000</v>
      </c>
    </row>
    <row r="503">
      <c r="A503" s="40">
        <v>51</v>
      </c>
      <c r="B503" s="40" t="str">
        <v>420 Huỳnh Tấn Phát</v>
      </c>
      <c r="C503" s="40">
        <v>1060</v>
      </c>
      <c r="D503" s="40" t="str">
        <v>Gội Combo 4</v>
      </c>
      <c r="E503" s="40">
        <v>319000</v>
      </c>
    </row>
    <row r="504">
      <c r="A504" s="40">
        <v>51</v>
      </c>
      <c r="B504" s="40" t="str">
        <v>420 Huỳnh Tấn Phát</v>
      </c>
      <c r="C504" s="40">
        <v>1060</v>
      </c>
      <c r="D504" s="40" t="str">
        <v>Gội Combo 4</v>
      </c>
      <c r="E504" s="40">
        <v>289000</v>
      </c>
    </row>
    <row r="505">
      <c r="A505" s="40">
        <v>51</v>
      </c>
      <c r="B505" s="40" t="str">
        <v>420 Huỳnh Tấn Phát</v>
      </c>
      <c r="C505" s="40">
        <v>932</v>
      </c>
      <c r="D505" s="40" t="str">
        <v>Gội combo 5 dưỡng sinh</v>
      </c>
      <c r="E505" s="40">
        <v>399000</v>
      </c>
    </row>
    <row r="506">
      <c r="A506" s="40">
        <v>51</v>
      </c>
      <c r="B506" s="40" t="str">
        <v>420 Huỳnh Tấn Phát</v>
      </c>
      <c r="C506" s="40">
        <v>867</v>
      </c>
      <c r="D506" s="40" t="str">
        <v>Gội dưỡng sinh cổ vai gáy</v>
      </c>
      <c r="E506" s="40">
        <v>129000</v>
      </c>
    </row>
    <row r="507">
      <c r="A507" s="40">
        <v>51</v>
      </c>
      <c r="B507" s="40" t="str">
        <v>420 Huỳnh Tấn Phát</v>
      </c>
      <c r="C507" s="40">
        <v>1002</v>
      </c>
      <c r="D507" s="40" t="str">
        <v>Kid Cắt</v>
      </c>
      <c r="E507" s="40">
        <v>75000</v>
      </c>
    </row>
    <row r="508">
      <c r="A508" s="40">
        <v>51</v>
      </c>
      <c r="B508" s="40" t="str">
        <v>420 Huỳnh Tấn Phát</v>
      </c>
      <c r="C508" s="40">
        <v>1149</v>
      </c>
      <c r="D508" s="40" t="str">
        <v>NHUỘM THIẾT KẾ PHỤC HỒI CHUYÊN SÂU LIPID BOND 2025</v>
      </c>
      <c r="E508" s="40">
        <v>759000</v>
      </c>
    </row>
    <row r="509">
      <c r="A509" s="40">
        <v>51</v>
      </c>
      <c r="B509" s="40" t="str">
        <v>420 Huỳnh Tấn Phát</v>
      </c>
      <c r="C509" s="40">
        <v>1101</v>
      </c>
      <c r="D509" s="40" t="str">
        <v>Phục hồi trẻ hóa Lipid Bond</v>
      </c>
      <c r="E509" s="40">
        <v>146000</v>
      </c>
    </row>
    <row r="510">
      <c r="A510" s="40">
        <v>51</v>
      </c>
      <c r="B510" s="40" t="str">
        <v>420 Huỳnh Tấn Phát</v>
      </c>
      <c r="C510" s="40">
        <v>1046</v>
      </c>
      <c r="D510" s="40" t="str" xml:space="preserve">
        <v>Shinecombo 2 </v>
      </c>
      <c r="E510" s="40">
        <v>199000</v>
      </c>
    </row>
    <row r="511">
      <c r="A511" s="40">
        <v>51</v>
      </c>
      <c r="B511" s="40" t="str">
        <v>420 Huỳnh Tấn Phát</v>
      </c>
      <c r="C511" s="40">
        <v>1148</v>
      </c>
      <c r="D511" s="40" t="str">
        <v>UỐN THIẾT KẾ PHỤC HỒI CHUYÊN SÂU LIPID BOND 2025</v>
      </c>
      <c r="E511" s="40">
        <v>689000</v>
      </c>
    </row>
    <row r="512">
      <c r="A512" s="40">
        <v>51</v>
      </c>
      <c r="B512" s="40" t="str">
        <v>420 Huỳnh Tấn Phát</v>
      </c>
      <c r="C512" s="40">
        <v>952</v>
      </c>
      <c r="D512" s="40" t="str">
        <v>Uốn định hình nếp tóc cao cấp (K-Perm Collection)</v>
      </c>
      <c r="E512" s="40">
        <v>478000</v>
      </c>
    </row>
    <row r="513">
      <c r="A513" s="40">
        <v>51</v>
      </c>
      <c r="B513" s="40" t="str">
        <v>420 Huỳnh Tấn Phát</v>
      </c>
      <c r="C513" s="40">
        <v>635</v>
      </c>
      <c r="D513" s="40" t="str">
        <v>[DV] Detox tẩy da chết da đầu</v>
      </c>
      <c r="E513" s="40">
        <v>45000</v>
      </c>
    </row>
    <row r="514">
      <c r="A514" s="40">
        <v>51</v>
      </c>
      <c r="B514" s="40" t="str">
        <v>420 Huỳnh Tấn Phát</v>
      </c>
      <c r="C514" s="40">
        <v>636</v>
      </c>
      <c r="D514" s="40" t="str">
        <v>[DV] Mặt nạ lạnh Hàn Quốc</v>
      </c>
      <c r="E514" s="40">
        <v>35000</v>
      </c>
    </row>
    <row r="515">
      <c r="A515" s="40">
        <v>51</v>
      </c>
      <c r="B515" s="40" t="str">
        <v>420 Huỳnh Tấn Phát</v>
      </c>
      <c r="C515" s="40">
        <v>625</v>
      </c>
      <c r="D515" s="40" t="str">
        <v>[DV] Mặt nạ tẩy da chết sủi bọt cao cấp</v>
      </c>
      <c r="E515" s="40">
        <v>55000</v>
      </c>
    </row>
    <row r="516">
      <c r="A516" s="40">
        <v>51</v>
      </c>
      <c r="B516" s="40" t="str">
        <v>420 Huỳnh Tấn Phát</v>
      </c>
      <c r="C516" s="40">
        <v>912</v>
      </c>
      <c r="D516" s="40" t="str">
        <v>[DV] Nhuộm đen phủ bạc R&amp;B thảo dược</v>
      </c>
      <c r="E516" s="40">
        <v>289000</v>
      </c>
    </row>
    <row r="517">
      <c r="A517" s="40">
        <v>51</v>
      </c>
      <c r="B517" s="40" t="str">
        <v>420 Huỳnh Tấn Phát</v>
      </c>
      <c r="C517" s="40">
        <v>513</v>
      </c>
      <c r="D517" s="40" t="str">
        <v>[DV] ShineCombo 10 bước Ultra Care 2023</v>
      </c>
      <c r="E517" s="40">
        <v>120000</v>
      </c>
    </row>
    <row r="518">
      <c r="A518" s="40">
        <v>51</v>
      </c>
      <c r="B518" s="40" t="str">
        <v>420 Huỳnh Tấn Phát</v>
      </c>
      <c r="C518" s="40">
        <v>513</v>
      </c>
      <c r="D518" s="40" t="str">
        <v>[DV] ShineCombo 10 bước Ultra Care 2023</v>
      </c>
      <c r="E518" s="40">
        <v>122000</v>
      </c>
    </row>
    <row r="519">
      <c r="A519" s="40">
        <v>51</v>
      </c>
      <c r="B519" s="40" t="str">
        <v>420 Huỳnh Tấn Phát</v>
      </c>
      <c r="C519" s="40">
        <v>462</v>
      </c>
      <c r="D519" s="40" t="str">
        <v>[DV] Thư giãn cổ, vai, gáy bạc hà cam ngọt - Thư giãn tai sảng khoái 9 tầng mây 45k</v>
      </c>
      <c r="E519" s="40">
        <v>45000</v>
      </c>
    </row>
    <row r="520">
      <c r="A520" s="40">
        <v>51</v>
      </c>
      <c r="B520" s="40" t="str">
        <v>420 Huỳnh Tấn Phát</v>
      </c>
      <c r="C520" s="40">
        <v>634</v>
      </c>
      <c r="D520" s="40" t="str">
        <v>[DV] Tẩy da chết sủi bọt Hàn Quốc</v>
      </c>
      <c r="E520" s="40">
        <v>35000</v>
      </c>
    </row>
    <row r="521">
      <c r="A521" s="40">
        <v>51</v>
      </c>
      <c r="B521" s="40" t="str">
        <v>420 Huỳnh Tấn Phát</v>
      </c>
      <c r="C521" s="40">
        <v>915</v>
      </c>
      <c r="D521" s="40" t="str">
        <v>[DV] Tẩy tóc bật tông Ý (1 lần)</v>
      </c>
      <c r="E521" s="40">
        <v>252000</v>
      </c>
    </row>
    <row r="522">
      <c r="A522" s="40">
        <v>51</v>
      </c>
      <c r="B522" s="40" t="str">
        <v>420 Huỳnh Tấn Phát</v>
      </c>
      <c r="C522" s="40">
        <v>916</v>
      </c>
      <c r="D522" s="40" t="str">
        <v>[DV] Tẩy tóc bật tông Ý (2 lần) 500k</v>
      </c>
      <c r="E522" s="40">
        <v>500000</v>
      </c>
    </row>
    <row r="523">
      <c r="A523" s="40">
        <v>51</v>
      </c>
      <c r="B523" s="40" t="str">
        <v>420 Huỳnh Tấn Phát</v>
      </c>
      <c r="C523" s="40">
        <v>674</v>
      </c>
      <c r="D523" s="40" t="str">
        <v>[DV] Uốn Texture con sâu/Uốn Ruffled</v>
      </c>
      <c r="E523" s="40">
        <v>550000</v>
      </c>
    </row>
    <row r="524">
      <c r="A524" s="40">
        <v>51</v>
      </c>
      <c r="B524" s="40" t="str">
        <v>420 Huỳnh Tấn Phát</v>
      </c>
      <c r="C524" s="40">
        <v>941</v>
      </c>
      <c r="D524" s="40" t="str">
        <v>[DV] Vuốt sáp - sấy tạo kiểu 10k</v>
      </c>
      <c r="E524" s="40">
        <v>10000</v>
      </c>
    </row>
    <row r="525">
      <c r="A525" s="40">
        <v>51</v>
      </c>
      <c r="B525" s="40" t="str">
        <v>420 Huỳnh Tấn Phát</v>
      </c>
      <c r="C525" s="40">
        <v>902</v>
      </c>
      <c r="D525" s="40" t="str">
        <v>[DV] Ép side hai bên</v>
      </c>
      <c r="E525" s="40">
        <v>216000</v>
      </c>
    </row>
    <row r="526">
      <c r="A526" s="40">
        <v>51</v>
      </c>
      <c r="B526" s="40" t="str">
        <v>420 Huỳnh Tấn Phát</v>
      </c>
      <c r="C526" s="40">
        <v>940</v>
      </c>
      <c r="D526" s="40" t="str">
        <v>[NEW] Gội dưỡng sinh</v>
      </c>
      <c r="E526" s="40">
        <v>59000</v>
      </c>
    </row>
    <row r="527">
      <c r="A527" s="40">
        <v>51</v>
      </c>
      <c r="B527" s="40" t="str">
        <v>420 Huỳnh Tấn Phát</v>
      </c>
      <c r="C527" s="40">
        <v>940</v>
      </c>
      <c r="D527" s="40" t="str">
        <v>[NEW] Gội dưỡng sinh</v>
      </c>
      <c r="E527" s="40">
        <v>50000</v>
      </c>
    </row>
    <row r="528">
      <c r="A528" s="40">
        <v>51</v>
      </c>
      <c r="B528" s="40" t="str">
        <v>420 Huỳnh Tấn Phát</v>
      </c>
      <c r="C528" s="40">
        <v>603</v>
      </c>
      <c r="D528" s="40" t="str">
        <v>Đánh bay mụn cám lột mụn (Full Face)</v>
      </c>
      <c r="E528" s="40">
        <v>49000</v>
      </c>
    </row>
    <row r="529">
      <c r="A529" s="40">
        <v>52</v>
      </c>
      <c r="B529" s="40" t="str">
        <v>451 Phạm Văn Thuận</v>
      </c>
      <c r="C529" s="40">
        <v>610</v>
      </c>
      <c r="D529" s="40" t="str">
        <v>(2022T) ATS Control Buffer - Khử mùi tạo thơm cho tóc uốn nhuộm 40k</v>
      </c>
      <c r="E529" s="40">
        <v>40000</v>
      </c>
    </row>
    <row r="530">
      <c r="A530" s="40">
        <v>52</v>
      </c>
      <c r="B530" s="40" t="str">
        <v>451 Phạm Văn Thuận</v>
      </c>
      <c r="C530" s="40">
        <v>960</v>
      </c>
      <c r="D530" s="40" t="str">
        <v>(NEW) Nhuộm màu thời trang Milano</v>
      </c>
      <c r="E530" s="40">
        <v>332000</v>
      </c>
    </row>
    <row r="531">
      <c r="A531" s="40">
        <v>52</v>
      </c>
      <c r="B531" s="40" t="str">
        <v>451 Phạm Văn Thuận</v>
      </c>
      <c r="C531" s="40">
        <v>967</v>
      </c>
      <c r="D531" s="40" t="str">
        <v>(NEW) Nhuộm phủ bạc tiêu chuẩn 199K</v>
      </c>
      <c r="E531" s="40">
        <v>199000</v>
      </c>
    </row>
    <row r="532">
      <c r="A532" s="40">
        <v>52</v>
      </c>
      <c r="B532" s="40" t="str">
        <v>451 Phạm Văn Thuận</v>
      </c>
      <c r="C532" s="40">
        <v>1009</v>
      </c>
      <c r="D532" s="40" t="str">
        <v>(NEW) Uốn/Duỗi/Định hình full đầu tạo form vào nếp tự nhiên</v>
      </c>
      <c r="E532" s="40">
        <v>386000</v>
      </c>
    </row>
    <row r="533">
      <c r="A533" s="40">
        <v>52</v>
      </c>
      <c r="B533" s="40" t="str">
        <v>451 Phạm Văn Thuận</v>
      </c>
      <c r="C533" s="40">
        <v>1053</v>
      </c>
      <c r="D533" s="40" t="str">
        <v>Combo 2 - First Class 2</v>
      </c>
      <c r="E533" s="40">
        <v>239000</v>
      </c>
    </row>
    <row r="534">
      <c r="A534" s="40">
        <v>52</v>
      </c>
      <c r="B534" s="40" t="str">
        <v>451 Phạm Văn Thuận</v>
      </c>
      <c r="C534" s="40">
        <v>1048</v>
      </c>
      <c r="D534" s="40" t="str">
        <v>Combo 4</v>
      </c>
      <c r="E534" s="40">
        <v>389000</v>
      </c>
    </row>
    <row r="535">
      <c r="A535" s="40">
        <v>52</v>
      </c>
      <c r="B535" s="40" t="str">
        <v>451 Phạm Văn Thuận</v>
      </c>
      <c r="C535" s="40">
        <v>1070</v>
      </c>
      <c r="D535" s="40" t="str">
        <v>Combo Cắt gội Kid</v>
      </c>
      <c r="E535" s="40">
        <v>100000</v>
      </c>
    </row>
    <row r="536">
      <c r="A536" s="40">
        <v>52</v>
      </c>
      <c r="B536" s="40" t="str">
        <v>451 Phạm Văn Thuận</v>
      </c>
      <c r="C536" s="40">
        <v>1150</v>
      </c>
      <c r="D536" s="40" t="str">
        <v>Combo cắt gội đỉnh cao thư giãn vip</v>
      </c>
      <c r="E536" s="40">
        <v>500000</v>
      </c>
    </row>
    <row r="537">
      <c r="A537" s="40">
        <v>52</v>
      </c>
      <c r="B537" s="40" t="str">
        <v>451 Phạm Văn Thuận</v>
      </c>
      <c r="C537" s="40">
        <v>1047</v>
      </c>
      <c r="D537" s="40" t="str">
        <v>Cắt Gội Combo 3 - Chăm da</v>
      </c>
      <c r="E537" s="40">
        <v>299000</v>
      </c>
    </row>
    <row r="538">
      <c r="A538" s="40">
        <v>52</v>
      </c>
      <c r="B538" s="40" t="str">
        <v>451 Phạm Văn Thuận</v>
      </c>
      <c r="C538" s="40">
        <v>1047</v>
      </c>
      <c r="D538" s="40" t="str">
        <v>Cắt Gội Combo 3 - Chăm da</v>
      </c>
      <c r="E538" s="40">
        <v>279000</v>
      </c>
    </row>
    <row r="539">
      <c r="A539" s="40">
        <v>52</v>
      </c>
      <c r="B539" s="40" t="str">
        <v>451 Phạm Văn Thuận</v>
      </c>
      <c r="C539" s="40">
        <v>1065</v>
      </c>
      <c r="D539" s="40" t="str">
        <v>Cắt Gội Combo 3 - Dưỡng sinh</v>
      </c>
      <c r="E539" s="40">
        <v>299000</v>
      </c>
    </row>
    <row r="540">
      <c r="A540" s="40">
        <v>52</v>
      </c>
      <c r="B540" s="40" t="str">
        <v>451 Phạm Văn Thuận</v>
      </c>
      <c r="C540" s="40">
        <v>891</v>
      </c>
      <c r="D540" s="40" t="str">
        <v>Cắt xả tạo kiểu</v>
      </c>
      <c r="E540" s="40">
        <v>94000</v>
      </c>
    </row>
    <row r="541">
      <c r="A541" s="40">
        <v>52</v>
      </c>
      <c r="B541" s="40" t="str">
        <v>451 Phạm Văn Thuận</v>
      </c>
      <c r="C541" s="40">
        <v>1058</v>
      </c>
      <c r="D541" s="40" t="str" xml:space="preserve">
        <v>Gội Combo 2 </v>
      </c>
      <c r="E541" s="40">
        <v>139000</v>
      </c>
    </row>
    <row r="542">
      <c r="A542" s="40">
        <v>52</v>
      </c>
      <c r="B542" s="40" t="str">
        <v>451 Phạm Văn Thuận</v>
      </c>
      <c r="C542" s="40">
        <v>1059</v>
      </c>
      <c r="D542" s="40" t="str">
        <v>Gội Combo 3 - Chăm da</v>
      </c>
      <c r="E542" s="40">
        <v>239000</v>
      </c>
    </row>
    <row r="543">
      <c r="A543" s="40">
        <v>52</v>
      </c>
      <c r="B543" s="40" t="str">
        <v>451 Phạm Văn Thuận</v>
      </c>
      <c r="C543" s="40">
        <v>1060</v>
      </c>
      <c r="D543" s="40" t="str">
        <v>Gội Combo 4</v>
      </c>
      <c r="E543" s="40">
        <v>289000</v>
      </c>
    </row>
    <row r="544">
      <c r="A544" s="40">
        <v>52</v>
      </c>
      <c r="B544" s="40" t="str">
        <v>451 Phạm Văn Thuận</v>
      </c>
      <c r="C544" s="40">
        <v>934</v>
      </c>
      <c r="D544" s="40" t="str">
        <v>Gội combo 3 - Dưỡng sinh</v>
      </c>
      <c r="E544" s="40">
        <v>229000</v>
      </c>
    </row>
    <row r="545">
      <c r="A545" s="40">
        <v>52</v>
      </c>
      <c r="B545" s="40" t="str">
        <v>451 Phạm Văn Thuận</v>
      </c>
      <c r="C545" s="40">
        <v>867</v>
      </c>
      <c r="D545" s="40" t="str">
        <v>Gội dưỡng sinh cổ vai gáy</v>
      </c>
      <c r="E545" s="40">
        <v>99000</v>
      </c>
    </row>
    <row r="546">
      <c r="A546" s="40">
        <v>52</v>
      </c>
      <c r="B546" s="40" t="str">
        <v>451 Phạm Văn Thuận</v>
      </c>
      <c r="C546" s="40">
        <v>1002</v>
      </c>
      <c r="D546" s="40" t="str">
        <v>Kid Cắt</v>
      </c>
      <c r="E546" s="40">
        <v>75000</v>
      </c>
    </row>
    <row r="547">
      <c r="A547" s="40">
        <v>52</v>
      </c>
      <c r="B547" s="40" t="str">
        <v>451 Phạm Văn Thuận</v>
      </c>
      <c r="C547" s="40">
        <v>1149</v>
      </c>
      <c r="D547" s="40" t="str">
        <v>NHUỘM THIẾT KẾ PHỤC HỒI CHUYÊN SÂU LIPID BOND 2025</v>
      </c>
      <c r="E547" s="40">
        <v>689000</v>
      </c>
    </row>
    <row r="548">
      <c r="A548" s="40">
        <v>52</v>
      </c>
      <c r="B548" s="40" t="str">
        <v>451 Phạm Văn Thuận</v>
      </c>
      <c r="C548" s="40">
        <v>615</v>
      </c>
      <c r="D548" s="40" t="str">
        <v>Nhổ tóc bạc buổi trưa</v>
      </c>
      <c r="E548" s="40">
        <v>150000</v>
      </c>
    </row>
    <row r="549">
      <c r="A549" s="40">
        <v>52</v>
      </c>
      <c r="B549" s="40" t="str">
        <v>451 Phạm Văn Thuận</v>
      </c>
      <c r="C549" s="40">
        <v>1046</v>
      </c>
      <c r="D549" s="40" t="str" xml:space="preserve">
        <v>Shinecombo 2 </v>
      </c>
      <c r="E549" s="40">
        <v>199000</v>
      </c>
    </row>
    <row r="550">
      <c r="A550" s="40">
        <v>52</v>
      </c>
      <c r="B550" s="40" t="str">
        <v>451 Phạm Văn Thuận</v>
      </c>
      <c r="C550" s="40">
        <v>1046</v>
      </c>
      <c r="D550" s="40" t="str" xml:space="preserve">
        <v>Shinecombo 2 </v>
      </c>
      <c r="E550" s="40">
        <v>169000</v>
      </c>
    </row>
    <row r="551">
      <c r="A551" s="40">
        <v>52</v>
      </c>
      <c r="B551" s="40" t="str">
        <v>451 Phạm Văn Thuận</v>
      </c>
      <c r="C551" s="40">
        <v>1148</v>
      </c>
      <c r="D551" s="40" t="str">
        <v>UỐN THIẾT KẾ PHỤC HỒI CHUYÊN SÂU LIPID BOND 2025</v>
      </c>
      <c r="E551" s="40">
        <v>689000</v>
      </c>
    </row>
    <row r="552">
      <c r="A552" s="40">
        <v>52</v>
      </c>
      <c r="B552" s="40" t="str">
        <v>451 Phạm Văn Thuận</v>
      </c>
      <c r="C552" s="40">
        <v>952</v>
      </c>
      <c r="D552" s="40" t="str">
        <v>Uốn định hình nếp tóc cao cấp (K-Perm Collection)</v>
      </c>
      <c r="E552" s="40">
        <v>478000</v>
      </c>
    </row>
    <row r="553">
      <c r="A553" s="40">
        <v>52</v>
      </c>
      <c r="B553" s="40" t="str">
        <v>451 Phạm Văn Thuận</v>
      </c>
      <c r="C553" s="40">
        <v>625</v>
      </c>
      <c r="D553" s="40" t="str">
        <v>[DV] Mặt nạ tẩy da chết sủi bọt cao cấp</v>
      </c>
      <c r="E553" s="40">
        <v>55000</v>
      </c>
    </row>
    <row r="554">
      <c r="A554" s="40">
        <v>52</v>
      </c>
      <c r="B554" s="40" t="str">
        <v>451 Phạm Văn Thuận</v>
      </c>
      <c r="C554" s="40">
        <v>912</v>
      </c>
      <c r="D554" s="40" t="str">
        <v>[DV] Nhuộm đen phủ bạc R&amp;B thảo dược</v>
      </c>
      <c r="E554" s="40">
        <v>289000</v>
      </c>
    </row>
    <row r="555">
      <c r="A555" s="40">
        <v>52</v>
      </c>
      <c r="B555" s="40" t="str">
        <v>451 Phạm Văn Thuận</v>
      </c>
      <c r="C555" s="40">
        <v>513</v>
      </c>
      <c r="D555" s="40" t="str">
        <v>[DV] ShineCombo 10 bước Ultra Care 2023</v>
      </c>
      <c r="E555" s="40">
        <v>122000</v>
      </c>
    </row>
    <row r="556">
      <c r="A556" s="40">
        <v>52</v>
      </c>
      <c r="B556" s="40" t="str">
        <v>451 Phạm Văn Thuận</v>
      </c>
      <c r="C556" s="40">
        <v>513</v>
      </c>
      <c r="D556" s="40" t="str">
        <v>[DV] ShineCombo 10 bước Ultra Care 2023</v>
      </c>
      <c r="E556" s="40">
        <v>120000</v>
      </c>
    </row>
    <row r="557">
      <c r="A557" s="40">
        <v>52</v>
      </c>
      <c r="B557" s="40" t="str">
        <v>451 Phạm Văn Thuận</v>
      </c>
      <c r="C557" s="40">
        <v>915</v>
      </c>
      <c r="D557" s="40" t="str">
        <v>[DV] Tẩy tóc bật tông Ý (1 lần)</v>
      </c>
      <c r="E557" s="40">
        <v>252000</v>
      </c>
    </row>
    <row r="558">
      <c r="A558" s="40">
        <v>52</v>
      </c>
      <c r="B558" s="40" t="str">
        <v>451 Phạm Văn Thuận</v>
      </c>
      <c r="C558" s="40">
        <v>674</v>
      </c>
      <c r="D558" s="40" t="str">
        <v>[DV] Uốn Texture con sâu/Uốn Ruffled</v>
      </c>
      <c r="E558" s="40">
        <v>499000</v>
      </c>
    </row>
    <row r="559">
      <c r="A559" s="40">
        <v>52</v>
      </c>
      <c r="B559" s="40" t="str">
        <v>451 Phạm Văn Thuận</v>
      </c>
      <c r="C559" s="40">
        <v>941</v>
      </c>
      <c r="D559" s="40" t="str">
        <v>[DV] Vuốt sáp - sấy tạo kiểu 10k</v>
      </c>
      <c r="E559" s="40">
        <v>10000</v>
      </c>
    </row>
    <row r="560">
      <c r="A560" s="40">
        <v>52</v>
      </c>
      <c r="B560" s="40" t="str">
        <v>451 Phạm Văn Thuận</v>
      </c>
      <c r="C560" s="40">
        <v>940</v>
      </c>
      <c r="D560" s="40" t="str">
        <v>[NEW] Gội dưỡng sinh</v>
      </c>
      <c r="E560" s="40">
        <v>59000</v>
      </c>
    </row>
    <row r="561">
      <c r="A561" s="40">
        <v>52</v>
      </c>
      <c r="B561" s="40" t="str">
        <v>451 Phạm Văn Thuận</v>
      </c>
      <c r="C561" s="40">
        <v>603</v>
      </c>
      <c r="D561" s="40" t="str">
        <v>Đánh bay mụn cám lột mụn (Full Face)</v>
      </c>
      <c r="E561" s="40">
        <v>49000</v>
      </c>
    </row>
    <row r="562">
      <c r="A562" s="40">
        <v>58</v>
      </c>
      <c r="B562" s="40" t="str">
        <v>730 Tỉnh lộ 10</v>
      </c>
      <c r="C562" s="40">
        <v>610</v>
      </c>
      <c r="D562" s="40" t="str">
        <v>(2022T) ATS Control Buffer - Khử mùi tạo thơm cho tóc uốn nhuộm 40k</v>
      </c>
      <c r="E562" s="40">
        <v>40000</v>
      </c>
    </row>
    <row r="563">
      <c r="A563" s="40">
        <v>58</v>
      </c>
      <c r="B563" s="40" t="str">
        <v>730 Tỉnh lộ 10</v>
      </c>
      <c r="C563" s="40">
        <v>960</v>
      </c>
      <c r="D563" s="40" t="str">
        <v>(NEW) Nhuộm màu thời trang Milano</v>
      </c>
      <c r="E563" s="40">
        <v>366000</v>
      </c>
    </row>
    <row r="564">
      <c r="A564" s="40">
        <v>58</v>
      </c>
      <c r="B564" s="40" t="str">
        <v>730 Tỉnh lộ 10</v>
      </c>
      <c r="C564" s="40">
        <v>967</v>
      </c>
      <c r="D564" s="40" t="str">
        <v>(NEW) Nhuộm phủ bạc tiêu chuẩn 199K</v>
      </c>
      <c r="E564" s="40">
        <v>227000</v>
      </c>
    </row>
    <row r="565">
      <c r="A565" s="40">
        <v>58</v>
      </c>
      <c r="B565" s="40" t="str">
        <v>730 Tỉnh lộ 10</v>
      </c>
      <c r="C565" s="40">
        <v>1009</v>
      </c>
      <c r="D565" s="40" t="str">
        <v>(NEW) Uốn/Duỗi/Định hình full đầu tạo form vào nếp tự nhiên</v>
      </c>
      <c r="E565" s="40">
        <v>386000</v>
      </c>
    </row>
    <row r="566">
      <c r="A566" s="40">
        <v>58</v>
      </c>
      <c r="B566" s="40" t="str">
        <v>730 Tỉnh lộ 10</v>
      </c>
      <c r="C566" s="40">
        <v>1052</v>
      </c>
      <c r="D566" s="40" t="str">
        <v>Combo 1 - First Class 1</v>
      </c>
      <c r="E566" s="40">
        <v>159000</v>
      </c>
    </row>
    <row r="567">
      <c r="A567" s="40">
        <v>58</v>
      </c>
      <c r="B567" s="40" t="str">
        <v>730 Tỉnh lộ 10</v>
      </c>
      <c r="C567" s="40">
        <v>1048</v>
      </c>
      <c r="D567" s="40" t="str">
        <v>Combo 4</v>
      </c>
      <c r="E567" s="40">
        <v>389000</v>
      </c>
    </row>
    <row r="568">
      <c r="A568" s="40">
        <v>58</v>
      </c>
      <c r="B568" s="40" t="str">
        <v>730 Tỉnh lộ 10</v>
      </c>
      <c r="C568" s="40">
        <v>1194</v>
      </c>
      <c r="D568" s="40" t="str">
        <v>Combo Best choice</v>
      </c>
      <c r="E568" s="40">
        <v>299000</v>
      </c>
    </row>
    <row r="569">
      <c r="A569" s="40">
        <v>58</v>
      </c>
      <c r="B569" s="40" t="str">
        <v>730 Tỉnh lộ 10</v>
      </c>
      <c r="C569" s="40">
        <v>1070</v>
      </c>
      <c r="D569" s="40" t="str">
        <v>Combo Cắt gội Kid</v>
      </c>
      <c r="E569" s="40">
        <v>100000</v>
      </c>
    </row>
    <row r="570">
      <c r="A570" s="40">
        <v>58</v>
      </c>
      <c r="B570" s="40" t="str">
        <v>730 Tỉnh lộ 10</v>
      </c>
      <c r="C570" s="40">
        <v>1047</v>
      </c>
      <c r="D570" s="40" t="str">
        <v>Cắt Gội Combo 3 - Chăm da</v>
      </c>
      <c r="E570" s="40">
        <v>299000</v>
      </c>
    </row>
    <row r="571">
      <c r="A571" s="40">
        <v>58</v>
      </c>
      <c r="B571" s="40" t="str">
        <v>730 Tỉnh lộ 10</v>
      </c>
      <c r="C571" s="40">
        <v>1065</v>
      </c>
      <c r="D571" s="40" t="str">
        <v>Cắt Gội Combo 3 - Dưỡng sinh</v>
      </c>
      <c r="E571" s="40">
        <v>299000</v>
      </c>
    </row>
    <row r="572">
      <c r="A572" s="40">
        <v>58</v>
      </c>
      <c r="B572" s="40" t="str">
        <v>730 Tỉnh lộ 10</v>
      </c>
      <c r="C572" s="40">
        <v>1064</v>
      </c>
      <c r="D572" s="40" t="str">
        <v>Cắt Gội Combo 5 - Dưỡng sinh</v>
      </c>
      <c r="E572" s="40">
        <v>459000</v>
      </c>
    </row>
    <row r="573">
      <c r="A573" s="40">
        <v>58</v>
      </c>
      <c r="B573" s="40" t="str">
        <v>730 Tỉnh lộ 10</v>
      </c>
      <c r="C573" s="40">
        <v>891</v>
      </c>
      <c r="D573" s="40" t="str">
        <v>Cắt xả tạo kiểu</v>
      </c>
      <c r="E573" s="40">
        <v>90000</v>
      </c>
    </row>
    <row r="574">
      <c r="A574" s="40">
        <v>58</v>
      </c>
      <c r="B574" s="40" t="str">
        <v>730 Tỉnh lộ 10</v>
      </c>
      <c r="C574" s="40">
        <v>891</v>
      </c>
      <c r="D574" s="40" t="str">
        <v>Cắt xả tạo kiểu</v>
      </c>
      <c r="E574" s="40">
        <v>94000</v>
      </c>
    </row>
    <row r="575">
      <c r="A575" s="40">
        <v>58</v>
      </c>
      <c r="B575" s="40" t="str">
        <v>730 Tỉnh lộ 10</v>
      </c>
      <c r="C575" s="40">
        <v>1058</v>
      </c>
      <c r="D575" s="40" t="str" xml:space="preserve">
        <v>Gội Combo 2 </v>
      </c>
      <c r="E575" s="40">
        <v>159000</v>
      </c>
    </row>
    <row r="576">
      <c r="A576" s="40">
        <v>58</v>
      </c>
      <c r="B576" s="40" t="str">
        <v>730 Tỉnh lộ 10</v>
      </c>
      <c r="C576" s="40">
        <v>1059</v>
      </c>
      <c r="D576" s="40" t="str">
        <v>Gội Combo 3 - Chăm da</v>
      </c>
      <c r="E576" s="40">
        <v>239000</v>
      </c>
    </row>
    <row r="577">
      <c r="A577" s="40">
        <v>58</v>
      </c>
      <c r="B577" s="40" t="str">
        <v>730 Tỉnh lộ 10</v>
      </c>
      <c r="C577" s="40">
        <v>1059</v>
      </c>
      <c r="D577" s="40" t="str">
        <v>Gội Combo 3 - Chăm da</v>
      </c>
      <c r="E577" s="40">
        <v>219000</v>
      </c>
    </row>
    <row r="578">
      <c r="A578" s="40">
        <v>58</v>
      </c>
      <c r="B578" s="40" t="str">
        <v>730 Tỉnh lộ 10</v>
      </c>
      <c r="C578" s="40">
        <v>1060</v>
      </c>
      <c r="D578" s="40" t="str">
        <v>Gội Combo 4</v>
      </c>
      <c r="E578" s="40">
        <v>319000</v>
      </c>
    </row>
    <row r="579">
      <c r="A579" s="40">
        <v>58</v>
      </c>
      <c r="B579" s="40" t="str">
        <v>730 Tỉnh lộ 10</v>
      </c>
      <c r="C579" s="40">
        <v>1060</v>
      </c>
      <c r="D579" s="40" t="str">
        <v>Gội Combo 4</v>
      </c>
      <c r="E579" s="40">
        <v>289000</v>
      </c>
    </row>
    <row r="580">
      <c r="A580" s="40">
        <v>58</v>
      </c>
      <c r="B580" s="40" t="str">
        <v>730 Tỉnh lộ 10</v>
      </c>
      <c r="C580" s="40">
        <v>932</v>
      </c>
      <c r="D580" s="40" t="str">
        <v>Gội combo 5 dưỡng sinh</v>
      </c>
      <c r="E580" s="40">
        <v>399000</v>
      </c>
    </row>
    <row r="581">
      <c r="A581" s="40">
        <v>58</v>
      </c>
      <c r="B581" s="40" t="str">
        <v>730 Tỉnh lộ 10</v>
      </c>
      <c r="C581" s="40">
        <v>867</v>
      </c>
      <c r="D581" s="40" t="str">
        <v>Gội dưỡng sinh cổ vai gáy</v>
      </c>
      <c r="E581" s="40">
        <v>99000</v>
      </c>
    </row>
    <row r="582">
      <c r="A582" s="40">
        <v>58</v>
      </c>
      <c r="B582" s="40" t="str">
        <v>730 Tỉnh lộ 10</v>
      </c>
      <c r="C582" s="40">
        <v>867</v>
      </c>
      <c r="D582" s="40" t="str">
        <v>Gội dưỡng sinh cổ vai gáy</v>
      </c>
      <c r="E582" s="40">
        <v>95000</v>
      </c>
    </row>
    <row r="583">
      <c r="A583" s="40">
        <v>58</v>
      </c>
      <c r="B583" s="40" t="str">
        <v>730 Tỉnh lộ 10</v>
      </c>
      <c r="C583" s="40">
        <v>1066</v>
      </c>
      <c r="D583" s="40" t="str">
        <v>Gội trải nghiệm 75p</v>
      </c>
      <c r="E583" s="40">
        <v>589000</v>
      </c>
    </row>
    <row r="584">
      <c r="A584" s="40">
        <v>58</v>
      </c>
      <c r="B584" s="40" t="str">
        <v>730 Tỉnh lộ 10</v>
      </c>
      <c r="C584" s="40">
        <v>1002</v>
      </c>
      <c r="D584" s="40" t="str">
        <v>Kid Cắt</v>
      </c>
      <c r="E584" s="40">
        <v>75000</v>
      </c>
    </row>
    <row r="585">
      <c r="A585" s="40">
        <v>58</v>
      </c>
      <c r="B585" s="40" t="str">
        <v>730 Tỉnh lộ 10</v>
      </c>
      <c r="C585" s="40">
        <v>1101</v>
      </c>
      <c r="D585" s="40" t="str">
        <v>Phục hồi trẻ hóa Lipid Bond</v>
      </c>
      <c r="E585" s="40">
        <v>146000</v>
      </c>
    </row>
    <row r="586">
      <c r="A586" s="40">
        <v>58</v>
      </c>
      <c r="B586" s="40" t="str">
        <v>730 Tỉnh lộ 10</v>
      </c>
      <c r="C586" s="40">
        <v>1046</v>
      </c>
      <c r="D586" s="40" t="str" xml:space="preserve">
        <v>Shinecombo 2 </v>
      </c>
      <c r="E586" s="40">
        <v>199000</v>
      </c>
    </row>
    <row r="587">
      <c r="A587" s="40">
        <v>58</v>
      </c>
      <c r="B587" s="40" t="str">
        <v>730 Tỉnh lộ 10</v>
      </c>
      <c r="C587" s="40">
        <v>952</v>
      </c>
      <c r="D587" s="40" t="str">
        <v>Uốn định hình nếp tóc cao cấp (K-Perm Collection)</v>
      </c>
      <c r="E587" s="40">
        <v>478000</v>
      </c>
    </row>
    <row r="588">
      <c r="A588" s="40">
        <v>58</v>
      </c>
      <c r="B588" s="40" t="str">
        <v>730 Tỉnh lộ 10</v>
      </c>
      <c r="C588" s="40">
        <v>635</v>
      </c>
      <c r="D588" s="40" t="str">
        <v>[DV] Detox tẩy da chết da đầu</v>
      </c>
      <c r="E588" s="40">
        <v>45000</v>
      </c>
    </row>
    <row r="589">
      <c r="A589" s="40">
        <v>58</v>
      </c>
      <c r="B589" s="40" t="str">
        <v>730 Tỉnh lộ 10</v>
      </c>
      <c r="C589" s="40">
        <v>636</v>
      </c>
      <c r="D589" s="40" t="str">
        <v>[DV] Mặt nạ lạnh Hàn Quốc</v>
      </c>
      <c r="E589" s="40">
        <v>35000</v>
      </c>
    </row>
    <row r="590">
      <c r="A590" s="40">
        <v>58</v>
      </c>
      <c r="B590" s="40" t="str">
        <v>730 Tỉnh lộ 10</v>
      </c>
      <c r="C590" s="40">
        <v>625</v>
      </c>
      <c r="D590" s="40" t="str">
        <v>[DV] Mặt nạ tẩy da chết sủi bọt cao cấp</v>
      </c>
      <c r="E590" s="40">
        <v>55000</v>
      </c>
    </row>
    <row r="591">
      <c r="A591" s="40">
        <v>58</v>
      </c>
      <c r="B591" s="40" t="str">
        <v>730 Tỉnh lộ 10</v>
      </c>
      <c r="C591" s="40">
        <v>912</v>
      </c>
      <c r="D591" s="40" t="str">
        <v>[DV] Nhuộm đen phủ bạc R&amp;B thảo dược</v>
      </c>
      <c r="E591" s="40">
        <v>329000</v>
      </c>
    </row>
    <row r="592">
      <c r="A592" s="40">
        <v>58</v>
      </c>
      <c r="B592" s="40" t="str">
        <v>730 Tỉnh lộ 10</v>
      </c>
      <c r="C592" s="40">
        <v>513</v>
      </c>
      <c r="D592" s="40" t="str">
        <v>[DV] ShineCombo 10 bước Ultra Care 2023</v>
      </c>
      <c r="E592" s="40">
        <v>120000</v>
      </c>
    </row>
    <row r="593">
      <c r="A593" s="40">
        <v>58</v>
      </c>
      <c r="B593" s="40" t="str">
        <v>730 Tỉnh lộ 10</v>
      </c>
      <c r="C593" s="40">
        <v>513</v>
      </c>
      <c r="D593" s="40" t="str">
        <v>[DV] ShineCombo 10 bước Ultra Care 2023</v>
      </c>
      <c r="E593" s="40">
        <v>122000</v>
      </c>
    </row>
    <row r="594">
      <c r="A594" s="40">
        <v>58</v>
      </c>
      <c r="B594" s="40" t="str">
        <v>730 Tỉnh lộ 10</v>
      </c>
      <c r="C594" s="40">
        <v>462</v>
      </c>
      <c r="D594" s="40" t="str">
        <v>[DV] Thư giãn cổ, vai, gáy bạc hà cam ngọt - Thư giãn tai sảng khoái 9 tầng mây 45k</v>
      </c>
      <c r="E594" s="40">
        <v>45000</v>
      </c>
    </row>
    <row r="595">
      <c r="A595" s="40">
        <v>58</v>
      </c>
      <c r="B595" s="40" t="str">
        <v>730 Tỉnh lộ 10</v>
      </c>
      <c r="C595" s="40">
        <v>634</v>
      </c>
      <c r="D595" s="40" t="str">
        <v>[DV] Tẩy da chết sủi bọt Hàn Quốc</v>
      </c>
      <c r="E595" s="40">
        <v>35000</v>
      </c>
    </row>
    <row r="596">
      <c r="A596" s="40">
        <v>58</v>
      </c>
      <c r="B596" s="40" t="str">
        <v>730 Tỉnh lộ 10</v>
      </c>
      <c r="C596" s="40">
        <v>916</v>
      </c>
      <c r="D596" s="40" t="str">
        <v>[DV] Tẩy tóc bật tông Ý (2 lần) 500k</v>
      </c>
      <c r="E596" s="40">
        <v>514000</v>
      </c>
    </row>
    <row r="597">
      <c r="A597" s="40">
        <v>58</v>
      </c>
      <c r="B597" s="40" t="str">
        <v>730 Tỉnh lộ 10</v>
      </c>
      <c r="C597" s="40">
        <v>674</v>
      </c>
      <c r="D597" s="40" t="str">
        <v>[DV] Uốn Texture con sâu/Uốn Ruffled</v>
      </c>
      <c r="E597" s="40">
        <v>550000</v>
      </c>
    </row>
    <row r="598">
      <c r="A598" s="40">
        <v>58</v>
      </c>
      <c r="B598" s="40" t="str">
        <v>730 Tỉnh lộ 10</v>
      </c>
      <c r="C598" s="40">
        <v>941</v>
      </c>
      <c r="D598" s="40" t="str">
        <v>[DV] Vuốt sáp - sấy tạo kiểu 10k</v>
      </c>
      <c r="E598" s="40">
        <v>10000</v>
      </c>
    </row>
    <row r="599">
      <c r="A599" s="40">
        <v>58</v>
      </c>
      <c r="B599" s="40" t="str">
        <v>730 Tỉnh lộ 10</v>
      </c>
      <c r="C599" s="40">
        <v>902</v>
      </c>
      <c r="D599" s="40" t="str">
        <v>[DV] Ép side hai bên</v>
      </c>
      <c r="E599" s="40">
        <v>216000</v>
      </c>
    </row>
    <row r="600">
      <c r="A600" s="40">
        <v>58</v>
      </c>
      <c r="B600" s="40" t="str">
        <v>730 Tỉnh lộ 10</v>
      </c>
      <c r="C600" s="40">
        <v>940</v>
      </c>
      <c r="D600" s="40" t="str">
        <v>[NEW] Gội dưỡng sinh</v>
      </c>
      <c r="E600" s="40">
        <v>50000</v>
      </c>
    </row>
    <row r="601">
      <c r="A601" s="40">
        <v>58</v>
      </c>
      <c r="B601" s="40" t="str">
        <v>730 Tỉnh lộ 10</v>
      </c>
      <c r="C601" s="40">
        <v>940</v>
      </c>
      <c r="D601" s="40" t="str">
        <v>[NEW] Gội dưỡng sinh</v>
      </c>
      <c r="E601" s="40">
        <v>59000</v>
      </c>
    </row>
    <row r="602">
      <c r="A602" s="40">
        <v>58</v>
      </c>
      <c r="B602" s="40" t="str">
        <v>730 Tỉnh lộ 10</v>
      </c>
      <c r="C602" s="40">
        <v>603</v>
      </c>
      <c r="D602" s="40" t="str">
        <v>Đánh bay mụn cám lột mụn (Full Face)</v>
      </c>
      <c r="E602" s="40">
        <v>49000</v>
      </c>
    </row>
    <row r="603">
      <c r="A603" s="40">
        <v>60</v>
      </c>
      <c r="B603" s="40" t="str">
        <v>80 Phú Lợi</v>
      </c>
      <c r="C603" s="40">
        <v>610</v>
      </c>
      <c r="D603" s="40" t="str">
        <v>(2022T) ATS Control Buffer - Khử mùi tạo thơm cho tóc uốn nhuộm 40k</v>
      </c>
      <c r="E603" s="40">
        <v>40000</v>
      </c>
    </row>
    <row r="604">
      <c r="A604" s="40">
        <v>60</v>
      </c>
      <c r="B604" s="40" t="str">
        <v>80 Phú Lợi</v>
      </c>
      <c r="C604" s="40">
        <v>960</v>
      </c>
      <c r="D604" s="40" t="str">
        <v>(NEW) Nhuộm màu thời trang Milano</v>
      </c>
      <c r="E604" s="40">
        <v>332000</v>
      </c>
    </row>
    <row r="605">
      <c r="A605" s="40">
        <v>60</v>
      </c>
      <c r="B605" s="40" t="str">
        <v>80 Phú Lợi</v>
      </c>
      <c r="C605" s="40">
        <v>967</v>
      </c>
      <c r="D605" s="40" t="str">
        <v>(NEW) Nhuộm phủ bạc tiêu chuẩn 199K</v>
      </c>
      <c r="E605" s="40">
        <v>199000</v>
      </c>
    </row>
    <row r="606">
      <c r="A606" s="40">
        <v>60</v>
      </c>
      <c r="B606" s="40" t="str">
        <v>80 Phú Lợi</v>
      </c>
      <c r="C606" s="40">
        <v>1009</v>
      </c>
      <c r="D606" s="40" t="str">
        <v>(NEW) Uốn/Duỗi/Định hình full đầu tạo form vào nếp tự nhiên</v>
      </c>
      <c r="E606" s="40">
        <v>386000</v>
      </c>
    </row>
    <row r="607">
      <c r="A607" s="40">
        <v>60</v>
      </c>
      <c r="B607" s="40" t="str">
        <v>80 Phú Lợi</v>
      </c>
      <c r="C607" s="40">
        <v>1052</v>
      </c>
      <c r="D607" s="40" t="str">
        <v>Combo 1 - First Class 1</v>
      </c>
      <c r="E607" s="40">
        <v>159000</v>
      </c>
    </row>
    <row r="608">
      <c r="A608" s="40">
        <v>60</v>
      </c>
      <c r="B608" s="40" t="str">
        <v>80 Phú Lợi</v>
      </c>
      <c r="C608" s="40">
        <v>1070</v>
      </c>
      <c r="D608" s="40" t="str">
        <v>Combo Cắt gội Kid</v>
      </c>
      <c r="E608" s="40">
        <v>100000</v>
      </c>
    </row>
    <row r="609">
      <c r="A609" s="40">
        <v>60</v>
      </c>
      <c r="B609" s="40" t="str">
        <v>80 Phú Lợi</v>
      </c>
      <c r="C609" s="40">
        <v>1150</v>
      </c>
      <c r="D609" s="40" t="str">
        <v>Combo cắt gội đỉnh cao thư giãn vip</v>
      </c>
      <c r="E609" s="40">
        <v>500000</v>
      </c>
    </row>
    <row r="610">
      <c r="A610" s="40">
        <v>60</v>
      </c>
      <c r="B610" s="40" t="str">
        <v>80 Phú Lợi</v>
      </c>
      <c r="C610" s="40">
        <v>1047</v>
      </c>
      <c r="D610" s="40" t="str">
        <v>Cắt Gội Combo 3 - Chăm da</v>
      </c>
      <c r="E610" s="40">
        <v>299000</v>
      </c>
    </row>
    <row r="611">
      <c r="A611" s="40">
        <v>60</v>
      </c>
      <c r="B611" s="40" t="str">
        <v>80 Phú Lợi</v>
      </c>
      <c r="C611" s="40">
        <v>1065</v>
      </c>
      <c r="D611" s="40" t="str">
        <v>Cắt Gội Combo 3 - Dưỡng sinh</v>
      </c>
      <c r="E611" s="40">
        <v>299000</v>
      </c>
    </row>
    <row r="612">
      <c r="A612" s="40">
        <v>60</v>
      </c>
      <c r="B612" s="40" t="str">
        <v>80 Phú Lợi</v>
      </c>
      <c r="C612" s="40">
        <v>891</v>
      </c>
      <c r="D612" s="40" t="str">
        <v>Cắt xả tạo kiểu</v>
      </c>
      <c r="E612" s="40">
        <v>94000</v>
      </c>
    </row>
    <row r="613">
      <c r="A613" s="40">
        <v>60</v>
      </c>
      <c r="B613" s="40" t="str">
        <v>80 Phú Lợi</v>
      </c>
      <c r="C613" s="40">
        <v>891</v>
      </c>
      <c r="D613" s="40" t="str">
        <v>Cắt xả tạo kiểu</v>
      </c>
      <c r="E613" s="40">
        <v>90000</v>
      </c>
    </row>
    <row r="614">
      <c r="A614" s="40">
        <v>60</v>
      </c>
      <c r="B614" s="40" t="str">
        <v>80 Phú Lợi</v>
      </c>
      <c r="C614" s="40">
        <v>1058</v>
      </c>
      <c r="D614" s="40" t="str" xml:space="preserve">
        <v>Gội Combo 2 </v>
      </c>
      <c r="E614" s="40">
        <v>159000</v>
      </c>
    </row>
    <row r="615">
      <c r="A615" s="40">
        <v>60</v>
      </c>
      <c r="B615" s="40" t="str">
        <v>80 Phú Lợi</v>
      </c>
      <c r="C615" s="40">
        <v>1059</v>
      </c>
      <c r="D615" s="40" t="str">
        <v>Gội Combo 3 - Chăm da</v>
      </c>
      <c r="E615" s="40">
        <v>239000</v>
      </c>
    </row>
    <row r="616">
      <c r="A616" s="40">
        <v>60</v>
      </c>
      <c r="B616" s="40" t="str">
        <v>80 Phú Lợi</v>
      </c>
      <c r="C616" s="40">
        <v>1060</v>
      </c>
      <c r="D616" s="40" t="str">
        <v>Gội Combo 4</v>
      </c>
      <c r="E616" s="40">
        <v>289000</v>
      </c>
    </row>
    <row r="617">
      <c r="A617" s="40">
        <v>60</v>
      </c>
      <c r="B617" s="40" t="str">
        <v>80 Phú Lợi</v>
      </c>
      <c r="C617" s="40">
        <v>934</v>
      </c>
      <c r="D617" s="40" t="str">
        <v>Gội combo 3 - Dưỡng sinh</v>
      </c>
      <c r="E617" s="40">
        <v>229000</v>
      </c>
    </row>
    <row r="618">
      <c r="A618" s="40">
        <v>60</v>
      </c>
      <c r="B618" s="40" t="str">
        <v>80 Phú Lợi</v>
      </c>
      <c r="C618" s="40">
        <v>867</v>
      </c>
      <c r="D618" s="40" t="str">
        <v>Gội dưỡng sinh cổ vai gáy</v>
      </c>
      <c r="E618" s="40">
        <v>79000</v>
      </c>
    </row>
    <row r="619">
      <c r="A619" s="40">
        <v>60</v>
      </c>
      <c r="B619" s="40" t="str">
        <v>80 Phú Lợi</v>
      </c>
      <c r="C619" s="40">
        <v>867</v>
      </c>
      <c r="D619" s="40" t="str">
        <v>Gội dưỡng sinh cổ vai gáy</v>
      </c>
      <c r="E619" s="40">
        <v>95000</v>
      </c>
    </row>
    <row r="620">
      <c r="A620" s="40">
        <v>60</v>
      </c>
      <c r="B620" s="40" t="str">
        <v>80 Phú Lợi</v>
      </c>
      <c r="C620" s="40">
        <v>1002</v>
      </c>
      <c r="D620" s="40" t="str">
        <v>Kid Cắt</v>
      </c>
      <c r="E620" s="40">
        <v>75000</v>
      </c>
    </row>
    <row r="621">
      <c r="A621" s="40">
        <v>60</v>
      </c>
      <c r="B621" s="40" t="str">
        <v>80 Phú Lợi</v>
      </c>
      <c r="C621" s="40">
        <v>1149</v>
      </c>
      <c r="D621" s="40" t="str">
        <v>NHUỘM THIẾT KẾ PHỤC HỒI CHUYÊN SÂU LIPID BOND 2025</v>
      </c>
      <c r="E621" s="40">
        <v>689000</v>
      </c>
    </row>
    <row r="622">
      <c r="A622" s="40">
        <v>60</v>
      </c>
      <c r="B622" s="40" t="str">
        <v>80 Phú Lợi</v>
      </c>
      <c r="C622" s="40">
        <v>1101</v>
      </c>
      <c r="D622" s="40" t="str">
        <v>Phục hồi trẻ hóa Lipid Bond</v>
      </c>
      <c r="E622" s="40">
        <v>146000</v>
      </c>
    </row>
    <row r="623">
      <c r="A623" s="40">
        <v>60</v>
      </c>
      <c r="B623" s="40" t="str">
        <v>80 Phú Lợi</v>
      </c>
      <c r="C623" s="40">
        <v>1046</v>
      </c>
      <c r="D623" s="40" t="str" xml:space="preserve">
        <v>Shinecombo 2 </v>
      </c>
      <c r="E623" s="40">
        <v>199000</v>
      </c>
    </row>
    <row r="624">
      <c r="A624" s="40">
        <v>60</v>
      </c>
      <c r="B624" s="40" t="str">
        <v>80 Phú Lợi</v>
      </c>
      <c r="C624" s="40">
        <v>1148</v>
      </c>
      <c r="D624" s="40" t="str">
        <v>UỐN THIẾT KẾ PHỤC HỒI CHUYÊN SÂU LIPID BOND 2025</v>
      </c>
      <c r="E624" s="40">
        <v>689000</v>
      </c>
    </row>
    <row r="625">
      <c r="A625" s="40">
        <v>60</v>
      </c>
      <c r="B625" s="40" t="str">
        <v>80 Phú Lợi</v>
      </c>
      <c r="C625" s="40">
        <v>952</v>
      </c>
      <c r="D625" s="40" t="str">
        <v>Uốn định hình nếp tóc cao cấp (K-Perm Collection)</v>
      </c>
      <c r="E625" s="40">
        <v>478000</v>
      </c>
    </row>
    <row r="626">
      <c r="A626" s="40">
        <v>60</v>
      </c>
      <c r="B626" s="40" t="str">
        <v>80 Phú Lợi</v>
      </c>
      <c r="C626" s="40">
        <v>635</v>
      </c>
      <c r="D626" s="40" t="str">
        <v>[DV] Detox tẩy da chết da đầu</v>
      </c>
      <c r="E626" s="40">
        <v>45000</v>
      </c>
    </row>
    <row r="627">
      <c r="A627" s="40">
        <v>60</v>
      </c>
      <c r="B627" s="40" t="str">
        <v>80 Phú Lợi</v>
      </c>
      <c r="C627" s="40">
        <v>625</v>
      </c>
      <c r="D627" s="40" t="str">
        <v>[DV] Mặt nạ tẩy da chết sủi bọt cao cấp</v>
      </c>
      <c r="E627" s="40">
        <v>55000</v>
      </c>
    </row>
    <row r="628">
      <c r="A628" s="40">
        <v>60</v>
      </c>
      <c r="B628" s="40" t="str">
        <v>80 Phú Lợi</v>
      </c>
      <c r="C628" s="40">
        <v>912</v>
      </c>
      <c r="D628" s="40" t="str">
        <v>[DV] Nhuộm đen phủ bạc R&amp;B thảo dược</v>
      </c>
      <c r="E628" s="40">
        <v>289000</v>
      </c>
    </row>
    <row r="629">
      <c r="A629" s="40">
        <v>60</v>
      </c>
      <c r="B629" s="40" t="str">
        <v>80 Phú Lợi</v>
      </c>
      <c r="C629" s="40">
        <v>513</v>
      </c>
      <c r="D629" s="40" t="str">
        <v>[DV] ShineCombo 10 bước Ultra Care 2023</v>
      </c>
      <c r="E629" s="40">
        <v>122000</v>
      </c>
    </row>
    <row r="630">
      <c r="A630" s="40">
        <v>60</v>
      </c>
      <c r="B630" s="40" t="str">
        <v>80 Phú Lợi</v>
      </c>
      <c r="C630" s="40">
        <v>513</v>
      </c>
      <c r="D630" s="40" t="str">
        <v>[DV] ShineCombo 10 bước Ultra Care 2023</v>
      </c>
      <c r="E630" s="40">
        <v>120000</v>
      </c>
    </row>
    <row r="631">
      <c r="A631" s="40">
        <v>60</v>
      </c>
      <c r="B631" s="40" t="str">
        <v>80 Phú Lợi</v>
      </c>
      <c r="C631" s="40">
        <v>634</v>
      </c>
      <c r="D631" s="40" t="str">
        <v>[DV] Tẩy da chết sủi bọt Hàn Quốc</v>
      </c>
      <c r="E631" s="40">
        <v>35000</v>
      </c>
    </row>
    <row r="632">
      <c r="A632" s="40">
        <v>60</v>
      </c>
      <c r="B632" s="40" t="str">
        <v>80 Phú Lợi</v>
      </c>
      <c r="C632" s="40">
        <v>915</v>
      </c>
      <c r="D632" s="40" t="str">
        <v>[DV] Tẩy tóc bật tông Ý (1 lần)</v>
      </c>
      <c r="E632" s="40">
        <v>252000</v>
      </c>
    </row>
    <row r="633">
      <c r="A633" s="40">
        <v>60</v>
      </c>
      <c r="B633" s="40" t="str">
        <v>80 Phú Lợi</v>
      </c>
      <c r="C633" s="40">
        <v>916</v>
      </c>
      <c r="D633" s="40" t="str">
        <v>[DV] Tẩy tóc bật tông Ý (2 lần) 500k</v>
      </c>
      <c r="E633" s="40">
        <v>500000</v>
      </c>
    </row>
    <row r="634">
      <c r="A634" s="40">
        <v>60</v>
      </c>
      <c r="B634" s="40" t="str">
        <v>80 Phú Lợi</v>
      </c>
      <c r="C634" s="40">
        <v>674</v>
      </c>
      <c r="D634" s="40" t="str">
        <v>[DV] Uốn Texture con sâu/Uốn Ruffled</v>
      </c>
      <c r="E634" s="40">
        <v>499000</v>
      </c>
    </row>
    <row r="635">
      <c r="A635" s="40">
        <v>60</v>
      </c>
      <c r="B635" s="40" t="str">
        <v>80 Phú Lợi</v>
      </c>
      <c r="C635" s="40">
        <v>941</v>
      </c>
      <c r="D635" s="40" t="str">
        <v>[DV] Vuốt sáp - sấy tạo kiểu 10k</v>
      </c>
      <c r="E635" s="40">
        <v>10000</v>
      </c>
    </row>
    <row r="636">
      <c r="A636" s="40">
        <v>60</v>
      </c>
      <c r="B636" s="40" t="str">
        <v>80 Phú Lợi</v>
      </c>
      <c r="C636" s="40">
        <v>902</v>
      </c>
      <c r="D636" s="40" t="str">
        <v>[DV] Ép side hai bên</v>
      </c>
      <c r="E636" s="40">
        <v>189000</v>
      </c>
    </row>
    <row r="637">
      <c r="A637" s="40">
        <v>60</v>
      </c>
      <c r="B637" s="40" t="str">
        <v>80 Phú Lợi</v>
      </c>
      <c r="C637" s="40">
        <v>940</v>
      </c>
      <c r="D637" s="40" t="str">
        <v>[NEW] Gội dưỡng sinh</v>
      </c>
      <c r="E637" s="40">
        <v>59000</v>
      </c>
    </row>
    <row r="638">
      <c r="A638" s="40">
        <v>60</v>
      </c>
      <c r="B638" s="40" t="str">
        <v>80 Phú Lợi</v>
      </c>
      <c r="C638" s="40">
        <v>603</v>
      </c>
      <c r="D638" s="40" t="str">
        <v>Đánh bay mụn cám lột mụn (Full Face)</v>
      </c>
      <c r="E638" s="40">
        <v>49000</v>
      </c>
    </row>
    <row r="639">
      <c r="A639" s="40">
        <v>61</v>
      </c>
      <c r="B639" s="40" t="str">
        <v>1180 Quang Trung</v>
      </c>
      <c r="C639" s="40">
        <v>610</v>
      </c>
      <c r="D639" s="40" t="str">
        <v>(2022T) ATS Control Buffer - Khử mùi tạo thơm cho tóc uốn nhuộm 40k</v>
      </c>
      <c r="E639" s="40">
        <v>40000</v>
      </c>
    </row>
    <row r="640">
      <c r="A640" s="40">
        <v>61</v>
      </c>
      <c r="B640" s="40" t="str">
        <v>1180 Quang Trung</v>
      </c>
      <c r="C640" s="40">
        <v>960</v>
      </c>
      <c r="D640" s="40" t="str">
        <v>(NEW) Nhuộm màu thời trang Milano</v>
      </c>
      <c r="E640" s="40">
        <v>346000</v>
      </c>
    </row>
    <row r="641">
      <c r="A641" s="40">
        <v>61</v>
      </c>
      <c r="B641" s="40" t="str">
        <v>1180 Quang Trung</v>
      </c>
      <c r="C641" s="40">
        <v>967</v>
      </c>
      <c r="D641" s="40" t="str">
        <v>(NEW) Nhuộm phủ bạc tiêu chuẩn 199K</v>
      </c>
      <c r="E641" s="40">
        <v>199000</v>
      </c>
    </row>
    <row r="642">
      <c r="A642" s="40">
        <v>61</v>
      </c>
      <c r="B642" s="40" t="str">
        <v>1180 Quang Trung</v>
      </c>
      <c r="C642" s="40">
        <v>1009</v>
      </c>
      <c r="D642" s="40" t="str">
        <v>(NEW) Uốn/Duỗi/Định hình full đầu tạo form vào nếp tự nhiên</v>
      </c>
      <c r="E642" s="40">
        <v>386000</v>
      </c>
    </row>
    <row r="643">
      <c r="A643" s="40">
        <v>61</v>
      </c>
      <c r="B643" s="40" t="str">
        <v>1180 Quang Trung</v>
      </c>
      <c r="C643" s="40">
        <v>1052</v>
      </c>
      <c r="D643" s="40" t="str">
        <v>Combo 1 - First Class 1</v>
      </c>
      <c r="E643" s="40">
        <v>139000</v>
      </c>
    </row>
    <row r="644">
      <c r="A644" s="40">
        <v>61</v>
      </c>
      <c r="B644" s="40" t="str">
        <v>1180 Quang Trung</v>
      </c>
      <c r="C644" s="40">
        <v>1053</v>
      </c>
      <c r="D644" s="40" t="str">
        <v>Combo 2 - First Class 2</v>
      </c>
      <c r="E644" s="40">
        <v>239000</v>
      </c>
    </row>
    <row r="645">
      <c r="A645" s="40">
        <v>61</v>
      </c>
      <c r="B645" s="40" t="str">
        <v>1180 Quang Trung</v>
      </c>
      <c r="C645" s="40">
        <v>1054</v>
      </c>
      <c r="D645" s="40" t="str">
        <v>Combo 3 - First Class 3</v>
      </c>
      <c r="E645" s="40">
        <v>299000</v>
      </c>
    </row>
    <row r="646">
      <c r="A646" s="40">
        <v>61</v>
      </c>
      <c r="B646" s="40" t="str">
        <v>1180 Quang Trung</v>
      </c>
      <c r="C646" s="40">
        <v>1054</v>
      </c>
      <c r="D646" s="40" t="str">
        <v>Combo 3 - First Class 3</v>
      </c>
      <c r="E646" s="40">
        <v>309000</v>
      </c>
    </row>
    <row r="647">
      <c r="A647" s="40">
        <v>61</v>
      </c>
      <c r="B647" s="40" t="str">
        <v>1180 Quang Trung</v>
      </c>
      <c r="C647" s="40">
        <v>1048</v>
      </c>
      <c r="D647" s="40" t="str">
        <v>Combo 4</v>
      </c>
      <c r="E647" s="40">
        <v>389000</v>
      </c>
    </row>
    <row r="648">
      <c r="A648" s="40">
        <v>61</v>
      </c>
      <c r="B648" s="40" t="str">
        <v>1180 Quang Trung</v>
      </c>
      <c r="C648" s="40">
        <v>1055</v>
      </c>
      <c r="D648" s="40" t="str">
        <v>Combo 4- First Class 4</v>
      </c>
      <c r="E648" s="40">
        <v>399000</v>
      </c>
    </row>
    <row r="649">
      <c r="A649" s="40">
        <v>61</v>
      </c>
      <c r="B649" s="40" t="str">
        <v>1180 Quang Trung</v>
      </c>
      <c r="C649" s="40">
        <v>1055</v>
      </c>
      <c r="D649" s="40" t="str">
        <v>Combo 4- First Class 4</v>
      </c>
      <c r="E649" s="40">
        <v>409000</v>
      </c>
    </row>
    <row r="650">
      <c r="A650" s="40">
        <v>61</v>
      </c>
      <c r="B650" s="40" t="str">
        <v>1180 Quang Trung</v>
      </c>
      <c r="C650" s="40">
        <v>1064</v>
      </c>
      <c r="D650" s="40" t="str">
        <v>Cắt Gội Combo 5 - Dưỡng sinh</v>
      </c>
      <c r="E650" s="40">
        <v>459000</v>
      </c>
    </row>
    <row r="651">
      <c r="A651" s="40">
        <v>61</v>
      </c>
      <c r="B651" s="40" t="str">
        <v>1180 Quang Trung</v>
      </c>
      <c r="C651" s="40">
        <v>891</v>
      </c>
      <c r="D651" s="40" t="str">
        <v>Cắt xả tạo kiểu</v>
      </c>
      <c r="E651" s="40">
        <v>94000</v>
      </c>
    </row>
    <row r="652">
      <c r="A652" s="40">
        <v>61</v>
      </c>
      <c r="B652" s="40" t="str">
        <v>1180 Quang Trung</v>
      </c>
      <c r="C652" s="40">
        <v>891</v>
      </c>
      <c r="D652" s="40" t="str">
        <v>Cắt xả tạo kiểu</v>
      </c>
      <c r="E652" s="40">
        <v>90000</v>
      </c>
    </row>
    <row r="653">
      <c r="A653" s="40">
        <v>61</v>
      </c>
      <c r="B653" s="40" t="str">
        <v>1180 Quang Trung</v>
      </c>
      <c r="C653" s="40">
        <v>1058</v>
      </c>
      <c r="D653" s="40" t="str" xml:space="preserve">
        <v>Gội Combo 2 </v>
      </c>
      <c r="E653" s="40">
        <v>159000</v>
      </c>
    </row>
    <row r="654">
      <c r="A654" s="40">
        <v>61</v>
      </c>
      <c r="B654" s="40" t="str">
        <v>1180 Quang Trung</v>
      </c>
      <c r="C654" s="40">
        <v>1059</v>
      </c>
      <c r="D654" s="40" t="str">
        <v>Gội Combo 3 - Chăm da</v>
      </c>
      <c r="E654" s="40">
        <v>219000</v>
      </c>
    </row>
    <row r="655">
      <c r="A655" s="40">
        <v>61</v>
      </c>
      <c r="B655" s="40" t="str">
        <v>1180 Quang Trung</v>
      </c>
      <c r="C655" s="40">
        <v>1059</v>
      </c>
      <c r="D655" s="40" t="str">
        <v>Gội Combo 3 - Chăm da</v>
      </c>
      <c r="E655" s="40">
        <v>239000</v>
      </c>
    </row>
    <row r="656">
      <c r="A656" s="40">
        <v>61</v>
      </c>
      <c r="B656" s="40" t="str">
        <v>1180 Quang Trung</v>
      </c>
      <c r="C656" s="40">
        <v>1060</v>
      </c>
      <c r="D656" s="40" t="str">
        <v>Gội Combo 4</v>
      </c>
      <c r="E656" s="40">
        <v>319000</v>
      </c>
    </row>
    <row r="657">
      <c r="A657" s="40">
        <v>61</v>
      </c>
      <c r="B657" s="40" t="str">
        <v>1180 Quang Trung</v>
      </c>
      <c r="C657" s="40">
        <v>1060</v>
      </c>
      <c r="D657" s="40" t="str">
        <v>Gội Combo 4</v>
      </c>
      <c r="E657" s="40">
        <v>329000</v>
      </c>
    </row>
    <row r="658">
      <c r="A658" s="40">
        <v>61</v>
      </c>
      <c r="B658" s="40" t="str">
        <v>1180 Quang Trung</v>
      </c>
      <c r="C658" s="40">
        <v>1061</v>
      </c>
      <c r="D658" s="40" t="str">
        <v>Gội Combo 5 - Chăm da</v>
      </c>
      <c r="E658" s="40">
        <v>359000</v>
      </c>
    </row>
    <row r="659">
      <c r="A659" s="40">
        <v>61</v>
      </c>
      <c r="B659" s="40" t="str">
        <v>1180 Quang Trung</v>
      </c>
      <c r="C659" s="40">
        <v>934</v>
      </c>
      <c r="D659" s="40" t="str">
        <v>Gội combo 3 - Dưỡng sinh</v>
      </c>
      <c r="E659" s="40">
        <v>229000</v>
      </c>
    </row>
    <row r="660">
      <c r="A660" s="40">
        <v>61</v>
      </c>
      <c r="B660" s="40" t="str">
        <v>1180 Quang Trung</v>
      </c>
      <c r="C660" s="40">
        <v>867</v>
      </c>
      <c r="D660" s="40" t="str">
        <v>Gội dưỡng sinh cổ vai gáy</v>
      </c>
      <c r="E660" s="40">
        <v>95000</v>
      </c>
    </row>
    <row r="661">
      <c r="A661" s="40">
        <v>61</v>
      </c>
      <c r="B661" s="40" t="str">
        <v>1180 Quang Trung</v>
      </c>
      <c r="C661" s="40">
        <v>867</v>
      </c>
      <c r="D661" s="40" t="str">
        <v>Gội dưỡng sinh cổ vai gáy</v>
      </c>
      <c r="E661" s="40">
        <v>99000</v>
      </c>
    </row>
    <row r="662">
      <c r="A662" s="40">
        <v>61</v>
      </c>
      <c r="B662" s="40" t="str">
        <v>1180 Quang Trung</v>
      </c>
      <c r="C662" s="40">
        <v>1068</v>
      </c>
      <c r="D662" s="40" t="str">
        <v>Gội trải nghiệm 115p</v>
      </c>
      <c r="E662" s="40">
        <v>999000</v>
      </c>
    </row>
    <row r="663">
      <c r="A663" s="40">
        <v>61</v>
      </c>
      <c r="B663" s="40" t="str">
        <v>1180 Quang Trung</v>
      </c>
      <c r="C663" s="40">
        <v>1066</v>
      </c>
      <c r="D663" s="40" t="str">
        <v>Gội trải nghiệm 75p</v>
      </c>
      <c r="E663" s="40">
        <v>589000</v>
      </c>
    </row>
    <row r="664">
      <c r="A664" s="40">
        <v>61</v>
      </c>
      <c r="B664" s="40" t="str">
        <v>1180 Quang Trung</v>
      </c>
      <c r="C664" s="40">
        <v>1067</v>
      </c>
      <c r="D664" s="40" t="str">
        <v>Gội trải nghiệm 90p</v>
      </c>
      <c r="E664" s="40">
        <v>789000</v>
      </c>
    </row>
    <row r="665">
      <c r="A665" s="40">
        <v>61</v>
      </c>
      <c r="B665" s="40" t="str">
        <v>1180 Quang Trung</v>
      </c>
      <c r="C665" s="40">
        <v>1002</v>
      </c>
      <c r="D665" s="40" t="str">
        <v>Kid Cắt</v>
      </c>
      <c r="E665" s="40">
        <v>75000</v>
      </c>
    </row>
    <row r="666">
      <c r="A666" s="40">
        <v>61</v>
      </c>
      <c r="B666" s="40" t="str">
        <v>1180 Quang Trung</v>
      </c>
      <c r="C666" s="40">
        <v>1149</v>
      </c>
      <c r="D666" s="40" t="str">
        <v>NHUỘM THIẾT KẾ PHỤC HỒI CHUYÊN SÂU LIPID BOND 2025</v>
      </c>
      <c r="E666" s="40">
        <v>719000</v>
      </c>
    </row>
    <row r="667">
      <c r="A667" s="40">
        <v>61</v>
      </c>
      <c r="B667" s="40" t="str">
        <v>1180 Quang Trung</v>
      </c>
      <c r="C667" s="40">
        <v>1101</v>
      </c>
      <c r="D667" s="40" t="str">
        <v>Phục hồi trẻ hóa Lipid Bond</v>
      </c>
      <c r="E667" s="40">
        <v>146000</v>
      </c>
    </row>
    <row r="668">
      <c r="A668" s="40">
        <v>61</v>
      </c>
      <c r="B668" s="40" t="str">
        <v>1180 Quang Trung</v>
      </c>
      <c r="C668" s="40">
        <v>1046</v>
      </c>
      <c r="D668" s="40" t="str" xml:space="preserve">
        <v>Shinecombo 2 </v>
      </c>
      <c r="E668" s="40">
        <v>199000</v>
      </c>
    </row>
    <row r="669">
      <c r="A669" s="40">
        <v>61</v>
      </c>
      <c r="B669" s="40" t="str">
        <v>1180 Quang Trung</v>
      </c>
      <c r="C669" s="40">
        <v>1148</v>
      </c>
      <c r="D669" s="40" t="str">
        <v>UỐN THIẾT KẾ PHỤC HỒI CHUYÊN SÂU LIPID BOND 2025</v>
      </c>
      <c r="E669" s="40">
        <v>689000</v>
      </c>
    </row>
    <row r="670">
      <c r="A670" s="40">
        <v>61</v>
      </c>
      <c r="B670" s="40" t="str">
        <v>1180 Quang Trung</v>
      </c>
      <c r="C670" s="40">
        <v>952</v>
      </c>
      <c r="D670" s="40" t="str">
        <v>Uốn định hình nếp tóc cao cấp (K-Perm Collection)</v>
      </c>
      <c r="E670" s="40">
        <v>478000</v>
      </c>
    </row>
    <row r="671">
      <c r="A671" s="40">
        <v>61</v>
      </c>
      <c r="B671" s="40" t="str">
        <v>1180 Quang Trung</v>
      </c>
      <c r="C671" s="40">
        <v>636</v>
      </c>
      <c r="D671" s="40" t="str">
        <v>[DV] Mặt nạ lạnh Hàn Quốc</v>
      </c>
      <c r="E671" s="40">
        <v>35000</v>
      </c>
    </row>
    <row r="672">
      <c r="A672" s="40">
        <v>61</v>
      </c>
      <c r="B672" s="40" t="str">
        <v>1180 Quang Trung</v>
      </c>
      <c r="C672" s="40">
        <v>625</v>
      </c>
      <c r="D672" s="40" t="str">
        <v>[DV] Mặt nạ tẩy da chết sủi bọt cao cấp</v>
      </c>
      <c r="E672" s="40">
        <v>55000</v>
      </c>
    </row>
    <row r="673">
      <c r="A673" s="40">
        <v>61</v>
      </c>
      <c r="B673" s="40" t="str">
        <v>1180 Quang Trung</v>
      </c>
      <c r="C673" s="40">
        <v>912</v>
      </c>
      <c r="D673" s="40" t="str">
        <v>[DV] Nhuộm đen phủ bạc R&amp;B thảo dược</v>
      </c>
      <c r="E673" s="40">
        <v>289000</v>
      </c>
    </row>
    <row r="674">
      <c r="A674" s="40">
        <v>61</v>
      </c>
      <c r="B674" s="40" t="str">
        <v>1180 Quang Trung</v>
      </c>
      <c r="C674" s="40">
        <v>513</v>
      </c>
      <c r="D674" s="40" t="str">
        <v>[DV] ShineCombo 10 bước Ultra Care 2023</v>
      </c>
      <c r="E674" s="40">
        <v>120000</v>
      </c>
    </row>
    <row r="675">
      <c r="A675" s="40">
        <v>61</v>
      </c>
      <c r="B675" s="40" t="str">
        <v>1180 Quang Trung</v>
      </c>
      <c r="C675" s="40">
        <v>462</v>
      </c>
      <c r="D675" s="40" t="str">
        <v>[DV] Thư giãn cổ, vai, gáy bạc hà cam ngọt - Thư giãn tai sảng khoái 9 tầng mây 45k</v>
      </c>
      <c r="E675" s="40">
        <v>45000</v>
      </c>
    </row>
    <row r="676">
      <c r="A676" s="40">
        <v>61</v>
      </c>
      <c r="B676" s="40" t="str">
        <v>1180 Quang Trung</v>
      </c>
      <c r="C676" s="40">
        <v>634</v>
      </c>
      <c r="D676" s="40" t="str">
        <v>[DV] Tẩy da chết sủi bọt Hàn Quốc</v>
      </c>
      <c r="E676" s="40">
        <v>35000</v>
      </c>
    </row>
    <row r="677">
      <c r="A677" s="40">
        <v>61</v>
      </c>
      <c r="B677" s="40" t="str">
        <v>1180 Quang Trung</v>
      </c>
      <c r="C677" s="40">
        <v>916</v>
      </c>
      <c r="D677" s="40" t="str">
        <v>[DV] Tẩy tóc bật tông Ý (2 lần) 500k</v>
      </c>
      <c r="E677" s="40">
        <v>500000</v>
      </c>
    </row>
    <row r="678">
      <c r="A678" s="40">
        <v>61</v>
      </c>
      <c r="B678" s="40" t="str">
        <v>1180 Quang Trung</v>
      </c>
      <c r="C678" s="40">
        <v>674</v>
      </c>
      <c r="D678" s="40" t="str">
        <v>[DV] Uốn Texture con sâu/Uốn Ruffled</v>
      </c>
      <c r="E678" s="40">
        <v>520000</v>
      </c>
    </row>
    <row r="679">
      <c r="A679" s="40">
        <v>61</v>
      </c>
      <c r="B679" s="40" t="str">
        <v>1180 Quang Trung</v>
      </c>
      <c r="C679" s="40">
        <v>941</v>
      </c>
      <c r="D679" s="40" t="str">
        <v>[DV] Vuốt sáp - sấy tạo kiểu 10k</v>
      </c>
      <c r="E679" s="40">
        <v>10000</v>
      </c>
    </row>
    <row r="680">
      <c r="A680" s="40">
        <v>61</v>
      </c>
      <c r="B680" s="40" t="str">
        <v>1180 Quang Trung</v>
      </c>
      <c r="C680" s="40">
        <v>902</v>
      </c>
      <c r="D680" s="40" t="str">
        <v>[DV] Ép side hai bên</v>
      </c>
      <c r="E680" s="40">
        <v>198000</v>
      </c>
    </row>
    <row r="681">
      <c r="A681" s="40">
        <v>61</v>
      </c>
      <c r="B681" s="40" t="str">
        <v>1180 Quang Trung</v>
      </c>
      <c r="C681" s="40">
        <v>940</v>
      </c>
      <c r="D681" s="40" t="str">
        <v>[NEW] Gội dưỡng sinh</v>
      </c>
      <c r="E681" s="40">
        <v>59000</v>
      </c>
    </row>
    <row r="682">
      <c r="A682" s="40">
        <v>61</v>
      </c>
      <c r="B682" s="40" t="str">
        <v>1180 Quang Trung</v>
      </c>
      <c r="C682" s="40">
        <v>940</v>
      </c>
      <c r="D682" s="40" t="str">
        <v>[NEW] Gội dưỡng sinh</v>
      </c>
      <c r="E682" s="40">
        <v>50000</v>
      </c>
    </row>
    <row r="683">
      <c r="A683" s="40">
        <v>61</v>
      </c>
      <c r="B683" s="40" t="str">
        <v>1180 Quang Trung</v>
      </c>
      <c r="C683" s="40">
        <v>603</v>
      </c>
      <c r="D683" s="40" t="str">
        <v>Đánh bay mụn cám lột mụn (Full Face)</v>
      </c>
      <c r="E683" s="40">
        <v>49000</v>
      </c>
    </row>
    <row r="684">
      <c r="A684" s="40">
        <v>63</v>
      </c>
      <c r="B684" s="40" t="str">
        <v>29 Hiệp Bình</v>
      </c>
      <c r="C684" s="40">
        <v>610</v>
      </c>
      <c r="D684" s="40" t="str">
        <v>(2022T) ATS Control Buffer - Khử mùi tạo thơm cho tóc uốn nhuộm 40k</v>
      </c>
      <c r="E684" s="40">
        <v>40000</v>
      </c>
    </row>
    <row r="685">
      <c r="A685" s="40">
        <v>63</v>
      </c>
      <c r="B685" s="40" t="str">
        <v>29 Hiệp Bình</v>
      </c>
      <c r="C685" s="40">
        <v>960</v>
      </c>
      <c r="D685" s="40" t="str">
        <v>(NEW) Nhuộm màu thời trang Milano</v>
      </c>
      <c r="E685" s="40">
        <v>346000</v>
      </c>
    </row>
    <row r="686">
      <c r="A686" s="40">
        <v>63</v>
      </c>
      <c r="B686" s="40" t="str">
        <v>29 Hiệp Bình</v>
      </c>
      <c r="C686" s="40">
        <v>967</v>
      </c>
      <c r="D686" s="40" t="str">
        <v>(NEW) Nhuộm phủ bạc tiêu chuẩn 199K</v>
      </c>
      <c r="E686" s="40">
        <v>199000</v>
      </c>
    </row>
    <row r="687">
      <c r="A687" s="40">
        <v>63</v>
      </c>
      <c r="B687" s="40" t="str">
        <v>29 Hiệp Bình</v>
      </c>
      <c r="C687" s="40">
        <v>1009</v>
      </c>
      <c r="D687" s="40" t="str">
        <v>(NEW) Uốn/Duỗi/Định hình full đầu tạo form vào nếp tự nhiên</v>
      </c>
      <c r="E687" s="40">
        <v>386000</v>
      </c>
    </row>
    <row r="688">
      <c r="A688" s="40">
        <v>63</v>
      </c>
      <c r="B688" s="40" t="str">
        <v>29 Hiệp Bình</v>
      </c>
      <c r="C688" s="40">
        <v>1048</v>
      </c>
      <c r="D688" s="40" t="str">
        <v>Combo 4</v>
      </c>
      <c r="E688" s="40">
        <v>379000</v>
      </c>
    </row>
    <row r="689">
      <c r="A689" s="40">
        <v>63</v>
      </c>
      <c r="B689" s="40" t="str">
        <v>29 Hiệp Bình</v>
      </c>
      <c r="C689" s="40">
        <v>1048</v>
      </c>
      <c r="D689" s="40" t="str">
        <v>Combo 4</v>
      </c>
      <c r="E689" s="40">
        <v>389000</v>
      </c>
    </row>
    <row r="690">
      <c r="A690" s="40">
        <v>63</v>
      </c>
      <c r="B690" s="40" t="str">
        <v>29 Hiệp Bình</v>
      </c>
      <c r="C690" s="40">
        <v>1070</v>
      </c>
      <c r="D690" s="40" t="str">
        <v>Combo Cắt gội Kid</v>
      </c>
      <c r="E690" s="40">
        <v>100000</v>
      </c>
    </row>
    <row r="691">
      <c r="A691" s="40">
        <v>63</v>
      </c>
      <c r="B691" s="40" t="str">
        <v>29 Hiệp Bình</v>
      </c>
      <c r="C691" s="40">
        <v>1150</v>
      </c>
      <c r="D691" s="40" t="str">
        <v>Combo cắt gội đỉnh cao thư giãn vip</v>
      </c>
      <c r="E691" s="40">
        <v>500000</v>
      </c>
    </row>
    <row r="692">
      <c r="A692" s="40">
        <v>63</v>
      </c>
      <c r="B692" s="40" t="str">
        <v>29 Hiệp Bình</v>
      </c>
      <c r="C692" s="40">
        <v>1047</v>
      </c>
      <c r="D692" s="40" t="str">
        <v>Cắt Gội Combo 3 - Chăm da</v>
      </c>
      <c r="E692" s="40">
        <v>299000</v>
      </c>
    </row>
    <row r="693">
      <c r="A693" s="40">
        <v>63</v>
      </c>
      <c r="B693" s="40" t="str">
        <v>29 Hiệp Bình</v>
      </c>
      <c r="C693" s="40">
        <v>1065</v>
      </c>
      <c r="D693" s="40" t="str">
        <v>Cắt Gội Combo 3 - Dưỡng sinh</v>
      </c>
      <c r="E693" s="40">
        <v>299000</v>
      </c>
    </row>
    <row r="694">
      <c r="A694" s="40">
        <v>63</v>
      </c>
      <c r="B694" s="40" t="str">
        <v>29 Hiệp Bình</v>
      </c>
      <c r="C694" s="40">
        <v>891</v>
      </c>
      <c r="D694" s="40" t="str">
        <v>Cắt xả tạo kiểu</v>
      </c>
      <c r="E694" s="40">
        <v>90000</v>
      </c>
    </row>
    <row r="695">
      <c r="A695" s="40">
        <v>63</v>
      </c>
      <c r="B695" s="40" t="str">
        <v>29 Hiệp Bình</v>
      </c>
      <c r="C695" s="40">
        <v>891</v>
      </c>
      <c r="D695" s="40" t="str">
        <v>Cắt xả tạo kiểu</v>
      </c>
      <c r="E695" s="40">
        <v>94000</v>
      </c>
    </row>
    <row r="696">
      <c r="A696" s="40">
        <v>63</v>
      </c>
      <c r="B696" s="40" t="str">
        <v>29 Hiệp Bình</v>
      </c>
      <c r="C696" s="40">
        <v>1058</v>
      </c>
      <c r="D696" s="40" t="str" xml:space="preserve">
        <v>Gội Combo 2 </v>
      </c>
      <c r="E696" s="40">
        <v>159000</v>
      </c>
    </row>
    <row r="697">
      <c r="A697" s="40">
        <v>63</v>
      </c>
      <c r="B697" s="40" t="str">
        <v>29 Hiệp Bình</v>
      </c>
      <c r="C697" s="40">
        <v>1059</v>
      </c>
      <c r="D697" s="40" t="str">
        <v>Gội Combo 3 - Chăm da</v>
      </c>
      <c r="E697" s="40">
        <v>219000</v>
      </c>
    </row>
    <row r="698">
      <c r="A698" s="40">
        <v>63</v>
      </c>
      <c r="B698" s="40" t="str">
        <v>29 Hiệp Bình</v>
      </c>
      <c r="C698" s="40">
        <v>1059</v>
      </c>
      <c r="D698" s="40" t="str">
        <v>Gội Combo 3 - Chăm da</v>
      </c>
      <c r="E698" s="40">
        <v>239000</v>
      </c>
    </row>
    <row r="699">
      <c r="A699" s="40">
        <v>63</v>
      </c>
      <c r="B699" s="40" t="str">
        <v>29 Hiệp Bình</v>
      </c>
      <c r="C699" s="40">
        <v>1060</v>
      </c>
      <c r="D699" s="40" t="str">
        <v>Gội Combo 4</v>
      </c>
      <c r="E699" s="40">
        <v>319000</v>
      </c>
    </row>
    <row r="700">
      <c r="A700" s="40">
        <v>63</v>
      </c>
      <c r="B700" s="40" t="str">
        <v>29 Hiệp Bình</v>
      </c>
      <c r="C700" s="40">
        <v>1060</v>
      </c>
      <c r="D700" s="40" t="str">
        <v>Gội Combo 4</v>
      </c>
      <c r="E700" s="40">
        <v>289000</v>
      </c>
    </row>
    <row r="701">
      <c r="A701" s="40">
        <v>63</v>
      </c>
      <c r="B701" s="40" t="str">
        <v>29 Hiệp Bình</v>
      </c>
      <c r="C701" s="40">
        <v>934</v>
      </c>
      <c r="D701" s="40" t="str">
        <v>Gội combo 3 - Dưỡng sinh</v>
      </c>
      <c r="E701" s="40">
        <v>229000</v>
      </c>
    </row>
    <row r="702">
      <c r="A702" s="40">
        <v>63</v>
      </c>
      <c r="B702" s="40" t="str">
        <v>29 Hiệp Bình</v>
      </c>
      <c r="C702" s="40">
        <v>867</v>
      </c>
      <c r="D702" s="40" t="str">
        <v>Gội dưỡng sinh cổ vai gáy</v>
      </c>
      <c r="E702" s="40">
        <v>99000</v>
      </c>
    </row>
    <row r="703">
      <c r="A703" s="40">
        <v>63</v>
      </c>
      <c r="B703" s="40" t="str">
        <v>29 Hiệp Bình</v>
      </c>
      <c r="C703" s="40">
        <v>867</v>
      </c>
      <c r="D703" s="40" t="str">
        <v>Gội dưỡng sinh cổ vai gáy</v>
      </c>
      <c r="E703" s="40">
        <v>95000</v>
      </c>
    </row>
    <row r="704">
      <c r="A704" s="40">
        <v>63</v>
      </c>
      <c r="B704" s="40" t="str">
        <v>29 Hiệp Bình</v>
      </c>
      <c r="C704" s="40">
        <v>1002</v>
      </c>
      <c r="D704" s="40" t="str">
        <v>Kid Cắt</v>
      </c>
      <c r="E704" s="40">
        <v>75000</v>
      </c>
    </row>
    <row r="705">
      <c r="A705" s="40">
        <v>63</v>
      </c>
      <c r="B705" s="40" t="str">
        <v>29 Hiệp Bình</v>
      </c>
      <c r="C705" s="40">
        <v>1149</v>
      </c>
      <c r="D705" s="40" t="str">
        <v>NHUỘM THIẾT KẾ PHỤC HỒI CHUYÊN SÂU LIPID BOND 2025</v>
      </c>
      <c r="E705" s="40">
        <v>719000</v>
      </c>
    </row>
    <row r="706">
      <c r="A706" s="40">
        <v>63</v>
      </c>
      <c r="B706" s="40" t="str">
        <v>29 Hiệp Bình</v>
      </c>
      <c r="C706" s="40">
        <v>615</v>
      </c>
      <c r="D706" s="40" t="str">
        <v>Nhổ tóc bạc buổi trưa</v>
      </c>
      <c r="E706" s="40">
        <v>150000</v>
      </c>
    </row>
    <row r="707">
      <c r="A707" s="40">
        <v>63</v>
      </c>
      <c r="B707" s="40" t="str">
        <v>29 Hiệp Bình</v>
      </c>
      <c r="C707" s="40">
        <v>1046</v>
      </c>
      <c r="D707" s="40" t="str" xml:space="preserve">
        <v>Shinecombo 2 </v>
      </c>
      <c r="E707" s="40">
        <v>199000</v>
      </c>
    </row>
    <row r="708">
      <c r="A708" s="40">
        <v>63</v>
      </c>
      <c r="B708" s="40" t="str">
        <v>29 Hiệp Bình</v>
      </c>
      <c r="C708" s="40">
        <v>1148</v>
      </c>
      <c r="D708" s="40" t="str">
        <v>UỐN THIẾT KẾ PHỤC HỒI CHUYÊN SÂU LIPID BOND 2025</v>
      </c>
      <c r="E708" s="40">
        <v>689000</v>
      </c>
    </row>
    <row r="709">
      <c r="A709" s="40">
        <v>63</v>
      </c>
      <c r="B709" s="40" t="str">
        <v>29 Hiệp Bình</v>
      </c>
      <c r="C709" s="40">
        <v>952</v>
      </c>
      <c r="D709" s="40" t="str">
        <v>Uốn định hình nếp tóc cao cấp (K-Perm Collection)</v>
      </c>
      <c r="E709" s="40">
        <v>478000</v>
      </c>
    </row>
    <row r="710">
      <c r="A710" s="40">
        <v>63</v>
      </c>
      <c r="B710" s="40" t="str">
        <v>29 Hiệp Bình</v>
      </c>
      <c r="C710" s="40">
        <v>635</v>
      </c>
      <c r="D710" s="40" t="str">
        <v>[DV] Detox tẩy da chết da đầu</v>
      </c>
      <c r="E710" s="40">
        <v>45000</v>
      </c>
    </row>
    <row r="711">
      <c r="A711" s="40">
        <v>63</v>
      </c>
      <c r="B711" s="40" t="str">
        <v>29 Hiệp Bình</v>
      </c>
      <c r="C711" s="40">
        <v>636</v>
      </c>
      <c r="D711" s="40" t="str">
        <v>[DV] Mặt nạ lạnh Hàn Quốc</v>
      </c>
      <c r="E711" s="40">
        <v>35000</v>
      </c>
    </row>
    <row r="712">
      <c r="A712" s="40">
        <v>63</v>
      </c>
      <c r="B712" s="40" t="str">
        <v>29 Hiệp Bình</v>
      </c>
      <c r="C712" s="40">
        <v>625</v>
      </c>
      <c r="D712" s="40" t="str">
        <v>[DV] Mặt nạ tẩy da chết sủi bọt cao cấp</v>
      </c>
      <c r="E712" s="40">
        <v>55000</v>
      </c>
    </row>
    <row r="713">
      <c r="A713" s="40">
        <v>63</v>
      </c>
      <c r="B713" s="40" t="str">
        <v>29 Hiệp Bình</v>
      </c>
      <c r="C713" s="40">
        <v>912</v>
      </c>
      <c r="D713" s="40" t="str">
        <v>[DV] Nhuộm đen phủ bạc R&amp;B thảo dược</v>
      </c>
      <c r="E713" s="40">
        <v>289000</v>
      </c>
    </row>
    <row r="714">
      <c r="A714" s="40">
        <v>63</v>
      </c>
      <c r="B714" s="40" t="str">
        <v>29 Hiệp Bình</v>
      </c>
      <c r="C714" s="40">
        <v>513</v>
      </c>
      <c r="D714" s="40" t="str">
        <v>[DV] ShineCombo 10 bước Ultra Care 2023</v>
      </c>
      <c r="E714" s="40">
        <v>120000</v>
      </c>
    </row>
    <row r="715">
      <c r="A715" s="40">
        <v>63</v>
      </c>
      <c r="B715" s="40" t="str">
        <v>29 Hiệp Bình</v>
      </c>
      <c r="C715" s="40">
        <v>513</v>
      </c>
      <c r="D715" s="40" t="str">
        <v>[DV] ShineCombo 10 bước Ultra Care 2023</v>
      </c>
      <c r="E715" s="40">
        <v>122000</v>
      </c>
    </row>
    <row r="716">
      <c r="A716" s="40">
        <v>63</v>
      </c>
      <c r="B716" s="40" t="str">
        <v>29 Hiệp Bình</v>
      </c>
      <c r="C716" s="40">
        <v>462</v>
      </c>
      <c r="D716" s="40" t="str">
        <v>[DV] Thư giãn cổ, vai, gáy bạc hà cam ngọt - Thư giãn tai sảng khoái 9 tầng mây 45k</v>
      </c>
      <c r="E716" s="40">
        <v>45000</v>
      </c>
    </row>
    <row r="717">
      <c r="A717" s="40">
        <v>63</v>
      </c>
      <c r="B717" s="40" t="str">
        <v>29 Hiệp Bình</v>
      </c>
      <c r="C717" s="40">
        <v>634</v>
      </c>
      <c r="D717" s="40" t="str">
        <v>[DV] Tẩy da chết sủi bọt Hàn Quốc</v>
      </c>
      <c r="E717" s="40">
        <v>35000</v>
      </c>
    </row>
    <row r="718">
      <c r="A718" s="40">
        <v>63</v>
      </c>
      <c r="B718" s="40" t="str">
        <v>29 Hiệp Bình</v>
      </c>
      <c r="C718" s="40">
        <v>674</v>
      </c>
      <c r="D718" s="40" t="str">
        <v>[DV] Uốn Texture con sâu/Uốn Ruffled</v>
      </c>
      <c r="E718" s="40">
        <v>520000</v>
      </c>
    </row>
    <row r="719">
      <c r="A719" s="40">
        <v>63</v>
      </c>
      <c r="B719" s="40" t="str">
        <v>29 Hiệp Bình</v>
      </c>
      <c r="C719" s="40">
        <v>902</v>
      </c>
      <c r="D719" s="40" t="str">
        <v>[DV] Ép side hai bên</v>
      </c>
      <c r="E719" s="40">
        <v>189000</v>
      </c>
    </row>
    <row r="720">
      <c r="A720" s="40">
        <v>63</v>
      </c>
      <c r="B720" s="40" t="str">
        <v>29 Hiệp Bình</v>
      </c>
      <c r="C720" s="40">
        <v>940</v>
      </c>
      <c r="D720" s="40" t="str">
        <v>[NEW] Gội dưỡng sinh</v>
      </c>
      <c r="E720" s="40">
        <v>59000</v>
      </c>
    </row>
    <row r="721">
      <c r="A721" s="40">
        <v>63</v>
      </c>
      <c r="B721" s="40" t="str">
        <v>29 Hiệp Bình</v>
      </c>
      <c r="C721" s="40">
        <v>603</v>
      </c>
      <c r="D721" s="40" t="str">
        <v>Đánh bay mụn cám lột mụn (Full Face)</v>
      </c>
      <c r="E721" s="40">
        <v>49000</v>
      </c>
    </row>
    <row r="722">
      <c r="A722" s="40">
        <v>65</v>
      </c>
      <c r="B722" s="40" t="str">
        <v>255 Nguyễn An Ninh</v>
      </c>
      <c r="C722" s="40">
        <v>610</v>
      </c>
      <c r="D722" s="40" t="str">
        <v>(2022T) ATS Control Buffer - Khử mùi tạo thơm cho tóc uốn nhuộm 40k</v>
      </c>
      <c r="E722" s="40">
        <v>40000</v>
      </c>
    </row>
    <row r="723">
      <c r="A723" s="40">
        <v>65</v>
      </c>
      <c r="B723" s="40" t="str">
        <v>255 Nguyễn An Ninh</v>
      </c>
      <c r="C723" s="40">
        <v>960</v>
      </c>
      <c r="D723" s="40" t="str">
        <v>(NEW) Nhuộm màu thời trang Milano</v>
      </c>
      <c r="E723" s="40">
        <v>346000</v>
      </c>
    </row>
    <row r="724">
      <c r="A724" s="40">
        <v>65</v>
      </c>
      <c r="B724" s="40" t="str">
        <v>255 Nguyễn An Ninh</v>
      </c>
      <c r="C724" s="40">
        <v>967</v>
      </c>
      <c r="D724" s="40" t="str">
        <v>(NEW) Nhuộm phủ bạc tiêu chuẩn 199K</v>
      </c>
      <c r="E724" s="40">
        <v>202000</v>
      </c>
    </row>
    <row r="725">
      <c r="A725" s="40">
        <v>65</v>
      </c>
      <c r="B725" s="40" t="str">
        <v>255 Nguyễn An Ninh</v>
      </c>
      <c r="C725" s="40">
        <v>1009</v>
      </c>
      <c r="D725" s="40" t="str">
        <v>(NEW) Uốn/Duỗi/Định hình full đầu tạo form vào nếp tự nhiên</v>
      </c>
      <c r="E725" s="40">
        <v>386000</v>
      </c>
    </row>
    <row r="726">
      <c r="A726" s="40">
        <v>65</v>
      </c>
      <c r="B726" s="40" t="str">
        <v>255 Nguyễn An Ninh</v>
      </c>
      <c r="C726" s="40">
        <v>1048</v>
      </c>
      <c r="D726" s="40" t="str">
        <v>Combo 4</v>
      </c>
      <c r="E726" s="40">
        <v>389000</v>
      </c>
    </row>
    <row r="727">
      <c r="A727" s="40">
        <v>65</v>
      </c>
      <c r="B727" s="40" t="str">
        <v>255 Nguyễn An Ninh</v>
      </c>
      <c r="C727" s="40">
        <v>1070</v>
      </c>
      <c r="D727" s="40" t="str">
        <v>Combo Cắt gội Kid</v>
      </c>
      <c r="E727" s="40">
        <v>100000</v>
      </c>
    </row>
    <row r="728">
      <c r="A728" s="40">
        <v>65</v>
      </c>
      <c r="B728" s="40" t="str">
        <v>255 Nguyễn An Ninh</v>
      </c>
      <c r="C728" s="40">
        <v>1150</v>
      </c>
      <c r="D728" s="40" t="str">
        <v>Combo cắt gội đỉnh cao thư giãn vip</v>
      </c>
      <c r="E728" s="40">
        <v>600000</v>
      </c>
    </row>
    <row r="729">
      <c r="A729" s="40">
        <v>65</v>
      </c>
      <c r="B729" s="40" t="str">
        <v>255 Nguyễn An Ninh</v>
      </c>
      <c r="C729" s="40">
        <v>1150</v>
      </c>
      <c r="D729" s="40" t="str">
        <v>Combo cắt gội đỉnh cao thư giãn vip</v>
      </c>
      <c r="E729" s="40">
        <v>500000</v>
      </c>
    </row>
    <row r="730">
      <c r="A730" s="40">
        <v>65</v>
      </c>
      <c r="B730" s="40" t="str">
        <v>255 Nguyễn An Ninh</v>
      </c>
      <c r="C730" s="40">
        <v>1047</v>
      </c>
      <c r="D730" s="40" t="str">
        <v>Cắt Gội Combo 3 - Chăm da</v>
      </c>
      <c r="E730" s="40">
        <v>299000</v>
      </c>
    </row>
    <row r="731">
      <c r="A731" s="40">
        <v>65</v>
      </c>
      <c r="B731" s="40" t="str">
        <v>255 Nguyễn An Ninh</v>
      </c>
      <c r="C731" s="40">
        <v>891</v>
      </c>
      <c r="D731" s="40" t="str">
        <v>Cắt xả tạo kiểu</v>
      </c>
      <c r="E731" s="40">
        <v>90000</v>
      </c>
    </row>
    <row r="732">
      <c r="A732" s="40">
        <v>65</v>
      </c>
      <c r="B732" s="40" t="str">
        <v>255 Nguyễn An Ninh</v>
      </c>
      <c r="C732" s="40">
        <v>891</v>
      </c>
      <c r="D732" s="40" t="str">
        <v>Cắt xả tạo kiểu</v>
      </c>
      <c r="E732" s="40">
        <v>94000</v>
      </c>
    </row>
    <row r="733">
      <c r="A733" s="40">
        <v>65</v>
      </c>
      <c r="B733" s="40" t="str">
        <v>255 Nguyễn An Ninh</v>
      </c>
      <c r="C733" s="40">
        <v>1058</v>
      </c>
      <c r="D733" s="40" t="str" xml:space="preserve">
        <v>Gội Combo 2 </v>
      </c>
      <c r="E733" s="40">
        <v>159000</v>
      </c>
    </row>
    <row r="734">
      <c r="A734" s="40">
        <v>65</v>
      </c>
      <c r="B734" s="40" t="str">
        <v>255 Nguyễn An Ninh</v>
      </c>
      <c r="C734" s="40">
        <v>1059</v>
      </c>
      <c r="D734" s="40" t="str">
        <v>Gội Combo 3 - Chăm da</v>
      </c>
      <c r="E734" s="40">
        <v>239000</v>
      </c>
    </row>
    <row r="735">
      <c r="A735" s="40">
        <v>65</v>
      </c>
      <c r="B735" s="40" t="str">
        <v>255 Nguyễn An Ninh</v>
      </c>
      <c r="C735" s="40">
        <v>1059</v>
      </c>
      <c r="D735" s="40" t="str">
        <v>Gội Combo 3 - Chăm da</v>
      </c>
      <c r="E735" s="40">
        <v>219000</v>
      </c>
    </row>
    <row r="736">
      <c r="A736" s="40">
        <v>65</v>
      </c>
      <c r="B736" s="40" t="str">
        <v>255 Nguyễn An Ninh</v>
      </c>
      <c r="C736" s="40">
        <v>1060</v>
      </c>
      <c r="D736" s="40" t="str">
        <v>Gội Combo 4</v>
      </c>
      <c r="E736" s="40">
        <v>319000</v>
      </c>
    </row>
    <row r="737">
      <c r="A737" s="40">
        <v>65</v>
      </c>
      <c r="B737" s="40" t="str">
        <v>255 Nguyễn An Ninh</v>
      </c>
      <c r="C737" s="40">
        <v>1060</v>
      </c>
      <c r="D737" s="40" t="str">
        <v>Gội Combo 4</v>
      </c>
      <c r="E737" s="40">
        <v>289000</v>
      </c>
    </row>
    <row r="738">
      <c r="A738" s="40">
        <v>65</v>
      </c>
      <c r="B738" s="40" t="str">
        <v>255 Nguyễn An Ninh</v>
      </c>
      <c r="C738" s="40">
        <v>867</v>
      </c>
      <c r="D738" s="40" t="str">
        <v>Gội dưỡng sinh cổ vai gáy</v>
      </c>
      <c r="E738" s="40">
        <v>95000</v>
      </c>
    </row>
    <row r="739">
      <c r="A739" s="40">
        <v>65</v>
      </c>
      <c r="B739" s="40" t="str">
        <v>255 Nguyễn An Ninh</v>
      </c>
      <c r="C739" s="40">
        <v>867</v>
      </c>
      <c r="D739" s="40" t="str">
        <v>Gội dưỡng sinh cổ vai gáy</v>
      </c>
      <c r="E739" s="40">
        <v>79000</v>
      </c>
    </row>
    <row r="740">
      <c r="A740" s="40">
        <v>65</v>
      </c>
      <c r="B740" s="40" t="str">
        <v>255 Nguyễn An Ninh</v>
      </c>
      <c r="C740" s="40">
        <v>1002</v>
      </c>
      <c r="D740" s="40" t="str">
        <v>Kid Cắt</v>
      </c>
      <c r="E740" s="40">
        <v>75000</v>
      </c>
    </row>
    <row r="741">
      <c r="A741" s="40">
        <v>65</v>
      </c>
      <c r="B741" s="40" t="str">
        <v>255 Nguyễn An Ninh</v>
      </c>
      <c r="C741" s="40">
        <v>1149</v>
      </c>
      <c r="D741" s="40" t="str">
        <v>NHUỘM THIẾT KẾ PHỤC HỒI CHUYÊN SÂU LIPID BOND 2025</v>
      </c>
      <c r="E741" s="40">
        <v>719000</v>
      </c>
    </row>
    <row r="742">
      <c r="A742" s="40">
        <v>65</v>
      </c>
      <c r="B742" s="40" t="str">
        <v>255 Nguyễn An Ninh</v>
      </c>
      <c r="C742" s="40">
        <v>1101</v>
      </c>
      <c r="D742" s="40" t="str">
        <v>Phục hồi trẻ hóa Lipid Bond</v>
      </c>
      <c r="E742" s="40">
        <v>146000</v>
      </c>
    </row>
    <row r="743">
      <c r="A743" s="40">
        <v>65</v>
      </c>
      <c r="B743" s="40" t="str">
        <v>255 Nguyễn An Ninh</v>
      </c>
      <c r="C743" s="40">
        <v>1046</v>
      </c>
      <c r="D743" s="40" t="str" xml:space="preserve">
        <v>Shinecombo 2 </v>
      </c>
      <c r="E743" s="40">
        <v>199000</v>
      </c>
    </row>
    <row r="744">
      <c r="A744" s="40">
        <v>65</v>
      </c>
      <c r="B744" s="40" t="str">
        <v>255 Nguyễn An Ninh</v>
      </c>
      <c r="C744" s="40">
        <v>1148</v>
      </c>
      <c r="D744" s="40" t="str">
        <v>UỐN THIẾT KẾ PHỤC HỒI CHUYÊN SÂU LIPID BOND 2025</v>
      </c>
      <c r="E744" s="40">
        <v>689000</v>
      </c>
    </row>
    <row r="745">
      <c r="A745" s="40">
        <v>65</v>
      </c>
      <c r="B745" s="40" t="str">
        <v>255 Nguyễn An Ninh</v>
      </c>
      <c r="C745" s="40">
        <v>952</v>
      </c>
      <c r="D745" s="40" t="str">
        <v>Uốn định hình nếp tóc cao cấp (K-Perm Collection)</v>
      </c>
      <c r="E745" s="40">
        <v>478000</v>
      </c>
    </row>
    <row r="746">
      <c r="A746" s="40">
        <v>65</v>
      </c>
      <c r="B746" s="40" t="str">
        <v>255 Nguyễn An Ninh</v>
      </c>
      <c r="C746" s="40">
        <v>635</v>
      </c>
      <c r="D746" s="40" t="str">
        <v>[DV] Detox tẩy da chết da đầu</v>
      </c>
      <c r="E746" s="40">
        <v>45000</v>
      </c>
    </row>
    <row r="747">
      <c r="A747" s="40">
        <v>65</v>
      </c>
      <c r="B747" s="40" t="str">
        <v>255 Nguyễn An Ninh</v>
      </c>
      <c r="C747" s="40">
        <v>636</v>
      </c>
      <c r="D747" s="40" t="str">
        <v>[DV] Mặt nạ lạnh Hàn Quốc</v>
      </c>
      <c r="E747" s="40">
        <v>35000</v>
      </c>
    </row>
    <row r="748">
      <c r="A748" s="40">
        <v>65</v>
      </c>
      <c r="B748" s="40" t="str">
        <v>255 Nguyễn An Ninh</v>
      </c>
      <c r="C748" s="40">
        <v>625</v>
      </c>
      <c r="D748" s="40" t="str">
        <v>[DV] Mặt nạ tẩy da chết sủi bọt cao cấp</v>
      </c>
      <c r="E748" s="40">
        <v>55000</v>
      </c>
    </row>
    <row r="749">
      <c r="A749" s="40">
        <v>65</v>
      </c>
      <c r="B749" s="40" t="str">
        <v>255 Nguyễn An Ninh</v>
      </c>
      <c r="C749" s="40">
        <v>912</v>
      </c>
      <c r="D749" s="40" t="str">
        <v>[DV] Nhuộm đen phủ bạc R&amp;B thảo dược</v>
      </c>
      <c r="E749" s="40">
        <v>293000</v>
      </c>
    </row>
    <row r="750">
      <c r="A750" s="40">
        <v>65</v>
      </c>
      <c r="B750" s="40" t="str">
        <v>255 Nguyễn An Ninh</v>
      </c>
      <c r="C750" s="40">
        <v>513</v>
      </c>
      <c r="D750" s="40" t="str">
        <v>[DV] ShineCombo 10 bước Ultra Care 2023</v>
      </c>
      <c r="E750" s="40">
        <v>120000</v>
      </c>
    </row>
    <row r="751">
      <c r="A751" s="40">
        <v>65</v>
      </c>
      <c r="B751" s="40" t="str">
        <v>255 Nguyễn An Ninh</v>
      </c>
      <c r="C751" s="40">
        <v>513</v>
      </c>
      <c r="D751" s="40" t="str">
        <v>[DV] ShineCombo 10 bước Ultra Care 2023</v>
      </c>
      <c r="E751" s="40">
        <v>122000</v>
      </c>
    </row>
    <row r="752">
      <c r="A752" s="40">
        <v>65</v>
      </c>
      <c r="B752" s="40" t="str">
        <v>255 Nguyễn An Ninh</v>
      </c>
      <c r="C752" s="40">
        <v>462</v>
      </c>
      <c r="D752" s="40" t="str">
        <v>[DV] Thư giãn cổ, vai, gáy bạc hà cam ngọt - Thư giãn tai sảng khoái 9 tầng mây 45k</v>
      </c>
      <c r="E752" s="40">
        <v>45000</v>
      </c>
    </row>
    <row r="753">
      <c r="A753" s="40">
        <v>65</v>
      </c>
      <c r="B753" s="40" t="str">
        <v>255 Nguyễn An Ninh</v>
      </c>
      <c r="C753" s="40">
        <v>634</v>
      </c>
      <c r="D753" s="40" t="str">
        <v>[DV] Tẩy da chết sủi bọt Hàn Quốc</v>
      </c>
      <c r="E753" s="40">
        <v>35000</v>
      </c>
    </row>
    <row r="754">
      <c r="A754" s="40">
        <v>65</v>
      </c>
      <c r="B754" s="40" t="str">
        <v>255 Nguyễn An Ninh</v>
      </c>
      <c r="C754" s="40">
        <v>915</v>
      </c>
      <c r="D754" s="40" t="str">
        <v>[DV] Tẩy tóc bật tông Ý (1 lần)</v>
      </c>
      <c r="E754" s="40">
        <v>252000</v>
      </c>
    </row>
    <row r="755">
      <c r="A755" s="40">
        <v>65</v>
      </c>
      <c r="B755" s="40" t="str">
        <v>255 Nguyễn An Ninh</v>
      </c>
      <c r="C755" s="40">
        <v>941</v>
      </c>
      <c r="D755" s="40" t="str">
        <v>[DV] Vuốt sáp - sấy tạo kiểu 10k</v>
      </c>
      <c r="E755" s="40">
        <v>10000</v>
      </c>
    </row>
    <row r="756">
      <c r="A756" s="40">
        <v>65</v>
      </c>
      <c r="B756" s="40" t="str">
        <v>255 Nguyễn An Ninh</v>
      </c>
      <c r="C756" s="40">
        <v>940</v>
      </c>
      <c r="D756" s="40" t="str">
        <v>[NEW] Gội dưỡng sinh</v>
      </c>
      <c r="E756" s="40">
        <v>59000</v>
      </c>
    </row>
    <row r="757">
      <c r="A757" s="40">
        <v>65</v>
      </c>
      <c r="B757" s="40" t="str">
        <v>255 Nguyễn An Ninh</v>
      </c>
      <c r="C757" s="40">
        <v>603</v>
      </c>
      <c r="D757" s="40" t="str">
        <v>Đánh bay mụn cám lột mụn (Full Face)</v>
      </c>
      <c r="E757" s="40">
        <v>49000</v>
      </c>
    </row>
    <row r="758">
      <c r="A758" s="40">
        <v>69</v>
      </c>
      <c r="B758" s="40" t="str">
        <v>312 Lê Văn Sỹ</v>
      </c>
      <c r="C758" s="40">
        <v>610</v>
      </c>
      <c r="D758" s="40" t="str">
        <v>(2022T) ATS Control Buffer - Khử mùi tạo thơm cho tóc uốn nhuộm 40k</v>
      </c>
      <c r="E758" s="40">
        <v>40000</v>
      </c>
    </row>
    <row r="759">
      <c r="A759" s="40">
        <v>69</v>
      </c>
      <c r="B759" s="40" t="str">
        <v>312 Lê Văn Sỹ</v>
      </c>
      <c r="C759" s="40">
        <v>960</v>
      </c>
      <c r="D759" s="40" t="str">
        <v>(NEW) Nhuộm màu thời trang Milano</v>
      </c>
      <c r="E759" s="40">
        <v>366000</v>
      </c>
    </row>
    <row r="760">
      <c r="A760" s="40">
        <v>69</v>
      </c>
      <c r="B760" s="40" t="str">
        <v>312 Lê Văn Sỹ</v>
      </c>
      <c r="C760" s="40">
        <v>967</v>
      </c>
      <c r="D760" s="40" t="str">
        <v>(NEW) Nhuộm phủ bạc tiêu chuẩn 199K</v>
      </c>
      <c r="E760" s="40">
        <v>199000</v>
      </c>
    </row>
    <row r="761">
      <c r="A761" s="40">
        <v>69</v>
      </c>
      <c r="B761" s="40" t="str">
        <v>312 Lê Văn Sỹ</v>
      </c>
      <c r="C761" s="40">
        <v>1009</v>
      </c>
      <c r="D761" s="40" t="str">
        <v>(NEW) Uốn/Duỗi/Định hình full đầu tạo form vào nếp tự nhiên</v>
      </c>
      <c r="E761" s="40">
        <v>386000</v>
      </c>
    </row>
    <row r="762">
      <c r="A762" s="40">
        <v>69</v>
      </c>
      <c r="B762" s="40" t="str">
        <v>312 Lê Văn Sỹ</v>
      </c>
      <c r="C762" s="40">
        <v>1052</v>
      </c>
      <c r="D762" s="40" t="str">
        <v>Combo 1 - First Class 1</v>
      </c>
      <c r="E762" s="40">
        <v>159000</v>
      </c>
    </row>
    <row r="763">
      <c r="A763" s="40">
        <v>69</v>
      </c>
      <c r="B763" s="40" t="str">
        <v>312 Lê Văn Sỹ</v>
      </c>
      <c r="C763" s="40">
        <v>1048</v>
      </c>
      <c r="D763" s="40" t="str">
        <v>Combo 4</v>
      </c>
      <c r="E763" s="40">
        <v>389000</v>
      </c>
    </row>
    <row r="764">
      <c r="A764" s="40">
        <v>69</v>
      </c>
      <c r="B764" s="40" t="str">
        <v>312 Lê Văn Sỹ</v>
      </c>
      <c r="C764" s="40">
        <v>1070</v>
      </c>
      <c r="D764" s="40" t="str">
        <v>Combo Cắt gội Kid</v>
      </c>
      <c r="E764" s="40">
        <v>100000</v>
      </c>
    </row>
    <row r="765">
      <c r="A765" s="40">
        <v>69</v>
      </c>
      <c r="B765" s="40" t="str">
        <v>312 Lê Văn Sỹ</v>
      </c>
      <c r="C765" s="40">
        <v>1047</v>
      </c>
      <c r="D765" s="40" t="str">
        <v>Cắt Gội Combo 3 - Chăm da</v>
      </c>
      <c r="E765" s="40">
        <v>299000</v>
      </c>
    </row>
    <row r="766">
      <c r="A766" s="40">
        <v>69</v>
      </c>
      <c r="B766" s="40" t="str">
        <v>312 Lê Văn Sỹ</v>
      </c>
      <c r="C766" s="40">
        <v>1065</v>
      </c>
      <c r="D766" s="40" t="str">
        <v>Cắt Gội Combo 3 - Dưỡng sinh</v>
      </c>
      <c r="E766" s="40">
        <v>299000</v>
      </c>
    </row>
    <row r="767">
      <c r="A767" s="40">
        <v>69</v>
      </c>
      <c r="B767" s="40" t="str">
        <v>312 Lê Văn Sỹ</v>
      </c>
      <c r="C767" s="40">
        <v>1064</v>
      </c>
      <c r="D767" s="40" t="str">
        <v>Cắt Gội Combo 5 - Dưỡng sinh</v>
      </c>
      <c r="E767" s="40">
        <v>459000</v>
      </c>
    </row>
    <row r="768">
      <c r="A768" s="40">
        <v>69</v>
      </c>
      <c r="B768" s="40" t="str">
        <v>312 Lê Văn Sỹ</v>
      </c>
      <c r="C768" s="40">
        <v>891</v>
      </c>
      <c r="D768" s="40" t="str">
        <v>Cắt xả tạo kiểu</v>
      </c>
      <c r="E768" s="40">
        <v>90000</v>
      </c>
    </row>
    <row r="769">
      <c r="A769" s="40">
        <v>69</v>
      </c>
      <c r="B769" s="40" t="str">
        <v>312 Lê Văn Sỹ</v>
      </c>
      <c r="C769" s="40">
        <v>891</v>
      </c>
      <c r="D769" s="40" t="str">
        <v>Cắt xả tạo kiểu</v>
      </c>
      <c r="E769" s="40">
        <v>94000</v>
      </c>
    </row>
    <row r="770">
      <c r="A770" s="40">
        <v>69</v>
      </c>
      <c r="B770" s="40" t="str">
        <v>312 Lê Văn Sỹ</v>
      </c>
      <c r="C770" s="40">
        <v>1058</v>
      </c>
      <c r="D770" s="40" t="str" xml:space="preserve">
        <v>Gội Combo 2 </v>
      </c>
      <c r="E770" s="40">
        <v>159000</v>
      </c>
    </row>
    <row r="771">
      <c r="A771" s="40">
        <v>69</v>
      </c>
      <c r="B771" s="40" t="str">
        <v>312 Lê Văn Sỹ</v>
      </c>
      <c r="C771" s="40">
        <v>1059</v>
      </c>
      <c r="D771" s="40" t="str">
        <v>Gội Combo 3 - Chăm da</v>
      </c>
      <c r="E771" s="40">
        <v>219000</v>
      </c>
    </row>
    <row r="772">
      <c r="A772" s="40">
        <v>69</v>
      </c>
      <c r="B772" s="40" t="str">
        <v>312 Lê Văn Sỹ</v>
      </c>
      <c r="C772" s="40">
        <v>1059</v>
      </c>
      <c r="D772" s="40" t="str">
        <v>Gội Combo 3 - Chăm da</v>
      </c>
      <c r="E772" s="40">
        <v>239000</v>
      </c>
    </row>
    <row r="773">
      <c r="A773" s="40">
        <v>69</v>
      </c>
      <c r="B773" s="40" t="str">
        <v>312 Lê Văn Sỹ</v>
      </c>
      <c r="C773" s="40">
        <v>1060</v>
      </c>
      <c r="D773" s="40" t="str">
        <v>Gội Combo 4</v>
      </c>
      <c r="E773" s="40">
        <v>289000</v>
      </c>
    </row>
    <row r="774">
      <c r="A774" s="40">
        <v>69</v>
      </c>
      <c r="B774" s="40" t="str">
        <v>312 Lê Văn Sỹ</v>
      </c>
      <c r="C774" s="40">
        <v>1060</v>
      </c>
      <c r="D774" s="40" t="str">
        <v>Gội Combo 4</v>
      </c>
      <c r="E774" s="40">
        <v>319000</v>
      </c>
    </row>
    <row r="775">
      <c r="A775" s="40">
        <v>69</v>
      </c>
      <c r="B775" s="40" t="str">
        <v>312 Lê Văn Sỹ</v>
      </c>
      <c r="C775" s="40">
        <v>1061</v>
      </c>
      <c r="D775" s="40" t="str">
        <v>Gội Combo 5 - Chăm da</v>
      </c>
      <c r="E775" s="40">
        <v>359000</v>
      </c>
    </row>
    <row r="776">
      <c r="A776" s="40">
        <v>69</v>
      </c>
      <c r="B776" s="40" t="str">
        <v>312 Lê Văn Sỹ</v>
      </c>
      <c r="C776" s="40">
        <v>934</v>
      </c>
      <c r="D776" s="40" t="str">
        <v>Gội combo 3 - Dưỡng sinh</v>
      </c>
      <c r="E776" s="40">
        <v>229000</v>
      </c>
    </row>
    <row r="777">
      <c r="A777" s="40">
        <v>69</v>
      </c>
      <c r="B777" s="40" t="str">
        <v>312 Lê Văn Sỹ</v>
      </c>
      <c r="C777" s="40">
        <v>932</v>
      </c>
      <c r="D777" s="40" t="str">
        <v>Gội combo 5 dưỡng sinh</v>
      </c>
      <c r="E777" s="40">
        <v>399000</v>
      </c>
    </row>
    <row r="778">
      <c r="A778" s="40">
        <v>69</v>
      </c>
      <c r="B778" s="40" t="str">
        <v>312 Lê Văn Sỹ</v>
      </c>
      <c r="C778" s="40">
        <v>867</v>
      </c>
      <c r="D778" s="40" t="str">
        <v>Gội dưỡng sinh cổ vai gáy</v>
      </c>
      <c r="E778" s="40">
        <v>100000</v>
      </c>
    </row>
    <row r="779">
      <c r="A779" s="40">
        <v>69</v>
      </c>
      <c r="B779" s="40" t="str">
        <v>312 Lê Văn Sỹ</v>
      </c>
      <c r="C779" s="40">
        <v>867</v>
      </c>
      <c r="D779" s="40" t="str">
        <v>Gội dưỡng sinh cổ vai gáy</v>
      </c>
      <c r="E779" s="40">
        <v>95000</v>
      </c>
    </row>
    <row r="780">
      <c r="A780" s="40">
        <v>69</v>
      </c>
      <c r="B780" s="40" t="str">
        <v>312 Lê Văn Sỹ</v>
      </c>
      <c r="C780" s="40">
        <v>1066</v>
      </c>
      <c r="D780" s="40" t="str">
        <v>Gội trải nghiệm 75p</v>
      </c>
      <c r="E780" s="40">
        <v>589000</v>
      </c>
    </row>
    <row r="781">
      <c r="A781" s="40">
        <v>69</v>
      </c>
      <c r="B781" s="40" t="str">
        <v>312 Lê Văn Sỹ</v>
      </c>
      <c r="C781" s="40">
        <v>1002</v>
      </c>
      <c r="D781" s="40" t="str">
        <v>Kid Cắt</v>
      </c>
      <c r="E781" s="40">
        <v>75000</v>
      </c>
    </row>
    <row r="782">
      <c r="A782" s="40">
        <v>69</v>
      </c>
      <c r="B782" s="40" t="str">
        <v>312 Lê Văn Sỹ</v>
      </c>
      <c r="C782" s="40">
        <v>1149</v>
      </c>
      <c r="D782" s="40" t="str">
        <v>NHUỘM THIẾT KẾ PHỤC HỒI CHUYÊN SÂU LIPID BOND 2025</v>
      </c>
      <c r="E782" s="40">
        <v>759000</v>
      </c>
    </row>
    <row r="783">
      <c r="A783" s="40">
        <v>69</v>
      </c>
      <c r="B783" s="40" t="str">
        <v>312 Lê Văn Sỹ</v>
      </c>
      <c r="C783" s="40">
        <v>615</v>
      </c>
      <c r="D783" s="40" t="str">
        <v>Nhổ tóc bạc buổi trưa</v>
      </c>
      <c r="E783" s="40">
        <v>150000</v>
      </c>
    </row>
    <row r="784">
      <c r="A784" s="40">
        <v>69</v>
      </c>
      <c r="B784" s="40" t="str">
        <v>312 Lê Văn Sỹ</v>
      </c>
      <c r="C784" s="40">
        <v>1101</v>
      </c>
      <c r="D784" s="40" t="str">
        <v>Phục hồi trẻ hóa Lipid Bond</v>
      </c>
      <c r="E784" s="40">
        <v>146000</v>
      </c>
    </row>
    <row r="785">
      <c r="A785" s="40">
        <v>69</v>
      </c>
      <c r="B785" s="40" t="str">
        <v>312 Lê Văn Sỹ</v>
      </c>
      <c r="C785" s="40">
        <v>1046</v>
      </c>
      <c r="D785" s="40" t="str" xml:space="preserve">
        <v>Shinecombo 2 </v>
      </c>
      <c r="E785" s="40">
        <v>199000</v>
      </c>
    </row>
    <row r="786">
      <c r="A786" s="40">
        <v>69</v>
      </c>
      <c r="B786" s="40" t="str">
        <v>312 Lê Văn Sỹ</v>
      </c>
      <c r="C786" s="40">
        <v>1148</v>
      </c>
      <c r="D786" s="40" t="str">
        <v>UỐN THIẾT KẾ PHỤC HỒI CHUYÊN SÂU LIPID BOND 2025</v>
      </c>
      <c r="E786" s="40">
        <v>689000</v>
      </c>
    </row>
    <row r="787">
      <c r="A787" s="40">
        <v>69</v>
      </c>
      <c r="B787" s="40" t="str">
        <v>312 Lê Văn Sỹ</v>
      </c>
      <c r="C787" s="40">
        <v>952</v>
      </c>
      <c r="D787" s="40" t="str">
        <v>Uốn định hình nếp tóc cao cấp (K-Perm Collection)</v>
      </c>
      <c r="E787" s="40">
        <v>478000</v>
      </c>
    </row>
    <row r="788">
      <c r="A788" s="40">
        <v>69</v>
      </c>
      <c r="B788" s="40" t="str">
        <v>312 Lê Văn Sỹ</v>
      </c>
      <c r="C788" s="40">
        <v>635</v>
      </c>
      <c r="D788" s="40" t="str">
        <v>[DV] Detox tẩy da chết da đầu</v>
      </c>
      <c r="E788" s="40">
        <v>45000</v>
      </c>
    </row>
    <row r="789">
      <c r="A789" s="40">
        <v>69</v>
      </c>
      <c r="B789" s="40" t="str">
        <v>312 Lê Văn Sỹ</v>
      </c>
      <c r="C789" s="40">
        <v>636</v>
      </c>
      <c r="D789" s="40" t="str">
        <v>[DV] Mặt nạ lạnh Hàn Quốc</v>
      </c>
      <c r="E789" s="40">
        <v>35000</v>
      </c>
    </row>
    <row r="790">
      <c r="A790" s="40">
        <v>69</v>
      </c>
      <c r="B790" s="40" t="str">
        <v>312 Lê Văn Sỹ</v>
      </c>
      <c r="C790" s="40">
        <v>625</v>
      </c>
      <c r="D790" s="40" t="str">
        <v>[DV] Mặt nạ tẩy da chết sủi bọt cao cấp</v>
      </c>
      <c r="E790" s="40">
        <v>55000</v>
      </c>
    </row>
    <row r="791">
      <c r="A791" s="40">
        <v>69</v>
      </c>
      <c r="B791" s="40" t="str">
        <v>312 Lê Văn Sỹ</v>
      </c>
      <c r="C791" s="40">
        <v>912</v>
      </c>
      <c r="D791" s="40" t="str">
        <v>[DV] Nhuộm đen phủ bạc R&amp;B thảo dược</v>
      </c>
      <c r="E791" s="40">
        <v>289000</v>
      </c>
    </row>
    <row r="792">
      <c r="A792" s="40">
        <v>69</v>
      </c>
      <c r="B792" s="40" t="str">
        <v>312 Lê Văn Sỹ</v>
      </c>
      <c r="C792" s="40">
        <v>513</v>
      </c>
      <c r="D792" s="40" t="str">
        <v>[DV] ShineCombo 10 bước Ultra Care 2023</v>
      </c>
      <c r="E792" s="40">
        <v>122000</v>
      </c>
    </row>
    <row r="793">
      <c r="A793" s="40">
        <v>69</v>
      </c>
      <c r="B793" s="40" t="str">
        <v>312 Lê Văn Sỹ</v>
      </c>
      <c r="C793" s="40">
        <v>513</v>
      </c>
      <c r="D793" s="40" t="str">
        <v>[DV] ShineCombo 10 bước Ultra Care 2023</v>
      </c>
      <c r="E793" s="40">
        <v>120000</v>
      </c>
    </row>
    <row r="794">
      <c r="A794" s="40">
        <v>69</v>
      </c>
      <c r="B794" s="40" t="str">
        <v>312 Lê Văn Sỹ</v>
      </c>
      <c r="C794" s="40">
        <v>462</v>
      </c>
      <c r="D794" s="40" t="str">
        <v>[DV] Thư giãn cổ, vai, gáy bạc hà cam ngọt - Thư giãn tai sảng khoái 9 tầng mây 45k</v>
      </c>
      <c r="E794" s="40">
        <v>45000</v>
      </c>
    </row>
    <row r="795">
      <c r="A795" s="40">
        <v>69</v>
      </c>
      <c r="B795" s="40" t="str">
        <v>312 Lê Văn Sỹ</v>
      </c>
      <c r="C795" s="40">
        <v>634</v>
      </c>
      <c r="D795" s="40" t="str">
        <v>[DV] Tẩy da chết sủi bọt Hàn Quốc</v>
      </c>
      <c r="E795" s="40">
        <v>35000</v>
      </c>
    </row>
    <row r="796">
      <c r="A796" s="40">
        <v>69</v>
      </c>
      <c r="B796" s="40" t="str">
        <v>312 Lê Văn Sỹ</v>
      </c>
      <c r="C796" s="40">
        <v>915</v>
      </c>
      <c r="D796" s="40" t="str">
        <v>[DV] Tẩy tóc bật tông Ý (1 lần)</v>
      </c>
      <c r="E796" s="40">
        <v>252000</v>
      </c>
    </row>
    <row r="797">
      <c r="A797" s="40">
        <v>69</v>
      </c>
      <c r="B797" s="40" t="str">
        <v>312 Lê Văn Sỹ</v>
      </c>
      <c r="C797" s="40">
        <v>916</v>
      </c>
      <c r="D797" s="40" t="str">
        <v>[DV] Tẩy tóc bật tông Ý (2 lần) 500k</v>
      </c>
      <c r="E797" s="40">
        <v>500000</v>
      </c>
    </row>
    <row r="798">
      <c r="A798" s="40">
        <v>69</v>
      </c>
      <c r="B798" s="40" t="str">
        <v>312 Lê Văn Sỹ</v>
      </c>
      <c r="C798" s="40">
        <v>674</v>
      </c>
      <c r="D798" s="40" t="str">
        <v>[DV] Uốn Texture con sâu/Uốn Ruffled</v>
      </c>
      <c r="E798" s="40">
        <v>550000</v>
      </c>
    </row>
    <row r="799">
      <c r="A799" s="40">
        <v>69</v>
      </c>
      <c r="B799" s="40" t="str">
        <v>312 Lê Văn Sỹ</v>
      </c>
      <c r="C799" s="40">
        <v>941</v>
      </c>
      <c r="D799" s="40" t="str">
        <v>[DV] Vuốt sáp - sấy tạo kiểu 10k</v>
      </c>
      <c r="E799" s="40">
        <v>10000</v>
      </c>
    </row>
    <row r="800">
      <c r="A800" s="40">
        <v>69</v>
      </c>
      <c r="B800" s="40" t="str">
        <v>312 Lê Văn Sỹ</v>
      </c>
      <c r="C800" s="40">
        <v>902</v>
      </c>
      <c r="D800" s="40" t="str">
        <v>[DV] Ép side hai bên</v>
      </c>
      <c r="E800" s="40">
        <v>216000</v>
      </c>
    </row>
    <row r="801">
      <c r="A801" s="40">
        <v>69</v>
      </c>
      <c r="B801" s="40" t="str">
        <v>312 Lê Văn Sỹ</v>
      </c>
      <c r="C801" s="40">
        <v>940</v>
      </c>
      <c r="D801" s="40" t="str">
        <v>[NEW] Gội dưỡng sinh</v>
      </c>
      <c r="E801" s="40">
        <v>50000</v>
      </c>
    </row>
    <row r="802">
      <c r="A802" s="40">
        <v>69</v>
      </c>
      <c r="B802" s="40" t="str">
        <v>312 Lê Văn Sỹ</v>
      </c>
      <c r="C802" s="40">
        <v>940</v>
      </c>
      <c r="D802" s="40" t="str">
        <v>[NEW] Gội dưỡng sinh</v>
      </c>
      <c r="E802" s="40">
        <v>59000</v>
      </c>
    </row>
    <row r="803">
      <c r="A803" s="40">
        <v>69</v>
      </c>
      <c r="B803" s="40" t="str">
        <v>312 Lê Văn Sỹ</v>
      </c>
      <c r="C803" s="40">
        <v>603</v>
      </c>
      <c r="D803" s="40" t="str">
        <v>Đánh bay mụn cám lột mụn (Full Face)</v>
      </c>
      <c r="E803" s="40">
        <v>49000</v>
      </c>
    </row>
    <row r="804">
      <c r="A804" s="40">
        <v>72</v>
      </c>
      <c r="B804" s="40" t="str">
        <v>113 Trần Hưng Đạo</v>
      </c>
      <c r="C804" s="40">
        <v>610</v>
      </c>
      <c r="D804" s="40" t="str">
        <v>(2022T) ATS Control Buffer - Khử mùi tạo thơm cho tóc uốn nhuộm 40k</v>
      </c>
      <c r="E804" s="40">
        <v>40000</v>
      </c>
    </row>
    <row r="805">
      <c r="A805" s="40">
        <v>72</v>
      </c>
      <c r="B805" s="40" t="str">
        <v>113 Trần Hưng Đạo</v>
      </c>
      <c r="C805" s="40">
        <v>960</v>
      </c>
      <c r="D805" s="40" t="str">
        <v>(NEW) Nhuộm màu thời trang Milano</v>
      </c>
      <c r="E805" s="40">
        <v>346000</v>
      </c>
    </row>
    <row r="806">
      <c r="A806" s="40">
        <v>72</v>
      </c>
      <c r="B806" s="40" t="str">
        <v>113 Trần Hưng Đạo</v>
      </c>
      <c r="C806" s="40">
        <v>1009</v>
      </c>
      <c r="D806" s="40" t="str">
        <v>(NEW) Uốn/Duỗi/Định hình full đầu tạo form vào nếp tự nhiên</v>
      </c>
      <c r="E806" s="40">
        <v>386000</v>
      </c>
    </row>
    <row r="807">
      <c r="A807" s="40">
        <v>72</v>
      </c>
      <c r="B807" s="40" t="str">
        <v>113 Trần Hưng Đạo</v>
      </c>
      <c r="C807" s="40">
        <v>1053</v>
      </c>
      <c r="D807" s="40" t="str">
        <v>Combo 2 - First Class 2</v>
      </c>
      <c r="E807" s="40">
        <v>229000</v>
      </c>
    </row>
    <row r="808">
      <c r="A808" s="40">
        <v>72</v>
      </c>
      <c r="B808" s="40" t="str">
        <v>113 Trần Hưng Đạo</v>
      </c>
      <c r="C808" s="40">
        <v>1054</v>
      </c>
      <c r="D808" s="40" t="str">
        <v>Combo 3 - First Class 3</v>
      </c>
      <c r="E808" s="40">
        <v>299000</v>
      </c>
    </row>
    <row r="809">
      <c r="A809" s="40">
        <v>72</v>
      </c>
      <c r="B809" s="40" t="str">
        <v>113 Trần Hưng Đạo</v>
      </c>
      <c r="C809" s="40">
        <v>1048</v>
      </c>
      <c r="D809" s="40" t="str">
        <v>Combo 4</v>
      </c>
      <c r="E809" s="40">
        <v>389000</v>
      </c>
    </row>
    <row r="810">
      <c r="A810" s="40">
        <v>72</v>
      </c>
      <c r="B810" s="40" t="str">
        <v>113 Trần Hưng Đạo</v>
      </c>
      <c r="C810" s="40">
        <v>1150</v>
      </c>
      <c r="D810" s="40" t="str">
        <v>Combo cắt gội đỉnh cao thư giãn vip</v>
      </c>
      <c r="E810" s="40">
        <v>600000</v>
      </c>
    </row>
    <row r="811">
      <c r="A811" s="40">
        <v>72</v>
      </c>
      <c r="B811" s="40" t="str">
        <v>113 Trần Hưng Đạo</v>
      </c>
      <c r="C811" s="40">
        <v>1047</v>
      </c>
      <c r="D811" s="40" t="str">
        <v>Cắt Gội Combo 3 - Chăm da</v>
      </c>
      <c r="E811" s="40">
        <v>299000</v>
      </c>
    </row>
    <row r="812">
      <c r="A812" s="40">
        <v>72</v>
      </c>
      <c r="B812" s="40" t="str">
        <v>113 Trần Hưng Đạo</v>
      </c>
      <c r="C812" s="40">
        <v>1065</v>
      </c>
      <c r="D812" s="40" t="str">
        <v>Cắt Gội Combo 3 - Dưỡng sinh</v>
      </c>
      <c r="E812" s="40">
        <v>299000</v>
      </c>
    </row>
    <row r="813">
      <c r="A813" s="40">
        <v>72</v>
      </c>
      <c r="B813" s="40" t="str">
        <v>113 Trần Hưng Đạo</v>
      </c>
      <c r="C813" s="40">
        <v>891</v>
      </c>
      <c r="D813" s="40" t="str">
        <v>Cắt xả tạo kiểu</v>
      </c>
      <c r="E813" s="40">
        <v>94000</v>
      </c>
    </row>
    <row r="814">
      <c r="A814" s="40">
        <v>72</v>
      </c>
      <c r="B814" s="40" t="str">
        <v>113 Trần Hưng Đạo</v>
      </c>
      <c r="C814" s="40">
        <v>1058</v>
      </c>
      <c r="D814" s="40" t="str" xml:space="preserve">
        <v>Gội Combo 2 </v>
      </c>
      <c r="E814" s="40">
        <v>159000</v>
      </c>
    </row>
    <row r="815">
      <c r="A815" s="40">
        <v>72</v>
      </c>
      <c r="B815" s="40" t="str">
        <v>113 Trần Hưng Đạo</v>
      </c>
      <c r="C815" s="40">
        <v>1059</v>
      </c>
      <c r="D815" s="40" t="str">
        <v>Gội Combo 3 - Chăm da</v>
      </c>
      <c r="E815" s="40">
        <v>239000</v>
      </c>
    </row>
    <row r="816">
      <c r="A816" s="40">
        <v>72</v>
      </c>
      <c r="B816" s="40" t="str">
        <v>113 Trần Hưng Đạo</v>
      </c>
      <c r="C816" s="40">
        <v>1060</v>
      </c>
      <c r="D816" s="40" t="str">
        <v>Gội Combo 4</v>
      </c>
      <c r="E816" s="40">
        <v>289000</v>
      </c>
    </row>
    <row r="817">
      <c r="A817" s="40">
        <v>72</v>
      </c>
      <c r="B817" s="40" t="str">
        <v>113 Trần Hưng Đạo</v>
      </c>
      <c r="C817" s="40">
        <v>934</v>
      </c>
      <c r="D817" s="40" t="str">
        <v>Gội combo 3 - Dưỡng sinh</v>
      </c>
      <c r="E817" s="40">
        <v>229000</v>
      </c>
    </row>
    <row r="818">
      <c r="A818" s="40">
        <v>72</v>
      </c>
      <c r="B818" s="40" t="str">
        <v>113 Trần Hưng Đạo</v>
      </c>
      <c r="C818" s="40">
        <v>867</v>
      </c>
      <c r="D818" s="40" t="str">
        <v>Gội dưỡng sinh cổ vai gáy</v>
      </c>
      <c r="E818" s="40">
        <v>99000</v>
      </c>
    </row>
    <row r="819">
      <c r="A819" s="40">
        <v>72</v>
      </c>
      <c r="B819" s="40" t="str">
        <v>113 Trần Hưng Đạo</v>
      </c>
      <c r="C819" s="40">
        <v>1066</v>
      </c>
      <c r="D819" s="40" t="str">
        <v>Gội trải nghiệm 75p</v>
      </c>
      <c r="E819" s="40">
        <v>589000</v>
      </c>
    </row>
    <row r="820">
      <c r="A820" s="40">
        <v>72</v>
      </c>
      <c r="B820" s="40" t="str">
        <v>113 Trần Hưng Đạo</v>
      </c>
      <c r="C820" s="40">
        <v>1002</v>
      </c>
      <c r="D820" s="40" t="str">
        <v>Kid Cắt</v>
      </c>
      <c r="E820" s="40">
        <v>75000</v>
      </c>
    </row>
    <row r="821">
      <c r="A821" s="40">
        <v>72</v>
      </c>
      <c r="B821" s="40" t="str">
        <v>113 Trần Hưng Đạo</v>
      </c>
      <c r="C821" s="40">
        <v>1149</v>
      </c>
      <c r="D821" s="40" t="str">
        <v>NHUỘM THIẾT KẾ PHỤC HỒI CHUYÊN SÂU LIPID BOND 2025</v>
      </c>
      <c r="E821" s="40">
        <v>719000</v>
      </c>
    </row>
    <row r="822">
      <c r="A822" s="40">
        <v>72</v>
      </c>
      <c r="B822" s="40" t="str">
        <v>113 Trần Hưng Đạo</v>
      </c>
      <c r="C822" s="40">
        <v>1101</v>
      </c>
      <c r="D822" s="40" t="str">
        <v>Phục hồi trẻ hóa Lipid Bond</v>
      </c>
      <c r="E822" s="40">
        <v>146000</v>
      </c>
    </row>
    <row r="823">
      <c r="A823" s="40">
        <v>72</v>
      </c>
      <c r="B823" s="40" t="str">
        <v>113 Trần Hưng Đạo</v>
      </c>
      <c r="C823" s="40">
        <v>1046</v>
      </c>
      <c r="D823" s="40" t="str" xml:space="preserve">
        <v>Shinecombo 2 </v>
      </c>
      <c r="E823" s="40">
        <v>199000</v>
      </c>
    </row>
    <row r="824">
      <c r="A824" s="40">
        <v>72</v>
      </c>
      <c r="B824" s="40" t="str">
        <v>113 Trần Hưng Đạo</v>
      </c>
      <c r="C824" s="40">
        <v>1148</v>
      </c>
      <c r="D824" s="40" t="str">
        <v>UỐN THIẾT KẾ PHỤC HỒI CHUYÊN SÂU LIPID BOND 2025</v>
      </c>
      <c r="E824" s="40">
        <v>689000</v>
      </c>
    </row>
    <row r="825">
      <c r="A825" s="40">
        <v>72</v>
      </c>
      <c r="B825" s="40" t="str">
        <v>113 Trần Hưng Đạo</v>
      </c>
      <c r="C825" s="40">
        <v>952</v>
      </c>
      <c r="D825" s="40" t="str">
        <v>Uốn định hình nếp tóc cao cấp (K-Perm Collection)</v>
      </c>
      <c r="E825" s="40">
        <v>478000</v>
      </c>
    </row>
    <row r="826">
      <c r="A826" s="40">
        <v>72</v>
      </c>
      <c r="B826" s="40" t="str">
        <v>113 Trần Hưng Đạo</v>
      </c>
      <c r="C826" s="40">
        <v>635</v>
      </c>
      <c r="D826" s="40" t="str">
        <v>[DV] Detox tẩy da chết da đầu</v>
      </c>
      <c r="E826" s="40">
        <v>45000</v>
      </c>
    </row>
    <row r="827">
      <c r="A827" s="40">
        <v>72</v>
      </c>
      <c r="B827" s="40" t="str">
        <v>113 Trần Hưng Đạo</v>
      </c>
      <c r="C827" s="40">
        <v>636</v>
      </c>
      <c r="D827" s="40" t="str">
        <v>[DV] Mặt nạ lạnh Hàn Quốc</v>
      </c>
      <c r="E827" s="40">
        <v>35000</v>
      </c>
    </row>
    <row r="828">
      <c r="A828" s="40">
        <v>72</v>
      </c>
      <c r="B828" s="40" t="str">
        <v>113 Trần Hưng Đạo</v>
      </c>
      <c r="C828" s="40">
        <v>625</v>
      </c>
      <c r="D828" s="40" t="str">
        <v>[DV] Mặt nạ tẩy da chết sủi bọt cao cấp</v>
      </c>
      <c r="E828" s="40">
        <v>55000</v>
      </c>
    </row>
    <row r="829">
      <c r="A829" s="40">
        <v>72</v>
      </c>
      <c r="B829" s="40" t="str">
        <v>113 Trần Hưng Đạo</v>
      </c>
      <c r="C829" s="40">
        <v>912</v>
      </c>
      <c r="D829" s="40" t="str">
        <v>[DV] Nhuộm đen phủ bạc R&amp;B thảo dược</v>
      </c>
      <c r="E829" s="40">
        <v>289000</v>
      </c>
    </row>
    <row r="830">
      <c r="A830" s="40">
        <v>72</v>
      </c>
      <c r="B830" s="40" t="str">
        <v>113 Trần Hưng Đạo</v>
      </c>
      <c r="C830" s="40">
        <v>513</v>
      </c>
      <c r="D830" s="40" t="str">
        <v>[DV] ShineCombo 10 bước Ultra Care 2023</v>
      </c>
      <c r="E830" s="40">
        <v>122000</v>
      </c>
    </row>
    <row r="831">
      <c r="A831" s="40">
        <v>72</v>
      </c>
      <c r="B831" s="40" t="str">
        <v>113 Trần Hưng Đạo</v>
      </c>
      <c r="C831" s="40">
        <v>462</v>
      </c>
      <c r="D831" s="40" t="str">
        <v>[DV] Thư giãn cổ, vai, gáy bạc hà cam ngọt - Thư giãn tai sảng khoái 9 tầng mây 45k</v>
      </c>
      <c r="E831" s="40">
        <v>45000</v>
      </c>
    </row>
    <row r="832">
      <c r="A832" s="40">
        <v>72</v>
      </c>
      <c r="B832" s="40" t="str">
        <v>113 Trần Hưng Đạo</v>
      </c>
      <c r="C832" s="40">
        <v>634</v>
      </c>
      <c r="D832" s="40" t="str">
        <v>[DV] Tẩy da chết sủi bọt Hàn Quốc</v>
      </c>
      <c r="E832" s="40">
        <v>35000</v>
      </c>
    </row>
    <row r="833">
      <c r="A833" s="40">
        <v>72</v>
      </c>
      <c r="B833" s="40" t="str">
        <v>113 Trần Hưng Đạo</v>
      </c>
      <c r="C833" s="40">
        <v>915</v>
      </c>
      <c r="D833" s="40" t="str">
        <v>[DV] Tẩy tóc bật tông Ý (1 lần)</v>
      </c>
      <c r="E833" s="40">
        <v>252000</v>
      </c>
    </row>
    <row r="834">
      <c r="A834" s="40">
        <v>72</v>
      </c>
      <c r="B834" s="40" t="str">
        <v>113 Trần Hưng Đạo</v>
      </c>
      <c r="C834" s="40">
        <v>916</v>
      </c>
      <c r="D834" s="40" t="str">
        <v>[DV] Tẩy tóc bật tông Ý (2 lần) 500k</v>
      </c>
      <c r="E834" s="40">
        <v>500000</v>
      </c>
    </row>
    <row r="835">
      <c r="A835" s="40">
        <v>72</v>
      </c>
      <c r="B835" s="40" t="str">
        <v>113 Trần Hưng Đạo</v>
      </c>
      <c r="C835" s="40">
        <v>941</v>
      </c>
      <c r="D835" s="40" t="str">
        <v>[DV] Vuốt sáp - sấy tạo kiểu 10k</v>
      </c>
      <c r="E835" s="40">
        <v>10000</v>
      </c>
    </row>
    <row r="836">
      <c r="A836" s="40">
        <v>72</v>
      </c>
      <c r="B836" s="40" t="str">
        <v>113 Trần Hưng Đạo</v>
      </c>
      <c r="C836" s="40">
        <v>902</v>
      </c>
      <c r="D836" s="40" t="str">
        <v>[DV] Ép side hai bên</v>
      </c>
      <c r="E836" s="40">
        <v>198000</v>
      </c>
    </row>
    <row r="837">
      <c r="A837" s="40">
        <v>72</v>
      </c>
      <c r="B837" s="40" t="str">
        <v>113 Trần Hưng Đạo</v>
      </c>
      <c r="C837" s="40">
        <v>940</v>
      </c>
      <c r="D837" s="40" t="str">
        <v>[NEW] Gội dưỡng sinh</v>
      </c>
      <c r="E837" s="40">
        <v>59000</v>
      </c>
    </row>
    <row r="838">
      <c r="A838" s="40">
        <v>72</v>
      </c>
      <c r="B838" s="40" t="str">
        <v>113 Trần Hưng Đạo</v>
      </c>
      <c r="C838" s="40">
        <v>603</v>
      </c>
      <c r="D838" s="40" t="str">
        <v>Đánh bay mụn cám lột mụn (Full Face)</v>
      </c>
      <c r="E838" s="40">
        <v>49000</v>
      </c>
    </row>
    <row r="839">
      <c r="A839" s="40">
        <v>85</v>
      </c>
      <c r="B839" s="40" t="str" xml:space="preserve">
        <v> 363 Lương Ngọc Quyến</v>
      </c>
      <c r="C839" s="40">
        <v>610</v>
      </c>
      <c r="D839" s="40" t="str">
        <v>(2022T) ATS Control Buffer - Khử mùi tạo thơm cho tóc uốn nhuộm 40k</v>
      </c>
      <c r="E839" s="40">
        <v>40000</v>
      </c>
    </row>
    <row r="840">
      <c r="A840" s="40">
        <v>85</v>
      </c>
      <c r="B840" s="40" t="str" xml:space="preserve">
        <v> 363 Lương Ngọc Quyến</v>
      </c>
      <c r="C840" s="40">
        <v>960</v>
      </c>
      <c r="D840" s="40" t="str">
        <v>(NEW) Nhuộm màu thời trang Milano</v>
      </c>
      <c r="E840" s="40">
        <v>366000</v>
      </c>
    </row>
    <row r="841">
      <c r="A841" s="40">
        <v>85</v>
      </c>
      <c r="B841" s="40" t="str" xml:space="preserve">
        <v> 363 Lương Ngọc Quyến</v>
      </c>
      <c r="C841" s="40">
        <v>967</v>
      </c>
      <c r="D841" s="40" t="str">
        <v>(NEW) Nhuộm phủ bạc tiêu chuẩn 199K</v>
      </c>
      <c r="E841" s="40">
        <v>202000</v>
      </c>
    </row>
    <row r="842">
      <c r="A842" s="40">
        <v>85</v>
      </c>
      <c r="B842" s="40" t="str" xml:space="preserve">
        <v> 363 Lương Ngọc Quyến</v>
      </c>
      <c r="C842" s="40">
        <v>1009</v>
      </c>
      <c r="D842" s="40" t="str">
        <v>(NEW) Uốn/Duỗi/Định hình full đầu tạo form vào nếp tự nhiên</v>
      </c>
      <c r="E842" s="40">
        <v>406000</v>
      </c>
    </row>
    <row r="843">
      <c r="A843" s="40">
        <v>85</v>
      </c>
      <c r="B843" s="40" t="str" xml:space="preserve">
        <v> 363 Lương Ngọc Quyến</v>
      </c>
      <c r="C843" s="40">
        <v>1048</v>
      </c>
      <c r="D843" s="40" t="str">
        <v>Combo 4</v>
      </c>
      <c r="E843" s="40">
        <v>389000</v>
      </c>
    </row>
    <row r="844">
      <c r="A844" s="40">
        <v>85</v>
      </c>
      <c r="B844" s="40" t="str" xml:space="preserve">
        <v> 363 Lương Ngọc Quyến</v>
      </c>
      <c r="C844" s="40">
        <v>1048</v>
      </c>
      <c r="D844" s="40" t="str">
        <v>Combo 4</v>
      </c>
      <c r="E844" s="40">
        <v>379000</v>
      </c>
    </row>
    <row r="845">
      <c r="A845" s="40">
        <v>85</v>
      </c>
      <c r="B845" s="40" t="str" xml:space="preserve">
        <v> 363 Lương Ngọc Quyến</v>
      </c>
      <c r="C845" s="40">
        <v>1047</v>
      </c>
      <c r="D845" s="40" t="str">
        <v>Cắt Gội Combo 3 - Chăm da</v>
      </c>
      <c r="E845" s="40">
        <v>299000</v>
      </c>
    </row>
    <row r="846">
      <c r="A846" s="40">
        <v>85</v>
      </c>
      <c r="B846" s="40" t="str" xml:space="preserve">
        <v> 363 Lương Ngọc Quyến</v>
      </c>
      <c r="C846" s="40">
        <v>891</v>
      </c>
      <c r="D846" s="40" t="str">
        <v>Cắt xả tạo kiểu</v>
      </c>
      <c r="E846" s="40">
        <v>90000</v>
      </c>
    </row>
    <row r="847">
      <c r="A847" s="40">
        <v>85</v>
      </c>
      <c r="B847" s="40" t="str" xml:space="preserve">
        <v> 363 Lương Ngọc Quyến</v>
      </c>
      <c r="C847" s="40">
        <v>891</v>
      </c>
      <c r="D847" s="40" t="str">
        <v>Cắt xả tạo kiểu</v>
      </c>
      <c r="E847" s="40">
        <v>94000</v>
      </c>
    </row>
    <row r="848">
      <c r="A848" s="40">
        <v>85</v>
      </c>
      <c r="B848" s="40" t="str" xml:space="preserve">
        <v> 363 Lương Ngọc Quyến</v>
      </c>
      <c r="C848" s="40">
        <v>1058</v>
      </c>
      <c r="D848" s="40" t="str" xml:space="preserve">
        <v>Gội Combo 2 </v>
      </c>
      <c r="E848" s="40">
        <v>159000</v>
      </c>
    </row>
    <row r="849">
      <c r="A849" s="40">
        <v>85</v>
      </c>
      <c r="B849" s="40" t="str" xml:space="preserve">
        <v> 363 Lương Ngọc Quyến</v>
      </c>
      <c r="C849" s="40">
        <v>1059</v>
      </c>
      <c r="D849" s="40" t="str">
        <v>Gội Combo 3 - Chăm da</v>
      </c>
      <c r="E849" s="40">
        <v>239000</v>
      </c>
    </row>
    <row r="850">
      <c r="A850" s="40">
        <v>85</v>
      </c>
      <c r="B850" s="40" t="str" xml:space="preserve">
        <v> 363 Lương Ngọc Quyến</v>
      </c>
      <c r="C850" s="40">
        <v>1059</v>
      </c>
      <c r="D850" s="40" t="str">
        <v>Gội Combo 3 - Chăm da</v>
      </c>
      <c r="E850" s="40">
        <v>219000</v>
      </c>
    </row>
    <row r="851">
      <c r="A851" s="40">
        <v>85</v>
      </c>
      <c r="B851" s="40" t="str" xml:space="preserve">
        <v> 363 Lương Ngọc Quyến</v>
      </c>
      <c r="C851" s="40">
        <v>1060</v>
      </c>
      <c r="D851" s="40" t="str">
        <v>Gội Combo 4</v>
      </c>
      <c r="E851" s="40">
        <v>319000</v>
      </c>
    </row>
    <row r="852">
      <c r="A852" s="40">
        <v>85</v>
      </c>
      <c r="B852" s="40" t="str" xml:space="preserve">
        <v> 363 Lương Ngọc Quyến</v>
      </c>
      <c r="C852" s="40">
        <v>1060</v>
      </c>
      <c r="D852" s="40" t="str">
        <v>Gội Combo 4</v>
      </c>
      <c r="E852" s="40">
        <v>289000</v>
      </c>
    </row>
    <row r="853">
      <c r="A853" s="40">
        <v>85</v>
      </c>
      <c r="B853" s="40" t="str" xml:space="preserve">
        <v> 363 Lương Ngọc Quyến</v>
      </c>
      <c r="C853" s="40">
        <v>867</v>
      </c>
      <c r="D853" s="40" t="str">
        <v>Gội dưỡng sinh cổ vai gáy</v>
      </c>
      <c r="E853" s="40">
        <v>99000</v>
      </c>
    </row>
    <row r="854">
      <c r="A854" s="40">
        <v>85</v>
      </c>
      <c r="B854" s="40" t="str" xml:space="preserve">
        <v> 363 Lương Ngọc Quyến</v>
      </c>
      <c r="C854" s="40">
        <v>867</v>
      </c>
      <c r="D854" s="40" t="str">
        <v>Gội dưỡng sinh cổ vai gáy</v>
      </c>
      <c r="E854" s="40">
        <v>95000</v>
      </c>
    </row>
    <row r="855">
      <c r="A855" s="40">
        <v>85</v>
      </c>
      <c r="B855" s="40" t="str" xml:space="preserve">
        <v> 363 Lương Ngọc Quyến</v>
      </c>
      <c r="C855" s="40">
        <v>1068</v>
      </c>
      <c r="D855" s="40" t="str">
        <v>Gội trải nghiệm 115p</v>
      </c>
      <c r="E855" s="40">
        <v>999000</v>
      </c>
    </row>
    <row r="856">
      <c r="A856" s="40">
        <v>85</v>
      </c>
      <c r="B856" s="40" t="str" xml:space="preserve">
        <v> 363 Lương Ngọc Quyến</v>
      </c>
      <c r="C856" s="40">
        <v>1066</v>
      </c>
      <c r="D856" s="40" t="str">
        <v>Gội trải nghiệm 75p</v>
      </c>
      <c r="E856" s="40">
        <v>589000</v>
      </c>
    </row>
    <row r="857">
      <c r="A857" s="40">
        <v>85</v>
      </c>
      <c r="B857" s="40" t="str" xml:space="preserve">
        <v> 363 Lương Ngọc Quyến</v>
      </c>
      <c r="C857" s="40">
        <v>1067</v>
      </c>
      <c r="D857" s="40" t="str">
        <v>Gội trải nghiệm 90p</v>
      </c>
      <c r="E857" s="40">
        <v>789000</v>
      </c>
    </row>
    <row r="858">
      <c r="A858" s="40">
        <v>85</v>
      </c>
      <c r="B858" s="40" t="str" xml:space="preserve">
        <v> 363 Lương Ngọc Quyến</v>
      </c>
      <c r="C858" s="40">
        <v>1002</v>
      </c>
      <c r="D858" s="40" t="str">
        <v>Kid Cắt</v>
      </c>
      <c r="E858" s="40">
        <v>75000</v>
      </c>
    </row>
    <row r="859">
      <c r="A859" s="40">
        <v>85</v>
      </c>
      <c r="B859" s="40" t="str" xml:space="preserve">
        <v> 363 Lương Ngọc Quyến</v>
      </c>
      <c r="C859" s="40">
        <v>615</v>
      </c>
      <c r="D859" s="40" t="str">
        <v>Nhổ tóc bạc buổi trưa</v>
      </c>
      <c r="E859" s="40">
        <v>150000</v>
      </c>
    </row>
    <row r="860">
      <c r="A860" s="40">
        <v>85</v>
      </c>
      <c r="B860" s="40" t="str" xml:space="preserve">
        <v> 363 Lương Ngọc Quyến</v>
      </c>
      <c r="C860" s="40">
        <v>1214</v>
      </c>
      <c r="D860" s="40" t="str">
        <v>Shine cut Genz</v>
      </c>
      <c r="E860" s="40">
        <v>59000</v>
      </c>
    </row>
    <row r="861">
      <c r="A861" s="40">
        <v>85</v>
      </c>
      <c r="B861" s="40" t="str" xml:space="preserve">
        <v> 363 Lương Ngọc Quyến</v>
      </c>
      <c r="C861" s="40">
        <v>1046</v>
      </c>
      <c r="D861" s="40" t="str" xml:space="preserve">
        <v>Shinecombo 2 </v>
      </c>
      <c r="E861" s="40">
        <v>199000</v>
      </c>
    </row>
    <row r="862">
      <c r="A862" s="40">
        <v>85</v>
      </c>
      <c r="B862" s="40" t="str" xml:space="preserve">
        <v> 363 Lương Ngọc Quyến</v>
      </c>
      <c r="C862" s="40">
        <v>952</v>
      </c>
      <c r="D862" s="40" t="str">
        <v>Uốn định hình nếp tóc cao cấp (K-Perm Collection)</v>
      </c>
      <c r="E862" s="40">
        <v>502000</v>
      </c>
    </row>
    <row r="863">
      <c r="A863" s="40">
        <v>85</v>
      </c>
      <c r="B863" s="40" t="str" xml:space="preserve">
        <v> 363 Lương Ngọc Quyến</v>
      </c>
      <c r="C863" s="40">
        <v>635</v>
      </c>
      <c r="D863" s="40" t="str">
        <v>[DV] Detox tẩy da chết da đầu</v>
      </c>
      <c r="E863" s="40">
        <v>45000</v>
      </c>
    </row>
    <row r="864">
      <c r="A864" s="40">
        <v>85</v>
      </c>
      <c r="B864" s="40" t="str" xml:space="preserve">
        <v> 363 Lương Ngọc Quyến</v>
      </c>
      <c r="C864" s="40">
        <v>625</v>
      </c>
      <c r="D864" s="40" t="str">
        <v>[DV] Mặt nạ tẩy da chết sủi bọt cao cấp</v>
      </c>
      <c r="E864" s="40">
        <v>55000</v>
      </c>
    </row>
    <row r="865">
      <c r="A865" s="40">
        <v>85</v>
      </c>
      <c r="B865" s="40" t="str" xml:space="preserve">
        <v> 363 Lương Ngọc Quyến</v>
      </c>
      <c r="C865" s="40">
        <v>912</v>
      </c>
      <c r="D865" s="40" t="str">
        <v>[DV] Nhuộm đen phủ bạc R&amp;B thảo dược</v>
      </c>
      <c r="E865" s="40">
        <v>293000</v>
      </c>
    </row>
    <row r="866">
      <c r="A866" s="40">
        <v>85</v>
      </c>
      <c r="B866" s="40" t="str" xml:space="preserve">
        <v> 363 Lương Ngọc Quyến</v>
      </c>
      <c r="C866" s="40">
        <v>513</v>
      </c>
      <c r="D866" s="40" t="str">
        <v>[DV] ShineCombo 10 bước Ultra Care 2023</v>
      </c>
      <c r="E866" s="40">
        <v>122000</v>
      </c>
    </row>
    <row r="867">
      <c r="A867" s="40">
        <v>85</v>
      </c>
      <c r="B867" s="40" t="str" xml:space="preserve">
        <v> 363 Lương Ngọc Quyến</v>
      </c>
      <c r="C867" s="40">
        <v>513</v>
      </c>
      <c r="D867" s="40" t="str">
        <v>[DV] ShineCombo 10 bước Ultra Care 2023</v>
      </c>
      <c r="E867" s="40">
        <v>120000</v>
      </c>
    </row>
    <row r="868">
      <c r="A868" s="40">
        <v>85</v>
      </c>
      <c r="B868" s="40" t="str" xml:space="preserve">
        <v> 363 Lương Ngọc Quyến</v>
      </c>
      <c r="C868" s="40">
        <v>634</v>
      </c>
      <c r="D868" s="40" t="str">
        <v>[DV] Tẩy da chết sủi bọt Hàn Quốc</v>
      </c>
      <c r="E868" s="40">
        <v>35000</v>
      </c>
    </row>
    <row r="869">
      <c r="A869" s="40">
        <v>85</v>
      </c>
      <c r="B869" s="40" t="str" xml:space="preserve">
        <v> 363 Lương Ngọc Quyến</v>
      </c>
      <c r="C869" s="40">
        <v>916</v>
      </c>
      <c r="D869" s="40" t="str">
        <v>[DV] Tẩy tóc bật tông Ý (2 lần) 500k</v>
      </c>
      <c r="E869" s="40">
        <v>500000</v>
      </c>
    </row>
    <row r="870">
      <c r="A870" s="40">
        <v>85</v>
      </c>
      <c r="B870" s="40" t="str" xml:space="preserve">
        <v> 363 Lương Ngọc Quyến</v>
      </c>
      <c r="C870" s="40">
        <v>674</v>
      </c>
      <c r="D870" s="40" t="str">
        <v>[DV] Uốn Texture con sâu/Uốn Ruffled</v>
      </c>
      <c r="E870" s="40">
        <v>550000</v>
      </c>
    </row>
    <row r="871">
      <c r="A871" s="40">
        <v>85</v>
      </c>
      <c r="B871" s="40" t="str" xml:space="preserve">
        <v> 363 Lương Ngọc Quyến</v>
      </c>
      <c r="C871" s="40">
        <v>902</v>
      </c>
      <c r="D871" s="40" t="str">
        <v>[DV] Ép side hai bên</v>
      </c>
      <c r="E871" s="40">
        <v>209000</v>
      </c>
    </row>
    <row r="872">
      <c r="A872" s="40">
        <v>85</v>
      </c>
      <c r="B872" s="40" t="str" xml:space="preserve">
        <v> 363 Lương Ngọc Quyến</v>
      </c>
      <c r="C872" s="40">
        <v>940</v>
      </c>
      <c r="D872" s="40" t="str">
        <v>[NEW] Gội dưỡng sinh</v>
      </c>
      <c r="E872" s="40">
        <v>59000</v>
      </c>
    </row>
    <row r="873">
      <c r="A873" s="40">
        <v>85</v>
      </c>
      <c r="B873" s="40" t="str" xml:space="preserve">
        <v> 363 Lương Ngọc Quyến</v>
      </c>
      <c r="C873" s="40">
        <v>603</v>
      </c>
      <c r="D873" s="40" t="str">
        <v>Đánh bay mụn cám lột mụn (Full Face)</v>
      </c>
      <c r="E873" s="40">
        <v>49000</v>
      </c>
    </row>
    <row r="874">
      <c r="A874" s="40">
        <v>101</v>
      </c>
      <c r="B874" s="40" t="str">
        <v>872 Quốc Lộ 22</v>
      </c>
      <c r="C874" s="40">
        <v>610</v>
      </c>
      <c r="D874" s="40" t="str">
        <v>(2022T) ATS Control Buffer - Khử mùi tạo thơm cho tóc uốn nhuộm 40k</v>
      </c>
      <c r="E874" s="40">
        <v>40000</v>
      </c>
    </row>
    <row r="875">
      <c r="A875" s="40">
        <v>101</v>
      </c>
      <c r="B875" s="40" t="str">
        <v>872 Quốc Lộ 22</v>
      </c>
      <c r="C875" s="40">
        <v>960</v>
      </c>
      <c r="D875" s="40" t="str">
        <v>(NEW) Nhuộm màu thời trang Milano</v>
      </c>
      <c r="E875" s="40">
        <v>332000</v>
      </c>
    </row>
    <row r="876">
      <c r="A876" s="40">
        <v>101</v>
      </c>
      <c r="B876" s="40" t="str">
        <v>872 Quốc Lộ 22</v>
      </c>
      <c r="C876" s="40">
        <v>967</v>
      </c>
      <c r="D876" s="40" t="str">
        <v>(NEW) Nhuộm phủ bạc tiêu chuẩn 199K</v>
      </c>
      <c r="E876" s="40">
        <v>199000</v>
      </c>
    </row>
    <row r="877">
      <c r="A877" s="40">
        <v>101</v>
      </c>
      <c r="B877" s="40" t="str">
        <v>872 Quốc Lộ 22</v>
      </c>
      <c r="C877" s="40">
        <v>1009</v>
      </c>
      <c r="D877" s="40" t="str">
        <v>(NEW) Uốn/Duỗi/Định hình full đầu tạo form vào nếp tự nhiên</v>
      </c>
      <c r="E877" s="40">
        <v>389000</v>
      </c>
    </row>
    <row r="878">
      <c r="A878" s="40">
        <v>101</v>
      </c>
      <c r="B878" s="40" t="str">
        <v>872 Quốc Lộ 22</v>
      </c>
      <c r="C878" s="40">
        <v>1048</v>
      </c>
      <c r="D878" s="40" t="str">
        <v>Combo 4</v>
      </c>
      <c r="E878" s="40">
        <v>389000</v>
      </c>
    </row>
    <row r="879">
      <c r="A879" s="40">
        <v>101</v>
      </c>
      <c r="B879" s="40" t="str">
        <v>872 Quốc Lộ 22</v>
      </c>
      <c r="C879" s="40">
        <v>1047</v>
      </c>
      <c r="D879" s="40" t="str">
        <v>Cắt Gội Combo 3 - Chăm da</v>
      </c>
      <c r="E879" s="40">
        <v>299000</v>
      </c>
    </row>
    <row r="880">
      <c r="A880" s="40">
        <v>101</v>
      </c>
      <c r="B880" s="40" t="str">
        <v>872 Quốc Lộ 22</v>
      </c>
      <c r="C880" s="40">
        <v>1047</v>
      </c>
      <c r="D880" s="40" t="str">
        <v>Cắt Gội Combo 3 - Chăm da</v>
      </c>
      <c r="E880" s="40">
        <v>279000</v>
      </c>
    </row>
    <row r="881">
      <c r="A881" s="40">
        <v>101</v>
      </c>
      <c r="B881" s="40" t="str">
        <v>872 Quốc Lộ 22</v>
      </c>
      <c r="C881" s="40">
        <v>1064</v>
      </c>
      <c r="D881" s="40" t="str">
        <v>Cắt Gội Combo 5 - Dưỡng sinh</v>
      </c>
      <c r="E881" s="40">
        <v>459000</v>
      </c>
    </row>
    <row r="882">
      <c r="A882" s="40">
        <v>101</v>
      </c>
      <c r="B882" s="40" t="str">
        <v>872 Quốc Lộ 22</v>
      </c>
      <c r="C882" s="40">
        <v>891</v>
      </c>
      <c r="D882" s="40" t="str">
        <v>Cắt xả tạo kiểu</v>
      </c>
      <c r="E882" s="40">
        <v>70000</v>
      </c>
    </row>
    <row r="883">
      <c r="A883" s="40">
        <v>101</v>
      </c>
      <c r="B883" s="40" t="str">
        <v>872 Quốc Lộ 22</v>
      </c>
      <c r="C883" s="40">
        <v>1058</v>
      </c>
      <c r="D883" s="40" t="str" xml:space="preserve">
        <v>Gội Combo 2 </v>
      </c>
      <c r="E883" s="40">
        <v>159000</v>
      </c>
    </row>
    <row r="884">
      <c r="A884" s="40">
        <v>101</v>
      </c>
      <c r="B884" s="40" t="str">
        <v>872 Quốc Lộ 22</v>
      </c>
      <c r="C884" s="40">
        <v>1058</v>
      </c>
      <c r="D884" s="40" t="str" xml:space="preserve">
        <v>Gội Combo 2 </v>
      </c>
      <c r="E884" s="40">
        <v>139000</v>
      </c>
    </row>
    <row r="885">
      <c r="A885" s="40">
        <v>101</v>
      </c>
      <c r="B885" s="40" t="str">
        <v>872 Quốc Lộ 22</v>
      </c>
      <c r="C885" s="40">
        <v>1059</v>
      </c>
      <c r="D885" s="40" t="str">
        <v>Gội Combo 3 - Chăm da</v>
      </c>
      <c r="E885" s="40">
        <v>209000</v>
      </c>
    </row>
    <row r="886">
      <c r="A886" s="40">
        <v>101</v>
      </c>
      <c r="B886" s="40" t="str">
        <v>872 Quốc Lộ 22</v>
      </c>
      <c r="C886" s="40">
        <v>1060</v>
      </c>
      <c r="D886" s="40" t="str">
        <v>Gội Combo 4</v>
      </c>
      <c r="E886" s="40">
        <v>289000</v>
      </c>
    </row>
    <row r="887">
      <c r="A887" s="40">
        <v>101</v>
      </c>
      <c r="B887" s="40" t="str">
        <v>872 Quốc Lộ 22</v>
      </c>
      <c r="C887" s="40">
        <v>867</v>
      </c>
      <c r="D887" s="40" t="str">
        <v>Gội dưỡng sinh cổ vai gáy</v>
      </c>
      <c r="E887" s="40">
        <v>99000</v>
      </c>
    </row>
    <row r="888">
      <c r="A888" s="40">
        <v>101</v>
      </c>
      <c r="B888" s="40" t="str">
        <v>872 Quốc Lộ 22</v>
      </c>
      <c r="C888" s="40">
        <v>1149</v>
      </c>
      <c r="D888" s="40" t="str">
        <v>NHUỘM THIẾT KẾ PHỤC HỒI CHUYÊN SÂU LIPID BOND 2025</v>
      </c>
      <c r="E888" s="40">
        <v>689000</v>
      </c>
    </row>
    <row r="889">
      <c r="A889" s="40">
        <v>101</v>
      </c>
      <c r="B889" s="40" t="str">
        <v>872 Quốc Lộ 22</v>
      </c>
      <c r="C889" s="40">
        <v>1101</v>
      </c>
      <c r="D889" s="40" t="str">
        <v>Phục hồi trẻ hóa Lipid Bond</v>
      </c>
      <c r="E889" s="40">
        <v>146000</v>
      </c>
    </row>
    <row r="890">
      <c r="A890" s="40">
        <v>101</v>
      </c>
      <c r="B890" s="40" t="str">
        <v>872 Quốc Lộ 22</v>
      </c>
      <c r="C890" s="40">
        <v>1046</v>
      </c>
      <c r="D890" s="40" t="str" xml:space="preserve">
        <v>Shinecombo 2 </v>
      </c>
      <c r="E890" s="40">
        <v>199000</v>
      </c>
    </row>
    <row r="891">
      <c r="A891" s="40">
        <v>101</v>
      </c>
      <c r="B891" s="40" t="str">
        <v>872 Quốc Lộ 22</v>
      </c>
      <c r="C891" s="40">
        <v>1046</v>
      </c>
      <c r="D891" s="40" t="str" xml:space="preserve">
        <v>Shinecombo 2 </v>
      </c>
      <c r="E891" s="40">
        <v>189000</v>
      </c>
    </row>
    <row r="892">
      <c r="A892" s="40">
        <v>101</v>
      </c>
      <c r="B892" s="40" t="str">
        <v>872 Quốc Lộ 22</v>
      </c>
      <c r="C892" s="40">
        <v>952</v>
      </c>
      <c r="D892" s="40" t="str">
        <v>Uốn định hình nếp tóc cao cấp (K-Perm Collection)</v>
      </c>
      <c r="E892" s="40">
        <v>478000</v>
      </c>
    </row>
    <row r="893">
      <c r="A893" s="40">
        <v>101</v>
      </c>
      <c r="B893" s="40" t="str">
        <v>872 Quốc Lộ 22</v>
      </c>
      <c r="C893" s="40">
        <v>636</v>
      </c>
      <c r="D893" s="40" t="str">
        <v>[DV] Mặt nạ lạnh Hàn Quốc</v>
      </c>
      <c r="E893" s="40">
        <v>29000</v>
      </c>
    </row>
    <row r="894">
      <c r="A894" s="40">
        <v>101</v>
      </c>
      <c r="B894" s="40" t="str">
        <v>872 Quốc Lộ 22</v>
      </c>
      <c r="C894" s="40">
        <v>625</v>
      </c>
      <c r="D894" s="40" t="str">
        <v>[DV] Mặt nạ tẩy da chết sủi bọt cao cấp</v>
      </c>
      <c r="E894" s="40">
        <v>55000</v>
      </c>
    </row>
    <row r="895">
      <c r="A895" s="40">
        <v>101</v>
      </c>
      <c r="B895" s="40" t="str">
        <v>872 Quốc Lộ 22</v>
      </c>
      <c r="C895" s="40">
        <v>912</v>
      </c>
      <c r="D895" s="40" t="str">
        <v>[DV] Nhuộm đen phủ bạc R&amp;B thảo dược</v>
      </c>
      <c r="E895" s="40">
        <v>289000</v>
      </c>
    </row>
    <row r="896">
      <c r="A896" s="40">
        <v>101</v>
      </c>
      <c r="B896" s="40" t="str">
        <v>872 Quốc Lộ 22</v>
      </c>
      <c r="C896" s="40">
        <v>513</v>
      </c>
      <c r="D896" s="40" t="str">
        <v>[DV] ShineCombo 10 bước Ultra Care 2023</v>
      </c>
      <c r="E896" s="40">
        <v>100000</v>
      </c>
    </row>
    <row r="897">
      <c r="A897" s="40">
        <v>101</v>
      </c>
      <c r="B897" s="40" t="str">
        <v>872 Quốc Lộ 22</v>
      </c>
      <c r="C897" s="40">
        <v>634</v>
      </c>
      <c r="D897" s="40" t="str">
        <v>[DV] Tẩy da chết sủi bọt Hàn Quốc</v>
      </c>
      <c r="E897" s="40">
        <v>35000</v>
      </c>
    </row>
    <row r="898">
      <c r="A898" s="40">
        <v>101</v>
      </c>
      <c r="B898" s="40" t="str">
        <v>872 Quốc Lộ 22</v>
      </c>
      <c r="C898" s="40">
        <v>915</v>
      </c>
      <c r="D898" s="40" t="str">
        <v>[DV] Tẩy tóc bật tông Ý (1 lần)</v>
      </c>
      <c r="E898" s="40">
        <v>252000</v>
      </c>
    </row>
    <row r="899">
      <c r="A899" s="40">
        <v>101</v>
      </c>
      <c r="B899" s="40" t="str">
        <v>872 Quốc Lộ 22</v>
      </c>
      <c r="C899" s="40">
        <v>674</v>
      </c>
      <c r="D899" s="40" t="str">
        <v>[DV] Uốn Texture con sâu/Uốn Ruffled</v>
      </c>
      <c r="E899" s="40">
        <v>499000</v>
      </c>
    </row>
    <row r="900">
      <c r="A900" s="40">
        <v>101</v>
      </c>
      <c r="B900" s="40" t="str">
        <v>872 Quốc Lộ 22</v>
      </c>
      <c r="C900" s="40">
        <v>902</v>
      </c>
      <c r="D900" s="40" t="str">
        <v>[DV] Ép side hai bên</v>
      </c>
      <c r="E900" s="40">
        <v>189000</v>
      </c>
    </row>
    <row r="901">
      <c r="A901" s="40">
        <v>101</v>
      </c>
      <c r="B901" s="40" t="str">
        <v>872 Quốc Lộ 22</v>
      </c>
      <c r="C901" s="40">
        <v>940</v>
      </c>
      <c r="D901" s="40" t="str">
        <v>[NEW] Gội dưỡng sinh</v>
      </c>
      <c r="E901" s="40">
        <v>50000</v>
      </c>
    </row>
    <row r="902">
      <c r="A902" s="40">
        <v>101</v>
      </c>
      <c r="B902" s="40" t="str">
        <v>872 Quốc Lộ 22</v>
      </c>
      <c r="C902" s="40">
        <v>603</v>
      </c>
      <c r="D902" s="40" t="str">
        <v>Đánh bay mụn cám lột mụn (Full Face)</v>
      </c>
      <c r="E902" s="40">
        <v>29000</v>
      </c>
    </row>
    <row r="903">
      <c r="A903" s="40">
        <v>106</v>
      </c>
      <c r="B903" s="40" t="str">
        <v>76 Phan Văn Hớn</v>
      </c>
      <c r="C903" s="40">
        <v>610</v>
      </c>
      <c r="D903" s="40" t="str">
        <v>(2022T) ATS Control Buffer - Khử mùi tạo thơm cho tóc uốn nhuộm 40k</v>
      </c>
      <c r="E903" s="40">
        <v>40000</v>
      </c>
    </row>
    <row r="904">
      <c r="A904" s="40">
        <v>106</v>
      </c>
      <c r="B904" s="40" t="str">
        <v>76 Phan Văn Hớn</v>
      </c>
      <c r="C904" s="40">
        <v>965</v>
      </c>
      <c r="D904" s="40" t="str">
        <v>(NEW) Duỗi tạo phồng</v>
      </c>
      <c r="E904" s="40">
        <v>399000</v>
      </c>
    </row>
    <row r="905">
      <c r="A905" s="40">
        <v>106</v>
      </c>
      <c r="B905" s="40" t="str">
        <v>76 Phan Văn Hớn</v>
      </c>
      <c r="C905" s="40">
        <v>960</v>
      </c>
      <c r="D905" s="40" t="str">
        <v>(NEW) Nhuộm màu thời trang Milano</v>
      </c>
      <c r="E905" s="40">
        <v>346000</v>
      </c>
    </row>
    <row r="906">
      <c r="A906" s="40">
        <v>106</v>
      </c>
      <c r="B906" s="40" t="str">
        <v>76 Phan Văn Hớn</v>
      </c>
      <c r="C906" s="40">
        <v>967</v>
      </c>
      <c r="D906" s="40" t="str">
        <v>(NEW) Nhuộm phủ bạc tiêu chuẩn 199K</v>
      </c>
      <c r="E906" s="40">
        <v>202000</v>
      </c>
    </row>
    <row r="907">
      <c r="A907" s="40">
        <v>106</v>
      </c>
      <c r="B907" s="40" t="str">
        <v>76 Phan Văn Hớn</v>
      </c>
      <c r="C907" s="40">
        <v>1009</v>
      </c>
      <c r="D907" s="40" t="str">
        <v>(NEW) Uốn/Duỗi/Định hình full đầu tạo form vào nếp tự nhiên</v>
      </c>
      <c r="E907" s="40">
        <v>386000</v>
      </c>
    </row>
    <row r="908">
      <c r="A908" s="40">
        <v>106</v>
      </c>
      <c r="B908" s="40" t="str">
        <v>76 Phan Văn Hớn</v>
      </c>
      <c r="C908" s="40">
        <v>1048</v>
      </c>
      <c r="D908" s="40" t="str">
        <v>Combo 4</v>
      </c>
      <c r="E908" s="40">
        <v>389000</v>
      </c>
    </row>
    <row r="909">
      <c r="A909" s="40">
        <v>106</v>
      </c>
      <c r="B909" s="40" t="str">
        <v>76 Phan Văn Hớn</v>
      </c>
      <c r="C909" s="40">
        <v>1194</v>
      </c>
      <c r="D909" s="40" t="str">
        <v>Combo Best choice</v>
      </c>
      <c r="E909" s="40">
        <v>299000</v>
      </c>
    </row>
    <row r="910">
      <c r="A910" s="40">
        <v>106</v>
      </c>
      <c r="B910" s="40" t="str">
        <v>76 Phan Văn Hớn</v>
      </c>
      <c r="C910" s="40">
        <v>1047</v>
      </c>
      <c r="D910" s="40" t="str">
        <v>Cắt Gội Combo 3 - Chăm da</v>
      </c>
      <c r="E910" s="40">
        <v>299000</v>
      </c>
    </row>
    <row r="911">
      <c r="A911" s="40">
        <v>106</v>
      </c>
      <c r="B911" s="40" t="str">
        <v>76 Phan Văn Hớn</v>
      </c>
      <c r="C911" s="40">
        <v>1065</v>
      </c>
      <c r="D911" s="40" t="str">
        <v>Cắt Gội Combo 3 - Dưỡng sinh</v>
      </c>
      <c r="E911" s="40">
        <v>299000</v>
      </c>
    </row>
    <row r="912">
      <c r="A912" s="40">
        <v>106</v>
      </c>
      <c r="B912" s="40" t="str">
        <v>76 Phan Văn Hớn</v>
      </c>
      <c r="C912" s="40">
        <v>1064</v>
      </c>
      <c r="D912" s="40" t="str">
        <v>Cắt Gội Combo 5 - Dưỡng sinh</v>
      </c>
      <c r="E912" s="40">
        <v>459000</v>
      </c>
    </row>
    <row r="913">
      <c r="A913" s="40">
        <v>106</v>
      </c>
      <c r="B913" s="40" t="str">
        <v>76 Phan Văn Hớn</v>
      </c>
      <c r="C913" s="40">
        <v>891</v>
      </c>
      <c r="D913" s="40" t="str">
        <v>Cắt xả tạo kiểu</v>
      </c>
      <c r="E913" s="40">
        <v>90000</v>
      </c>
    </row>
    <row r="914">
      <c r="A914" s="40">
        <v>106</v>
      </c>
      <c r="B914" s="40" t="str">
        <v>76 Phan Văn Hớn</v>
      </c>
      <c r="C914" s="40">
        <v>891</v>
      </c>
      <c r="D914" s="40" t="str">
        <v>Cắt xả tạo kiểu</v>
      </c>
      <c r="E914" s="40">
        <v>94000</v>
      </c>
    </row>
    <row r="915">
      <c r="A915" s="40">
        <v>106</v>
      </c>
      <c r="B915" s="40" t="str">
        <v>76 Phan Văn Hớn</v>
      </c>
      <c r="C915" s="40">
        <v>1058</v>
      </c>
      <c r="D915" s="40" t="str" xml:space="preserve">
        <v>Gội Combo 2 </v>
      </c>
      <c r="E915" s="40">
        <v>159000</v>
      </c>
    </row>
    <row r="916">
      <c r="A916" s="40">
        <v>106</v>
      </c>
      <c r="B916" s="40" t="str">
        <v>76 Phan Văn Hớn</v>
      </c>
      <c r="C916" s="40">
        <v>1059</v>
      </c>
      <c r="D916" s="40" t="str">
        <v>Gội Combo 3 - Chăm da</v>
      </c>
      <c r="E916" s="40">
        <v>239000</v>
      </c>
    </row>
    <row r="917">
      <c r="A917" s="40">
        <v>106</v>
      </c>
      <c r="B917" s="40" t="str">
        <v>76 Phan Văn Hớn</v>
      </c>
      <c r="C917" s="40">
        <v>1060</v>
      </c>
      <c r="D917" s="40" t="str">
        <v>Gội Combo 4</v>
      </c>
      <c r="E917" s="40">
        <v>319000</v>
      </c>
    </row>
    <row r="918">
      <c r="A918" s="40">
        <v>106</v>
      </c>
      <c r="B918" s="40" t="str">
        <v>76 Phan Văn Hớn</v>
      </c>
      <c r="C918" s="40">
        <v>1060</v>
      </c>
      <c r="D918" s="40" t="str">
        <v>Gội Combo 4</v>
      </c>
      <c r="E918" s="40">
        <v>289000</v>
      </c>
    </row>
    <row r="919">
      <c r="A919" s="40">
        <v>106</v>
      </c>
      <c r="B919" s="40" t="str">
        <v>76 Phan Văn Hớn</v>
      </c>
      <c r="C919" s="40">
        <v>1061</v>
      </c>
      <c r="D919" s="40" t="str">
        <v>Gội Combo 5 - Chăm da</v>
      </c>
      <c r="E919" s="40">
        <v>359000</v>
      </c>
    </row>
    <row r="920">
      <c r="A920" s="40">
        <v>106</v>
      </c>
      <c r="B920" s="40" t="str">
        <v>76 Phan Văn Hớn</v>
      </c>
      <c r="C920" s="40">
        <v>934</v>
      </c>
      <c r="D920" s="40" t="str">
        <v>Gội combo 3 - Dưỡng sinh</v>
      </c>
      <c r="E920" s="40">
        <v>229000</v>
      </c>
    </row>
    <row r="921">
      <c r="A921" s="40">
        <v>106</v>
      </c>
      <c r="B921" s="40" t="str">
        <v>76 Phan Văn Hớn</v>
      </c>
      <c r="C921" s="40">
        <v>867</v>
      </c>
      <c r="D921" s="40" t="str">
        <v>Gội dưỡng sinh cổ vai gáy</v>
      </c>
      <c r="E921" s="40">
        <v>99000</v>
      </c>
    </row>
    <row r="922">
      <c r="A922" s="40">
        <v>106</v>
      </c>
      <c r="B922" s="40" t="str">
        <v>76 Phan Văn Hớn</v>
      </c>
      <c r="C922" s="40">
        <v>1066</v>
      </c>
      <c r="D922" s="40" t="str">
        <v>Gội trải nghiệm 75p</v>
      </c>
      <c r="E922" s="40">
        <v>589000</v>
      </c>
    </row>
    <row r="923">
      <c r="A923" s="40">
        <v>106</v>
      </c>
      <c r="B923" s="40" t="str">
        <v>76 Phan Văn Hớn</v>
      </c>
      <c r="C923" s="40">
        <v>1002</v>
      </c>
      <c r="D923" s="40" t="str">
        <v>Kid Cắt</v>
      </c>
      <c r="E923" s="40">
        <v>75000</v>
      </c>
    </row>
    <row r="924">
      <c r="A924" s="40">
        <v>106</v>
      </c>
      <c r="B924" s="40" t="str">
        <v>76 Phan Văn Hớn</v>
      </c>
      <c r="C924" s="40">
        <v>615</v>
      </c>
      <c r="D924" s="40" t="str">
        <v>Nhổ tóc bạc buổi trưa</v>
      </c>
      <c r="E924" s="40">
        <v>150000</v>
      </c>
    </row>
    <row r="925">
      <c r="A925" s="40">
        <v>106</v>
      </c>
      <c r="B925" s="40" t="str">
        <v>76 Phan Văn Hớn</v>
      </c>
      <c r="C925" s="40">
        <v>1101</v>
      </c>
      <c r="D925" s="40" t="str">
        <v>Phục hồi trẻ hóa Lipid Bond</v>
      </c>
      <c r="E925" s="40">
        <v>146000</v>
      </c>
    </row>
    <row r="926">
      <c r="A926" s="40">
        <v>106</v>
      </c>
      <c r="B926" s="40" t="str">
        <v>76 Phan Văn Hớn</v>
      </c>
      <c r="C926" s="40">
        <v>1046</v>
      </c>
      <c r="D926" s="40" t="str" xml:space="preserve">
        <v>Shinecombo 2 </v>
      </c>
      <c r="E926" s="40">
        <v>199000</v>
      </c>
    </row>
    <row r="927">
      <c r="A927" s="40">
        <v>106</v>
      </c>
      <c r="B927" s="40" t="str">
        <v>76 Phan Văn Hớn</v>
      </c>
      <c r="C927" s="40">
        <v>1148</v>
      </c>
      <c r="D927" s="40" t="str">
        <v>UỐN THIẾT KẾ PHỤC HỒI CHUYÊN SÂU LIPID BOND 2025</v>
      </c>
      <c r="E927" s="40">
        <v>689000</v>
      </c>
    </row>
    <row r="928">
      <c r="A928" s="40">
        <v>106</v>
      </c>
      <c r="B928" s="40" t="str">
        <v>76 Phan Văn Hớn</v>
      </c>
      <c r="C928" s="40">
        <v>952</v>
      </c>
      <c r="D928" s="40" t="str">
        <v>Uốn định hình nếp tóc cao cấp (K-Perm Collection)</v>
      </c>
      <c r="E928" s="40">
        <v>478000</v>
      </c>
    </row>
    <row r="929">
      <c r="A929" s="40">
        <v>106</v>
      </c>
      <c r="B929" s="40" t="str">
        <v>76 Phan Văn Hớn</v>
      </c>
      <c r="C929" s="40">
        <v>625</v>
      </c>
      <c r="D929" s="40" t="str">
        <v>[DV] Mặt nạ tẩy da chết sủi bọt cao cấp</v>
      </c>
      <c r="E929" s="40">
        <v>55000</v>
      </c>
    </row>
    <row r="930">
      <c r="A930" s="40">
        <v>106</v>
      </c>
      <c r="B930" s="40" t="str">
        <v>76 Phan Văn Hớn</v>
      </c>
      <c r="C930" s="40">
        <v>912</v>
      </c>
      <c r="D930" s="40" t="str">
        <v>[DV] Nhuộm đen phủ bạc R&amp;B thảo dược</v>
      </c>
      <c r="E930" s="40">
        <v>293000</v>
      </c>
    </row>
    <row r="931">
      <c r="A931" s="40">
        <v>106</v>
      </c>
      <c r="B931" s="40" t="str">
        <v>76 Phan Văn Hớn</v>
      </c>
      <c r="C931" s="40">
        <v>513</v>
      </c>
      <c r="D931" s="40" t="str">
        <v>[DV] ShineCombo 10 bước Ultra Care 2023</v>
      </c>
      <c r="E931" s="40">
        <v>122000</v>
      </c>
    </row>
    <row r="932">
      <c r="A932" s="40">
        <v>106</v>
      </c>
      <c r="B932" s="40" t="str">
        <v>76 Phan Văn Hớn</v>
      </c>
      <c r="C932" s="40">
        <v>513</v>
      </c>
      <c r="D932" s="40" t="str">
        <v>[DV] ShineCombo 10 bước Ultra Care 2023</v>
      </c>
      <c r="E932" s="40">
        <v>120000</v>
      </c>
    </row>
    <row r="933">
      <c r="A933" s="40">
        <v>106</v>
      </c>
      <c r="B933" s="40" t="str">
        <v>76 Phan Văn Hớn</v>
      </c>
      <c r="C933" s="40">
        <v>634</v>
      </c>
      <c r="D933" s="40" t="str">
        <v>[DV] Tẩy da chết sủi bọt Hàn Quốc</v>
      </c>
      <c r="E933" s="40">
        <v>35000</v>
      </c>
    </row>
    <row r="934">
      <c r="A934" s="40">
        <v>106</v>
      </c>
      <c r="B934" s="40" t="str">
        <v>76 Phan Văn Hớn</v>
      </c>
      <c r="C934" s="40">
        <v>674</v>
      </c>
      <c r="D934" s="40" t="str">
        <v>[DV] Uốn Texture con sâu/Uốn Ruffled</v>
      </c>
      <c r="E934" s="40">
        <v>520000</v>
      </c>
    </row>
    <row r="935">
      <c r="A935" s="40">
        <v>106</v>
      </c>
      <c r="B935" s="40" t="str">
        <v>76 Phan Văn Hớn</v>
      </c>
      <c r="C935" s="40">
        <v>941</v>
      </c>
      <c r="D935" s="40" t="str">
        <v>[DV] Vuốt sáp - sấy tạo kiểu 10k</v>
      </c>
      <c r="E935" s="40">
        <v>10000</v>
      </c>
    </row>
    <row r="936">
      <c r="A936" s="40">
        <v>106</v>
      </c>
      <c r="B936" s="40" t="str">
        <v>76 Phan Văn Hớn</v>
      </c>
      <c r="C936" s="40">
        <v>902</v>
      </c>
      <c r="D936" s="40" t="str">
        <v>[DV] Ép side hai bên</v>
      </c>
      <c r="E936" s="40">
        <v>209000</v>
      </c>
    </row>
    <row r="937">
      <c r="A937" s="40">
        <v>106</v>
      </c>
      <c r="B937" s="40" t="str">
        <v>76 Phan Văn Hớn</v>
      </c>
      <c r="C937" s="40">
        <v>940</v>
      </c>
      <c r="D937" s="40" t="str">
        <v>[NEW] Gội dưỡng sinh</v>
      </c>
      <c r="E937" s="40">
        <v>59000</v>
      </c>
    </row>
    <row r="938">
      <c r="A938" s="40">
        <v>106</v>
      </c>
      <c r="B938" s="40" t="str">
        <v>76 Phan Văn Hớn</v>
      </c>
      <c r="C938" s="40">
        <v>930</v>
      </c>
      <c r="D938" s="40" t="str">
        <v>[NEW] Gội dưỡng sinh cổ vai gáy và chăm sóc da</v>
      </c>
      <c r="E938" s="40">
        <v>139000</v>
      </c>
    </row>
    <row r="939">
      <c r="A939" s="40">
        <v>106</v>
      </c>
      <c r="B939" s="40" t="str">
        <v>76 Phan Văn Hớn</v>
      </c>
      <c r="C939" s="40">
        <v>603</v>
      </c>
      <c r="D939" s="40" t="str">
        <v>Đánh bay mụn cám lột mụn (Full Face)</v>
      </c>
      <c r="E939" s="40">
        <v>49000</v>
      </c>
    </row>
    <row r="940">
      <c r="A940" s="40">
        <v>141</v>
      </c>
      <c r="B940" s="40" t="str">
        <v>236 Dương Bá Trạc</v>
      </c>
      <c r="C940" s="40">
        <v>610</v>
      </c>
      <c r="D940" s="40" t="str">
        <v>(2022T) ATS Control Buffer - Khử mùi tạo thơm cho tóc uốn nhuộm 40k</v>
      </c>
      <c r="E940" s="40">
        <v>40000</v>
      </c>
    </row>
    <row r="941">
      <c r="A941" s="40">
        <v>141</v>
      </c>
      <c r="B941" s="40" t="str">
        <v>236 Dương Bá Trạc</v>
      </c>
      <c r="C941" s="40">
        <v>960</v>
      </c>
      <c r="D941" s="40" t="str">
        <v>(NEW) Nhuộm màu thời trang Milano</v>
      </c>
      <c r="E941" s="40">
        <v>366000</v>
      </c>
    </row>
    <row r="942">
      <c r="A942" s="40">
        <v>141</v>
      </c>
      <c r="B942" s="40" t="str">
        <v>236 Dương Bá Trạc</v>
      </c>
      <c r="C942" s="40">
        <v>967</v>
      </c>
      <c r="D942" s="40" t="str">
        <v>(NEW) Nhuộm phủ bạc tiêu chuẩn 199K</v>
      </c>
      <c r="E942" s="40">
        <v>199000</v>
      </c>
    </row>
    <row r="943">
      <c r="A943" s="40">
        <v>141</v>
      </c>
      <c r="B943" s="40" t="str">
        <v>236 Dương Bá Trạc</v>
      </c>
      <c r="C943" s="40">
        <v>1009</v>
      </c>
      <c r="D943" s="40" t="str">
        <v>(NEW) Uốn/Duỗi/Định hình full đầu tạo form vào nếp tự nhiên</v>
      </c>
      <c r="E943" s="40">
        <v>386000</v>
      </c>
    </row>
    <row r="944">
      <c r="A944" s="40">
        <v>141</v>
      </c>
      <c r="B944" s="40" t="str">
        <v>236 Dương Bá Trạc</v>
      </c>
      <c r="C944" s="40">
        <v>1052</v>
      </c>
      <c r="D944" s="40" t="str">
        <v>Combo 1 - First Class 1</v>
      </c>
      <c r="E944" s="40">
        <v>159000</v>
      </c>
    </row>
    <row r="945">
      <c r="A945" s="40">
        <v>141</v>
      </c>
      <c r="B945" s="40" t="str">
        <v>236 Dương Bá Trạc</v>
      </c>
      <c r="C945" s="40">
        <v>1053</v>
      </c>
      <c r="D945" s="40" t="str">
        <v>Combo 2 - First Class 2</v>
      </c>
      <c r="E945" s="40">
        <v>239000</v>
      </c>
    </row>
    <row r="946">
      <c r="A946" s="40">
        <v>141</v>
      </c>
      <c r="B946" s="40" t="str">
        <v>236 Dương Bá Trạc</v>
      </c>
      <c r="C946" s="40">
        <v>1054</v>
      </c>
      <c r="D946" s="40" t="str">
        <v>Combo 3 - First Class 3</v>
      </c>
      <c r="E946" s="40">
        <v>299000</v>
      </c>
    </row>
    <row r="947">
      <c r="A947" s="40">
        <v>141</v>
      </c>
      <c r="B947" s="40" t="str">
        <v>236 Dương Bá Trạc</v>
      </c>
      <c r="C947" s="40">
        <v>1048</v>
      </c>
      <c r="D947" s="40" t="str">
        <v>Combo 4</v>
      </c>
      <c r="E947" s="40">
        <v>389000</v>
      </c>
    </row>
    <row r="948">
      <c r="A948" s="40">
        <v>141</v>
      </c>
      <c r="B948" s="40" t="str">
        <v>236 Dương Bá Trạc</v>
      </c>
      <c r="C948" s="40">
        <v>1048</v>
      </c>
      <c r="D948" s="40" t="str">
        <v>Combo 4</v>
      </c>
      <c r="E948" s="40">
        <v>379000</v>
      </c>
    </row>
    <row r="949">
      <c r="A949" s="40">
        <v>141</v>
      </c>
      <c r="B949" s="40" t="str">
        <v>236 Dương Bá Trạc</v>
      </c>
      <c r="C949" s="40">
        <v>1070</v>
      </c>
      <c r="D949" s="40" t="str">
        <v>Combo Cắt gội Kid</v>
      </c>
      <c r="E949" s="40">
        <v>100000</v>
      </c>
    </row>
    <row r="950">
      <c r="A950" s="40">
        <v>141</v>
      </c>
      <c r="B950" s="40" t="str">
        <v>236 Dương Bá Trạc</v>
      </c>
      <c r="C950" s="40">
        <v>1047</v>
      </c>
      <c r="D950" s="40" t="str">
        <v>Cắt Gội Combo 3 - Chăm da</v>
      </c>
      <c r="E950" s="40">
        <v>299000</v>
      </c>
    </row>
    <row r="951">
      <c r="A951" s="40">
        <v>141</v>
      </c>
      <c r="B951" s="40" t="str">
        <v>236 Dương Bá Trạc</v>
      </c>
      <c r="C951" s="40">
        <v>1065</v>
      </c>
      <c r="D951" s="40" t="str">
        <v>Cắt Gội Combo 3 - Dưỡng sinh</v>
      </c>
      <c r="E951" s="40">
        <v>299000</v>
      </c>
    </row>
    <row r="952">
      <c r="A952" s="40">
        <v>141</v>
      </c>
      <c r="B952" s="40" t="str">
        <v>236 Dương Bá Trạc</v>
      </c>
      <c r="C952" s="40">
        <v>1064</v>
      </c>
      <c r="D952" s="40" t="str">
        <v>Cắt Gội Combo 5 - Dưỡng sinh</v>
      </c>
      <c r="E952" s="40">
        <v>459000</v>
      </c>
    </row>
    <row r="953">
      <c r="A953" s="40">
        <v>141</v>
      </c>
      <c r="B953" s="40" t="str">
        <v>236 Dương Bá Trạc</v>
      </c>
      <c r="C953" s="40">
        <v>891</v>
      </c>
      <c r="D953" s="40" t="str">
        <v>Cắt xả tạo kiểu</v>
      </c>
      <c r="E953" s="40">
        <v>90000</v>
      </c>
    </row>
    <row r="954">
      <c r="A954" s="40">
        <v>141</v>
      </c>
      <c r="B954" s="40" t="str">
        <v>236 Dương Bá Trạc</v>
      </c>
      <c r="C954" s="40">
        <v>891</v>
      </c>
      <c r="D954" s="40" t="str">
        <v>Cắt xả tạo kiểu</v>
      </c>
      <c r="E954" s="40">
        <v>94000</v>
      </c>
    </row>
    <row r="955">
      <c r="A955" s="40">
        <v>141</v>
      </c>
      <c r="B955" s="40" t="str">
        <v>236 Dương Bá Trạc</v>
      </c>
      <c r="C955" s="40">
        <v>1058</v>
      </c>
      <c r="D955" s="40" t="str" xml:space="preserve">
        <v>Gội Combo 2 </v>
      </c>
      <c r="E955" s="40">
        <v>159000</v>
      </c>
    </row>
    <row r="956">
      <c r="A956" s="40">
        <v>141</v>
      </c>
      <c r="B956" s="40" t="str">
        <v>236 Dương Bá Trạc</v>
      </c>
      <c r="C956" s="40">
        <v>1059</v>
      </c>
      <c r="D956" s="40" t="str">
        <v>Gội Combo 3 - Chăm da</v>
      </c>
      <c r="E956" s="40">
        <v>219000</v>
      </c>
    </row>
    <row r="957">
      <c r="A957" s="40">
        <v>141</v>
      </c>
      <c r="B957" s="40" t="str">
        <v>236 Dương Bá Trạc</v>
      </c>
      <c r="C957" s="40">
        <v>1059</v>
      </c>
      <c r="D957" s="40" t="str">
        <v>Gội Combo 3 - Chăm da</v>
      </c>
      <c r="E957" s="40">
        <v>239000</v>
      </c>
    </row>
    <row r="958">
      <c r="A958" s="40">
        <v>141</v>
      </c>
      <c r="B958" s="40" t="str">
        <v>236 Dương Bá Trạc</v>
      </c>
      <c r="C958" s="40">
        <v>1060</v>
      </c>
      <c r="D958" s="40" t="str">
        <v>Gội Combo 4</v>
      </c>
      <c r="E958" s="40">
        <v>319000</v>
      </c>
    </row>
    <row r="959">
      <c r="A959" s="40">
        <v>141</v>
      </c>
      <c r="B959" s="40" t="str">
        <v>236 Dương Bá Trạc</v>
      </c>
      <c r="C959" s="40">
        <v>1060</v>
      </c>
      <c r="D959" s="40" t="str">
        <v>Gội Combo 4</v>
      </c>
      <c r="E959" s="40">
        <v>289000</v>
      </c>
    </row>
    <row r="960">
      <c r="A960" s="40">
        <v>141</v>
      </c>
      <c r="B960" s="40" t="str">
        <v>236 Dương Bá Trạc</v>
      </c>
      <c r="C960" s="40">
        <v>934</v>
      </c>
      <c r="D960" s="40" t="str">
        <v>Gội combo 3 - Dưỡng sinh</v>
      </c>
      <c r="E960" s="40">
        <v>229000</v>
      </c>
    </row>
    <row r="961">
      <c r="A961" s="40">
        <v>141</v>
      </c>
      <c r="B961" s="40" t="str">
        <v>236 Dương Bá Trạc</v>
      </c>
      <c r="C961" s="40">
        <v>932</v>
      </c>
      <c r="D961" s="40" t="str">
        <v>Gội combo 5 dưỡng sinh</v>
      </c>
      <c r="E961" s="40">
        <v>399000</v>
      </c>
    </row>
    <row r="962">
      <c r="A962" s="40">
        <v>141</v>
      </c>
      <c r="B962" s="40" t="str">
        <v>236 Dương Bá Trạc</v>
      </c>
      <c r="C962" s="40">
        <v>867</v>
      </c>
      <c r="D962" s="40" t="str">
        <v>Gội dưỡng sinh cổ vai gáy</v>
      </c>
      <c r="E962" s="40">
        <v>99000</v>
      </c>
    </row>
    <row r="963">
      <c r="A963" s="40">
        <v>141</v>
      </c>
      <c r="B963" s="40" t="str">
        <v>236 Dương Bá Trạc</v>
      </c>
      <c r="C963" s="40">
        <v>867</v>
      </c>
      <c r="D963" s="40" t="str">
        <v>Gội dưỡng sinh cổ vai gáy</v>
      </c>
      <c r="E963" s="40">
        <v>95000</v>
      </c>
    </row>
    <row r="964">
      <c r="A964" s="40">
        <v>141</v>
      </c>
      <c r="B964" s="40" t="str">
        <v>236 Dương Bá Trạc</v>
      </c>
      <c r="C964" s="40">
        <v>1002</v>
      </c>
      <c r="D964" s="40" t="str">
        <v>Kid Cắt</v>
      </c>
      <c r="E964" s="40">
        <v>75000</v>
      </c>
    </row>
    <row r="965">
      <c r="A965" s="40">
        <v>141</v>
      </c>
      <c r="B965" s="40" t="str">
        <v>236 Dương Bá Trạc</v>
      </c>
      <c r="C965" s="40">
        <v>1149</v>
      </c>
      <c r="D965" s="40" t="str">
        <v>NHUỘM THIẾT KẾ PHỤC HỒI CHUYÊN SÂU LIPID BOND 2025</v>
      </c>
      <c r="E965" s="40">
        <v>759000</v>
      </c>
    </row>
    <row r="966">
      <c r="A966" s="40">
        <v>141</v>
      </c>
      <c r="B966" s="40" t="str">
        <v>236 Dương Bá Trạc</v>
      </c>
      <c r="C966" s="40">
        <v>1101</v>
      </c>
      <c r="D966" s="40" t="str">
        <v>Phục hồi trẻ hóa Lipid Bond</v>
      </c>
      <c r="E966" s="40">
        <v>146000</v>
      </c>
    </row>
    <row r="967">
      <c r="A967" s="40">
        <v>141</v>
      </c>
      <c r="B967" s="40" t="str">
        <v>236 Dương Bá Trạc</v>
      </c>
      <c r="C967" s="40">
        <v>1046</v>
      </c>
      <c r="D967" s="40" t="str" xml:space="preserve">
        <v>Shinecombo 2 </v>
      </c>
      <c r="E967" s="40">
        <v>199000</v>
      </c>
    </row>
    <row r="968">
      <c r="A968" s="40">
        <v>141</v>
      </c>
      <c r="B968" s="40" t="str">
        <v>236 Dương Bá Trạc</v>
      </c>
      <c r="C968" s="40">
        <v>1148</v>
      </c>
      <c r="D968" s="40" t="str">
        <v>UỐN THIẾT KẾ PHỤC HỒI CHUYÊN SÂU LIPID BOND 2025</v>
      </c>
      <c r="E968" s="40">
        <v>689000</v>
      </c>
    </row>
    <row r="969">
      <c r="A969" s="40">
        <v>141</v>
      </c>
      <c r="B969" s="40" t="str">
        <v>236 Dương Bá Trạc</v>
      </c>
      <c r="C969" s="40">
        <v>952</v>
      </c>
      <c r="D969" s="40" t="str">
        <v>Uốn định hình nếp tóc cao cấp (K-Perm Collection)</v>
      </c>
      <c r="E969" s="40">
        <v>478000</v>
      </c>
    </row>
    <row r="970">
      <c r="A970" s="40">
        <v>141</v>
      </c>
      <c r="B970" s="40" t="str">
        <v>236 Dương Bá Trạc</v>
      </c>
      <c r="C970" s="40">
        <v>635</v>
      </c>
      <c r="D970" s="40" t="str">
        <v>[DV] Detox tẩy da chết da đầu</v>
      </c>
      <c r="E970" s="40">
        <v>45000</v>
      </c>
    </row>
    <row r="971">
      <c r="A971" s="40">
        <v>141</v>
      </c>
      <c r="B971" s="40" t="str">
        <v>236 Dương Bá Trạc</v>
      </c>
      <c r="C971" s="40">
        <v>636</v>
      </c>
      <c r="D971" s="40" t="str">
        <v>[DV] Mặt nạ lạnh Hàn Quốc</v>
      </c>
      <c r="E971" s="40">
        <v>35000</v>
      </c>
    </row>
    <row r="972">
      <c r="A972" s="40">
        <v>141</v>
      </c>
      <c r="B972" s="40" t="str">
        <v>236 Dương Bá Trạc</v>
      </c>
      <c r="C972" s="40">
        <v>625</v>
      </c>
      <c r="D972" s="40" t="str">
        <v>[DV] Mặt nạ tẩy da chết sủi bọt cao cấp</v>
      </c>
      <c r="E972" s="40">
        <v>55000</v>
      </c>
    </row>
    <row r="973">
      <c r="A973" s="40">
        <v>141</v>
      </c>
      <c r="B973" s="40" t="str">
        <v>236 Dương Bá Trạc</v>
      </c>
      <c r="C973" s="40">
        <v>912</v>
      </c>
      <c r="D973" s="40" t="str">
        <v>[DV] Nhuộm đen phủ bạc R&amp;B thảo dược</v>
      </c>
      <c r="E973" s="40">
        <v>289000</v>
      </c>
    </row>
    <row r="974">
      <c r="A974" s="40">
        <v>141</v>
      </c>
      <c r="B974" s="40" t="str">
        <v>236 Dương Bá Trạc</v>
      </c>
      <c r="C974" s="40">
        <v>513</v>
      </c>
      <c r="D974" s="40" t="str">
        <v>[DV] ShineCombo 10 bước Ultra Care 2023</v>
      </c>
      <c r="E974" s="40">
        <v>120000</v>
      </c>
    </row>
    <row r="975">
      <c r="A975" s="40">
        <v>141</v>
      </c>
      <c r="B975" s="40" t="str">
        <v>236 Dương Bá Trạc</v>
      </c>
      <c r="C975" s="40">
        <v>513</v>
      </c>
      <c r="D975" s="40" t="str">
        <v>[DV] ShineCombo 10 bước Ultra Care 2023</v>
      </c>
      <c r="E975" s="40">
        <v>122000</v>
      </c>
    </row>
    <row r="976">
      <c r="A976" s="40">
        <v>141</v>
      </c>
      <c r="B976" s="40" t="str">
        <v>236 Dương Bá Trạc</v>
      </c>
      <c r="C976" s="40">
        <v>462</v>
      </c>
      <c r="D976" s="40" t="str">
        <v>[DV] Thư giãn cổ, vai, gáy bạc hà cam ngọt - Thư giãn tai sảng khoái 9 tầng mây 45k</v>
      </c>
      <c r="E976" s="40">
        <v>45000</v>
      </c>
    </row>
    <row r="977">
      <c r="A977" s="40">
        <v>141</v>
      </c>
      <c r="B977" s="40" t="str">
        <v>236 Dương Bá Trạc</v>
      </c>
      <c r="C977" s="40">
        <v>634</v>
      </c>
      <c r="D977" s="40" t="str">
        <v>[DV] Tẩy da chết sủi bọt Hàn Quốc</v>
      </c>
      <c r="E977" s="40">
        <v>35000</v>
      </c>
    </row>
    <row r="978">
      <c r="A978" s="40">
        <v>141</v>
      </c>
      <c r="B978" s="40" t="str">
        <v>236 Dương Bá Trạc</v>
      </c>
      <c r="C978" s="40">
        <v>674</v>
      </c>
      <c r="D978" s="40" t="str">
        <v>[DV] Uốn Texture con sâu/Uốn Ruffled</v>
      </c>
      <c r="E978" s="40">
        <v>550000</v>
      </c>
    </row>
    <row r="979">
      <c r="A979" s="40">
        <v>141</v>
      </c>
      <c r="B979" s="40" t="str">
        <v>236 Dương Bá Trạc</v>
      </c>
      <c r="C979" s="40">
        <v>941</v>
      </c>
      <c r="D979" s="40" t="str">
        <v>[DV] Vuốt sáp - sấy tạo kiểu 10k</v>
      </c>
      <c r="E979" s="40">
        <v>10000</v>
      </c>
    </row>
    <row r="980">
      <c r="A980" s="40">
        <v>141</v>
      </c>
      <c r="B980" s="40" t="str">
        <v>236 Dương Bá Trạc</v>
      </c>
      <c r="C980" s="40">
        <v>902</v>
      </c>
      <c r="D980" s="40" t="str">
        <v>[DV] Ép side hai bên</v>
      </c>
      <c r="E980" s="40">
        <v>226000</v>
      </c>
    </row>
    <row r="981">
      <c r="A981" s="40">
        <v>141</v>
      </c>
      <c r="B981" s="40" t="str">
        <v>236 Dương Bá Trạc</v>
      </c>
      <c r="C981" s="40">
        <v>940</v>
      </c>
      <c r="D981" s="40" t="str">
        <v>[NEW] Gội dưỡng sinh</v>
      </c>
      <c r="E981" s="40">
        <v>50000</v>
      </c>
    </row>
    <row r="982">
      <c r="A982" s="40">
        <v>141</v>
      </c>
      <c r="B982" s="40" t="str">
        <v>236 Dương Bá Trạc</v>
      </c>
      <c r="C982" s="40">
        <v>940</v>
      </c>
      <c r="D982" s="40" t="str">
        <v>[NEW] Gội dưỡng sinh</v>
      </c>
      <c r="E982" s="40">
        <v>59000</v>
      </c>
    </row>
    <row r="983">
      <c r="A983" s="40">
        <v>141</v>
      </c>
      <c r="B983" s="40" t="str">
        <v>236 Dương Bá Trạc</v>
      </c>
      <c r="C983" s="40">
        <v>603</v>
      </c>
      <c r="D983" s="40" t="str">
        <v>Đánh bay mụn cám lột mụn (Full Face)</v>
      </c>
      <c r="E983" s="40">
        <v>49000</v>
      </c>
    </row>
    <row r="984">
      <c r="A984" s="40">
        <v>143</v>
      </c>
      <c r="B984" s="40" t="str">
        <v>10 Trần Phú</v>
      </c>
      <c r="C984" s="40">
        <v>610</v>
      </c>
      <c r="D984" s="40" t="str">
        <v>(2022T) ATS Control Buffer - Khử mùi tạo thơm cho tóc uốn nhuộm 40k</v>
      </c>
      <c r="E984" s="40">
        <v>40000</v>
      </c>
    </row>
    <row r="985">
      <c r="A985" s="40">
        <v>143</v>
      </c>
      <c r="B985" s="40" t="str">
        <v>10 Trần Phú</v>
      </c>
      <c r="C985" s="40">
        <v>960</v>
      </c>
      <c r="D985" s="40" t="str">
        <v>(NEW) Nhuộm màu thời trang Milano</v>
      </c>
      <c r="E985" s="40">
        <v>366000</v>
      </c>
    </row>
    <row r="986">
      <c r="A986" s="40">
        <v>143</v>
      </c>
      <c r="B986" s="40" t="str">
        <v>10 Trần Phú</v>
      </c>
      <c r="C986" s="40">
        <v>967</v>
      </c>
      <c r="D986" s="40" t="str">
        <v>(NEW) Nhuộm phủ bạc tiêu chuẩn 199K</v>
      </c>
      <c r="E986" s="40">
        <v>199000</v>
      </c>
    </row>
    <row r="987">
      <c r="A987" s="40">
        <v>143</v>
      </c>
      <c r="B987" s="40" t="str">
        <v>10 Trần Phú</v>
      </c>
      <c r="C987" s="40">
        <v>1009</v>
      </c>
      <c r="D987" s="40" t="str">
        <v>(NEW) Uốn/Duỗi/Định hình full đầu tạo form vào nếp tự nhiên</v>
      </c>
      <c r="E987" s="40">
        <v>386000</v>
      </c>
    </row>
    <row r="988">
      <c r="A988" s="40">
        <v>143</v>
      </c>
      <c r="B988" s="40" t="str">
        <v>10 Trần Phú</v>
      </c>
      <c r="C988" s="40">
        <v>1052</v>
      </c>
      <c r="D988" s="40" t="str">
        <v>Combo 1 - First Class 1</v>
      </c>
      <c r="E988" s="40">
        <v>159000</v>
      </c>
    </row>
    <row r="989">
      <c r="A989" s="40">
        <v>143</v>
      </c>
      <c r="B989" s="40" t="str">
        <v>10 Trần Phú</v>
      </c>
      <c r="C989" s="40">
        <v>1052</v>
      </c>
      <c r="D989" s="40" t="str">
        <v>Combo 1 - First Class 1</v>
      </c>
      <c r="E989" s="40">
        <v>139000</v>
      </c>
    </row>
    <row r="990">
      <c r="A990" s="40">
        <v>143</v>
      </c>
      <c r="B990" s="40" t="str">
        <v>10 Trần Phú</v>
      </c>
      <c r="C990" s="40">
        <v>1053</v>
      </c>
      <c r="D990" s="40" t="str">
        <v>Combo 2 - First Class 2</v>
      </c>
      <c r="E990" s="40">
        <v>239000</v>
      </c>
    </row>
    <row r="991">
      <c r="A991" s="40">
        <v>143</v>
      </c>
      <c r="B991" s="40" t="str">
        <v>10 Trần Phú</v>
      </c>
      <c r="C991" s="40">
        <v>1054</v>
      </c>
      <c r="D991" s="40" t="str">
        <v>Combo 3 - First Class 3</v>
      </c>
      <c r="E991" s="40">
        <v>309000</v>
      </c>
    </row>
    <row r="992">
      <c r="A992" s="40">
        <v>143</v>
      </c>
      <c r="B992" s="40" t="str">
        <v>10 Trần Phú</v>
      </c>
      <c r="C992" s="40">
        <v>1054</v>
      </c>
      <c r="D992" s="40" t="str">
        <v>Combo 3 - First Class 3</v>
      </c>
      <c r="E992" s="40">
        <v>299000</v>
      </c>
    </row>
    <row r="993">
      <c r="A993" s="40">
        <v>143</v>
      </c>
      <c r="B993" s="40" t="str">
        <v>10 Trần Phú</v>
      </c>
      <c r="C993" s="40">
        <v>1055</v>
      </c>
      <c r="D993" s="40" t="str">
        <v>Combo 4- First Class 4</v>
      </c>
      <c r="E993" s="40">
        <v>399000</v>
      </c>
    </row>
    <row r="994">
      <c r="A994" s="40">
        <v>143</v>
      </c>
      <c r="B994" s="40" t="str">
        <v>10 Trần Phú</v>
      </c>
      <c r="C994" s="40">
        <v>1055</v>
      </c>
      <c r="D994" s="40" t="str">
        <v>Combo 4- First Class 4</v>
      </c>
      <c r="E994" s="40">
        <v>409000</v>
      </c>
    </row>
    <row r="995">
      <c r="A995" s="40">
        <v>143</v>
      </c>
      <c r="B995" s="40" t="str">
        <v>10 Trần Phú</v>
      </c>
      <c r="C995" s="40">
        <v>1047</v>
      </c>
      <c r="D995" s="40" t="str">
        <v>Cắt Gội Combo 3 - Chăm da</v>
      </c>
      <c r="E995" s="40">
        <v>299000</v>
      </c>
    </row>
    <row r="996">
      <c r="A996" s="40">
        <v>143</v>
      </c>
      <c r="B996" s="40" t="str">
        <v>10 Trần Phú</v>
      </c>
      <c r="C996" s="40">
        <v>891</v>
      </c>
      <c r="D996" s="40" t="str">
        <v>Cắt xả tạo kiểu</v>
      </c>
      <c r="E996" s="40">
        <v>94000</v>
      </c>
    </row>
    <row r="997">
      <c r="A997" s="40">
        <v>143</v>
      </c>
      <c r="B997" s="40" t="str">
        <v>10 Trần Phú</v>
      </c>
      <c r="C997" s="40">
        <v>891</v>
      </c>
      <c r="D997" s="40" t="str">
        <v>Cắt xả tạo kiểu</v>
      </c>
      <c r="E997" s="40">
        <v>90000</v>
      </c>
    </row>
    <row r="998">
      <c r="A998" s="40">
        <v>143</v>
      </c>
      <c r="B998" s="40" t="str">
        <v>10 Trần Phú</v>
      </c>
      <c r="C998" s="40">
        <v>1058</v>
      </c>
      <c r="D998" s="40" t="str" xml:space="preserve">
        <v>Gội Combo 2 </v>
      </c>
      <c r="E998" s="40">
        <v>159000</v>
      </c>
    </row>
    <row r="999">
      <c r="A999" s="40">
        <v>143</v>
      </c>
      <c r="B999" s="40" t="str">
        <v>10 Trần Phú</v>
      </c>
      <c r="C999" s="40">
        <v>1059</v>
      </c>
      <c r="D999" s="40" t="str">
        <v>Gội Combo 3 - Chăm da</v>
      </c>
      <c r="E999" s="40">
        <v>239000</v>
      </c>
    </row>
    <row r="1000">
      <c r="A1000" s="40">
        <v>143</v>
      </c>
      <c r="B1000" s="40" t="str">
        <v>10 Trần Phú</v>
      </c>
      <c r="C1000" s="40">
        <v>1059</v>
      </c>
      <c r="D1000" s="40" t="str">
        <v>Gội Combo 3 - Chăm da</v>
      </c>
      <c r="E1000" s="40">
        <v>219000</v>
      </c>
    </row>
    <row r="1001">
      <c r="A1001" s="40">
        <v>143</v>
      </c>
      <c r="B1001" s="40" t="str">
        <v>10 Trần Phú</v>
      </c>
      <c r="C1001" s="40">
        <v>1060</v>
      </c>
      <c r="D1001" s="40" t="str">
        <v>Gội Combo 4</v>
      </c>
      <c r="E1001" s="40">
        <v>329000</v>
      </c>
    </row>
    <row r="1002">
      <c r="A1002" s="40">
        <v>143</v>
      </c>
      <c r="B1002" s="40" t="str">
        <v>10 Trần Phú</v>
      </c>
      <c r="C1002" s="40">
        <v>1060</v>
      </c>
      <c r="D1002" s="40" t="str">
        <v>Gội Combo 4</v>
      </c>
      <c r="E1002" s="40">
        <v>319000</v>
      </c>
    </row>
    <row r="1003">
      <c r="A1003" s="40">
        <v>143</v>
      </c>
      <c r="B1003" s="40" t="str">
        <v>10 Trần Phú</v>
      </c>
      <c r="C1003" s="40">
        <v>934</v>
      </c>
      <c r="D1003" s="40" t="str">
        <v>Gội combo 3 - Dưỡng sinh</v>
      </c>
      <c r="E1003" s="40">
        <v>229000</v>
      </c>
    </row>
    <row r="1004">
      <c r="A1004" s="40">
        <v>143</v>
      </c>
      <c r="B1004" s="40" t="str">
        <v>10 Trần Phú</v>
      </c>
      <c r="C1004" s="40">
        <v>867</v>
      </c>
      <c r="D1004" s="40" t="str">
        <v>Gội dưỡng sinh cổ vai gáy</v>
      </c>
      <c r="E1004" s="40">
        <v>99000</v>
      </c>
    </row>
    <row r="1005">
      <c r="A1005" s="40">
        <v>143</v>
      </c>
      <c r="B1005" s="40" t="str">
        <v>10 Trần Phú</v>
      </c>
      <c r="C1005" s="40">
        <v>867</v>
      </c>
      <c r="D1005" s="40" t="str">
        <v>Gội dưỡng sinh cổ vai gáy</v>
      </c>
      <c r="E1005" s="40">
        <v>95000</v>
      </c>
    </row>
    <row r="1006">
      <c r="A1006" s="40">
        <v>143</v>
      </c>
      <c r="B1006" s="40" t="str">
        <v>10 Trần Phú</v>
      </c>
      <c r="C1006" s="40">
        <v>1066</v>
      </c>
      <c r="D1006" s="40" t="str">
        <v>Gội trải nghiệm 75p</v>
      </c>
      <c r="E1006" s="40">
        <v>589000</v>
      </c>
    </row>
    <row r="1007">
      <c r="A1007" s="40">
        <v>143</v>
      </c>
      <c r="B1007" s="40" t="str">
        <v>10 Trần Phú</v>
      </c>
      <c r="C1007" s="40">
        <v>1002</v>
      </c>
      <c r="D1007" s="40" t="str">
        <v>Kid Cắt</v>
      </c>
      <c r="E1007" s="40">
        <v>75000</v>
      </c>
    </row>
    <row r="1008">
      <c r="A1008" s="40">
        <v>143</v>
      </c>
      <c r="B1008" s="40" t="str">
        <v>10 Trần Phú</v>
      </c>
      <c r="C1008" s="40">
        <v>1101</v>
      </c>
      <c r="D1008" s="40" t="str">
        <v>Phục hồi trẻ hóa Lipid Bond</v>
      </c>
      <c r="E1008" s="40">
        <v>146000</v>
      </c>
    </row>
    <row r="1009">
      <c r="A1009" s="40">
        <v>143</v>
      </c>
      <c r="B1009" s="40" t="str">
        <v>10 Trần Phú</v>
      </c>
      <c r="C1009" s="40">
        <v>1046</v>
      </c>
      <c r="D1009" s="40" t="str" xml:space="preserve">
        <v>Shinecombo 2 </v>
      </c>
      <c r="E1009" s="40">
        <v>199000</v>
      </c>
    </row>
    <row r="1010">
      <c r="A1010" s="40">
        <v>143</v>
      </c>
      <c r="B1010" s="40" t="str">
        <v>10 Trần Phú</v>
      </c>
      <c r="C1010" s="40">
        <v>1148</v>
      </c>
      <c r="D1010" s="40" t="str">
        <v>UỐN THIẾT KẾ PHỤC HỒI CHUYÊN SÂU LIPID BOND 2025</v>
      </c>
      <c r="E1010" s="40">
        <v>689000</v>
      </c>
    </row>
    <row r="1011">
      <c r="A1011" s="40">
        <v>143</v>
      </c>
      <c r="B1011" s="40" t="str">
        <v>10 Trần Phú</v>
      </c>
      <c r="C1011" s="40">
        <v>952</v>
      </c>
      <c r="D1011" s="40" t="str">
        <v>Uốn định hình nếp tóc cao cấp (K-Perm Collection)</v>
      </c>
      <c r="E1011" s="40">
        <v>478000</v>
      </c>
    </row>
    <row r="1012">
      <c r="A1012" s="40">
        <v>143</v>
      </c>
      <c r="B1012" s="40" t="str">
        <v>10 Trần Phú</v>
      </c>
      <c r="C1012" s="40">
        <v>635</v>
      </c>
      <c r="D1012" s="40" t="str">
        <v>[DV] Detox tẩy da chết da đầu</v>
      </c>
      <c r="E1012" s="40">
        <v>45000</v>
      </c>
    </row>
    <row r="1013">
      <c r="A1013" s="40">
        <v>143</v>
      </c>
      <c r="B1013" s="40" t="str">
        <v>10 Trần Phú</v>
      </c>
      <c r="C1013" s="40">
        <v>636</v>
      </c>
      <c r="D1013" s="40" t="str">
        <v>[DV] Mặt nạ lạnh Hàn Quốc</v>
      </c>
      <c r="E1013" s="40">
        <v>35000</v>
      </c>
    </row>
    <row r="1014">
      <c r="A1014" s="40">
        <v>143</v>
      </c>
      <c r="B1014" s="40" t="str">
        <v>10 Trần Phú</v>
      </c>
      <c r="C1014" s="40">
        <v>625</v>
      </c>
      <c r="D1014" s="40" t="str">
        <v>[DV] Mặt nạ tẩy da chết sủi bọt cao cấp</v>
      </c>
      <c r="E1014" s="40">
        <v>55000</v>
      </c>
    </row>
    <row r="1015">
      <c r="A1015" s="40">
        <v>143</v>
      </c>
      <c r="B1015" s="40" t="str">
        <v>10 Trần Phú</v>
      </c>
      <c r="C1015" s="40">
        <v>912</v>
      </c>
      <c r="D1015" s="40" t="str">
        <v>[DV] Nhuộm đen phủ bạc R&amp;B thảo dược</v>
      </c>
      <c r="E1015" s="40">
        <v>289000</v>
      </c>
    </row>
    <row r="1016">
      <c r="A1016" s="40">
        <v>143</v>
      </c>
      <c r="B1016" s="40" t="str">
        <v>10 Trần Phú</v>
      </c>
      <c r="C1016" s="40">
        <v>513</v>
      </c>
      <c r="D1016" s="40" t="str">
        <v>[DV] ShineCombo 10 bước Ultra Care 2023</v>
      </c>
      <c r="E1016" s="40">
        <v>120000</v>
      </c>
    </row>
    <row r="1017">
      <c r="A1017" s="40">
        <v>143</v>
      </c>
      <c r="B1017" s="40" t="str">
        <v>10 Trần Phú</v>
      </c>
      <c r="C1017" s="40">
        <v>462</v>
      </c>
      <c r="D1017" s="40" t="str">
        <v>[DV] Thư giãn cổ, vai, gáy bạc hà cam ngọt - Thư giãn tai sảng khoái 9 tầng mây 45k</v>
      </c>
      <c r="E1017" s="40">
        <v>45000</v>
      </c>
    </row>
    <row r="1018">
      <c r="A1018" s="40">
        <v>143</v>
      </c>
      <c r="B1018" s="40" t="str">
        <v>10 Trần Phú</v>
      </c>
      <c r="C1018" s="40">
        <v>634</v>
      </c>
      <c r="D1018" s="40" t="str">
        <v>[DV] Tẩy da chết sủi bọt Hàn Quốc</v>
      </c>
      <c r="E1018" s="40">
        <v>35000</v>
      </c>
    </row>
    <row r="1019">
      <c r="A1019" s="40">
        <v>143</v>
      </c>
      <c r="B1019" s="40" t="str">
        <v>10 Trần Phú</v>
      </c>
      <c r="C1019" s="40">
        <v>915</v>
      </c>
      <c r="D1019" s="40" t="str">
        <v>[DV] Tẩy tóc bật tông Ý (1 lần)</v>
      </c>
      <c r="E1019" s="40">
        <v>259000</v>
      </c>
    </row>
    <row r="1020">
      <c r="A1020" s="40">
        <v>143</v>
      </c>
      <c r="B1020" s="40" t="str">
        <v>10 Trần Phú</v>
      </c>
      <c r="C1020" s="40">
        <v>674</v>
      </c>
      <c r="D1020" s="40" t="str">
        <v>[DV] Uốn Texture con sâu/Uốn Ruffled</v>
      </c>
      <c r="E1020" s="40">
        <v>550000</v>
      </c>
    </row>
    <row r="1021">
      <c r="A1021" s="40">
        <v>143</v>
      </c>
      <c r="B1021" s="40" t="str">
        <v>10 Trần Phú</v>
      </c>
      <c r="C1021" s="40">
        <v>941</v>
      </c>
      <c r="D1021" s="40" t="str">
        <v>[DV] Vuốt sáp - sấy tạo kiểu 10k</v>
      </c>
      <c r="E1021" s="40">
        <v>10000</v>
      </c>
    </row>
    <row r="1022">
      <c r="A1022" s="40">
        <v>143</v>
      </c>
      <c r="B1022" s="40" t="str">
        <v>10 Trần Phú</v>
      </c>
      <c r="C1022" s="40">
        <v>902</v>
      </c>
      <c r="D1022" s="40" t="str">
        <v>[DV] Ép side hai bên</v>
      </c>
      <c r="E1022" s="40">
        <v>216000</v>
      </c>
    </row>
    <row r="1023">
      <c r="A1023" s="40">
        <v>143</v>
      </c>
      <c r="B1023" s="40" t="str">
        <v>10 Trần Phú</v>
      </c>
      <c r="C1023" s="40">
        <v>940</v>
      </c>
      <c r="D1023" s="40" t="str">
        <v>[NEW] Gội dưỡng sinh</v>
      </c>
      <c r="E1023" s="40">
        <v>59000</v>
      </c>
    </row>
    <row r="1024">
      <c r="A1024" s="40">
        <v>143</v>
      </c>
      <c r="B1024" s="40" t="str">
        <v>10 Trần Phú</v>
      </c>
      <c r="C1024" s="40">
        <v>603</v>
      </c>
      <c r="D1024" s="40" t="str">
        <v>Đánh bay mụn cám lột mụn (Full Face)</v>
      </c>
      <c r="E1024" s="40">
        <v>49000</v>
      </c>
    </row>
    <row r="1025">
      <c r="A1025" s="40">
        <v>144</v>
      </c>
      <c r="B1025" s="40" t="str">
        <v>168 Nguyễn Văn Cừ</v>
      </c>
      <c r="C1025" s="40">
        <v>610</v>
      </c>
      <c r="D1025" s="40" t="str">
        <v>(2022T) ATS Control Buffer - Khử mùi tạo thơm cho tóc uốn nhuộm 40k</v>
      </c>
      <c r="E1025" s="40">
        <v>40000</v>
      </c>
    </row>
    <row r="1026">
      <c r="A1026" s="40">
        <v>144</v>
      </c>
      <c r="B1026" s="40" t="str">
        <v>168 Nguyễn Văn Cừ</v>
      </c>
      <c r="C1026" s="40">
        <v>960</v>
      </c>
      <c r="D1026" s="40" t="str">
        <v>(NEW) Nhuộm màu thời trang Milano</v>
      </c>
      <c r="E1026" s="40">
        <v>346000</v>
      </c>
    </row>
    <row r="1027">
      <c r="A1027" s="40">
        <v>144</v>
      </c>
      <c r="B1027" s="40" t="str">
        <v>168 Nguyễn Văn Cừ</v>
      </c>
      <c r="C1027" s="40">
        <v>967</v>
      </c>
      <c r="D1027" s="40" t="str">
        <v>(NEW) Nhuộm phủ bạc tiêu chuẩn 199K</v>
      </c>
      <c r="E1027" s="40">
        <v>207000</v>
      </c>
    </row>
    <row r="1028">
      <c r="A1028" s="40">
        <v>144</v>
      </c>
      <c r="B1028" s="40" t="str">
        <v>168 Nguyễn Văn Cừ</v>
      </c>
      <c r="C1028" s="40">
        <v>1009</v>
      </c>
      <c r="D1028" s="40" t="str">
        <v>(NEW) Uốn/Duỗi/Định hình full đầu tạo form vào nếp tự nhiên</v>
      </c>
      <c r="E1028" s="40">
        <v>406000</v>
      </c>
    </row>
    <row r="1029">
      <c r="A1029" s="40">
        <v>144</v>
      </c>
      <c r="B1029" s="40" t="str">
        <v>168 Nguyễn Văn Cừ</v>
      </c>
      <c r="C1029" s="40">
        <v>1052</v>
      </c>
      <c r="D1029" s="40" t="str">
        <v>Combo 1 - First Class 1</v>
      </c>
      <c r="E1029" s="40">
        <v>159000</v>
      </c>
    </row>
    <row r="1030">
      <c r="A1030" s="40">
        <v>144</v>
      </c>
      <c r="B1030" s="40" t="str">
        <v>168 Nguyễn Văn Cừ</v>
      </c>
      <c r="C1030" s="40">
        <v>1052</v>
      </c>
      <c r="D1030" s="40" t="str">
        <v>Combo 1 - First Class 1</v>
      </c>
      <c r="E1030" s="40">
        <v>139000</v>
      </c>
    </row>
    <row r="1031">
      <c r="A1031" s="40">
        <v>144</v>
      </c>
      <c r="B1031" s="40" t="str">
        <v>168 Nguyễn Văn Cừ</v>
      </c>
      <c r="C1031" s="40">
        <v>1053</v>
      </c>
      <c r="D1031" s="40" t="str">
        <v>Combo 2 - First Class 2</v>
      </c>
      <c r="E1031" s="40">
        <v>239000</v>
      </c>
    </row>
    <row r="1032">
      <c r="A1032" s="40">
        <v>144</v>
      </c>
      <c r="B1032" s="40" t="str">
        <v>168 Nguyễn Văn Cừ</v>
      </c>
      <c r="C1032" s="40">
        <v>1054</v>
      </c>
      <c r="D1032" s="40" t="str">
        <v>Combo 3 - First Class 3</v>
      </c>
      <c r="E1032" s="40">
        <v>299000</v>
      </c>
    </row>
    <row r="1033">
      <c r="A1033" s="40">
        <v>144</v>
      </c>
      <c r="B1033" s="40" t="str">
        <v>168 Nguyễn Văn Cừ</v>
      </c>
      <c r="C1033" s="40">
        <v>1054</v>
      </c>
      <c r="D1033" s="40" t="str">
        <v>Combo 3 - First Class 3</v>
      </c>
      <c r="E1033" s="40">
        <v>309000</v>
      </c>
    </row>
    <row r="1034">
      <c r="A1034" s="40">
        <v>144</v>
      </c>
      <c r="B1034" s="40" t="str">
        <v>168 Nguyễn Văn Cừ</v>
      </c>
      <c r="C1034" s="40">
        <v>1048</v>
      </c>
      <c r="D1034" s="40" t="str">
        <v>Combo 4</v>
      </c>
      <c r="E1034" s="40">
        <v>379000</v>
      </c>
    </row>
    <row r="1035">
      <c r="A1035" s="40">
        <v>144</v>
      </c>
      <c r="B1035" s="40" t="str">
        <v>168 Nguyễn Văn Cừ</v>
      </c>
      <c r="C1035" s="40">
        <v>1055</v>
      </c>
      <c r="D1035" s="40" t="str">
        <v>Combo 4- First Class 4</v>
      </c>
      <c r="E1035" s="40">
        <v>409000</v>
      </c>
    </row>
    <row r="1036">
      <c r="A1036" s="40">
        <v>144</v>
      </c>
      <c r="B1036" s="40" t="str">
        <v>168 Nguyễn Văn Cừ</v>
      </c>
      <c r="C1036" s="40">
        <v>1055</v>
      </c>
      <c r="D1036" s="40" t="str">
        <v>Combo 4- First Class 4</v>
      </c>
      <c r="E1036" s="40">
        <v>399000</v>
      </c>
    </row>
    <row r="1037">
      <c r="A1037" s="40">
        <v>144</v>
      </c>
      <c r="B1037" s="40" t="str">
        <v>168 Nguyễn Văn Cừ</v>
      </c>
      <c r="C1037" s="40">
        <v>1070</v>
      </c>
      <c r="D1037" s="40" t="str">
        <v>Combo Cắt gội Kid</v>
      </c>
      <c r="E1037" s="40">
        <v>100000</v>
      </c>
    </row>
    <row r="1038">
      <c r="A1038" s="40">
        <v>144</v>
      </c>
      <c r="B1038" s="40" t="str">
        <v>168 Nguyễn Văn Cừ</v>
      </c>
      <c r="C1038" s="40">
        <v>1047</v>
      </c>
      <c r="D1038" s="40" t="str">
        <v>Cắt Gội Combo 3 - Chăm da</v>
      </c>
      <c r="E1038" s="40">
        <v>299000</v>
      </c>
    </row>
    <row r="1039">
      <c r="A1039" s="40">
        <v>144</v>
      </c>
      <c r="B1039" s="40" t="str">
        <v>168 Nguyễn Văn Cừ</v>
      </c>
      <c r="C1039" s="40">
        <v>1065</v>
      </c>
      <c r="D1039" s="40" t="str">
        <v>Cắt Gội Combo 3 - Dưỡng sinh</v>
      </c>
      <c r="E1039" s="40">
        <v>299000</v>
      </c>
    </row>
    <row r="1040">
      <c r="A1040" s="40">
        <v>144</v>
      </c>
      <c r="B1040" s="40" t="str">
        <v>168 Nguyễn Văn Cừ</v>
      </c>
      <c r="C1040" s="40">
        <v>891</v>
      </c>
      <c r="D1040" s="40" t="str">
        <v>Cắt xả tạo kiểu</v>
      </c>
      <c r="E1040" s="40">
        <v>94000</v>
      </c>
    </row>
    <row r="1041">
      <c r="A1041" s="40">
        <v>144</v>
      </c>
      <c r="B1041" s="40" t="str">
        <v>168 Nguyễn Văn Cừ</v>
      </c>
      <c r="C1041" s="40">
        <v>891</v>
      </c>
      <c r="D1041" s="40" t="str">
        <v>Cắt xả tạo kiểu</v>
      </c>
      <c r="E1041" s="40">
        <v>90000</v>
      </c>
    </row>
    <row r="1042">
      <c r="A1042" s="40">
        <v>144</v>
      </c>
      <c r="B1042" s="40" t="str">
        <v>168 Nguyễn Văn Cừ</v>
      </c>
      <c r="C1042" s="40">
        <v>1058</v>
      </c>
      <c r="D1042" s="40" t="str" xml:space="preserve">
        <v>Gội Combo 2 </v>
      </c>
      <c r="E1042" s="40">
        <v>159000</v>
      </c>
    </row>
    <row r="1043">
      <c r="A1043" s="40">
        <v>144</v>
      </c>
      <c r="B1043" s="40" t="str">
        <v>168 Nguyễn Văn Cừ</v>
      </c>
      <c r="C1043" s="40">
        <v>1059</v>
      </c>
      <c r="D1043" s="40" t="str">
        <v>Gội Combo 3 - Chăm da</v>
      </c>
      <c r="E1043" s="40">
        <v>239000</v>
      </c>
    </row>
    <row r="1044">
      <c r="A1044" s="40">
        <v>144</v>
      </c>
      <c r="B1044" s="40" t="str">
        <v>168 Nguyễn Văn Cừ</v>
      </c>
      <c r="C1044" s="40">
        <v>1059</v>
      </c>
      <c r="D1044" s="40" t="str">
        <v>Gội Combo 3 - Chăm da</v>
      </c>
      <c r="E1044" s="40">
        <v>219000</v>
      </c>
    </row>
    <row r="1045">
      <c r="A1045" s="40">
        <v>144</v>
      </c>
      <c r="B1045" s="40" t="str">
        <v>168 Nguyễn Văn Cừ</v>
      </c>
      <c r="C1045" s="40">
        <v>1060</v>
      </c>
      <c r="D1045" s="40" t="str">
        <v>Gội Combo 4</v>
      </c>
      <c r="E1045" s="40">
        <v>319000</v>
      </c>
    </row>
    <row r="1046">
      <c r="A1046" s="40">
        <v>144</v>
      </c>
      <c r="B1046" s="40" t="str">
        <v>168 Nguyễn Văn Cừ</v>
      </c>
      <c r="C1046" s="40">
        <v>1060</v>
      </c>
      <c r="D1046" s="40" t="str">
        <v>Gội Combo 4</v>
      </c>
      <c r="E1046" s="40">
        <v>329000</v>
      </c>
    </row>
    <row r="1047">
      <c r="A1047" s="40">
        <v>144</v>
      </c>
      <c r="B1047" s="40" t="str">
        <v>168 Nguyễn Văn Cừ</v>
      </c>
      <c r="C1047" s="40">
        <v>934</v>
      </c>
      <c r="D1047" s="40" t="str">
        <v>Gội combo 3 - Dưỡng sinh</v>
      </c>
      <c r="E1047" s="40">
        <v>229000</v>
      </c>
    </row>
    <row r="1048">
      <c r="A1048" s="40">
        <v>144</v>
      </c>
      <c r="B1048" s="40" t="str">
        <v>168 Nguyễn Văn Cừ</v>
      </c>
      <c r="C1048" s="40">
        <v>867</v>
      </c>
      <c r="D1048" s="40" t="str">
        <v>Gội dưỡng sinh cổ vai gáy</v>
      </c>
      <c r="E1048" s="40">
        <v>95000</v>
      </c>
    </row>
    <row r="1049">
      <c r="A1049" s="40">
        <v>144</v>
      </c>
      <c r="B1049" s="40" t="str">
        <v>168 Nguyễn Văn Cừ</v>
      </c>
      <c r="C1049" s="40">
        <v>867</v>
      </c>
      <c r="D1049" s="40" t="str">
        <v>Gội dưỡng sinh cổ vai gáy</v>
      </c>
      <c r="E1049" s="40">
        <v>99000</v>
      </c>
    </row>
    <row r="1050">
      <c r="A1050" s="40">
        <v>144</v>
      </c>
      <c r="B1050" s="40" t="str">
        <v>168 Nguyễn Văn Cừ</v>
      </c>
      <c r="C1050" s="40">
        <v>1066</v>
      </c>
      <c r="D1050" s="40" t="str">
        <v>Gội trải nghiệm 75p</v>
      </c>
      <c r="E1050" s="40">
        <v>589000</v>
      </c>
    </row>
    <row r="1051">
      <c r="A1051" s="40">
        <v>144</v>
      </c>
      <c r="B1051" s="40" t="str">
        <v>168 Nguyễn Văn Cừ</v>
      </c>
      <c r="C1051" s="40">
        <v>1067</v>
      </c>
      <c r="D1051" s="40" t="str">
        <v>Gội trải nghiệm 90p</v>
      </c>
      <c r="E1051" s="40">
        <v>789000</v>
      </c>
    </row>
    <row r="1052">
      <c r="A1052" s="40">
        <v>144</v>
      </c>
      <c r="B1052" s="40" t="str">
        <v>168 Nguyễn Văn Cừ</v>
      </c>
      <c r="C1052" s="40">
        <v>1002</v>
      </c>
      <c r="D1052" s="40" t="str">
        <v>Kid Cắt</v>
      </c>
      <c r="E1052" s="40">
        <v>75000</v>
      </c>
    </row>
    <row r="1053">
      <c r="A1053" s="40">
        <v>144</v>
      </c>
      <c r="B1053" s="40" t="str">
        <v>168 Nguyễn Văn Cừ</v>
      </c>
      <c r="C1053" s="40">
        <v>1149</v>
      </c>
      <c r="D1053" s="40" t="str">
        <v>NHUỘM THIẾT KẾ PHỤC HỒI CHUYÊN SÂU LIPID BOND 2025</v>
      </c>
      <c r="E1053" s="40">
        <v>719000</v>
      </c>
    </row>
    <row r="1054">
      <c r="A1054" s="40">
        <v>144</v>
      </c>
      <c r="B1054" s="40" t="str">
        <v>168 Nguyễn Văn Cừ</v>
      </c>
      <c r="C1054" s="40">
        <v>1101</v>
      </c>
      <c r="D1054" s="40" t="str">
        <v>Phục hồi trẻ hóa Lipid Bond</v>
      </c>
      <c r="E1054" s="40">
        <v>146000</v>
      </c>
    </row>
    <row r="1055">
      <c r="A1055" s="40">
        <v>144</v>
      </c>
      <c r="B1055" s="40" t="str">
        <v>168 Nguyễn Văn Cừ</v>
      </c>
      <c r="C1055" s="40">
        <v>1046</v>
      </c>
      <c r="D1055" s="40" t="str" xml:space="preserve">
        <v>Shinecombo 2 </v>
      </c>
      <c r="E1055" s="40">
        <v>199000</v>
      </c>
    </row>
    <row r="1056">
      <c r="A1056" s="40">
        <v>144</v>
      </c>
      <c r="B1056" s="40" t="str">
        <v>168 Nguyễn Văn Cừ</v>
      </c>
      <c r="C1056" s="40">
        <v>1148</v>
      </c>
      <c r="D1056" s="40" t="str">
        <v>UỐN THIẾT KẾ PHỤC HỒI CHUYÊN SÂU LIPID BOND 2025</v>
      </c>
      <c r="E1056" s="40">
        <v>729000</v>
      </c>
    </row>
    <row r="1057">
      <c r="A1057" s="40">
        <v>144</v>
      </c>
      <c r="B1057" s="40" t="str">
        <v>168 Nguyễn Văn Cừ</v>
      </c>
      <c r="C1057" s="40">
        <v>952</v>
      </c>
      <c r="D1057" s="40" t="str">
        <v>Uốn định hình nếp tóc cao cấp (K-Perm Collection)</v>
      </c>
      <c r="E1057" s="40">
        <v>502000</v>
      </c>
    </row>
    <row r="1058">
      <c r="A1058" s="40">
        <v>144</v>
      </c>
      <c r="B1058" s="40" t="str">
        <v>168 Nguyễn Văn Cừ</v>
      </c>
      <c r="C1058" s="40">
        <v>635</v>
      </c>
      <c r="D1058" s="40" t="str">
        <v>[DV] Detox tẩy da chết da đầu</v>
      </c>
      <c r="E1058" s="40">
        <v>45000</v>
      </c>
    </row>
    <row r="1059">
      <c r="A1059" s="40">
        <v>144</v>
      </c>
      <c r="B1059" s="40" t="str">
        <v>168 Nguyễn Văn Cừ</v>
      </c>
      <c r="C1059" s="40">
        <v>636</v>
      </c>
      <c r="D1059" s="40" t="str">
        <v>[DV] Mặt nạ lạnh Hàn Quốc</v>
      </c>
      <c r="E1059" s="40">
        <v>35000</v>
      </c>
    </row>
    <row r="1060">
      <c r="A1060" s="40">
        <v>144</v>
      </c>
      <c r="B1060" s="40" t="str">
        <v>168 Nguyễn Văn Cừ</v>
      </c>
      <c r="C1060" s="40">
        <v>625</v>
      </c>
      <c r="D1060" s="40" t="str">
        <v>[DV] Mặt nạ tẩy da chết sủi bọt cao cấp</v>
      </c>
      <c r="E1060" s="40">
        <v>55000</v>
      </c>
    </row>
    <row r="1061">
      <c r="A1061" s="40">
        <v>144</v>
      </c>
      <c r="B1061" s="40" t="str">
        <v>168 Nguyễn Văn Cừ</v>
      </c>
      <c r="C1061" s="40">
        <v>912</v>
      </c>
      <c r="D1061" s="40" t="str">
        <v>[DV] Nhuộm đen phủ bạc R&amp;B thảo dược</v>
      </c>
      <c r="E1061" s="40">
        <v>299000</v>
      </c>
    </row>
    <row r="1062">
      <c r="A1062" s="40">
        <v>144</v>
      </c>
      <c r="B1062" s="40" t="str">
        <v>168 Nguyễn Văn Cừ</v>
      </c>
      <c r="C1062" s="40">
        <v>513</v>
      </c>
      <c r="D1062" s="40" t="str">
        <v>[DV] ShineCombo 10 bước Ultra Care 2023</v>
      </c>
      <c r="E1062" s="40">
        <v>120000</v>
      </c>
    </row>
    <row r="1063">
      <c r="A1063" s="40">
        <v>144</v>
      </c>
      <c r="B1063" s="40" t="str">
        <v>168 Nguyễn Văn Cừ</v>
      </c>
      <c r="C1063" s="40">
        <v>462</v>
      </c>
      <c r="D1063" s="40" t="str">
        <v>[DV] Thư giãn cổ, vai, gáy bạc hà cam ngọt - Thư giãn tai sảng khoái 9 tầng mây 45k</v>
      </c>
      <c r="E1063" s="40">
        <v>45000</v>
      </c>
    </row>
    <row r="1064">
      <c r="A1064" s="40">
        <v>144</v>
      </c>
      <c r="B1064" s="40" t="str">
        <v>168 Nguyễn Văn Cừ</v>
      </c>
      <c r="C1064" s="40">
        <v>634</v>
      </c>
      <c r="D1064" s="40" t="str">
        <v>[DV] Tẩy da chết sủi bọt Hàn Quốc</v>
      </c>
      <c r="E1064" s="40">
        <v>35000</v>
      </c>
    </row>
    <row r="1065">
      <c r="A1065" s="40">
        <v>144</v>
      </c>
      <c r="B1065" s="40" t="str">
        <v>168 Nguyễn Văn Cừ</v>
      </c>
      <c r="C1065" s="40">
        <v>915</v>
      </c>
      <c r="D1065" s="40" t="str">
        <v>[DV] Tẩy tóc bật tông Ý (1 lần)</v>
      </c>
      <c r="E1065" s="40">
        <v>269000</v>
      </c>
    </row>
    <row r="1066">
      <c r="A1066" s="40">
        <v>144</v>
      </c>
      <c r="B1066" s="40" t="str">
        <v>168 Nguyễn Văn Cừ</v>
      </c>
      <c r="C1066" s="40">
        <v>674</v>
      </c>
      <c r="D1066" s="40" t="str">
        <v>[DV] Uốn Texture con sâu/Uốn Ruffled</v>
      </c>
      <c r="E1066" s="40">
        <v>520000</v>
      </c>
    </row>
    <row r="1067">
      <c r="A1067" s="40">
        <v>144</v>
      </c>
      <c r="B1067" s="40" t="str">
        <v>168 Nguyễn Văn Cừ</v>
      </c>
      <c r="C1067" s="40">
        <v>941</v>
      </c>
      <c r="D1067" s="40" t="str">
        <v>[DV] Vuốt sáp - sấy tạo kiểu 10k</v>
      </c>
      <c r="E1067" s="40">
        <v>10000</v>
      </c>
    </row>
    <row r="1068">
      <c r="A1068" s="40">
        <v>144</v>
      </c>
      <c r="B1068" s="40" t="str">
        <v>168 Nguyễn Văn Cừ</v>
      </c>
      <c r="C1068" s="40">
        <v>902</v>
      </c>
      <c r="D1068" s="40" t="str">
        <v>[DV] Ép side hai bên</v>
      </c>
      <c r="E1068" s="40">
        <v>198000</v>
      </c>
    </row>
    <row r="1069">
      <c r="A1069" s="40">
        <v>144</v>
      </c>
      <c r="B1069" s="40" t="str">
        <v>168 Nguyễn Văn Cừ</v>
      </c>
      <c r="C1069" s="40">
        <v>936</v>
      </c>
      <c r="D1069" s="40" t="str">
        <v>[NEW] Chăm sóc da Shine Spa 199k (có phân tích da)</v>
      </c>
      <c r="E1069" s="40">
        <v>199000</v>
      </c>
    </row>
    <row r="1070">
      <c r="A1070" s="40">
        <v>144</v>
      </c>
      <c r="B1070" s="40" t="str">
        <v>168 Nguyễn Văn Cừ</v>
      </c>
      <c r="C1070" s="40">
        <v>940</v>
      </c>
      <c r="D1070" s="40" t="str">
        <v>[NEW] Gội dưỡng sinh</v>
      </c>
      <c r="E1070" s="40">
        <v>59000</v>
      </c>
    </row>
    <row r="1071">
      <c r="A1071" s="40">
        <v>144</v>
      </c>
      <c r="B1071" s="40" t="str">
        <v>168 Nguyễn Văn Cừ</v>
      </c>
      <c r="C1071" s="40">
        <v>603</v>
      </c>
      <c r="D1071" s="40" t="str">
        <v>Đánh bay mụn cám lột mụn (Full Face)</v>
      </c>
      <c r="E1071" s="40">
        <v>49000</v>
      </c>
    </row>
    <row r="1072">
      <c r="A1072" s="40">
        <v>145</v>
      </c>
      <c r="B1072" s="40" t="str">
        <v>237 Nguyễn Thị Thập</v>
      </c>
      <c r="C1072" s="40">
        <v>610</v>
      </c>
      <c r="D1072" s="40" t="str">
        <v>(2022T) ATS Control Buffer - Khử mùi tạo thơm cho tóc uốn nhuộm 40k</v>
      </c>
      <c r="E1072" s="40">
        <v>40000</v>
      </c>
    </row>
    <row r="1073">
      <c r="A1073" s="40">
        <v>145</v>
      </c>
      <c r="B1073" s="40" t="str">
        <v>237 Nguyễn Thị Thập</v>
      </c>
      <c r="C1073" s="40">
        <v>960</v>
      </c>
      <c r="D1073" s="40" t="str">
        <v>(NEW) Nhuộm màu thời trang Milano</v>
      </c>
      <c r="E1073" s="40">
        <v>366000</v>
      </c>
    </row>
    <row r="1074">
      <c r="A1074" s="40">
        <v>145</v>
      </c>
      <c r="B1074" s="40" t="str">
        <v>237 Nguyễn Thị Thập</v>
      </c>
      <c r="C1074" s="40">
        <v>967</v>
      </c>
      <c r="D1074" s="40" t="str">
        <v>(NEW) Nhuộm phủ bạc tiêu chuẩn 199K</v>
      </c>
      <c r="E1074" s="40">
        <v>199000</v>
      </c>
    </row>
    <row r="1075">
      <c r="A1075" s="40">
        <v>145</v>
      </c>
      <c r="B1075" s="40" t="str">
        <v>237 Nguyễn Thị Thập</v>
      </c>
      <c r="C1075" s="40">
        <v>1009</v>
      </c>
      <c r="D1075" s="40" t="str">
        <v>(NEW) Uốn/Duỗi/Định hình full đầu tạo form vào nếp tự nhiên</v>
      </c>
      <c r="E1075" s="40">
        <v>386000</v>
      </c>
    </row>
    <row r="1076">
      <c r="A1076" s="40">
        <v>145</v>
      </c>
      <c r="B1076" s="40" t="str">
        <v>237 Nguyễn Thị Thập</v>
      </c>
      <c r="C1076" s="40">
        <v>1052</v>
      </c>
      <c r="D1076" s="40" t="str">
        <v>Combo 1 - First Class 1</v>
      </c>
      <c r="E1076" s="40">
        <v>139000</v>
      </c>
    </row>
    <row r="1077">
      <c r="A1077" s="40">
        <v>145</v>
      </c>
      <c r="B1077" s="40" t="str">
        <v>237 Nguyễn Thị Thập</v>
      </c>
      <c r="C1077" s="40">
        <v>1052</v>
      </c>
      <c r="D1077" s="40" t="str">
        <v>Combo 1 - First Class 1</v>
      </c>
      <c r="E1077" s="40">
        <v>159000</v>
      </c>
    </row>
    <row r="1078">
      <c r="A1078" s="40">
        <v>145</v>
      </c>
      <c r="B1078" s="40" t="str">
        <v>237 Nguyễn Thị Thập</v>
      </c>
      <c r="C1078" s="40">
        <v>1053</v>
      </c>
      <c r="D1078" s="40" t="str">
        <v>Combo 2 - First Class 2</v>
      </c>
      <c r="E1078" s="40">
        <v>239000</v>
      </c>
    </row>
    <row r="1079">
      <c r="A1079" s="40">
        <v>145</v>
      </c>
      <c r="B1079" s="40" t="str">
        <v>237 Nguyễn Thị Thập</v>
      </c>
      <c r="C1079" s="40">
        <v>1054</v>
      </c>
      <c r="D1079" s="40" t="str">
        <v>Combo 3 - First Class 3</v>
      </c>
      <c r="E1079" s="40">
        <v>309000</v>
      </c>
    </row>
    <row r="1080">
      <c r="A1080" s="40">
        <v>145</v>
      </c>
      <c r="B1080" s="40" t="str">
        <v>237 Nguyễn Thị Thập</v>
      </c>
      <c r="C1080" s="40">
        <v>1054</v>
      </c>
      <c r="D1080" s="40" t="str">
        <v>Combo 3 - First Class 3</v>
      </c>
      <c r="E1080" s="40">
        <v>299000</v>
      </c>
    </row>
    <row r="1081">
      <c r="A1081" s="40">
        <v>145</v>
      </c>
      <c r="B1081" s="40" t="str">
        <v>237 Nguyễn Thị Thập</v>
      </c>
      <c r="C1081" s="40">
        <v>1055</v>
      </c>
      <c r="D1081" s="40" t="str">
        <v>Combo 4- First Class 4</v>
      </c>
      <c r="E1081" s="40">
        <v>409000</v>
      </c>
    </row>
    <row r="1082">
      <c r="A1082" s="40">
        <v>145</v>
      </c>
      <c r="B1082" s="40" t="str">
        <v>237 Nguyễn Thị Thập</v>
      </c>
      <c r="C1082" s="40">
        <v>1055</v>
      </c>
      <c r="D1082" s="40" t="str">
        <v>Combo 4- First Class 4</v>
      </c>
      <c r="E1082" s="40">
        <v>399000</v>
      </c>
    </row>
    <row r="1083">
      <c r="A1083" s="40">
        <v>145</v>
      </c>
      <c r="B1083" s="40" t="str">
        <v>237 Nguyễn Thị Thập</v>
      </c>
      <c r="C1083" s="40">
        <v>1047</v>
      </c>
      <c r="D1083" s="40" t="str">
        <v>Cắt Gội Combo 3 - Chăm da</v>
      </c>
      <c r="E1083" s="40">
        <v>299000</v>
      </c>
    </row>
    <row r="1084">
      <c r="A1084" s="40">
        <v>145</v>
      </c>
      <c r="B1084" s="40" t="str">
        <v>237 Nguyễn Thị Thập</v>
      </c>
      <c r="C1084" s="40">
        <v>891</v>
      </c>
      <c r="D1084" s="40" t="str">
        <v>Cắt xả tạo kiểu</v>
      </c>
      <c r="E1084" s="40">
        <v>94000</v>
      </c>
    </row>
    <row r="1085">
      <c r="A1085" s="40">
        <v>145</v>
      </c>
      <c r="B1085" s="40" t="str">
        <v>237 Nguyễn Thị Thập</v>
      </c>
      <c r="C1085" s="40">
        <v>891</v>
      </c>
      <c r="D1085" s="40" t="str">
        <v>Cắt xả tạo kiểu</v>
      </c>
      <c r="E1085" s="40">
        <v>90000</v>
      </c>
    </row>
    <row r="1086">
      <c r="A1086" s="40">
        <v>145</v>
      </c>
      <c r="B1086" s="40" t="str">
        <v>237 Nguyễn Thị Thập</v>
      </c>
      <c r="C1086" s="40">
        <v>1058</v>
      </c>
      <c r="D1086" s="40" t="str" xml:space="preserve">
        <v>Gội Combo 2 </v>
      </c>
      <c r="E1086" s="40">
        <v>159000</v>
      </c>
    </row>
    <row r="1087">
      <c r="A1087" s="40">
        <v>145</v>
      </c>
      <c r="B1087" s="40" t="str">
        <v>237 Nguyễn Thị Thập</v>
      </c>
      <c r="C1087" s="40">
        <v>1059</v>
      </c>
      <c r="D1087" s="40" t="str">
        <v>Gội Combo 3 - Chăm da</v>
      </c>
      <c r="E1087" s="40">
        <v>219000</v>
      </c>
    </row>
    <row r="1088">
      <c r="A1088" s="40">
        <v>145</v>
      </c>
      <c r="B1088" s="40" t="str">
        <v>237 Nguyễn Thị Thập</v>
      </c>
      <c r="C1088" s="40">
        <v>1059</v>
      </c>
      <c r="D1088" s="40" t="str">
        <v>Gội Combo 3 - Chăm da</v>
      </c>
      <c r="E1088" s="40">
        <v>239000</v>
      </c>
    </row>
    <row r="1089">
      <c r="A1089" s="40">
        <v>145</v>
      </c>
      <c r="B1089" s="40" t="str">
        <v>237 Nguyễn Thị Thập</v>
      </c>
      <c r="C1089" s="40">
        <v>1060</v>
      </c>
      <c r="D1089" s="40" t="str">
        <v>Gội Combo 4</v>
      </c>
      <c r="E1089" s="40">
        <v>329000</v>
      </c>
    </row>
    <row r="1090">
      <c r="A1090" s="40">
        <v>145</v>
      </c>
      <c r="B1090" s="40" t="str">
        <v>237 Nguyễn Thị Thập</v>
      </c>
      <c r="C1090" s="40">
        <v>1060</v>
      </c>
      <c r="D1090" s="40" t="str">
        <v>Gội Combo 4</v>
      </c>
      <c r="E1090" s="40">
        <v>319000</v>
      </c>
    </row>
    <row r="1091">
      <c r="A1091" s="40">
        <v>145</v>
      </c>
      <c r="B1091" s="40" t="str">
        <v>237 Nguyễn Thị Thập</v>
      </c>
      <c r="C1091" s="40">
        <v>934</v>
      </c>
      <c r="D1091" s="40" t="str">
        <v>Gội combo 3 - Dưỡng sinh</v>
      </c>
      <c r="E1091" s="40">
        <v>229000</v>
      </c>
    </row>
    <row r="1092">
      <c r="A1092" s="40">
        <v>145</v>
      </c>
      <c r="B1092" s="40" t="str">
        <v>237 Nguyễn Thị Thập</v>
      </c>
      <c r="C1092" s="40">
        <v>932</v>
      </c>
      <c r="D1092" s="40" t="str">
        <v>Gội combo 5 dưỡng sinh</v>
      </c>
      <c r="E1092" s="40">
        <v>399000</v>
      </c>
    </row>
    <row r="1093">
      <c r="A1093" s="40">
        <v>145</v>
      </c>
      <c r="B1093" s="40" t="str">
        <v>237 Nguyễn Thị Thập</v>
      </c>
      <c r="C1093" s="40">
        <v>867</v>
      </c>
      <c r="D1093" s="40" t="str">
        <v>Gội dưỡng sinh cổ vai gáy</v>
      </c>
      <c r="E1093" s="40">
        <v>99000</v>
      </c>
    </row>
    <row r="1094">
      <c r="A1094" s="40">
        <v>145</v>
      </c>
      <c r="B1094" s="40" t="str">
        <v>237 Nguyễn Thị Thập</v>
      </c>
      <c r="C1094" s="40">
        <v>867</v>
      </c>
      <c r="D1094" s="40" t="str">
        <v>Gội dưỡng sinh cổ vai gáy</v>
      </c>
      <c r="E1094" s="40">
        <v>95000</v>
      </c>
    </row>
    <row r="1095">
      <c r="A1095" s="40">
        <v>145</v>
      </c>
      <c r="B1095" s="40" t="str">
        <v>237 Nguyễn Thị Thập</v>
      </c>
      <c r="C1095" s="40">
        <v>1002</v>
      </c>
      <c r="D1095" s="40" t="str">
        <v>Kid Cắt</v>
      </c>
      <c r="E1095" s="40">
        <v>75000</v>
      </c>
    </row>
    <row r="1096">
      <c r="A1096" s="40">
        <v>145</v>
      </c>
      <c r="B1096" s="40" t="str">
        <v>237 Nguyễn Thị Thập</v>
      </c>
      <c r="C1096" s="40">
        <v>1149</v>
      </c>
      <c r="D1096" s="40" t="str">
        <v>NHUỘM THIẾT KẾ PHỤC HỒI CHUYÊN SÂU LIPID BOND 2025</v>
      </c>
      <c r="E1096" s="40">
        <v>759000</v>
      </c>
    </row>
    <row r="1097">
      <c r="A1097" s="40">
        <v>145</v>
      </c>
      <c r="B1097" s="40" t="str">
        <v>237 Nguyễn Thị Thập</v>
      </c>
      <c r="C1097" s="40">
        <v>1101</v>
      </c>
      <c r="D1097" s="40" t="str">
        <v>Phục hồi trẻ hóa Lipid Bond</v>
      </c>
      <c r="E1097" s="40">
        <v>146000</v>
      </c>
    </row>
    <row r="1098">
      <c r="A1098" s="40">
        <v>145</v>
      </c>
      <c r="B1098" s="40" t="str">
        <v>237 Nguyễn Thị Thập</v>
      </c>
      <c r="C1098" s="40">
        <v>1046</v>
      </c>
      <c r="D1098" s="40" t="str" xml:space="preserve">
        <v>Shinecombo 2 </v>
      </c>
      <c r="E1098" s="40">
        <v>199000</v>
      </c>
    </row>
    <row r="1099">
      <c r="A1099" s="40">
        <v>145</v>
      </c>
      <c r="B1099" s="40" t="str">
        <v>237 Nguyễn Thị Thập</v>
      </c>
      <c r="C1099" s="40">
        <v>1148</v>
      </c>
      <c r="D1099" s="40" t="str">
        <v>UỐN THIẾT KẾ PHỤC HỒI CHUYÊN SÂU LIPID BOND 2025</v>
      </c>
      <c r="E1099" s="40">
        <v>689000</v>
      </c>
    </row>
    <row r="1100">
      <c r="A1100" s="40">
        <v>145</v>
      </c>
      <c r="B1100" s="40" t="str">
        <v>237 Nguyễn Thị Thập</v>
      </c>
      <c r="C1100" s="40">
        <v>952</v>
      </c>
      <c r="D1100" s="40" t="str">
        <v>Uốn định hình nếp tóc cao cấp (K-Perm Collection)</v>
      </c>
      <c r="E1100" s="40">
        <v>478000</v>
      </c>
    </row>
    <row r="1101">
      <c r="A1101" s="40">
        <v>145</v>
      </c>
      <c r="B1101" s="40" t="str">
        <v>237 Nguyễn Thị Thập</v>
      </c>
      <c r="C1101" s="40">
        <v>635</v>
      </c>
      <c r="D1101" s="40" t="str">
        <v>[DV] Detox tẩy da chết da đầu</v>
      </c>
      <c r="E1101" s="40">
        <v>45000</v>
      </c>
    </row>
    <row r="1102">
      <c r="A1102" s="40">
        <v>145</v>
      </c>
      <c r="B1102" s="40" t="str">
        <v>237 Nguyễn Thị Thập</v>
      </c>
      <c r="C1102" s="40">
        <v>636</v>
      </c>
      <c r="D1102" s="40" t="str">
        <v>[DV] Mặt nạ lạnh Hàn Quốc</v>
      </c>
      <c r="E1102" s="40">
        <v>35000</v>
      </c>
    </row>
    <row r="1103">
      <c r="A1103" s="40">
        <v>145</v>
      </c>
      <c r="B1103" s="40" t="str">
        <v>237 Nguyễn Thị Thập</v>
      </c>
      <c r="C1103" s="40">
        <v>625</v>
      </c>
      <c r="D1103" s="40" t="str">
        <v>[DV] Mặt nạ tẩy da chết sủi bọt cao cấp</v>
      </c>
      <c r="E1103" s="40">
        <v>55000</v>
      </c>
    </row>
    <row r="1104">
      <c r="A1104" s="40">
        <v>145</v>
      </c>
      <c r="B1104" s="40" t="str">
        <v>237 Nguyễn Thị Thập</v>
      </c>
      <c r="C1104" s="40">
        <v>912</v>
      </c>
      <c r="D1104" s="40" t="str">
        <v>[DV] Nhuộm đen phủ bạc R&amp;B thảo dược</v>
      </c>
      <c r="E1104" s="40">
        <v>289000</v>
      </c>
    </row>
    <row r="1105">
      <c r="A1105" s="40">
        <v>145</v>
      </c>
      <c r="B1105" s="40" t="str">
        <v>237 Nguyễn Thị Thập</v>
      </c>
      <c r="C1105" s="40">
        <v>513</v>
      </c>
      <c r="D1105" s="40" t="str">
        <v>[DV] ShineCombo 10 bước Ultra Care 2023</v>
      </c>
      <c r="E1105" s="40">
        <v>120000</v>
      </c>
    </row>
    <row r="1106">
      <c r="A1106" s="40">
        <v>145</v>
      </c>
      <c r="B1106" s="40" t="str">
        <v>237 Nguyễn Thị Thập</v>
      </c>
      <c r="C1106" s="40">
        <v>513</v>
      </c>
      <c r="D1106" s="40" t="str">
        <v>[DV] ShineCombo 10 bước Ultra Care 2023</v>
      </c>
      <c r="E1106" s="40">
        <v>122000</v>
      </c>
    </row>
    <row r="1107">
      <c r="A1107" s="40">
        <v>145</v>
      </c>
      <c r="B1107" s="40" t="str">
        <v>237 Nguyễn Thị Thập</v>
      </c>
      <c r="C1107" s="40">
        <v>462</v>
      </c>
      <c r="D1107" s="40" t="str">
        <v>[DV] Thư giãn cổ, vai, gáy bạc hà cam ngọt - Thư giãn tai sảng khoái 9 tầng mây 45k</v>
      </c>
      <c r="E1107" s="40">
        <v>45000</v>
      </c>
    </row>
    <row r="1108">
      <c r="A1108" s="40">
        <v>145</v>
      </c>
      <c r="B1108" s="40" t="str">
        <v>237 Nguyễn Thị Thập</v>
      </c>
      <c r="C1108" s="40">
        <v>634</v>
      </c>
      <c r="D1108" s="40" t="str">
        <v>[DV] Tẩy da chết sủi bọt Hàn Quốc</v>
      </c>
      <c r="E1108" s="40">
        <v>35000</v>
      </c>
    </row>
    <row r="1109">
      <c r="A1109" s="40">
        <v>145</v>
      </c>
      <c r="B1109" s="40" t="str">
        <v>237 Nguyễn Thị Thập</v>
      </c>
      <c r="C1109" s="40">
        <v>915</v>
      </c>
      <c r="D1109" s="40" t="str">
        <v>[DV] Tẩy tóc bật tông Ý (1 lần)</v>
      </c>
      <c r="E1109" s="40">
        <v>259000</v>
      </c>
    </row>
    <row r="1110">
      <c r="A1110" s="40">
        <v>145</v>
      </c>
      <c r="B1110" s="40" t="str">
        <v>237 Nguyễn Thị Thập</v>
      </c>
      <c r="C1110" s="40">
        <v>916</v>
      </c>
      <c r="D1110" s="40" t="str">
        <v>[DV] Tẩy tóc bật tông Ý (2 lần) 500k</v>
      </c>
      <c r="E1110" s="40">
        <v>514000</v>
      </c>
    </row>
    <row r="1111">
      <c r="A1111" s="40">
        <v>145</v>
      </c>
      <c r="B1111" s="40" t="str">
        <v>237 Nguyễn Thị Thập</v>
      </c>
      <c r="C1111" s="40">
        <v>674</v>
      </c>
      <c r="D1111" s="40" t="str">
        <v>[DV] Uốn Texture con sâu/Uốn Ruffled</v>
      </c>
      <c r="E1111" s="40">
        <v>550000</v>
      </c>
    </row>
    <row r="1112">
      <c r="A1112" s="40">
        <v>145</v>
      </c>
      <c r="B1112" s="40" t="str">
        <v>237 Nguyễn Thị Thập</v>
      </c>
      <c r="C1112" s="40">
        <v>941</v>
      </c>
      <c r="D1112" s="40" t="str">
        <v>[DV] Vuốt sáp - sấy tạo kiểu 10k</v>
      </c>
      <c r="E1112" s="40">
        <v>10000</v>
      </c>
    </row>
    <row r="1113">
      <c r="A1113" s="40">
        <v>145</v>
      </c>
      <c r="B1113" s="40" t="str">
        <v>237 Nguyễn Thị Thập</v>
      </c>
      <c r="C1113" s="40">
        <v>902</v>
      </c>
      <c r="D1113" s="40" t="str">
        <v>[DV] Ép side hai bên</v>
      </c>
      <c r="E1113" s="40">
        <v>216000</v>
      </c>
    </row>
    <row r="1114">
      <c r="A1114" s="40">
        <v>145</v>
      </c>
      <c r="B1114" s="40" t="str">
        <v>237 Nguyễn Thị Thập</v>
      </c>
      <c r="C1114" s="40">
        <v>940</v>
      </c>
      <c r="D1114" s="40" t="str">
        <v>[NEW] Gội dưỡng sinh</v>
      </c>
      <c r="E1114" s="40">
        <v>59000</v>
      </c>
    </row>
    <row r="1115">
      <c r="A1115" s="40">
        <v>145</v>
      </c>
      <c r="B1115" s="40" t="str">
        <v>237 Nguyễn Thị Thập</v>
      </c>
      <c r="C1115" s="40">
        <v>940</v>
      </c>
      <c r="D1115" s="40" t="str">
        <v>[NEW] Gội dưỡng sinh</v>
      </c>
      <c r="E1115" s="40">
        <v>50000</v>
      </c>
    </row>
    <row r="1116">
      <c r="A1116" s="40">
        <v>145</v>
      </c>
      <c r="B1116" s="40" t="str">
        <v>237 Nguyễn Thị Thập</v>
      </c>
      <c r="C1116" s="40">
        <v>603</v>
      </c>
      <c r="D1116" s="40" t="str">
        <v>Đánh bay mụn cám lột mụn (Full Face)</v>
      </c>
      <c r="E1116" s="40">
        <v>49000</v>
      </c>
    </row>
    <row r="1117">
      <c r="A1117" s="40">
        <v>146</v>
      </c>
      <c r="B1117" s="40" t="str">
        <v>109 Trần Quốc Hoàn</v>
      </c>
      <c r="C1117" s="40">
        <v>610</v>
      </c>
      <c r="D1117" s="40" t="str">
        <v>(2022T) ATS Control Buffer - Khử mùi tạo thơm cho tóc uốn nhuộm 40k</v>
      </c>
      <c r="E1117" s="40">
        <v>40000</v>
      </c>
    </row>
    <row r="1118">
      <c r="A1118" s="40">
        <v>146</v>
      </c>
      <c r="B1118" s="40" t="str">
        <v>109 Trần Quốc Hoàn</v>
      </c>
      <c r="C1118" s="40">
        <v>960</v>
      </c>
      <c r="D1118" s="40" t="str">
        <v>(NEW) Nhuộm màu thời trang Milano</v>
      </c>
      <c r="E1118" s="40">
        <v>366000</v>
      </c>
    </row>
    <row r="1119">
      <c r="A1119" s="40">
        <v>146</v>
      </c>
      <c r="B1119" s="40" t="str">
        <v>109 Trần Quốc Hoàn</v>
      </c>
      <c r="C1119" s="40">
        <v>967</v>
      </c>
      <c r="D1119" s="40" t="str">
        <v>(NEW) Nhuộm phủ bạc tiêu chuẩn 199K</v>
      </c>
      <c r="E1119" s="40">
        <v>227000</v>
      </c>
    </row>
    <row r="1120">
      <c r="A1120" s="40">
        <v>146</v>
      </c>
      <c r="B1120" s="40" t="str">
        <v>109 Trần Quốc Hoàn</v>
      </c>
      <c r="C1120" s="40">
        <v>1009</v>
      </c>
      <c r="D1120" s="40" t="str">
        <v>(NEW) Uốn/Duỗi/Định hình full đầu tạo form vào nếp tự nhiên</v>
      </c>
      <c r="E1120" s="40">
        <v>386000</v>
      </c>
    </row>
    <row r="1121">
      <c r="A1121" s="40">
        <v>146</v>
      </c>
      <c r="B1121" s="40" t="str">
        <v>109 Trần Quốc Hoàn</v>
      </c>
      <c r="C1121" s="40">
        <v>1048</v>
      </c>
      <c r="D1121" s="40" t="str">
        <v>Combo 4</v>
      </c>
      <c r="E1121" s="40">
        <v>379000</v>
      </c>
    </row>
    <row r="1122">
      <c r="A1122" s="40">
        <v>146</v>
      </c>
      <c r="B1122" s="40" t="str">
        <v>109 Trần Quốc Hoàn</v>
      </c>
      <c r="C1122" s="40">
        <v>1048</v>
      </c>
      <c r="D1122" s="40" t="str">
        <v>Combo 4</v>
      </c>
      <c r="E1122" s="40">
        <v>389000</v>
      </c>
    </row>
    <row r="1123">
      <c r="A1123" s="40">
        <v>146</v>
      </c>
      <c r="B1123" s="40" t="str">
        <v>109 Trần Quốc Hoàn</v>
      </c>
      <c r="C1123" s="40">
        <v>1047</v>
      </c>
      <c r="D1123" s="40" t="str">
        <v>Cắt Gội Combo 3 - Chăm da</v>
      </c>
      <c r="E1123" s="40">
        <v>299000</v>
      </c>
    </row>
    <row r="1124">
      <c r="A1124" s="40">
        <v>146</v>
      </c>
      <c r="B1124" s="40" t="str">
        <v>109 Trần Quốc Hoàn</v>
      </c>
      <c r="C1124" s="40">
        <v>1065</v>
      </c>
      <c r="D1124" s="40" t="str">
        <v>Cắt Gội Combo 3 - Dưỡng sinh</v>
      </c>
      <c r="E1124" s="40">
        <v>299000</v>
      </c>
    </row>
    <row r="1125">
      <c r="A1125" s="40">
        <v>146</v>
      </c>
      <c r="B1125" s="40" t="str">
        <v>109 Trần Quốc Hoàn</v>
      </c>
      <c r="C1125" s="40">
        <v>891</v>
      </c>
      <c r="D1125" s="40" t="str">
        <v>Cắt xả tạo kiểu</v>
      </c>
      <c r="E1125" s="40">
        <v>90000</v>
      </c>
    </row>
    <row r="1126">
      <c r="A1126" s="40">
        <v>146</v>
      </c>
      <c r="B1126" s="40" t="str">
        <v>109 Trần Quốc Hoàn</v>
      </c>
      <c r="C1126" s="40">
        <v>891</v>
      </c>
      <c r="D1126" s="40" t="str">
        <v>Cắt xả tạo kiểu</v>
      </c>
      <c r="E1126" s="40">
        <v>94000</v>
      </c>
    </row>
    <row r="1127">
      <c r="A1127" s="40">
        <v>146</v>
      </c>
      <c r="B1127" s="40" t="str">
        <v>109 Trần Quốc Hoàn</v>
      </c>
      <c r="C1127" s="40">
        <v>1058</v>
      </c>
      <c r="D1127" s="40" t="str" xml:space="preserve">
        <v>Gội Combo 2 </v>
      </c>
      <c r="E1127" s="40">
        <v>159000</v>
      </c>
    </row>
    <row r="1128">
      <c r="A1128" s="40">
        <v>146</v>
      </c>
      <c r="B1128" s="40" t="str">
        <v>109 Trần Quốc Hoàn</v>
      </c>
      <c r="C1128" s="40">
        <v>1059</v>
      </c>
      <c r="D1128" s="40" t="str">
        <v>Gội Combo 3 - Chăm da</v>
      </c>
      <c r="E1128" s="40">
        <v>219000</v>
      </c>
    </row>
    <row r="1129">
      <c r="A1129" s="40">
        <v>146</v>
      </c>
      <c r="B1129" s="40" t="str">
        <v>109 Trần Quốc Hoàn</v>
      </c>
      <c r="C1129" s="40">
        <v>1059</v>
      </c>
      <c r="D1129" s="40" t="str">
        <v>Gội Combo 3 - Chăm da</v>
      </c>
      <c r="E1129" s="40">
        <v>239000</v>
      </c>
    </row>
    <row r="1130">
      <c r="A1130" s="40">
        <v>146</v>
      </c>
      <c r="B1130" s="40" t="str">
        <v>109 Trần Quốc Hoàn</v>
      </c>
      <c r="C1130" s="40">
        <v>1060</v>
      </c>
      <c r="D1130" s="40" t="str">
        <v>Gội Combo 4</v>
      </c>
      <c r="E1130" s="40">
        <v>319000</v>
      </c>
    </row>
    <row r="1131">
      <c r="A1131" s="40">
        <v>146</v>
      </c>
      <c r="B1131" s="40" t="str">
        <v>109 Trần Quốc Hoàn</v>
      </c>
      <c r="C1131" s="40">
        <v>1060</v>
      </c>
      <c r="D1131" s="40" t="str">
        <v>Gội Combo 4</v>
      </c>
      <c r="E1131" s="40">
        <v>289000</v>
      </c>
    </row>
    <row r="1132">
      <c r="A1132" s="40">
        <v>146</v>
      </c>
      <c r="B1132" s="40" t="str">
        <v>109 Trần Quốc Hoàn</v>
      </c>
      <c r="C1132" s="40">
        <v>934</v>
      </c>
      <c r="D1132" s="40" t="str">
        <v>Gội combo 3 - Dưỡng sinh</v>
      </c>
      <c r="E1132" s="40">
        <v>229000</v>
      </c>
    </row>
    <row r="1133">
      <c r="A1133" s="40">
        <v>146</v>
      </c>
      <c r="B1133" s="40" t="str">
        <v>109 Trần Quốc Hoàn</v>
      </c>
      <c r="C1133" s="40">
        <v>867</v>
      </c>
      <c r="D1133" s="40" t="str">
        <v>Gội dưỡng sinh cổ vai gáy</v>
      </c>
      <c r="E1133" s="40">
        <v>95000</v>
      </c>
    </row>
    <row r="1134">
      <c r="A1134" s="40">
        <v>146</v>
      </c>
      <c r="B1134" s="40" t="str">
        <v>109 Trần Quốc Hoàn</v>
      </c>
      <c r="C1134" s="40">
        <v>867</v>
      </c>
      <c r="D1134" s="40" t="str">
        <v>Gội dưỡng sinh cổ vai gáy</v>
      </c>
      <c r="E1134" s="40">
        <v>99000</v>
      </c>
    </row>
    <row r="1135">
      <c r="A1135" s="40">
        <v>146</v>
      </c>
      <c r="B1135" s="40" t="str">
        <v>109 Trần Quốc Hoàn</v>
      </c>
      <c r="C1135" s="40">
        <v>1069</v>
      </c>
      <c r="D1135" s="40" t="str">
        <v>Gội trải nghiệm 140p</v>
      </c>
      <c r="E1135" s="40">
        <v>1199000</v>
      </c>
    </row>
    <row r="1136">
      <c r="A1136" s="40">
        <v>146</v>
      </c>
      <c r="B1136" s="40" t="str">
        <v>109 Trần Quốc Hoàn</v>
      </c>
      <c r="C1136" s="40">
        <v>1066</v>
      </c>
      <c r="D1136" s="40" t="str">
        <v>Gội trải nghiệm 75p</v>
      </c>
      <c r="E1136" s="40">
        <v>589000</v>
      </c>
    </row>
    <row r="1137">
      <c r="A1137" s="40">
        <v>146</v>
      </c>
      <c r="B1137" s="40" t="str">
        <v>109 Trần Quốc Hoàn</v>
      </c>
      <c r="C1137" s="40">
        <v>1067</v>
      </c>
      <c r="D1137" s="40" t="str">
        <v>Gội trải nghiệm 90p</v>
      </c>
      <c r="E1137" s="40">
        <v>789000</v>
      </c>
    </row>
    <row r="1138">
      <c r="A1138" s="40">
        <v>146</v>
      </c>
      <c r="B1138" s="40" t="str">
        <v>109 Trần Quốc Hoàn</v>
      </c>
      <c r="C1138" s="40">
        <v>1002</v>
      </c>
      <c r="D1138" s="40" t="str">
        <v>Kid Cắt</v>
      </c>
      <c r="E1138" s="40">
        <v>75000</v>
      </c>
    </row>
    <row r="1139">
      <c r="A1139" s="40">
        <v>146</v>
      </c>
      <c r="B1139" s="40" t="str">
        <v>109 Trần Quốc Hoàn</v>
      </c>
      <c r="C1139" s="40">
        <v>1149</v>
      </c>
      <c r="D1139" s="40" t="str">
        <v>NHUỘM THIẾT KẾ PHỤC HỒI CHUYÊN SÂU LIPID BOND 2025</v>
      </c>
      <c r="E1139" s="40">
        <v>759000</v>
      </c>
    </row>
    <row r="1140">
      <c r="A1140" s="40">
        <v>146</v>
      </c>
      <c r="B1140" s="40" t="str">
        <v>109 Trần Quốc Hoàn</v>
      </c>
      <c r="C1140" s="40">
        <v>1101</v>
      </c>
      <c r="D1140" s="40" t="str">
        <v>Phục hồi trẻ hóa Lipid Bond</v>
      </c>
      <c r="E1140" s="40">
        <v>146000</v>
      </c>
    </row>
    <row r="1141">
      <c r="A1141" s="40">
        <v>146</v>
      </c>
      <c r="B1141" s="40" t="str">
        <v>109 Trần Quốc Hoàn</v>
      </c>
      <c r="C1141" s="40">
        <v>1046</v>
      </c>
      <c r="D1141" s="40" t="str" xml:space="preserve">
        <v>Shinecombo 2 </v>
      </c>
      <c r="E1141" s="40">
        <v>199000</v>
      </c>
    </row>
    <row r="1142">
      <c r="A1142" s="40">
        <v>146</v>
      </c>
      <c r="B1142" s="40" t="str">
        <v>109 Trần Quốc Hoàn</v>
      </c>
      <c r="C1142" s="40">
        <v>1215</v>
      </c>
      <c r="D1142" s="40" t="str">
        <v>Shinecombo Genz</v>
      </c>
      <c r="E1142" s="40">
        <v>79000</v>
      </c>
    </row>
    <row r="1143">
      <c r="A1143" s="40">
        <v>146</v>
      </c>
      <c r="B1143" s="40" t="str">
        <v>109 Trần Quốc Hoàn</v>
      </c>
      <c r="C1143" s="40">
        <v>1102</v>
      </c>
      <c r="D1143" s="40" t="str">
        <v>Tái tạo da đầu - Sạch gàu hết ngứa</v>
      </c>
      <c r="E1143" s="40">
        <v>98000</v>
      </c>
    </row>
    <row r="1144">
      <c r="A1144" s="40">
        <v>146</v>
      </c>
      <c r="B1144" s="40" t="str">
        <v>109 Trần Quốc Hoàn</v>
      </c>
      <c r="C1144" s="40">
        <v>1148</v>
      </c>
      <c r="D1144" s="40" t="str">
        <v>UỐN THIẾT KẾ PHỤC HỒI CHUYÊN SÂU LIPID BOND 2025</v>
      </c>
      <c r="E1144" s="40">
        <v>689000</v>
      </c>
    </row>
    <row r="1145">
      <c r="A1145" s="40">
        <v>146</v>
      </c>
      <c r="B1145" s="40" t="str">
        <v>109 Trần Quốc Hoàn</v>
      </c>
      <c r="C1145" s="40">
        <v>952</v>
      </c>
      <c r="D1145" s="40" t="str">
        <v>Uốn định hình nếp tóc cao cấp (K-Perm Collection)</v>
      </c>
      <c r="E1145" s="40">
        <v>478000</v>
      </c>
    </row>
    <row r="1146">
      <c r="A1146" s="40">
        <v>146</v>
      </c>
      <c r="B1146" s="40" t="str">
        <v>109 Trần Quốc Hoàn</v>
      </c>
      <c r="C1146" s="40">
        <v>635</v>
      </c>
      <c r="D1146" s="40" t="str">
        <v>[DV] Detox tẩy da chết da đầu</v>
      </c>
      <c r="E1146" s="40">
        <v>45000</v>
      </c>
    </row>
    <row r="1147">
      <c r="A1147" s="40">
        <v>146</v>
      </c>
      <c r="B1147" s="40" t="str">
        <v>109 Trần Quốc Hoàn</v>
      </c>
      <c r="C1147" s="40">
        <v>636</v>
      </c>
      <c r="D1147" s="40" t="str">
        <v>[DV] Mặt nạ lạnh Hàn Quốc</v>
      </c>
      <c r="E1147" s="40">
        <v>35000</v>
      </c>
    </row>
    <row r="1148">
      <c r="A1148" s="40">
        <v>146</v>
      </c>
      <c r="B1148" s="40" t="str">
        <v>109 Trần Quốc Hoàn</v>
      </c>
      <c r="C1148" s="40">
        <v>625</v>
      </c>
      <c r="D1148" s="40" t="str">
        <v>[DV] Mặt nạ tẩy da chết sủi bọt cao cấp</v>
      </c>
      <c r="E1148" s="40">
        <v>55000</v>
      </c>
    </row>
    <row r="1149">
      <c r="A1149" s="40">
        <v>146</v>
      </c>
      <c r="B1149" s="40" t="str">
        <v>109 Trần Quốc Hoàn</v>
      </c>
      <c r="C1149" s="40">
        <v>912</v>
      </c>
      <c r="D1149" s="40" t="str">
        <v>[DV] Nhuộm đen phủ bạc R&amp;B thảo dược</v>
      </c>
      <c r="E1149" s="40">
        <v>329000</v>
      </c>
    </row>
    <row r="1150">
      <c r="A1150" s="40">
        <v>146</v>
      </c>
      <c r="B1150" s="40" t="str">
        <v>109 Trần Quốc Hoàn</v>
      </c>
      <c r="C1150" s="40">
        <v>513</v>
      </c>
      <c r="D1150" s="40" t="str">
        <v>[DV] ShineCombo 10 bước Ultra Care 2023</v>
      </c>
      <c r="E1150" s="40">
        <v>120000</v>
      </c>
    </row>
    <row r="1151">
      <c r="A1151" s="40">
        <v>146</v>
      </c>
      <c r="B1151" s="40" t="str">
        <v>109 Trần Quốc Hoàn</v>
      </c>
      <c r="C1151" s="40">
        <v>513</v>
      </c>
      <c r="D1151" s="40" t="str">
        <v>[DV] ShineCombo 10 bước Ultra Care 2023</v>
      </c>
      <c r="E1151" s="40">
        <v>122000</v>
      </c>
    </row>
    <row r="1152">
      <c r="A1152" s="40">
        <v>146</v>
      </c>
      <c r="B1152" s="40" t="str">
        <v>109 Trần Quốc Hoàn</v>
      </c>
      <c r="C1152" s="40">
        <v>634</v>
      </c>
      <c r="D1152" s="40" t="str">
        <v>[DV] Tẩy da chết sủi bọt Hàn Quốc</v>
      </c>
      <c r="E1152" s="40">
        <v>35000</v>
      </c>
    </row>
    <row r="1153">
      <c r="A1153" s="40">
        <v>146</v>
      </c>
      <c r="B1153" s="40" t="str">
        <v>109 Trần Quốc Hoàn</v>
      </c>
      <c r="C1153" s="40">
        <v>915</v>
      </c>
      <c r="D1153" s="40" t="str">
        <v>[DV] Tẩy tóc bật tông Ý (1 lần)</v>
      </c>
      <c r="E1153" s="40">
        <v>259000</v>
      </c>
    </row>
    <row r="1154">
      <c r="A1154" s="40">
        <v>146</v>
      </c>
      <c r="B1154" s="40" t="str">
        <v>109 Trần Quốc Hoàn</v>
      </c>
      <c r="C1154" s="40">
        <v>674</v>
      </c>
      <c r="D1154" s="40" t="str">
        <v>[DV] Uốn Texture con sâu/Uốn Ruffled</v>
      </c>
      <c r="E1154" s="40">
        <v>550000</v>
      </c>
    </row>
    <row r="1155">
      <c r="A1155" s="40">
        <v>146</v>
      </c>
      <c r="B1155" s="40" t="str">
        <v>109 Trần Quốc Hoàn</v>
      </c>
      <c r="C1155" s="40">
        <v>941</v>
      </c>
      <c r="D1155" s="40" t="str">
        <v>[DV] Vuốt sáp - sấy tạo kiểu 10k</v>
      </c>
      <c r="E1155" s="40">
        <v>10000</v>
      </c>
    </row>
    <row r="1156">
      <c r="A1156" s="40">
        <v>146</v>
      </c>
      <c r="B1156" s="40" t="str">
        <v>109 Trần Quốc Hoàn</v>
      </c>
      <c r="C1156" s="40">
        <v>902</v>
      </c>
      <c r="D1156" s="40" t="str">
        <v>[DV] Ép side hai bên</v>
      </c>
      <c r="E1156" s="40">
        <v>189000</v>
      </c>
    </row>
    <row r="1157">
      <c r="A1157" s="40">
        <v>146</v>
      </c>
      <c r="B1157" s="40" t="str">
        <v>109 Trần Quốc Hoàn</v>
      </c>
      <c r="C1157" s="40">
        <v>940</v>
      </c>
      <c r="D1157" s="40" t="str">
        <v>[NEW] Gội dưỡng sinh</v>
      </c>
      <c r="E1157" s="40">
        <v>59000</v>
      </c>
    </row>
    <row r="1158">
      <c r="A1158" s="40">
        <v>146</v>
      </c>
      <c r="B1158" s="40" t="str">
        <v>109 Trần Quốc Hoàn</v>
      </c>
      <c r="C1158" s="40">
        <v>603</v>
      </c>
      <c r="D1158" s="40" t="str">
        <v>Đánh bay mụn cám lột mụn (Full Face)</v>
      </c>
      <c r="E1158" s="40">
        <v>49000</v>
      </c>
    </row>
    <row r="1159">
      <c r="A1159" s="40">
        <v>147</v>
      </c>
      <c r="B1159" s="40" t="str">
        <v>99 Tân Sơn Nhì</v>
      </c>
      <c r="C1159" s="40">
        <v>610</v>
      </c>
      <c r="D1159" s="40" t="str">
        <v>(2022T) ATS Control Buffer - Khử mùi tạo thơm cho tóc uốn nhuộm 40k</v>
      </c>
      <c r="E1159" s="40">
        <v>40000</v>
      </c>
    </row>
    <row r="1160">
      <c r="A1160" s="40">
        <v>147</v>
      </c>
      <c r="B1160" s="40" t="str">
        <v>99 Tân Sơn Nhì</v>
      </c>
      <c r="C1160" s="40">
        <v>960</v>
      </c>
      <c r="D1160" s="40" t="str">
        <v>(NEW) Nhuộm màu thời trang Milano</v>
      </c>
      <c r="E1160" s="40">
        <v>366000</v>
      </c>
    </row>
    <row r="1161">
      <c r="A1161" s="40">
        <v>147</v>
      </c>
      <c r="B1161" s="40" t="str">
        <v>99 Tân Sơn Nhì</v>
      </c>
      <c r="C1161" s="40">
        <v>967</v>
      </c>
      <c r="D1161" s="40" t="str">
        <v>(NEW) Nhuộm phủ bạc tiêu chuẩn 199K</v>
      </c>
      <c r="E1161" s="40">
        <v>199000</v>
      </c>
    </row>
    <row r="1162">
      <c r="A1162" s="40">
        <v>147</v>
      </c>
      <c r="B1162" s="40" t="str">
        <v>99 Tân Sơn Nhì</v>
      </c>
      <c r="C1162" s="40">
        <v>1009</v>
      </c>
      <c r="D1162" s="40" t="str">
        <v>(NEW) Uốn/Duỗi/Định hình full đầu tạo form vào nếp tự nhiên</v>
      </c>
      <c r="E1162" s="40">
        <v>386000</v>
      </c>
    </row>
    <row r="1163">
      <c r="A1163" s="40">
        <v>147</v>
      </c>
      <c r="B1163" s="40" t="str">
        <v>99 Tân Sơn Nhì</v>
      </c>
      <c r="C1163" s="40">
        <v>1053</v>
      </c>
      <c r="D1163" s="40" t="str">
        <v>Combo 2 - First Class 2</v>
      </c>
      <c r="E1163" s="40">
        <v>239000</v>
      </c>
    </row>
    <row r="1164">
      <c r="A1164" s="40">
        <v>147</v>
      </c>
      <c r="B1164" s="40" t="str">
        <v>99 Tân Sơn Nhì</v>
      </c>
      <c r="C1164" s="40">
        <v>1048</v>
      </c>
      <c r="D1164" s="40" t="str">
        <v>Combo 4</v>
      </c>
      <c r="E1164" s="40">
        <v>389000</v>
      </c>
    </row>
    <row r="1165">
      <c r="A1165" s="40">
        <v>147</v>
      </c>
      <c r="B1165" s="40" t="str">
        <v>99 Tân Sơn Nhì</v>
      </c>
      <c r="C1165" s="40">
        <v>1048</v>
      </c>
      <c r="D1165" s="40" t="str">
        <v>Combo 4</v>
      </c>
      <c r="E1165" s="40">
        <v>379000</v>
      </c>
    </row>
    <row r="1166">
      <c r="A1166" s="40">
        <v>147</v>
      </c>
      <c r="B1166" s="40" t="str">
        <v>99 Tân Sơn Nhì</v>
      </c>
      <c r="C1166" s="40">
        <v>1070</v>
      </c>
      <c r="D1166" s="40" t="str">
        <v>Combo Cắt gội Kid</v>
      </c>
      <c r="E1166" s="40">
        <v>100000</v>
      </c>
    </row>
    <row r="1167">
      <c r="A1167" s="40">
        <v>147</v>
      </c>
      <c r="B1167" s="40" t="str">
        <v>99 Tân Sơn Nhì</v>
      </c>
      <c r="C1167" s="40">
        <v>1047</v>
      </c>
      <c r="D1167" s="40" t="str">
        <v>Cắt Gội Combo 3 - Chăm da</v>
      </c>
      <c r="E1167" s="40">
        <v>299000</v>
      </c>
    </row>
    <row r="1168">
      <c r="A1168" s="40">
        <v>147</v>
      </c>
      <c r="B1168" s="40" t="str">
        <v>99 Tân Sơn Nhì</v>
      </c>
      <c r="C1168" s="40">
        <v>1065</v>
      </c>
      <c r="D1168" s="40" t="str">
        <v>Cắt Gội Combo 3 - Dưỡng sinh</v>
      </c>
      <c r="E1168" s="40">
        <v>299000</v>
      </c>
    </row>
    <row r="1169">
      <c r="A1169" s="40">
        <v>147</v>
      </c>
      <c r="B1169" s="40" t="str">
        <v>99 Tân Sơn Nhì</v>
      </c>
      <c r="C1169" s="40">
        <v>1064</v>
      </c>
      <c r="D1169" s="40" t="str">
        <v>Cắt Gội Combo 5 - Dưỡng sinh</v>
      </c>
      <c r="E1169" s="40">
        <v>459000</v>
      </c>
    </row>
    <row r="1170">
      <c r="A1170" s="40">
        <v>147</v>
      </c>
      <c r="B1170" s="40" t="str">
        <v>99 Tân Sơn Nhì</v>
      </c>
      <c r="C1170" s="40">
        <v>891</v>
      </c>
      <c r="D1170" s="40" t="str">
        <v>Cắt xả tạo kiểu</v>
      </c>
      <c r="E1170" s="40">
        <v>90000</v>
      </c>
    </row>
    <row r="1171">
      <c r="A1171" s="40">
        <v>147</v>
      </c>
      <c r="B1171" s="40" t="str">
        <v>99 Tân Sơn Nhì</v>
      </c>
      <c r="C1171" s="40">
        <v>891</v>
      </c>
      <c r="D1171" s="40" t="str">
        <v>Cắt xả tạo kiểu</v>
      </c>
      <c r="E1171" s="40">
        <v>94000</v>
      </c>
    </row>
    <row r="1172">
      <c r="A1172" s="40">
        <v>147</v>
      </c>
      <c r="B1172" s="40" t="str">
        <v>99 Tân Sơn Nhì</v>
      </c>
      <c r="C1172" s="40">
        <v>1058</v>
      </c>
      <c r="D1172" s="40" t="str" xml:space="preserve">
        <v>Gội Combo 2 </v>
      </c>
      <c r="E1172" s="40">
        <v>159000</v>
      </c>
    </row>
    <row r="1173">
      <c r="A1173" s="40">
        <v>147</v>
      </c>
      <c r="B1173" s="40" t="str">
        <v>99 Tân Sơn Nhì</v>
      </c>
      <c r="C1173" s="40">
        <v>1059</v>
      </c>
      <c r="D1173" s="40" t="str">
        <v>Gội Combo 3 - Chăm da</v>
      </c>
      <c r="E1173" s="40">
        <v>219000</v>
      </c>
    </row>
    <row r="1174">
      <c r="A1174" s="40">
        <v>147</v>
      </c>
      <c r="B1174" s="40" t="str">
        <v>99 Tân Sơn Nhì</v>
      </c>
      <c r="C1174" s="40">
        <v>1059</v>
      </c>
      <c r="D1174" s="40" t="str">
        <v>Gội Combo 3 - Chăm da</v>
      </c>
      <c r="E1174" s="40">
        <v>239000</v>
      </c>
    </row>
    <row r="1175">
      <c r="A1175" s="40">
        <v>147</v>
      </c>
      <c r="B1175" s="40" t="str">
        <v>99 Tân Sơn Nhì</v>
      </c>
      <c r="C1175" s="40">
        <v>1060</v>
      </c>
      <c r="D1175" s="40" t="str">
        <v>Gội Combo 4</v>
      </c>
      <c r="E1175" s="40">
        <v>289000</v>
      </c>
    </row>
    <row r="1176">
      <c r="A1176" s="40">
        <v>147</v>
      </c>
      <c r="B1176" s="40" t="str">
        <v>99 Tân Sơn Nhì</v>
      </c>
      <c r="C1176" s="40">
        <v>1060</v>
      </c>
      <c r="D1176" s="40" t="str">
        <v>Gội Combo 4</v>
      </c>
      <c r="E1176" s="40">
        <v>319000</v>
      </c>
    </row>
    <row r="1177">
      <c r="A1177" s="40">
        <v>147</v>
      </c>
      <c r="B1177" s="40" t="str">
        <v>99 Tân Sơn Nhì</v>
      </c>
      <c r="C1177" s="40">
        <v>934</v>
      </c>
      <c r="D1177" s="40" t="str">
        <v>Gội combo 3 - Dưỡng sinh</v>
      </c>
      <c r="E1177" s="40">
        <v>229000</v>
      </c>
    </row>
    <row r="1178">
      <c r="A1178" s="40">
        <v>147</v>
      </c>
      <c r="B1178" s="40" t="str">
        <v>99 Tân Sơn Nhì</v>
      </c>
      <c r="C1178" s="40">
        <v>932</v>
      </c>
      <c r="D1178" s="40" t="str">
        <v>Gội combo 5 dưỡng sinh</v>
      </c>
      <c r="E1178" s="40">
        <v>399000</v>
      </c>
    </row>
    <row r="1179">
      <c r="A1179" s="40">
        <v>147</v>
      </c>
      <c r="B1179" s="40" t="str">
        <v>99 Tân Sơn Nhì</v>
      </c>
      <c r="C1179" s="40">
        <v>867</v>
      </c>
      <c r="D1179" s="40" t="str">
        <v>Gội dưỡng sinh cổ vai gáy</v>
      </c>
      <c r="E1179" s="40">
        <v>100000</v>
      </c>
    </row>
    <row r="1180">
      <c r="A1180" s="40">
        <v>147</v>
      </c>
      <c r="B1180" s="40" t="str">
        <v>99 Tân Sơn Nhì</v>
      </c>
      <c r="C1180" s="40">
        <v>867</v>
      </c>
      <c r="D1180" s="40" t="str">
        <v>Gội dưỡng sinh cổ vai gáy</v>
      </c>
      <c r="E1180" s="40">
        <v>95000</v>
      </c>
    </row>
    <row r="1181">
      <c r="A1181" s="40">
        <v>147</v>
      </c>
      <c r="B1181" s="40" t="str">
        <v>99 Tân Sơn Nhì</v>
      </c>
      <c r="C1181" s="40">
        <v>1068</v>
      </c>
      <c r="D1181" s="40" t="str">
        <v>Gội trải nghiệm 115p</v>
      </c>
      <c r="E1181" s="40">
        <v>999000</v>
      </c>
    </row>
    <row r="1182">
      <c r="A1182" s="40">
        <v>147</v>
      </c>
      <c r="B1182" s="40" t="str">
        <v>99 Tân Sơn Nhì</v>
      </c>
      <c r="C1182" s="40">
        <v>1066</v>
      </c>
      <c r="D1182" s="40" t="str">
        <v>Gội trải nghiệm 75p</v>
      </c>
      <c r="E1182" s="40">
        <v>589000</v>
      </c>
    </row>
    <row r="1183">
      <c r="A1183" s="40">
        <v>147</v>
      </c>
      <c r="B1183" s="40" t="str">
        <v>99 Tân Sơn Nhì</v>
      </c>
      <c r="C1183" s="40">
        <v>1002</v>
      </c>
      <c r="D1183" s="40" t="str">
        <v>Kid Cắt</v>
      </c>
      <c r="E1183" s="40">
        <v>75000</v>
      </c>
    </row>
    <row r="1184">
      <c r="A1184" s="40">
        <v>147</v>
      </c>
      <c r="B1184" s="40" t="str">
        <v>99 Tân Sơn Nhì</v>
      </c>
      <c r="C1184" s="40">
        <v>1149</v>
      </c>
      <c r="D1184" s="40" t="str">
        <v>NHUỘM THIẾT KẾ PHỤC HỒI CHUYÊN SÂU LIPID BOND 2025</v>
      </c>
      <c r="E1184" s="40">
        <v>759000</v>
      </c>
    </row>
    <row r="1185">
      <c r="A1185" s="40">
        <v>147</v>
      </c>
      <c r="B1185" s="40" t="str">
        <v>99 Tân Sơn Nhì</v>
      </c>
      <c r="C1185" s="40">
        <v>615</v>
      </c>
      <c r="D1185" s="40" t="str">
        <v>Nhổ tóc bạc buổi trưa</v>
      </c>
      <c r="E1185" s="40">
        <v>150000</v>
      </c>
    </row>
    <row r="1186">
      <c r="A1186" s="40">
        <v>147</v>
      </c>
      <c r="B1186" s="40" t="str">
        <v>99 Tân Sơn Nhì</v>
      </c>
      <c r="C1186" s="40">
        <v>1101</v>
      </c>
      <c r="D1186" s="40" t="str">
        <v>Phục hồi trẻ hóa Lipid Bond</v>
      </c>
      <c r="E1186" s="40">
        <v>146000</v>
      </c>
    </row>
    <row r="1187">
      <c r="A1187" s="40">
        <v>147</v>
      </c>
      <c r="B1187" s="40" t="str">
        <v>99 Tân Sơn Nhì</v>
      </c>
      <c r="C1187" s="40">
        <v>1046</v>
      </c>
      <c r="D1187" s="40" t="str" xml:space="preserve">
        <v>Shinecombo 2 </v>
      </c>
      <c r="E1187" s="40">
        <v>199000</v>
      </c>
    </row>
    <row r="1188">
      <c r="A1188" s="40">
        <v>147</v>
      </c>
      <c r="B1188" s="40" t="str">
        <v>99 Tân Sơn Nhì</v>
      </c>
      <c r="C1188" s="40">
        <v>1148</v>
      </c>
      <c r="D1188" s="40" t="str">
        <v>UỐN THIẾT KẾ PHỤC HỒI CHUYÊN SÂU LIPID BOND 2025</v>
      </c>
      <c r="E1188" s="40">
        <v>689000</v>
      </c>
    </row>
    <row r="1189">
      <c r="A1189" s="40">
        <v>147</v>
      </c>
      <c r="B1189" s="40" t="str">
        <v>99 Tân Sơn Nhì</v>
      </c>
      <c r="C1189" s="40">
        <v>952</v>
      </c>
      <c r="D1189" s="40" t="str">
        <v>Uốn định hình nếp tóc cao cấp (K-Perm Collection)</v>
      </c>
      <c r="E1189" s="40">
        <v>478000</v>
      </c>
    </row>
    <row r="1190">
      <c r="A1190" s="40">
        <v>147</v>
      </c>
      <c r="B1190" s="40" t="str">
        <v>99 Tân Sơn Nhì</v>
      </c>
      <c r="C1190" s="40">
        <v>635</v>
      </c>
      <c r="D1190" s="40" t="str">
        <v>[DV] Detox tẩy da chết da đầu</v>
      </c>
      <c r="E1190" s="40">
        <v>45000</v>
      </c>
    </row>
    <row r="1191">
      <c r="A1191" s="40">
        <v>147</v>
      </c>
      <c r="B1191" s="40" t="str">
        <v>99 Tân Sơn Nhì</v>
      </c>
      <c r="C1191" s="40">
        <v>636</v>
      </c>
      <c r="D1191" s="40" t="str">
        <v>[DV] Mặt nạ lạnh Hàn Quốc</v>
      </c>
      <c r="E1191" s="40">
        <v>35000</v>
      </c>
    </row>
    <row r="1192">
      <c r="A1192" s="40">
        <v>147</v>
      </c>
      <c r="B1192" s="40" t="str">
        <v>99 Tân Sơn Nhì</v>
      </c>
      <c r="C1192" s="40">
        <v>625</v>
      </c>
      <c r="D1192" s="40" t="str">
        <v>[DV] Mặt nạ tẩy da chết sủi bọt cao cấp</v>
      </c>
      <c r="E1192" s="40">
        <v>55000</v>
      </c>
    </row>
    <row r="1193">
      <c r="A1193" s="40">
        <v>147</v>
      </c>
      <c r="B1193" s="40" t="str">
        <v>99 Tân Sơn Nhì</v>
      </c>
      <c r="C1193" s="40">
        <v>912</v>
      </c>
      <c r="D1193" s="40" t="str">
        <v>[DV] Nhuộm đen phủ bạc R&amp;B thảo dược</v>
      </c>
      <c r="E1193" s="40">
        <v>289000</v>
      </c>
    </row>
    <row r="1194">
      <c r="A1194" s="40">
        <v>147</v>
      </c>
      <c r="B1194" s="40" t="str">
        <v>99 Tân Sơn Nhì</v>
      </c>
      <c r="C1194" s="40">
        <v>513</v>
      </c>
      <c r="D1194" s="40" t="str">
        <v>[DV] ShineCombo 10 bước Ultra Care 2023</v>
      </c>
      <c r="E1194" s="40">
        <v>120000</v>
      </c>
    </row>
    <row r="1195">
      <c r="A1195" s="40">
        <v>147</v>
      </c>
      <c r="B1195" s="40" t="str">
        <v>99 Tân Sơn Nhì</v>
      </c>
      <c r="C1195" s="40">
        <v>513</v>
      </c>
      <c r="D1195" s="40" t="str">
        <v>[DV] ShineCombo 10 bước Ultra Care 2023</v>
      </c>
      <c r="E1195" s="40">
        <v>122000</v>
      </c>
    </row>
    <row r="1196">
      <c r="A1196" s="40">
        <v>147</v>
      </c>
      <c r="B1196" s="40" t="str">
        <v>99 Tân Sơn Nhì</v>
      </c>
      <c r="C1196" s="40">
        <v>462</v>
      </c>
      <c r="D1196" s="40" t="str">
        <v>[DV] Thư giãn cổ, vai, gáy bạc hà cam ngọt - Thư giãn tai sảng khoái 9 tầng mây 45k</v>
      </c>
      <c r="E1196" s="40">
        <v>45000</v>
      </c>
    </row>
    <row r="1197">
      <c r="A1197" s="40">
        <v>147</v>
      </c>
      <c r="B1197" s="40" t="str">
        <v>99 Tân Sơn Nhì</v>
      </c>
      <c r="C1197" s="40">
        <v>634</v>
      </c>
      <c r="D1197" s="40" t="str">
        <v>[DV] Tẩy da chết sủi bọt Hàn Quốc</v>
      </c>
      <c r="E1197" s="40">
        <v>35000</v>
      </c>
    </row>
    <row r="1198">
      <c r="A1198" s="40">
        <v>147</v>
      </c>
      <c r="B1198" s="40" t="str">
        <v>99 Tân Sơn Nhì</v>
      </c>
      <c r="C1198" s="40">
        <v>674</v>
      </c>
      <c r="D1198" s="40" t="str">
        <v>[DV] Uốn Texture con sâu/Uốn Ruffled</v>
      </c>
      <c r="E1198" s="40">
        <v>550000</v>
      </c>
    </row>
    <row r="1199">
      <c r="A1199" s="40">
        <v>147</v>
      </c>
      <c r="B1199" s="40" t="str">
        <v>99 Tân Sơn Nhì</v>
      </c>
      <c r="C1199" s="40">
        <v>941</v>
      </c>
      <c r="D1199" s="40" t="str">
        <v>[DV] Vuốt sáp - sấy tạo kiểu 10k</v>
      </c>
      <c r="E1199" s="40">
        <v>10000</v>
      </c>
    </row>
    <row r="1200">
      <c r="A1200" s="40">
        <v>147</v>
      </c>
      <c r="B1200" s="40" t="str">
        <v>99 Tân Sơn Nhì</v>
      </c>
      <c r="C1200" s="40">
        <v>902</v>
      </c>
      <c r="D1200" s="40" t="str">
        <v>[DV] Ép side hai bên</v>
      </c>
      <c r="E1200" s="40">
        <v>216000</v>
      </c>
    </row>
    <row r="1201">
      <c r="A1201" s="40">
        <v>147</v>
      </c>
      <c r="B1201" s="40" t="str">
        <v>99 Tân Sơn Nhì</v>
      </c>
      <c r="C1201" s="40">
        <v>936</v>
      </c>
      <c r="D1201" s="40" t="str">
        <v>[NEW] Chăm sóc da Shine Spa 199k (có phân tích da)</v>
      </c>
      <c r="E1201" s="40">
        <v>199000</v>
      </c>
    </row>
    <row r="1202">
      <c r="A1202" s="40">
        <v>147</v>
      </c>
      <c r="B1202" s="40" t="str">
        <v>99 Tân Sơn Nhì</v>
      </c>
      <c r="C1202" s="40">
        <v>940</v>
      </c>
      <c r="D1202" s="40" t="str">
        <v>[NEW] Gội dưỡng sinh</v>
      </c>
      <c r="E1202" s="40">
        <v>50000</v>
      </c>
    </row>
    <row r="1203">
      <c r="A1203" s="40">
        <v>147</v>
      </c>
      <c r="B1203" s="40" t="str">
        <v>99 Tân Sơn Nhì</v>
      </c>
      <c r="C1203" s="40">
        <v>940</v>
      </c>
      <c r="D1203" s="40" t="str">
        <v>[NEW] Gội dưỡng sinh</v>
      </c>
      <c r="E1203" s="40">
        <v>59000</v>
      </c>
    </row>
    <row r="1204">
      <c r="A1204" s="40">
        <v>147</v>
      </c>
      <c r="B1204" s="40" t="str">
        <v>99 Tân Sơn Nhì</v>
      </c>
      <c r="C1204" s="40">
        <v>603</v>
      </c>
      <c r="D1204" s="40" t="str">
        <v>Đánh bay mụn cám lột mụn (Full Face)</v>
      </c>
      <c r="E1204" s="40">
        <v>49000</v>
      </c>
    </row>
    <row r="1205">
      <c r="A1205" s="40">
        <v>179</v>
      </c>
      <c r="B1205" s="40" t="str">
        <v>50BT4 X2 Nguyễn Phan Chánh</v>
      </c>
      <c r="C1205" s="40">
        <v>610</v>
      </c>
      <c r="D1205" s="40" t="str">
        <v>(2022T) ATS Control Buffer - Khử mùi tạo thơm cho tóc uốn nhuộm 40k</v>
      </c>
      <c r="E1205" s="40">
        <v>40000</v>
      </c>
    </row>
    <row r="1206">
      <c r="A1206" s="40">
        <v>179</v>
      </c>
      <c r="B1206" s="40" t="str">
        <v>50BT4 X2 Nguyễn Phan Chánh</v>
      </c>
      <c r="C1206" s="40">
        <v>960</v>
      </c>
      <c r="D1206" s="40" t="str">
        <v>(NEW) Nhuộm màu thời trang Milano</v>
      </c>
      <c r="E1206" s="40">
        <v>332000</v>
      </c>
    </row>
    <row r="1207">
      <c r="A1207" s="40">
        <v>179</v>
      </c>
      <c r="B1207" s="40" t="str">
        <v>50BT4 X2 Nguyễn Phan Chánh</v>
      </c>
      <c r="C1207" s="40">
        <v>967</v>
      </c>
      <c r="D1207" s="40" t="str">
        <v>(NEW) Nhuộm phủ bạc tiêu chuẩn 199K</v>
      </c>
      <c r="E1207" s="40">
        <v>199000</v>
      </c>
    </row>
    <row r="1208">
      <c r="A1208" s="40">
        <v>179</v>
      </c>
      <c r="B1208" s="40" t="str">
        <v>50BT4 X2 Nguyễn Phan Chánh</v>
      </c>
      <c r="C1208" s="40">
        <v>1009</v>
      </c>
      <c r="D1208" s="40" t="str">
        <v>(NEW) Uốn/Duỗi/Định hình full đầu tạo form vào nếp tự nhiên</v>
      </c>
      <c r="E1208" s="40">
        <v>386000</v>
      </c>
    </row>
    <row r="1209">
      <c r="A1209" s="40">
        <v>179</v>
      </c>
      <c r="B1209" s="40" t="str">
        <v>50BT4 X2 Nguyễn Phan Chánh</v>
      </c>
      <c r="C1209" s="40">
        <v>1053</v>
      </c>
      <c r="D1209" s="40" t="str">
        <v>Combo 2 - First Class 2</v>
      </c>
      <c r="E1209" s="40">
        <v>229000</v>
      </c>
    </row>
    <row r="1210">
      <c r="A1210" s="40">
        <v>179</v>
      </c>
      <c r="B1210" s="40" t="str">
        <v>50BT4 X2 Nguyễn Phan Chánh</v>
      </c>
      <c r="C1210" s="40">
        <v>1054</v>
      </c>
      <c r="D1210" s="40" t="str">
        <v>Combo 3 - First Class 3</v>
      </c>
      <c r="E1210" s="40">
        <v>299000</v>
      </c>
    </row>
    <row r="1211">
      <c r="A1211" s="40">
        <v>179</v>
      </c>
      <c r="B1211" s="40" t="str">
        <v>50BT4 X2 Nguyễn Phan Chánh</v>
      </c>
      <c r="C1211" s="40">
        <v>1048</v>
      </c>
      <c r="D1211" s="40" t="str">
        <v>Combo 4</v>
      </c>
      <c r="E1211" s="40">
        <v>379000</v>
      </c>
    </row>
    <row r="1212">
      <c r="A1212" s="40">
        <v>179</v>
      </c>
      <c r="B1212" s="40" t="str">
        <v>50BT4 X2 Nguyễn Phan Chánh</v>
      </c>
      <c r="C1212" s="40">
        <v>1048</v>
      </c>
      <c r="D1212" s="40" t="str">
        <v>Combo 4</v>
      </c>
      <c r="E1212" s="40">
        <v>389000</v>
      </c>
    </row>
    <row r="1213">
      <c r="A1213" s="40">
        <v>179</v>
      </c>
      <c r="B1213" s="40" t="str">
        <v>50BT4 X2 Nguyễn Phan Chánh</v>
      </c>
      <c r="C1213" s="40">
        <v>1070</v>
      </c>
      <c r="D1213" s="40" t="str">
        <v>Combo Cắt gội Kid</v>
      </c>
      <c r="E1213" s="40">
        <v>100000</v>
      </c>
    </row>
    <row r="1214">
      <c r="A1214" s="40">
        <v>179</v>
      </c>
      <c r="B1214" s="40" t="str">
        <v>50BT4 X2 Nguyễn Phan Chánh</v>
      </c>
      <c r="C1214" s="40">
        <v>1047</v>
      </c>
      <c r="D1214" s="40" t="str">
        <v>Cắt Gội Combo 3 - Chăm da</v>
      </c>
      <c r="E1214" s="40">
        <v>299000</v>
      </c>
    </row>
    <row r="1215">
      <c r="A1215" s="40">
        <v>179</v>
      </c>
      <c r="B1215" s="40" t="str">
        <v>50BT4 X2 Nguyễn Phan Chánh</v>
      </c>
      <c r="C1215" s="40">
        <v>1065</v>
      </c>
      <c r="D1215" s="40" t="str">
        <v>Cắt Gội Combo 3 - Dưỡng sinh</v>
      </c>
      <c r="E1215" s="40">
        <v>299000</v>
      </c>
    </row>
    <row r="1216">
      <c r="A1216" s="40">
        <v>179</v>
      </c>
      <c r="B1216" s="40" t="str">
        <v>50BT4 X2 Nguyễn Phan Chánh</v>
      </c>
      <c r="C1216" s="40">
        <v>891</v>
      </c>
      <c r="D1216" s="40" t="str">
        <v>Cắt xả tạo kiểu</v>
      </c>
      <c r="E1216" s="40">
        <v>94000</v>
      </c>
    </row>
    <row r="1217">
      <c r="A1217" s="40">
        <v>179</v>
      </c>
      <c r="B1217" s="40" t="str">
        <v>50BT4 X2 Nguyễn Phan Chánh</v>
      </c>
      <c r="C1217" s="40">
        <v>891</v>
      </c>
      <c r="D1217" s="40" t="str">
        <v>Cắt xả tạo kiểu</v>
      </c>
      <c r="E1217" s="40">
        <v>90000</v>
      </c>
    </row>
    <row r="1218">
      <c r="A1218" s="40">
        <v>179</v>
      </c>
      <c r="B1218" s="40" t="str">
        <v>50BT4 X2 Nguyễn Phan Chánh</v>
      </c>
      <c r="C1218" s="40">
        <v>1058</v>
      </c>
      <c r="D1218" s="40" t="str" xml:space="preserve">
        <v>Gội Combo 2 </v>
      </c>
      <c r="E1218" s="40">
        <v>159000</v>
      </c>
    </row>
    <row r="1219">
      <c r="A1219" s="40">
        <v>179</v>
      </c>
      <c r="B1219" s="40" t="str">
        <v>50BT4 X2 Nguyễn Phan Chánh</v>
      </c>
      <c r="C1219" s="40">
        <v>1059</v>
      </c>
      <c r="D1219" s="40" t="str">
        <v>Gội Combo 3 - Chăm da</v>
      </c>
      <c r="E1219" s="40">
        <v>239000</v>
      </c>
    </row>
    <row r="1220">
      <c r="A1220" s="40">
        <v>179</v>
      </c>
      <c r="B1220" s="40" t="str">
        <v>50BT4 X2 Nguyễn Phan Chánh</v>
      </c>
      <c r="C1220" s="40">
        <v>1059</v>
      </c>
      <c r="D1220" s="40" t="str">
        <v>Gội Combo 3 - Chăm da</v>
      </c>
      <c r="E1220" s="40">
        <v>219000</v>
      </c>
    </row>
    <row r="1221">
      <c r="A1221" s="40">
        <v>179</v>
      </c>
      <c r="B1221" s="40" t="str">
        <v>50BT4 X2 Nguyễn Phan Chánh</v>
      </c>
      <c r="C1221" s="40">
        <v>1060</v>
      </c>
      <c r="D1221" s="40" t="str">
        <v>Gội Combo 4</v>
      </c>
      <c r="E1221" s="40">
        <v>289000</v>
      </c>
    </row>
    <row r="1222">
      <c r="A1222" s="40">
        <v>179</v>
      </c>
      <c r="B1222" s="40" t="str">
        <v>50BT4 X2 Nguyễn Phan Chánh</v>
      </c>
      <c r="C1222" s="40">
        <v>1060</v>
      </c>
      <c r="D1222" s="40" t="str">
        <v>Gội Combo 4</v>
      </c>
      <c r="E1222" s="40">
        <v>319000</v>
      </c>
    </row>
    <row r="1223">
      <c r="A1223" s="40">
        <v>179</v>
      </c>
      <c r="B1223" s="40" t="str">
        <v>50BT4 X2 Nguyễn Phan Chánh</v>
      </c>
      <c r="C1223" s="40">
        <v>934</v>
      </c>
      <c r="D1223" s="40" t="str">
        <v>Gội combo 3 - Dưỡng sinh</v>
      </c>
      <c r="E1223" s="40">
        <v>229000</v>
      </c>
    </row>
    <row r="1224">
      <c r="A1224" s="40">
        <v>179</v>
      </c>
      <c r="B1224" s="40" t="str">
        <v>50BT4 X2 Nguyễn Phan Chánh</v>
      </c>
      <c r="C1224" s="40">
        <v>867</v>
      </c>
      <c r="D1224" s="40" t="str">
        <v>Gội dưỡng sinh cổ vai gáy</v>
      </c>
      <c r="E1224" s="40">
        <v>99000</v>
      </c>
    </row>
    <row r="1225">
      <c r="A1225" s="40">
        <v>179</v>
      </c>
      <c r="B1225" s="40" t="str">
        <v>50BT4 X2 Nguyễn Phan Chánh</v>
      </c>
      <c r="C1225" s="40">
        <v>867</v>
      </c>
      <c r="D1225" s="40" t="str">
        <v>Gội dưỡng sinh cổ vai gáy</v>
      </c>
      <c r="E1225" s="40">
        <v>95000</v>
      </c>
    </row>
    <row r="1226">
      <c r="A1226" s="40">
        <v>179</v>
      </c>
      <c r="B1226" s="40" t="str">
        <v>50BT4 X2 Nguyễn Phan Chánh</v>
      </c>
      <c r="C1226" s="40">
        <v>1066</v>
      </c>
      <c r="D1226" s="40" t="str">
        <v>Gội trải nghiệm 75p</v>
      </c>
      <c r="E1226" s="40">
        <v>589000</v>
      </c>
    </row>
    <row r="1227">
      <c r="A1227" s="40">
        <v>179</v>
      </c>
      <c r="B1227" s="40" t="str">
        <v>50BT4 X2 Nguyễn Phan Chánh</v>
      </c>
      <c r="C1227" s="40">
        <v>1067</v>
      </c>
      <c r="D1227" s="40" t="str">
        <v>Gội trải nghiệm 90p</v>
      </c>
      <c r="E1227" s="40">
        <v>789000</v>
      </c>
    </row>
    <row r="1228">
      <c r="A1228" s="40">
        <v>179</v>
      </c>
      <c r="B1228" s="40" t="str">
        <v>50BT4 X2 Nguyễn Phan Chánh</v>
      </c>
      <c r="C1228" s="40">
        <v>1002</v>
      </c>
      <c r="D1228" s="40" t="str">
        <v>Kid Cắt</v>
      </c>
      <c r="E1228" s="40">
        <v>75000</v>
      </c>
    </row>
    <row r="1229">
      <c r="A1229" s="40">
        <v>179</v>
      </c>
      <c r="B1229" s="40" t="str">
        <v>50BT4 X2 Nguyễn Phan Chánh</v>
      </c>
      <c r="C1229" s="40">
        <v>1149</v>
      </c>
      <c r="D1229" s="40" t="str">
        <v>NHUỘM THIẾT KẾ PHỤC HỒI CHUYÊN SÂU LIPID BOND 2025</v>
      </c>
      <c r="E1229" s="40">
        <v>729000</v>
      </c>
    </row>
    <row r="1230">
      <c r="A1230" s="40">
        <v>179</v>
      </c>
      <c r="B1230" s="40" t="str">
        <v>50BT4 X2 Nguyễn Phan Chánh</v>
      </c>
      <c r="C1230" s="40">
        <v>615</v>
      </c>
      <c r="D1230" s="40" t="str">
        <v>Nhổ tóc bạc buổi trưa</v>
      </c>
      <c r="E1230" s="40">
        <v>150000</v>
      </c>
    </row>
    <row r="1231">
      <c r="A1231" s="40">
        <v>179</v>
      </c>
      <c r="B1231" s="40" t="str">
        <v>50BT4 X2 Nguyễn Phan Chánh</v>
      </c>
      <c r="C1231" s="40">
        <v>1101</v>
      </c>
      <c r="D1231" s="40" t="str">
        <v>Phục hồi trẻ hóa Lipid Bond</v>
      </c>
      <c r="E1231" s="40">
        <v>146000</v>
      </c>
    </row>
    <row r="1232">
      <c r="A1232" s="40">
        <v>179</v>
      </c>
      <c r="B1232" s="40" t="str">
        <v>50BT4 X2 Nguyễn Phan Chánh</v>
      </c>
      <c r="C1232" s="40">
        <v>1046</v>
      </c>
      <c r="D1232" s="40" t="str" xml:space="preserve">
        <v>Shinecombo 2 </v>
      </c>
      <c r="E1232" s="40">
        <v>199000</v>
      </c>
    </row>
    <row r="1233">
      <c r="A1233" s="40">
        <v>179</v>
      </c>
      <c r="B1233" s="40" t="str">
        <v>50BT4 X2 Nguyễn Phan Chánh</v>
      </c>
      <c r="C1233" s="40">
        <v>1102</v>
      </c>
      <c r="D1233" s="40" t="str">
        <v>Tái tạo da đầu - Sạch gàu hết ngứa</v>
      </c>
      <c r="E1233" s="40">
        <v>98000</v>
      </c>
    </row>
    <row r="1234">
      <c r="A1234" s="40">
        <v>179</v>
      </c>
      <c r="B1234" s="40" t="str">
        <v>50BT4 X2 Nguyễn Phan Chánh</v>
      </c>
      <c r="C1234" s="40">
        <v>1148</v>
      </c>
      <c r="D1234" s="40" t="str">
        <v>UỐN THIẾT KẾ PHỤC HỒI CHUYÊN SÂU LIPID BOND 2025</v>
      </c>
      <c r="E1234" s="40">
        <v>689000</v>
      </c>
    </row>
    <row r="1235">
      <c r="A1235" s="40">
        <v>179</v>
      </c>
      <c r="B1235" s="40" t="str">
        <v>50BT4 X2 Nguyễn Phan Chánh</v>
      </c>
      <c r="C1235" s="40">
        <v>952</v>
      </c>
      <c r="D1235" s="40" t="str">
        <v>Uốn định hình nếp tóc cao cấp (K-Perm Collection)</v>
      </c>
      <c r="E1235" s="40">
        <v>478000</v>
      </c>
    </row>
    <row r="1236">
      <c r="A1236" s="40">
        <v>179</v>
      </c>
      <c r="B1236" s="40" t="str">
        <v>50BT4 X2 Nguyễn Phan Chánh</v>
      </c>
      <c r="C1236" s="40">
        <v>635</v>
      </c>
      <c r="D1236" s="40" t="str">
        <v>[DV] Detox tẩy da chết da đầu</v>
      </c>
      <c r="E1236" s="40">
        <v>45000</v>
      </c>
    </row>
    <row r="1237">
      <c r="A1237" s="40">
        <v>179</v>
      </c>
      <c r="B1237" s="40" t="str">
        <v>50BT4 X2 Nguyễn Phan Chánh</v>
      </c>
      <c r="C1237" s="40">
        <v>625</v>
      </c>
      <c r="D1237" s="40" t="str">
        <v>[DV] Mặt nạ tẩy da chết sủi bọt cao cấp</v>
      </c>
      <c r="E1237" s="40">
        <v>55000</v>
      </c>
    </row>
    <row r="1238">
      <c r="A1238" s="40">
        <v>179</v>
      </c>
      <c r="B1238" s="40" t="str">
        <v>50BT4 X2 Nguyễn Phan Chánh</v>
      </c>
      <c r="C1238" s="40">
        <v>912</v>
      </c>
      <c r="D1238" s="40" t="str">
        <v>[DV] Nhuộm đen phủ bạc R&amp;B thảo dược</v>
      </c>
      <c r="E1238" s="40">
        <v>289000</v>
      </c>
    </row>
    <row r="1239">
      <c r="A1239" s="40">
        <v>179</v>
      </c>
      <c r="B1239" s="40" t="str">
        <v>50BT4 X2 Nguyễn Phan Chánh</v>
      </c>
      <c r="C1239" s="40">
        <v>513</v>
      </c>
      <c r="D1239" s="40" t="str">
        <v>[DV] ShineCombo 10 bước Ultra Care 2023</v>
      </c>
      <c r="E1239" s="40">
        <v>122000</v>
      </c>
    </row>
    <row r="1240">
      <c r="A1240" s="40">
        <v>179</v>
      </c>
      <c r="B1240" s="40" t="str">
        <v>50BT4 X2 Nguyễn Phan Chánh</v>
      </c>
      <c r="C1240" s="40">
        <v>513</v>
      </c>
      <c r="D1240" s="40" t="str">
        <v>[DV] ShineCombo 10 bước Ultra Care 2023</v>
      </c>
      <c r="E1240" s="40">
        <v>120000</v>
      </c>
    </row>
    <row r="1241">
      <c r="A1241" s="40">
        <v>179</v>
      </c>
      <c r="B1241" s="40" t="str">
        <v>50BT4 X2 Nguyễn Phan Chánh</v>
      </c>
      <c r="C1241" s="40">
        <v>462</v>
      </c>
      <c r="D1241" s="40" t="str">
        <v>[DV] Thư giãn cổ, vai, gáy bạc hà cam ngọt - Thư giãn tai sảng khoái 9 tầng mây 45k</v>
      </c>
      <c r="E1241" s="40">
        <v>45000</v>
      </c>
    </row>
    <row r="1242">
      <c r="A1242" s="40">
        <v>179</v>
      </c>
      <c r="B1242" s="40" t="str">
        <v>50BT4 X2 Nguyễn Phan Chánh</v>
      </c>
      <c r="C1242" s="40">
        <v>634</v>
      </c>
      <c r="D1242" s="40" t="str">
        <v>[DV] Tẩy da chết sủi bọt Hàn Quốc</v>
      </c>
      <c r="E1242" s="40">
        <v>35000</v>
      </c>
    </row>
    <row r="1243">
      <c r="A1243" s="40">
        <v>179</v>
      </c>
      <c r="B1243" s="40" t="str">
        <v>50BT4 X2 Nguyễn Phan Chánh</v>
      </c>
      <c r="C1243" s="40">
        <v>674</v>
      </c>
      <c r="D1243" s="40" t="str">
        <v>[DV] Uốn Texture con sâu/Uốn Ruffled</v>
      </c>
      <c r="E1243" s="40">
        <v>499000</v>
      </c>
    </row>
    <row r="1244">
      <c r="A1244" s="40">
        <v>179</v>
      </c>
      <c r="B1244" s="40" t="str">
        <v>50BT4 X2 Nguyễn Phan Chánh</v>
      </c>
      <c r="C1244" s="40">
        <v>941</v>
      </c>
      <c r="D1244" s="40" t="str">
        <v>[DV] Vuốt sáp - sấy tạo kiểu 10k</v>
      </c>
      <c r="E1244" s="40">
        <v>10000</v>
      </c>
    </row>
    <row r="1245">
      <c r="A1245" s="40">
        <v>179</v>
      </c>
      <c r="B1245" s="40" t="str">
        <v>50BT4 X2 Nguyễn Phan Chánh</v>
      </c>
      <c r="C1245" s="40">
        <v>902</v>
      </c>
      <c r="D1245" s="40" t="str">
        <v>[DV] Ép side hai bên</v>
      </c>
      <c r="E1245" s="40">
        <v>189000</v>
      </c>
    </row>
    <row r="1246">
      <c r="A1246" s="40">
        <v>179</v>
      </c>
      <c r="B1246" s="40" t="str">
        <v>50BT4 X2 Nguyễn Phan Chánh</v>
      </c>
      <c r="C1246" s="40">
        <v>940</v>
      </c>
      <c r="D1246" s="40" t="str">
        <v>[NEW] Gội dưỡng sinh</v>
      </c>
      <c r="E1246" s="40">
        <v>59000</v>
      </c>
    </row>
    <row r="1247">
      <c r="A1247" s="40">
        <v>179</v>
      </c>
      <c r="B1247" s="40" t="str">
        <v>50BT4 X2 Nguyễn Phan Chánh</v>
      </c>
      <c r="C1247" s="40">
        <v>603</v>
      </c>
      <c r="D1247" s="40" t="str">
        <v>Đánh bay mụn cám lột mụn (Full Face)</v>
      </c>
      <c r="E1247" s="40">
        <v>49000</v>
      </c>
    </row>
    <row r="1248">
      <c r="A1248" s="40">
        <v>182</v>
      </c>
      <c r="B1248" s="40" t="str">
        <v>186 Đinh Tiên Hoàng</v>
      </c>
      <c r="C1248" s="40">
        <v>610</v>
      </c>
      <c r="D1248" s="40" t="str">
        <v>(2022T) ATS Control Buffer - Khử mùi tạo thơm cho tóc uốn nhuộm 40k</v>
      </c>
      <c r="E1248" s="40">
        <v>40000</v>
      </c>
    </row>
    <row r="1249">
      <c r="A1249" s="40">
        <v>182</v>
      </c>
      <c r="B1249" s="40" t="str">
        <v>186 Đinh Tiên Hoàng</v>
      </c>
      <c r="C1249" s="40">
        <v>960</v>
      </c>
      <c r="D1249" s="40" t="str">
        <v>(NEW) Nhuộm màu thời trang Milano</v>
      </c>
      <c r="E1249" s="40">
        <v>366000</v>
      </c>
    </row>
    <row r="1250">
      <c r="A1250" s="40">
        <v>182</v>
      </c>
      <c r="B1250" s="40" t="str">
        <v>186 Đinh Tiên Hoàng</v>
      </c>
      <c r="C1250" s="40">
        <v>967</v>
      </c>
      <c r="D1250" s="40" t="str">
        <v>(NEW) Nhuộm phủ bạc tiêu chuẩn 199K</v>
      </c>
      <c r="E1250" s="40">
        <v>199000</v>
      </c>
    </row>
    <row r="1251">
      <c r="A1251" s="40">
        <v>182</v>
      </c>
      <c r="B1251" s="40" t="str">
        <v>186 Đinh Tiên Hoàng</v>
      </c>
      <c r="C1251" s="40">
        <v>1009</v>
      </c>
      <c r="D1251" s="40" t="str">
        <v>(NEW) Uốn/Duỗi/Định hình full đầu tạo form vào nếp tự nhiên</v>
      </c>
      <c r="E1251" s="40">
        <v>386000</v>
      </c>
    </row>
    <row r="1252">
      <c r="A1252" s="40">
        <v>182</v>
      </c>
      <c r="B1252" s="40" t="str">
        <v>186 Đinh Tiên Hoàng</v>
      </c>
      <c r="C1252" s="40">
        <v>1052</v>
      </c>
      <c r="D1252" s="40" t="str">
        <v>Combo 1 - First Class 1</v>
      </c>
      <c r="E1252" s="40">
        <v>159000</v>
      </c>
    </row>
    <row r="1253">
      <c r="A1253" s="40">
        <v>182</v>
      </c>
      <c r="B1253" s="40" t="str">
        <v>186 Đinh Tiên Hoàng</v>
      </c>
      <c r="C1253" s="40">
        <v>1048</v>
      </c>
      <c r="D1253" s="40" t="str">
        <v>Combo 4</v>
      </c>
      <c r="E1253" s="40">
        <v>379000</v>
      </c>
    </row>
    <row r="1254">
      <c r="A1254" s="40">
        <v>182</v>
      </c>
      <c r="B1254" s="40" t="str">
        <v>186 Đinh Tiên Hoàng</v>
      </c>
      <c r="C1254" s="40">
        <v>1048</v>
      </c>
      <c r="D1254" s="40" t="str">
        <v>Combo 4</v>
      </c>
      <c r="E1254" s="40">
        <v>389000</v>
      </c>
    </row>
    <row r="1255">
      <c r="A1255" s="40">
        <v>182</v>
      </c>
      <c r="B1255" s="40" t="str">
        <v>186 Đinh Tiên Hoàng</v>
      </c>
      <c r="C1255" s="40">
        <v>1070</v>
      </c>
      <c r="D1255" s="40" t="str">
        <v>Combo Cắt gội Kid</v>
      </c>
      <c r="E1255" s="40">
        <v>100000</v>
      </c>
    </row>
    <row r="1256">
      <c r="A1256" s="40">
        <v>182</v>
      </c>
      <c r="B1256" s="40" t="str">
        <v>186 Đinh Tiên Hoàng</v>
      </c>
      <c r="C1256" s="40">
        <v>1047</v>
      </c>
      <c r="D1256" s="40" t="str">
        <v>Cắt Gội Combo 3 - Chăm da</v>
      </c>
      <c r="E1256" s="40">
        <v>299000</v>
      </c>
    </row>
    <row r="1257">
      <c r="A1257" s="40">
        <v>182</v>
      </c>
      <c r="B1257" s="40" t="str">
        <v>186 Đinh Tiên Hoàng</v>
      </c>
      <c r="C1257" s="40">
        <v>891</v>
      </c>
      <c r="D1257" s="40" t="str">
        <v>Cắt xả tạo kiểu</v>
      </c>
      <c r="E1257" s="40">
        <v>90000</v>
      </c>
    </row>
    <row r="1258">
      <c r="A1258" s="40">
        <v>182</v>
      </c>
      <c r="B1258" s="40" t="str">
        <v>186 Đinh Tiên Hoàng</v>
      </c>
      <c r="C1258" s="40">
        <v>891</v>
      </c>
      <c r="D1258" s="40" t="str">
        <v>Cắt xả tạo kiểu</v>
      </c>
      <c r="E1258" s="40">
        <v>94000</v>
      </c>
    </row>
    <row r="1259">
      <c r="A1259" s="40">
        <v>182</v>
      </c>
      <c r="B1259" s="40" t="str">
        <v>186 Đinh Tiên Hoàng</v>
      </c>
      <c r="C1259" s="40">
        <v>1058</v>
      </c>
      <c r="D1259" s="40" t="str" xml:space="preserve">
        <v>Gội Combo 2 </v>
      </c>
      <c r="E1259" s="40">
        <v>159000</v>
      </c>
    </row>
    <row r="1260">
      <c r="A1260" s="40">
        <v>182</v>
      </c>
      <c r="B1260" s="40" t="str">
        <v>186 Đinh Tiên Hoàng</v>
      </c>
      <c r="C1260" s="40">
        <v>1059</v>
      </c>
      <c r="D1260" s="40" t="str">
        <v>Gội Combo 3 - Chăm da</v>
      </c>
      <c r="E1260" s="40">
        <v>239000</v>
      </c>
    </row>
    <row r="1261">
      <c r="A1261" s="40">
        <v>182</v>
      </c>
      <c r="B1261" s="40" t="str">
        <v>186 Đinh Tiên Hoàng</v>
      </c>
      <c r="C1261" s="40">
        <v>1059</v>
      </c>
      <c r="D1261" s="40" t="str">
        <v>Gội Combo 3 - Chăm da</v>
      </c>
      <c r="E1261" s="40">
        <v>219000</v>
      </c>
    </row>
    <row r="1262">
      <c r="A1262" s="40">
        <v>182</v>
      </c>
      <c r="B1262" s="40" t="str">
        <v>186 Đinh Tiên Hoàng</v>
      </c>
      <c r="C1262" s="40">
        <v>1060</v>
      </c>
      <c r="D1262" s="40" t="str">
        <v>Gội Combo 4</v>
      </c>
      <c r="E1262" s="40">
        <v>289000</v>
      </c>
    </row>
    <row r="1263">
      <c r="A1263" s="40">
        <v>182</v>
      </c>
      <c r="B1263" s="40" t="str">
        <v>186 Đinh Tiên Hoàng</v>
      </c>
      <c r="C1263" s="40">
        <v>1060</v>
      </c>
      <c r="D1263" s="40" t="str">
        <v>Gội Combo 4</v>
      </c>
      <c r="E1263" s="40">
        <v>319000</v>
      </c>
    </row>
    <row r="1264">
      <c r="A1264" s="40">
        <v>182</v>
      </c>
      <c r="B1264" s="40" t="str">
        <v>186 Đinh Tiên Hoàng</v>
      </c>
      <c r="C1264" s="40">
        <v>934</v>
      </c>
      <c r="D1264" s="40" t="str">
        <v>Gội combo 3 - Dưỡng sinh</v>
      </c>
      <c r="E1264" s="40">
        <v>229000</v>
      </c>
    </row>
    <row r="1265">
      <c r="A1265" s="40">
        <v>182</v>
      </c>
      <c r="B1265" s="40" t="str">
        <v>186 Đinh Tiên Hoàng</v>
      </c>
      <c r="C1265" s="40">
        <v>867</v>
      </c>
      <c r="D1265" s="40" t="str">
        <v>Gội dưỡng sinh cổ vai gáy</v>
      </c>
      <c r="E1265" s="40">
        <v>95000</v>
      </c>
    </row>
    <row r="1266">
      <c r="A1266" s="40">
        <v>182</v>
      </c>
      <c r="B1266" s="40" t="str">
        <v>186 Đinh Tiên Hoàng</v>
      </c>
      <c r="C1266" s="40">
        <v>867</v>
      </c>
      <c r="D1266" s="40" t="str">
        <v>Gội dưỡng sinh cổ vai gáy</v>
      </c>
      <c r="E1266" s="40">
        <v>99000</v>
      </c>
    </row>
    <row r="1267">
      <c r="A1267" s="40">
        <v>182</v>
      </c>
      <c r="B1267" s="40" t="str">
        <v>186 Đinh Tiên Hoàng</v>
      </c>
      <c r="C1267" s="40">
        <v>1068</v>
      </c>
      <c r="D1267" s="40" t="str">
        <v>Gội trải nghiệm 115p</v>
      </c>
      <c r="E1267" s="40">
        <v>999000</v>
      </c>
    </row>
    <row r="1268">
      <c r="A1268" s="40">
        <v>182</v>
      </c>
      <c r="B1268" s="40" t="str">
        <v>186 Đinh Tiên Hoàng</v>
      </c>
      <c r="C1268" s="40">
        <v>1066</v>
      </c>
      <c r="D1268" s="40" t="str">
        <v>Gội trải nghiệm 75p</v>
      </c>
      <c r="E1268" s="40">
        <v>589000</v>
      </c>
    </row>
    <row r="1269">
      <c r="A1269" s="40">
        <v>182</v>
      </c>
      <c r="B1269" s="40" t="str">
        <v>186 Đinh Tiên Hoàng</v>
      </c>
      <c r="C1269" s="40">
        <v>1067</v>
      </c>
      <c r="D1269" s="40" t="str">
        <v>Gội trải nghiệm 90p</v>
      </c>
      <c r="E1269" s="40">
        <v>789000</v>
      </c>
    </row>
    <row r="1270">
      <c r="A1270" s="40">
        <v>182</v>
      </c>
      <c r="B1270" s="40" t="str">
        <v>186 Đinh Tiên Hoàng</v>
      </c>
      <c r="C1270" s="40">
        <v>1002</v>
      </c>
      <c r="D1270" s="40" t="str">
        <v>Kid Cắt</v>
      </c>
      <c r="E1270" s="40">
        <v>75000</v>
      </c>
    </row>
    <row r="1271">
      <c r="A1271" s="40">
        <v>182</v>
      </c>
      <c r="B1271" s="40" t="str">
        <v>186 Đinh Tiên Hoàng</v>
      </c>
      <c r="C1271" s="40">
        <v>1149</v>
      </c>
      <c r="D1271" s="40" t="str">
        <v>NHUỘM THIẾT KẾ PHỤC HỒI CHUYÊN SÂU LIPID BOND 2025</v>
      </c>
      <c r="E1271" s="40">
        <v>759000</v>
      </c>
    </row>
    <row r="1272">
      <c r="A1272" s="40">
        <v>182</v>
      </c>
      <c r="B1272" s="40" t="str">
        <v>186 Đinh Tiên Hoàng</v>
      </c>
      <c r="C1272" s="40">
        <v>615</v>
      </c>
      <c r="D1272" s="40" t="str">
        <v>Nhổ tóc bạc buổi trưa</v>
      </c>
      <c r="E1272" s="40">
        <v>150000</v>
      </c>
    </row>
    <row r="1273">
      <c r="A1273" s="40">
        <v>182</v>
      </c>
      <c r="B1273" s="40" t="str">
        <v>186 Đinh Tiên Hoàng</v>
      </c>
      <c r="C1273" s="40">
        <v>1101</v>
      </c>
      <c r="D1273" s="40" t="str">
        <v>Phục hồi trẻ hóa Lipid Bond</v>
      </c>
      <c r="E1273" s="40">
        <v>146000</v>
      </c>
    </row>
    <row r="1274">
      <c r="A1274" s="40">
        <v>182</v>
      </c>
      <c r="B1274" s="40" t="str">
        <v>186 Đinh Tiên Hoàng</v>
      </c>
      <c r="C1274" s="40">
        <v>1046</v>
      </c>
      <c r="D1274" s="40" t="str" xml:space="preserve">
        <v>Shinecombo 2 </v>
      </c>
      <c r="E1274" s="40">
        <v>199000</v>
      </c>
    </row>
    <row r="1275">
      <c r="A1275" s="40">
        <v>182</v>
      </c>
      <c r="B1275" s="40" t="str">
        <v>186 Đinh Tiên Hoàng</v>
      </c>
      <c r="C1275" s="40">
        <v>1148</v>
      </c>
      <c r="D1275" s="40" t="str">
        <v>UỐN THIẾT KẾ PHỤC HỒI CHUYÊN SÂU LIPID BOND 2025</v>
      </c>
      <c r="E1275" s="40">
        <v>689000</v>
      </c>
    </row>
    <row r="1276">
      <c r="A1276" s="40">
        <v>182</v>
      </c>
      <c r="B1276" s="40" t="str">
        <v>186 Đinh Tiên Hoàng</v>
      </c>
      <c r="C1276" s="40">
        <v>952</v>
      </c>
      <c r="D1276" s="40" t="str">
        <v>Uốn định hình nếp tóc cao cấp (K-Perm Collection)</v>
      </c>
      <c r="E1276" s="40">
        <v>478000</v>
      </c>
    </row>
    <row r="1277">
      <c r="A1277" s="40">
        <v>182</v>
      </c>
      <c r="B1277" s="40" t="str">
        <v>186 Đinh Tiên Hoàng</v>
      </c>
      <c r="C1277" s="40">
        <v>635</v>
      </c>
      <c r="D1277" s="40" t="str">
        <v>[DV] Detox tẩy da chết da đầu</v>
      </c>
      <c r="E1277" s="40">
        <v>45000</v>
      </c>
    </row>
    <row r="1278">
      <c r="A1278" s="40">
        <v>182</v>
      </c>
      <c r="B1278" s="40" t="str">
        <v>186 Đinh Tiên Hoàng</v>
      </c>
      <c r="C1278" s="40">
        <v>636</v>
      </c>
      <c r="D1278" s="40" t="str">
        <v>[DV] Mặt nạ lạnh Hàn Quốc</v>
      </c>
      <c r="E1278" s="40">
        <v>35000</v>
      </c>
    </row>
    <row r="1279">
      <c r="A1279" s="40">
        <v>182</v>
      </c>
      <c r="B1279" s="40" t="str">
        <v>186 Đinh Tiên Hoàng</v>
      </c>
      <c r="C1279" s="40">
        <v>625</v>
      </c>
      <c r="D1279" s="40" t="str">
        <v>[DV] Mặt nạ tẩy da chết sủi bọt cao cấp</v>
      </c>
      <c r="E1279" s="40">
        <v>55000</v>
      </c>
    </row>
    <row r="1280">
      <c r="A1280" s="40">
        <v>182</v>
      </c>
      <c r="B1280" s="40" t="str">
        <v>186 Đinh Tiên Hoàng</v>
      </c>
      <c r="C1280" s="40">
        <v>912</v>
      </c>
      <c r="D1280" s="40" t="str">
        <v>[DV] Nhuộm đen phủ bạc R&amp;B thảo dược</v>
      </c>
      <c r="E1280" s="40">
        <v>289000</v>
      </c>
    </row>
    <row r="1281">
      <c r="A1281" s="40">
        <v>182</v>
      </c>
      <c r="B1281" s="40" t="str">
        <v>186 Đinh Tiên Hoàng</v>
      </c>
      <c r="C1281" s="40">
        <v>513</v>
      </c>
      <c r="D1281" s="40" t="str">
        <v>[DV] ShineCombo 10 bước Ultra Care 2023</v>
      </c>
      <c r="E1281" s="40">
        <v>122000</v>
      </c>
    </row>
    <row r="1282">
      <c r="A1282" s="40">
        <v>182</v>
      </c>
      <c r="B1282" s="40" t="str">
        <v>186 Đinh Tiên Hoàng</v>
      </c>
      <c r="C1282" s="40">
        <v>513</v>
      </c>
      <c r="D1282" s="40" t="str">
        <v>[DV] ShineCombo 10 bước Ultra Care 2023</v>
      </c>
      <c r="E1282" s="40">
        <v>120000</v>
      </c>
    </row>
    <row r="1283">
      <c r="A1283" s="40">
        <v>182</v>
      </c>
      <c r="B1283" s="40" t="str">
        <v>186 Đinh Tiên Hoàng</v>
      </c>
      <c r="C1283" s="40">
        <v>462</v>
      </c>
      <c r="D1283" s="40" t="str">
        <v>[DV] Thư giãn cổ, vai, gáy bạc hà cam ngọt - Thư giãn tai sảng khoái 9 tầng mây 45k</v>
      </c>
      <c r="E1283" s="40">
        <v>45000</v>
      </c>
    </row>
    <row r="1284">
      <c r="A1284" s="40">
        <v>182</v>
      </c>
      <c r="B1284" s="40" t="str">
        <v>186 Đinh Tiên Hoàng</v>
      </c>
      <c r="C1284" s="40">
        <v>634</v>
      </c>
      <c r="D1284" s="40" t="str">
        <v>[DV] Tẩy da chết sủi bọt Hàn Quốc</v>
      </c>
      <c r="E1284" s="40">
        <v>35000</v>
      </c>
    </row>
    <row r="1285">
      <c r="A1285" s="40">
        <v>182</v>
      </c>
      <c r="B1285" s="40" t="str">
        <v>186 Đinh Tiên Hoàng</v>
      </c>
      <c r="C1285" s="40">
        <v>915</v>
      </c>
      <c r="D1285" s="40" t="str">
        <v>[DV] Tẩy tóc bật tông Ý (1 lần)</v>
      </c>
      <c r="E1285" s="40">
        <v>252000</v>
      </c>
    </row>
    <row r="1286">
      <c r="A1286" s="40">
        <v>182</v>
      </c>
      <c r="B1286" s="40" t="str">
        <v>186 Đinh Tiên Hoàng</v>
      </c>
      <c r="C1286" s="40">
        <v>674</v>
      </c>
      <c r="D1286" s="40" t="str">
        <v>[DV] Uốn Texture con sâu/Uốn Ruffled</v>
      </c>
      <c r="E1286" s="40">
        <v>550000</v>
      </c>
    </row>
    <row r="1287">
      <c r="A1287" s="40">
        <v>182</v>
      </c>
      <c r="B1287" s="40" t="str">
        <v>186 Đinh Tiên Hoàng</v>
      </c>
      <c r="C1287" s="40">
        <v>941</v>
      </c>
      <c r="D1287" s="40" t="str">
        <v>[DV] Vuốt sáp - sấy tạo kiểu 10k</v>
      </c>
      <c r="E1287" s="40">
        <v>10000</v>
      </c>
    </row>
    <row r="1288">
      <c r="A1288" s="40">
        <v>182</v>
      </c>
      <c r="B1288" s="40" t="str">
        <v>186 Đinh Tiên Hoàng</v>
      </c>
      <c r="C1288" s="40">
        <v>902</v>
      </c>
      <c r="D1288" s="40" t="str">
        <v>[DV] Ép side hai bên</v>
      </c>
      <c r="E1288" s="40">
        <v>216000</v>
      </c>
    </row>
    <row r="1289">
      <c r="A1289" s="40">
        <v>182</v>
      </c>
      <c r="B1289" s="40" t="str">
        <v>186 Đinh Tiên Hoàng</v>
      </c>
      <c r="C1289" s="40">
        <v>940</v>
      </c>
      <c r="D1289" s="40" t="str">
        <v>[NEW] Gội dưỡng sinh</v>
      </c>
      <c r="E1289" s="40">
        <v>50000</v>
      </c>
    </row>
    <row r="1290">
      <c r="A1290" s="40">
        <v>182</v>
      </c>
      <c r="B1290" s="40" t="str">
        <v>186 Đinh Tiên Hoàng</v>
      </c>
      <c r="C1290" s="40">
        <v>940</v>
      </c>
      <c r="D1290" s="40" t="str">
        <v>[NEW] Gội dưỡng sinh</v>
      </c>
      <c r="E1290" s="40">
        <v>59000</v>
      </c>
    </row>
    <row r="1291">
      <c r="A1291" s="40">
        <v>182</v>
      </c>
      <c r="B1291" s="40" t="str">
        <v>186 Đinh Tiên Hoàng</v>
      </c>
      <c r="C1291" s="40">
        <v>1242</v>
      </c>
      <c r="D1291" s="40" t="str">
        <v>combo cắt gội tiện lợi</v>
      </c>
      <c r="E1291" s="40">
        <v>199000</v>
      </c>
    </row>
    <row r="1292">
      <c r="A1292" s="40">
        <v>182</v>
      </c>
      <c r="B1292" s="40" t="str">
        <v>186 Đinh Tiên Hoàng</v>
      </c>
      <c r="C1292" s="40">
        <v>603</v>
      </c>
      <c r="D1292" s="40" t="str">
        <v>Đánh bay mụn cám lột mụn (Full Face)</v>
      </c>
      <c r="E1292" s="40">
        <v>49000</v>
      </c>
    </row>
    <row r="1293">
      <c r="A1293" s="40">
        <v>184</v>
      </c>
      <c r="B1293" s="40" t="str">
        <v>36 đường N1, KCN Mỹ Phước 1</v>
      </c>
      <c r="C1293" s="40">
        <v>610</v>
      </c>
      <c r="D1293" s="40" t="str">
        <v>(2022T) ATS Control Buffer - Khử mùi tạo thơm cho tóc uốn nhuộm 40k</v>
      </c>
      <c r="E1293" s="40">
        <v>40000</v>
      </c>
    </row>
    <row r="1294">
      <c r="A1294" s="40">
        <v>184</v>
      </c>
      <c r="B1294" s="40" t="str">
        <v>36 đường N1, KCN Mỹ Phước 1</v>
      </c>
      <c r="C1294" s="40">
        <v>960</v>
      </c>
      <c r="D1294" s="40" t="str">
        <v>(NEW) Nhuộm màu thời trang Milano</v>
      </c>
      <c r="E1294" s="40">
        <v>332000</v>
      </c>
    </row>
    <row r="1295">
      <c r="A1295" s="40">
        <v>184</v>
      </c>
      <c r="B1295" s="40" t="str">
        <v>36 đường N1, KCN Mỹ Phước 1</v>
      </c>
      <c r="C1295" s="40">
        <v>967</v>
      </c>
      <c r="D1295" s="40" t="str">
        <v>(NEW) Nhuộm phủ bạc tiêu chuẩn 199K</v>
      </c>
      <c r="E1295" s="40">
        <v>199000</v>
      </c>
    </row>
    <row r="1296">
      <c r="A1296" s="40">
        <v>184</v>
      </c>
      <c r="B1296" s="40" t="str">
        <v>36 đường N1, KCN Mỹ Phước 1</v>
      </c>
      <c r="C1296" s="40">
        <v>1009</v>
      </c>
      <c r="D1296" s="40" t="str">
        <v>(NEW) Uốn/Duỗi/Định hình full đầu tạo form vào nếp tự nhiên</v>
      </c>
      <c r="E1296" s="40">
        <v>386000</v>
      </c>
    </row>
    <row r="1297">
      <c r="A1297" s="40">
        <v>184</v>
      </c>
      <c r="B1297" s="40" t="str">
        <v>36 đường N1, KCN Mỹ Phước 1</v>
      </c>
      <c r="C1297" s="40">
        <v>1048</v>
      </c>
      <c r="D1297" s="40" t="str">
        <v>Combo 4</v>
      </c>
      <c r="E1297" s="40">
        <v>389000</v>
      </c>
    </row>
    <row r="1298">
      <c r="A1298" s="40">
        <v>184</v>
      </c>
      <c r="B1298" s="40" t="str">
        <v>36 đường N1, KCN Mỹ Phước 1</v>
      </c>
      <c r="C1298" s="40">
        <v>1048</v>
      </c>
      <c r="D1298" s="40" t="str">
        <v>Combo 4</v>
      </c>
      <c r="E1298" s="40">
        <v>379000</v>
      </c>
    </row>
    <row r="1299">
      <c r="A1299" s="40">
        <v>184</v>
      </c>
      <c r="B1299" s="40" t="str">
        <v>36 đường N1, KCN Mỹ Phước 1</v>
      </c>
      <c r="C1299" s="40">
        <v>1070</v>
      </c>
      <c r="D1299" s="40" t="str">
        <v>Combo Cắt gội Kid</v>
      </c>
      <c r="E1299" s="40">
        <v>100000</v>
      </c>
    </row>
    <row r="1300">
      <c r="A1300" s="40">
        <v>184</v>
      </c>
      <c r="B1300" s="40" t="str">
        <v>36 đường N1, KCN Mỹ Phước 1</v>
      </c>
      <c r="C1300" s="40">
        <v>1150</v>
      </c>
      <c r="D1300" s="40" t="str">
        <v>Combo cắt gội đỉnh cao thư giãn vip</v>
      </c>
      <c r="E1300" s="40">
        <v>500000</v>
      </c>
    </row>
    <row r="1301">
      <c r="A1301" s="40">
        <v>184</v>
      </c>
      <c r="B1301" s="40" t="str">
        <v>36 đường N1, KCN Mỹ Phước 1</v>
      </c>
      <c r="C1301" s="40">
        <v>1047</v>
      </c>
      <c r="D1301" s="40" t="str">
        <v>Cắt Gội Combo 3 - Chăm da</v>
      </c>
      <c r="E1301" s="40">
        <v>299000</v>
      </c>
    </row>
    <row r="1302">
      <c r="A1302" s="40">
        <v>184</v>
      </c>
      <c r="B1302" s="40" t="str">
        <v>36 đường N1, KCN Mỹ Phước 1</v>
      </c>
      <c r="C1302" s="40">
        <v>1065</v>
      </c>
      <c r="D1302" s="40" t="str">
        <v>Cắt Gội Combo 3 - Dưỡng sinh</v>
      </c>
      <c r="E1302" s="40">
        <v>299000</v>
      </c>
    </row>
    <row r="1303">
      <c r="A1303" s="40">
        <v>184</v>
      </c>
      <c r="B1303" s="40" t="str">
        <v>36 đường N1, KCN Mỹ Phước 1</v>
      </c>
      <c r="C1303" s="40">
        <v>891</v>
      </c>
      <c r="D1303" s="40" t="str">
        <v>Cắt xả tạo kiểu</v>
      </c>
      <c r="E1303" s="40">
        <v>94000</v>
      </c>
    </row>
    <row r="1304">
      <c r="A1304" s="40">
        <v>184</v>
      </c>
      <c r="B1304" s="40" t="str">
        <v>36 đường N1, KCN Mỹ Phước 1</v>
      </c>
      <c r="C1304" s="40">
        <v>891</v>
      </c>
      <c r="D1304" s="40" t="str">
        <v>Cắt xả tạo kiểu</v>
      </c>
      <c r="E1304" s="40">
        <v>90000</v>
      </c>
    </row>
    <row r="1305">
      <c r="A1305" s="40">
        <v>184</v>
      </c>
      <c r="B1305" s="40" t="str">
        <v>36 đường N1, KCN Mỹ Phước 1</v>
      </c>
      <c r="C1305" s="40">
        <v>1058</v>
      </c>
      <c r="D1305" s="40" t="str" xml:space="preserve">
        <v>Gội Combo 2 </v>
      </c>
      <c r="E1305" s="40">
        <v>159000</v>
      </c>
    </row>
    <row r="1306">
      <c r="A1306" s="40">
        <v>184</v>
      </c>
      <c r="B1306" s="40" t="str">
        <v>36 đường N1, KCN Mỹ Phước 1</v>
      </c>
      <c r="C1306" s="40">
        <v>1060</v>
      </c>
      <c r="D1306" s="40" t="str">
        <v>Gội Combo 4</v>
      </c>
      <c r="E1306" s="40">
        <v>289000</v>
      </c>
    </row>
    <row r="1307">
      <c r="A1307" s="40">
        <v>184</v>
      </c>
      <c r="B1307" s="40" t="str">
        <v>36 đường N1, KCN Mỹ Phước 1</v>
      </c>
      <c r="C1307" s="40">
        <v>1060</v>
      </c>
      <c r="D1307" s="40" t="str">
        <v>Gội Combo 4</v>
      </c>
      <c r="E1307" s="40">
        <v>319000</v>
      </c>
    </row>
    <row r="1308">
      <c r="A1308" s="40">
        <v>184</v>
      </c>
      <c r="B1308" s="40" t="str">
        <v>36 đường N1, KCN Mỹ Phước 1</v>
      </c>
      <c r="C1308" s="40">
        <v>934</v>
      </c>
      <c r="D1308" s="40" t="str">
        <v>Gội combo 3 - Dưỡng sinh</v>
      </c>
      <c r="E1308" s="40">
        <v>229000</v>
      </c>
    </row>
    <row r="1309">
      <c r="A1309" s="40">
        <v>184</v>
      </c>
      <c r="B1309" s="40" t="str">
        <v>36 đường N1, KCN Mỹ Phước 1</v>
      </c>
      <c r="C1309" s="40">
        <v>867</v>
      </c>
      <c r="D1309" s="40" t="str">
        <v>Gội dưỡng sinh cổ vai gáy</v>
      </c>
      <c r="E1309" s="40">
        <v>79000</v>
      </c>
    </row>
    <row r="1310">
      <c r="A1310" s="40">
        <v>184</v>
      </c>
      <c r="B1310" s="40" t="str">
        <v>36 đường N1, KCN Mỹ Phước 1</v>
      </c>
      <c r="C1310" s="40">
        <v>1002</v>
      </c>
      <c r="D1310" s="40" t="str">
        <v>Kid Cắt</v>
      </c>
      <c r="E1310" s="40">
        <v>75000</v>
      </c>
    </row>
    <row r="1311">
      <c r="A1311" s="40">
        <v>184</v>
      </c>
      <c r="B1311" s="40" t="str">
        <v>36 đường N1, KCN Mỹ Phước 1</v>
      </c>
      <c r="C1311" s="40">
        <v>615</v>
      </c>
      <c r="D1311" s="40" t="str">
        <v>Nhổ tóc bạc buổi trưa</v>
      </c>
      <c r="E1311" s="40">
        <v>150000</v>
      </c>
    </row>
    <row r="1312">
      <c r="A1312" s="40">
        <v>184</v>
      </c>
      <c r="B1312" s="40" t="str">
        <v>36 đường N1, KCN Mỹ Phước 1</v>
      </c>
      <c r="C1312" s="40">
        <v>1101</v>
      </c>
      <c r="D1312" s="40" t="str">
        <v>Phục hồi trẻ hóa Lipid Bond</v>
      </c>
      <c r="E1312" s="40">
        <v>146000</v>
      </c>
    </row>
    <row r="1313">
      <c r="A1313" s="40">
        <v>184</v>
      </c>
      <c r="B1313" s="40" t="str">
        <v>36 đường N1, KCN Mỹ Phước 1</v>
      </c>
      <c r="C1313" s="40">
        <v>1046</v>
      </c>
      <c r="D1313" s="40" t="str" xml:space="preserve">
        <v>Shinecombo 2 </v>
      </c>
      <c r="E1313" s="40">
        <v>199000</v>
      </c>
    </row>
    <row r="1314">
      <c r="A1314" s="40">
        <v>184</v>
      </c>
      <c r="B1314" s="40" t="str">
        <v>36 đường N1, KCN Mỹ Phước 1</v>
      </c>
      <c r="C1314" s="40">
        <v>1148</v>
      </c>
      <c r="D1314" s="40" t="str">
        <v>UỐN THIẾT KẾ PHỤC HỒI CHUYÊN SÂU LIPID BOND 2025</v>
      </c>
      <c r="E1314" s="40">
        <v>689000</v>
      </c>
    </row>
    <row r="1315">
      <c r="A1315" s="40">
        <v>184</v>
      </c>
      <c r="B1315" s="40" t="str">
        <v>36 đường N1, KCN Mỹ Phước 1</v>
      </c>
      <c r="C1315" s="40">
        <v>952</v>
      </c>
      <c r="D1315" s="40" t="str">
        <v>Uốn định hình nếp tóc cao cấp (K-Perm Collection)</v>
      </c>
      <c r="E1315" s="40">
        <v>478000</v>
      </c>
    </row>
    <row r="1316">
      <c r="A1316" s="40">
        <v>184</v>
      </c>
      <c r="B1316" s="40" t="str">
        <v>36 đường N1, KCN Mỹ Phước 1</v>
      </c>
      <c r="C1316" s="40">
        <v>1193</v>
      </c>
      <c r="D1316" s="40" t="str">
        <v>Uốn/ Nhuộm thiết kế phục hồi 2025</v>
      </c>
      <c r="E1316" s="40">
        <v>1199000</v>
      </c>
    </row>
    <row r="1317">
      <c r="A1317" s="40">
        <v>184</v>
      </c>
      <c r="B1317" s="40" t="str">
        <v>36 đường N1, KCN Mỹ Phước 1</v>
      </c>
      <c r="C1317" s="40">
        <v>636</v>
      </c>
      <c r="D1317" s="40" t="str">
        <v>[DV] Mặt nạ lạnh Hàn Quốc</v>
      </c>
      <c r="E1317" s="40">
        <v>35000</v>
      </c>
    </row>
    <row r="1318">
      <c r="A1318" s="40">
        <v>184</v>
      </c>
      <c r="B1318" s="40" t="str">
        <v>36 đường N1, KCN Mỹ Phước 1</v>
      </c>
      <c r="C1318" s="40">
        <v>625</v>
      </c>
      <c r="D1318" s="40" t="str">
        <v>[DV] Mặt nạ tẩy da chết sủi bọt cao cấp</v>
      </c>
      <c r="E1318" s="40">
        <v>55000</v>
      </c>
    </row>
    <row r="1319">
      <c r="A1319" s="40">
        <v>184</v>
      </c>
      <c r="B1319" s="40" t="str">
        <v>36 đường N1, KCN Mỹ Phước 1</v>
      </c>
      <c r="C1319" s="40">
        <v>912</v>
      </c>
      <c r="D1319" s="40" t="str">
        <v>[DV] Nhuộm đen phủ bạc R&amp;B thảo dược</v>
      </c>
      <c r="E1319" s="40">
        <v>289000</v>
      </c>
    </row>
    <row r="1320">
      <c r="A1320" s="40">
        <v>184</v>
      </c>
      <c r="B1320" s="40" t="str">
        <v>36 đường N1, KCN Mỹ Phước 1</v>
      </c>
      <c r="C1320" s="40">
        <v>513</v>
      </c>
      <c r="D1320" s="40" t="str">
        <v>[DV] ShineCombo 10 bước Ultra Care 2023</v>
      </c>
      <c r="E1320" s="40">
        <v>122000</v>
      </c>
    </row>
    <row r="1321">
      <c r="A1321" s="40">
        <v>184</v>
      </c>
      <c r="B1321" s="40" t="str">
        <v>36 đường N1, KCN Mỹ Phước 1</v>
      </c>
      <c r="C1321" s="40">
        <v>513</v>
      </c>
      <c r="D1321" s="40" t="str">
        <v>[DV] ShineCombo 10 bước Ultra Care 2023</v>
      </c>
      <c r="E1321" s="40">
        <v>120000</v>
      </c>
    </row>
    <row r="1322">
      <c r="A1322" s="40">
        <v>184</v>
      </c>
      <c r="B1322" s="40" t="str">
        <v>36 đường N1, KCN Mỹ Phước 1</v>
      </c>
      <c r="C1322" s="40">
        <v>674</v>
      </c>
      <c r="D1322" s="40" t="str">
        <v>[DV] Uốn Texture con sâu/Uốn Ruffled</v>
      </c>
      <c r="E1322" s="40">
        <v>499000</v>
      </c>
    </row>
    <row r="1323">
      <c r="A1323" s="40">
        <v>184</v>
      </c>
      <c r="B1323" s="40" t="str">
        <v>36 đường N1, KCN Mỹ Phước 1</v>
      </c>
      <c r="C1323" s="40">
        <v>941</v>
      </c>
      <c r="D1323" s="40" t="str">
        <v>[DV] Vuốt sáp - sấy tạo kiểu 10k</v>
      </c>
      <c r="E1323" s="40">
        <v>10000</v>
      </c>
    </row>
    <row r="1324">
      <c r="A1324" s="40">
        <v>184</v>
      </c>
      <c r="B1324" s="40" t="str">
        <v>36 đường N1, KCN Mỹ Phước 1</v>
      </c>
      <c r="C1324" s="40">
        <v>940</v>
      </c>
      <c r="D1324" s="40" t="str">
        <v>[NEW] Gội dưỡng sinh</v>
      </c>
      <c r="E1324" s="40">
        <v>59000</v>
      </c>
    </row>
    <row r="1325">
      <c r="A1325" s="40">
        <v>184</v>
      </c>
      <c r="B1325" s="40" t="str">
        <v>36 đường N1, KCN Mỹ Phước 1</v>
      </c>
      <c r="C1325" s="40">
        <v>603</v>
      </c>
      <c r="D1325" s="40" t="str">
        <v>Đánh bay mụn cám lột mụn (Full Face)</v>
      </c>
      <c r="E1325" s="40">
        <v>49000</v>
      </c>
    </row>
    <row r="1326">
      <c r="A1326" s="40">
        <v>187</v>
      </c>
      <c r="B1326" s="40" t="str">
        <v>Chelsea Park, 116 Trung Kính</v>
      </c>
      <c r="C1326" s="40">
        <v>610</v>
      </c>
      <c r="D1326" s="40" t="str">
        <v>(2022T) ATS Control Buffer - Khử mùi tạo thơm cho tóc uốn nhuộm 40k</v>
      </c>
      <c r="E1326" s="40">
        <v>40000</v>
      </c>
    </row>
    <row r="1327">
      <c r="A1327" s="40">
        <v>187</v>
      </c>
      <c r="B1327" s="40" t="str">
        <v>Chelsea Park, 116 Trung Kính</v>
      </c>
      <c r="C1327" s="40">
        <v>960</v>
      </c>
      <c r="D1327" s="40" t="str">
        <v>(NEW) Nhuộm màu thời trang Milano</v>
      </c>
      <c r="E1327" s="40">
        <v>332000</v>
      </c>
    </row>
    <row r="1328">
      <c r="A1328" s="40">
        <v>187</v>
      </c>
      <c r="B1328" s="40" t="str">
        <v>Chelsea Park, 116 Trung Kính</v>
      </c>
      <c r="C1328" s="40">
        <v>967</v>
      </c>
      <c r="D1328" s="40" t="str">
        <v>(NEW) Nhuộm phủ bạc tiêu chuẩn 199K</v>
      </c>
      <c r="E1328" s="40">
        <v>209000</v>
      </c>
    </row>
    <row r="1329">
      <c r="A1329" s="40">
        <v>187</v>
      </c>
      <c r="B1329" s="40" t="str">
        <v>Chelsea Park, 116 Trung Kính</v>
      </c>
      <c r="C1329" s="40">
        <v>1009</v>
      </c>
      <c r="D1329" s="40" t="str">
        <v>(NEW) Uốn/Duỗi/Định hình full đầu tạo form vào nếp tự nhiên</v>
      </c>
      <c r="E1329" s="40">
        <v>386000</v>
      </c>
    </row>
    <row r="1330">
      <c r="A1330" s="40">
        <v>187</v>
      </c>
      <c r="B1330" s="40" t="str">
        <v>Chelsea Park, 116 Trung Kính</v>
      </c>
      <c r="C1330" s="40">
        <v>1052</v>
      </c>
      <c r="D1330" s="40" t="str">
        <v>Combo 1 - First Class 1</v>
      </c>
      <c r="E1330" s="40">
        <v>159000</v>
      </c>
    </row>
    <row r="1331">
      <c r="A1331" s="40">
        <v>187</v>
      </c>
      <c r="B1331" s="40" t="str">
        <v>Chelsea Park, 116 Trung Kính</v>
      </c>
      <c r="C1331" s="40">
        <v>1054</v>
      </c>
      <c r="D1331" s="40" t="str">
        <v>Combo 3 - First Class 3</v>
      </c>
      <c r="E1331" s="40">
        <v>299000</v>
      </c>
    </row>
    <row r="1332">
      <c r="A1332" s="40">
        <v>187</v>
      </c>
      <c r="B1332" s="40" t="str">
        <v>Chelsea Park, 116 Trung Kính</v>
      </c>
      <c r="C1332" s="40">
        <v>1048</v>
      </c>
      <c r="D1332" s="40" t="str">
        <v>Combo 4</v>
      </c>
      <c r="E1332" s="40">
        <v>389000</v>
      </c>
    </row>
    <row r="1333">
      <c r="A1333" s="40">
        <v>187</v>
      </c>
      <c r="B1333" s="40" t="str">
        <v>Chelsea Park, 116 Trung Kính</v>
      </c>
      <c r="C1333" s="40">
        <v>1048</v>
      </c>
      <c r="D1333" s="40" t="str">
        <v>Combo 4</v>
      </c>
      <c r="E1333" s="40">
        <v>379000</v>
      </c>
    </row>
    <row r="1334">
      <c r="A1334" s="40">
        <v>187</v>
      </c>
      <c r="B1334" s="40" t="str">
        <v>Chelsea Park, 116 Trung Kính</v>
      </c>
      <c r="C1334" s="40">
        <v>1070</v>
      </c>
      <c r="D1334" s="40" t="str">
        <v>Combo Cắt gội Kid</v>
      </c>
      <c r="E1334" s="40">
        <v>100000</v>
      </c>
    </row>
    <row r="1335">
      <c r="A1335" s="40">
        <v>187</v>
      </c>
      <c r="B1335" s="40" t="str">
        <v>Chelsea Park, 116 Trung Kính</v>
      </c>
      <c r="C1335" s="40">
        <v>1047</v>
      </c>
      <c r="D1335" s="40" t="str">
        <v>Cắt Gội Combo 3 - Chăm da</v>
      </c>
      <c r="E1335" s="40">
        <v>299000</v>
      </c>
    </row>
    <row r="1336">
      <c r="A1336" s="40">
        <v>187</v>
      </c>
      <c r="B1336" s="40" t="str">
        <v>Chelsea Park, 116 Trung Kính</v>
      </c>
      <c r="C1336" s="40">
        <v>1065</v>
      </c>
      <c r="D1336" s="40" t="str">
        <v>Cắt Gội Combo 3 - Dưỡng sinh</v>
      </c>
      <c r="E1336" s="40">
        <v>299000</v>
      </c>
    </row>
    <row r="1337">
      <c r="A1337" s="40">
        <v>187</v>
      </c>
      <c r="B1337" s="40" t="str">
        <v>Chelsea Park, 116 Trung Kính</v>
      </c>
      <c r="C1337" s="40">
        <v>1064</v>
      </c>
      <c r="D1337" s="40" t="str">
        <v>Cắt Gội Combo 5 - Dưỡng sinh</v>
      </c>
      <c r="E1337" s="40">
        <v>459000</v>
      </c>
    </row>
    <row r="1338">
      <c r="A1338" s="40">
        <v>187</v>
      </c>
      <c r="B1338" s="40" t="str">
        <v>Chelsea Park, 116 Trung Kính</v>
      </c>
      <c r="C1338" s="40">
        <v>891</v>
      </c>
      <c r="D1338" s="40" t="str">
        <v>Cắt xả tạo kiểu</v>
      </c>
      <c r="E1338" s="40">
        <v>90000</v>
      </c>
    </row>
    <row r="1339">
      <c r="A1339" s="40">
        <v>187</v>
      </c>
      <c r="B1339" s="40" t="str">
        <v>Chelsea Park, 116 Trung Kính</v>
      </c>
      <c r="C1339" s="40">
        <v>891</v>
      </c>
      <c r="D1339" s="40" t="str">
        <v>Cắt xả tạo kiểu</v>
      </c>
      <c r="E1339" s="40">
        <v>94000</v>
      </c>
    </row>
    <row r="1340">
      <c r="A1340" s="40">
        <v>187</v>
      </c>
      <c r="B1340" s="40" t="str">
        <v>Chelsea Park, 116 Trung Kính</v>
      </c>
      <c r="C1340" s="40">
        <v>1058</v>
      </c>
      <c r="D1340" s="40" t="str" xml:space="preserve">
        <v>Gội Combo 2 </v>
      </c>
      <c r="E1340" s="40">
        <v>159000</v>
      </c>
    </row>
    <row r="1341">
      <c r="A1341" s="40">
        <v>187</v>
      </c>
      <c r="B1341" s="40" t="str">
        <v>Chelsea Park, 116 Trung Kính</v>
      </c>
      <c r="C1341" s="40">
        <v>1059</v>
      </c>
      <c r="D1341" s="40" t="str">
        <v>Gội Combo 3 - Chăm da</v>
      </c>
      <c r="E1341" s="40">
        <v>239000</v>
      </c>
    </row>
    <row r="1342">
      <c r="A1342" s="40">
        <v>187</v>
      </c>
      <c r="B1342" s="40" t="str">
        <v>Chelsea Park, 116 Trung Kính</v>
      </c>
      <c r="C1342" s="40">
        <v>1059</v>
      </c>
      <c r="D1342" s="40" t="str">
        <v>Gội Combo 3 - Chăm da</v>
      </c>
      <c r="E1342" s="40">
        <v>219000</v>
      </c>
    </row>
    <row r="1343">
      <c r="A1343" s="40">
        <v>187</v>
      </c>
      <c r="B1343" s="40" t="str">
        <v>Chelsea Park, 116 Trung Kính</v>
      </c>
      <c r="C1343" s="40">
        <v>1060</v>
      </c>
      <c r="D1343" s="40" t="str">
        <v>Gội Combo 4</v>
      </c>
      <c r="E1343" s="40">
        <v>319000</v>
      </c>
    </row>
    <row r="1344">
      <c r="A1344" s="40">
        <v>187</v>
      </c>
      <c r="B1344" s="40" t="str">
        <v>Chelsea Park, 116 Trung Kính</v>
      </c>
      <c r="C1344" s="40">
        <v>1060</v>
      </c>
      <c r="D1344" s="40" t="str">
        <v>Gội Combo 4</v>
      </c>
      <c r="E1344" s="40">
        <v>289000</v>
      </c>
    </row>
    <row r="1345">
      <c r="A1345" s="40">
        <v>187</v>
      </c>
      <c r="B1345" s="40" t="str">
        <v>Chelsea Park, 116 Trung Kính</v>
      </c>
      <c r="C1345" s="40">
        <v>867</v>
      </c>
      <c r="D1345" s="40" t="str">
        <v>Gội dưỡng sinh cổ vai gáy</v>
      </c>
      <c r="E1345" s="40">
        <v>95000</v>
      </c>
    </row>
    <row r="1346">
      <c r="A1346" s="40">
        <v>187</v>
      </c>
      <c r="B1346" s="40" t="str">
        <v>Chelsea Park, 116 Trung Kính</v>
      </c>
      <c r="C1346" s="40">
        <v>867</v>
      </c>
      <c r="D1346" s="40" t="str">
        <v>Gội dưỡng sinh cổ vai gáy</v>
      </c>
      <c r="E1346" s="40">
        <v>99000</v>
      </c>
    </row>
    <row r="1347">
      <c r="A1347" s="40">
        <v>187</v>
      </c>
      <c r="B1347" s="40" t="str">
        <v>Chelsea Park, 116 Trung Kính</v>
      </c>
      <c r="C1347" s="40">
        <v>1068</v>
      </c>
      <c r="D1347" s="40" t="str">
        <v>Gội trải nghiệm 115p</v>
      </c>
      <c r="E1347" s="40">
        <v>999000</v>
      </c>
    </row>
    <row r="1348">
      <c r="A1348" s="40">
        <v>187</v>
      </c>
      <c r="B1348" s="40" t="str">
        <v>Chelsea Park, 116 Trung Kính</v>
      </c>
      <c r="C1348" s="40">
        <v>1069</v>
      </c>
      <c r="D1348" s="40" t="str">
        <v>Gội trải nghiệm 140p</v>
      </c>
      <c r="E1348" s="40">
        <v>1199000</v>
      </c>
    </row>
    <row r="1349">
      <c r="A1349" s="40">
        <v>187</v>
      </c>
      <c r="B1349" s="40" t="str">
        <v>Chelsea Park, 116 Trung Kính</v>
      </c>
      <c r="C1349" s="40">
        <v>1066</v>
      </c>
      <c r="D1349" s="40" t="str">
        <v>Gội trải nghiệm 75p</v>
      </c>
      <c r="E1349" s="40">
        <v>589000</v>
      </c>
    </row>
    <row r="1350">
      <c r="A1350" s="40">
        <v>187</v>
      </c>
      <c r="B1350" s="40" t="str">
        <v>Chelsea Park, 116 Trung Kính</v>
      </c>
      <c r="C1350" s="40">
        <v>1067</v>
      </c>
      <c r="D1350" s="40" t="str">
        <v>Gội trải nghiệm 90p</v>
      </c>
      <c r="E1350" s="40">
        <v>789000</v>
      </c>
    </row>
    <row r="1351">
      <c r="A1351" s="40">
        <v>187</v>
      </c>
      <c r="B1351" s="40" t="str">
        <v>Chelsea Park, 116 Trung Kính</v>
      </c>
      <c r="C1351" s="40">
        <v>1002</v>
      </c>
      <c r="D1351" s="40" t="str">
        <v>Kid Cắt</v>
      </c>
      <c r="E1351" s="40">
        <v>75000</v>
      </c>
    </row>
    <row r="1352">
      <c r="A1352" s="40">
        <v>187</v>
      </c>
      <c r="B1352" s="40" t="str">
        <v>Chelsea Park, 116 Trung Kính</v>
      </c>
      <c r="C1352" s="40">
        <v>1101</v>
      </c>
      <c r="D1352" s="40" t="str">
        <v>Phục hồi trẻ hóa Lipid Bond</v>
      </c>
      <c r="E1352" s="40">
        <v>146000</v>
      </c>
    </row>
    <row r="1353">
      <c r="A1353" s="40">
        <v>187</v>
      </c>
      <c r="B1353" s="40" t="str">
        <v>Chelsea Park, 116 Trung Kính</v>
      </c>
      <c r="C1353" s="40">
        <v>1046</v>
      </c>
      <c r="D1353" s="40" t="str" xml:space="preserve">
        <v>Shinecombo 2 </v>
      </c>
      <c r="E1353" s="40">
        <v>199000</v>
      </c>
    </row>
    <row r="1354">
      <c r="A1354" s="40">
        <v>187</v>
      </c>
      <c r="B1354" s="40" t="str">
        <v>Chelsea Park, 116 Trung Kính</v>
      </c>
      <c r="C1354" s="40">
        <v>1028</v>
      </c>
      <c r="D1354" s="40" t="str">
        <v>Topup</v>
      </c>
      <c r="E1354" s="40">
        <v>70000</v>
      </c>
    </row>
    <row r="1355">
      <c r="A1355" s="40">
        <v>187</v>
      </c>
      <c r="B1355" s="40" t="str">
        <v>Chelsea Park, 116 Trung Kính</v>
      </c>
      <c r="C1355" s="40">
        <v>1148</v>
      </c>
      <c r="D1355" s="40" t="str">
        <v>UỐN THIẾT KẾ PHỤC HỒI CHUYÊN SÂU LIPID BOND 2025</v>
      </c>
      <c r="E1355" s="40">
        <v>689000</v>
      </c>
    </row>
    <row r="1356">
      <c r="A1356" s="40">
        <v>187</v>
      </c>
      <c r="B1356" s="40" t="str">
        <v>Chelsea Park, 116 Trung Kính</v>
      </c>
      <c r="C1356" s="40">
        <v>952</v>
      </c>
      <c r="D1356" s="40" t="str">
        <v>Uốn định hình nếp tóc cao cấp (K-Perm Collection)</v>
      </c>
      <c r="E1356" s="40">
        <v>478000</v>
      </c>
    </row>
    <row r="1357">
      <c r="A1357" s="40">
        <v>187</v>
      </c>
      <c r="B1357" s="40" t="str">
        <v>Chelsea Park, 116 Trung Kính</v>
      </c>
      <c r="C1357" s="40">
        <v>635</v>
      </c>
      <c r="D1357" s="40" t="str">
        <v>[DV] Detox tẩy da chết da đầu</v>
      </c>
      <c r="E1357" s="40">
        <v>45000</v>
      </c>
    </row>
    <row r="1358">
      <c r="A1358" s="40">
        <v>187</v>
      </c>
      <c r="B1358" s="40" t="str">
        <v>Chelsea Park, 116 Trung Kính</v>
      </c>
      <c r="C1358" s="40">
        <v>636</v>
      </c>
      <c r="D1358" s="40" t="str">
        <v>[DV] Mặt nạ lạnh Hàn Quốc</v>
      </c>
      <c r="E1358" s="40">
        <v>35000</v>
      </c>
    </row>
    <row r="1359">
      <c r="A1359" s="40">
        <v>187</v>
      </c>
      <c r="B1359" s="40" t="str">
        <v>Chelsea Park, 116 Trung Kính</v>
      </c>
      <c r="C1359" s="40">
        <v>625</v>
      </c>
      <c r="D1359" s="40" t="str">
        <v>[DV] Mặt nạ tẩy da chết sủi bọt cao cấp</v>
      </c>
      <c r="E1359" s="40">
        <v>55000</v>
      </c>
    </row>
    <row r="1360">
      <c r="A1360" s="40">
        <v>187</v>
      </c>
      <c r="B1360" s="40" t="str">
        <v>Chelsea Park, 116 Trung Kính</v>
      </c>
      <c r="C1360" s="40">
        <v>912</v>
      </c>
      <c r="D1360" s="40" t="str">
        <v>[DV] Nhuộm đen phủ bạc R&amp;B thảo dược</v>
      </c>
      <c r="E1360" s="40">
        <v>289000</v>
      </c>
    </row>
    <row r="1361">
      <c r="A1361" s="40">
        <v>187</v>
      </c>
      <c r="B1361" s="40" t="str">
        <v>Chelsea Park, 116 Trung Kính</v>
      </c>
      <c r="C1361" s="40">
        <v>513</v>
      </c>
      <c r="D1361" s="40" t="str">
        <v>[DV] ShineCombo 10 bước Ultra Care 2023</v>
      </c>
      <c r="E1361" s="40">
        <v>122000</v>
      </c>
    </row>
    <row r="1362">
      <c r="A1362" s="40">
        <v>187</v>
      </c>
      <c r="B1362" s="40" t="str">
        <v>Chelsea Park, 116 Trung Kính</v>
      </c>
      <c r="C1362" s="40">
        <v>513</v>
      </c>
      <c r="D1362" s="40" t="str">
        <v>[DV] ShineCombo 10 bước Ultra Care 2023</v>
      </c>
      <c r="E1362" s="40">
        <v>120000</v>
      </c>
    </row>
    <row r="1363">
      <c r="A1363" s="40">
        <v>187</v>
      </c>
      <c r="B1363" s="40" t="str">
        <v>Chelsea Park, 116 Trung Kính</v>
      </c>
      <c r="C1363" s="40">
        <v>462</v>
      </c>
      <c r="D1363" s="40" t="str">
        <v>[DV] Thư giãn cổ, vai, gáy bạc hà cam ngọt - Thư giãn tai sảng khoái 9 tầng mây 45k</v>
      </c>
      <c r="E1363" s="40">
        <v>45000</v>
      </c>
    </row>
    <row r="1364">
      <c r="A1364" s="40">
        <v>187</v>
      </c>
      <c r="B1364" s="40" t="str">
        <v>Chelsea Park, 116 Trung Kính</v>
      </c>
      <c r="C1364" s="40">
        <v>634</v>
      </c>
      <c r="D1364" s="40" t="str">
        <v>[DV] Tẩy da chết sủi bọt Hàn Quốc</v>
      </c>
      <c r="E1364" s="40">
        <v>35000</v>
      </c>
    </row>
    <row r="1365">
      <c r="A1365" s="40">
        <v>187</v>
      </c>
      <c r="B1365" s="40" t="str">
        <v>Chelsea Park, 116 Trung Kính</v>
      </c>
      <c r="C1365" s="40">
        <v>915</v>
      </c>
      <c r="D1365" s="40" t="str">
        <v>[DV] Tẩy tóc bật tông Ý (1 lần)</v>
      </c>
      <c r="E1365" s="40">
        <v>252000</v>
      </c>
    </row>
    <row r="1366">
      <c r="A1366" s="40">
        <v>187</v>
      </c>
      <c r="B1366" s="40" t="str">
        <v>Chelsea Park, 116 Trung Kính</v>
      </c>
      <c r="C1366" s="40">
        <v>674</v>
      </c>
      <c r="D1366" s="40" t="str">
        <v>[DV] Uốn Texture con sâu/Uốn Ruffled</v>
      </c>
      <c r="E1366" s="40">
        <v>499000</v>
      </c>
    </row>
    <row r="1367">
      <c r="A1367" s="40">
        <v>187</v>
      </c>
      <c r="B1367" s="40" t="str">
        <v>Chelsea Park, 116 Trung Kính</v>
      </c>
      <c r="C1367" s="40">
        <v>902</v>
      </c>
      <c r="D1367" s="40" t="str">
        <v>[DV] Ép side hai bên</v>
      </c>
      <c r="E1367" s="40">
        <v>199000</v>
      </c>
    </row>
    <row r="1368">
      <c r="A1368" s="40">
        <v>187</v>
      </c>
      <c r="B1368" s="40" t="str">
        <v>Chelsea Park, 116 Trung Kính</v>
      </c>
      <c r="C1368" s="40">
        <v>940</v>
      </c>
      <c r="D1368" s="40" t="str">
        <v>[NEW] Gội dưỡng sinh</v>
      </c>
      <c r="E1368" s="40">
        <v>59000</v>
      </c>
    </row>
    <row r="1369">
      <c r="A1369" s="40">
        <v>187</v>
      </c>
      <c r="B1369" s="40" t="str">
        <v>Chelsea Park, 116 Trung Kính</v>
      </c>
      <c r="C1369" s="40">
        <v>603</v>
      </c>
      <c r="D1369" s="40" t="str">
        <v>Đánh bay mụn cám lột mụn (Full Face)</v>
      </c>
      <c r="E1369" s="40">
        <v>49000</v>
      </c>
    </row>
    <row r="1370">
      <c r="A1370" s="40">
        <v>188</v>
      </c>
      <c r="B1370" s="40" t="str">
        <v>190 Hòa Bình</v>
      </c>
      <c r="C1370" s="40">
        <v>610</v>
      </c>
      <c r="D1370" s="40" t="str">
        <v>(2022T) ATS Control Buffer - Khử mùi tạo thơm cho tóc uốn nhuộm 40k</v>
      </c>
      <c r="E1370" s="40">
        <v>40000</v>
      </c>
    </row>
    <row r="1371">
      <c r="A1371" s="40">
        <v>188</v>
      </c>
      <c r="B1371" s="40" t="str">
        <v>190 Hòa Bình</v>
      </c>
      <c r="C1371" s="40">
        <v>965</v>
      </c>
      <c r="D1371" s="40" t="str">
        <v>(NEW) Duỗi tạo phồng</v>
      </c>
      <c r="E1371" s="40">
        <v>379000</v>
      </c>
    </row>
    <row r="1372">
      <c r="A1372" s="40">
        <v>188</v>
      </c>
      <c r="B1372" s="40" t="str">
        <v>190 Hòa Bình</v>
      </c>
      <c r="C1372" s="40">
        <v>960</v>
      </c>
      <c r="D1372" s="40" t="str">
        <v>(NEW) Nhuộm màu thời trang Milano</v>
      </c>
      <c r="E1372" s="40">
        <v>346000</v>
      </c>
    </row>
    <row r="1373">
      <c r="A1373" s="40">
        <v>188</v>
      </c>
      <c r="B1373" s="40" t="str">
        <v>190 Hòa Bình</v>
      </c>
      <c r="C1373" s="40">
        <v>967</v>
      </c>
      <c r="D1373" s="40" t="str">
        <v>(NEW) Nhuộm phủ bạc tiêu chuẩn 199K</v>
      </c>
      <c r="E1373" s="40">
        <v>199000</v>
      </c>
    </row>
    <row r="1374">
      <c r="A1374" s="40">
        <v>188</v>
      </c>
      <c r="B1374" s="40" t="str">
        <v>190 Hòa Bình</v>
      </c>
      <c r="C1374" s="40">
        <v>1009</v>
      </c>
      <c r="D1374" s="40" t="str">
        <v>(NEW) Uốn/Duỗi/Định hình full đầu tạo form vào nếp tự nhiên</v>
      </c>
      <c r="E1374" s="40">
        <v>386000</v>
      </c>
    </row>
    <row r="1375">
      <c r="A1375" s="40">
        <v>188</v>
      </c>
      <c r="B1375" s="40" t="str">
        <v>190 Hòa Bình</v>
      </c>
      <c r="C1375" s="40">
        <v>1048</v>
      </c>
      <c r="D1375" s="40" t="str">
        <v>Combo 4</v>
      </c>
      <c r="E1375" s="40">
        <v>379000</v>
      </c>
    </row>
    <row r="1376">
      <c r="A1376" s="40">
        <v>188</v>
      </c>
      <c r="B1376" s="40" t="str">
        <v>190 Hòa Bình</v>
      </c>
      <c r="C1376" s="40">
        <v>1048</v>
      </c>
      <c r="D1376" s="40" t="str">
        <v>Combo 4</v>
      </c>
      <c r="E1376" s="40">
        <v>389000</v>
      </c>
    </row>
    <row r="1377">
      <c r="A1377" s="40">
        <v>188</v>
      </c>
      <c r="B1377" s="40" t="str">
        <v>190 Hòa Bình</v>
      </c>
      <c r="C1377" s="40">
        <v>1194</v>
      </c>
      <c r="D1377" s="40" t="str">
        <v>Combo Best choice</v>
      </c>
      <c r="E1377" s="40">
        <v>299000</v>
      </c>
    </row>
    <row r="1378">
      <c r="A1378" s="40">
        <v>188</v>
      </c>
      <c r="B1378" s="40" t="str">
        <v>190 Hòa Bình</v>
      </c>
      <c r="C1378" s="40">
        <v>1070</v>
      </c>
      <c r="D1378" s="40" t="str">
        <v>Combo Cắt gội Kid</v>
      </c>
      <c r="E1378" s="40">
        <v>100000</v>
      </c>
    </row>
    <row r="1379">
      <c r="A1379" s="40">
        <v>188</v>
      </c>
      <c r="B1379" s="40" t="str">
        <v>190 Hòa Bình</v>
      </c>
      <c r="C1379" s="40">
        <v>1047</v>
      </c>
      <c r="D1379" s="40" t="str">
        <v>Cắt Gội Combo 3 - Chăm da</v>
      </c>
      <c r="E1379" s="40">
        <v>299000</v>
      </c>
    </row>
    <row r="1380">
      <c r="A1380" s="40">
        <v>188</v>
      </c>
      <c r="B1380" s="40" t="str">
        <v>190 Hòa Bình</v>
      </c>
      <c r="C1380" s="40">
        <v>891</v>
      </c>
      <c r="D1380" s="40" t="str">
        <v>Cắt xả tạo kiểu</v>
      </c>
      <c r="E1380" s="40">
        <v>90000</v>
      </c>
    </row>
    <row r="1381">
      <c r="A1381" s="40">
        <v>188</v>
      </c>
      <c r="B1381" s="40" t="str">
        <v>190 Hòa Bình</v>
      </c>
      <c r="C1381" s="40">
        <v>891</v>
      </c>
      <c r="D1381" s="40" t="str">
        <v>Cắt xả tạo kiểu</v>
      </c>
      <c r="E1381" s="40">
        <v>94000</v>
      </c>
    </row>
    <row r="1382">
      <c r="A1382" s="40">
        <v>188</v>
      </c>
      <c r="B1382" s="40" t="str">
        <v>190 Hòa Bình</v>
      </c>
      <c r="C1382" s="40">
        <v>1058</v>
      </c>
      <c r="D1382" s="40" t="str" xml:space="preserve">
        <v>Gội Combo 2 </v>
      </c>
      <c r="E1382" s="40">
        <v>159000</v>
      </c>
    </row>
    <row r="1383">
      <c r="A1383" s="40">
        <v>188</v>
      </c>
      <c r="B1383" s="40" t="str">
        <v>190 Hòa Bình</v>
      </c>
      <c r="C1383" s="40">
        <v>1059</v>
      </c>
      <c r="D1383" s="40" t="str">
        <v>Gội Combo 3 - Chăm da</v>
      </c>
      <c r="E1383" s="40">
        <v>219000</v>
      </c>
    </row>
    <row r="1384">
      <c r="A1384" s="40">
        <v>188</v>
      </c>
      <c r="B1384" s="40" t="str">
        <v>190 Hòa Bình</v>
      </c>
      <c r="C1384" s="40">
        <v>1059</v>
      </c>
      <c r="D1384" s="40" t="str">
        <v>Gội Combo 3 - Chăm da</v>
      </c>
      <c r="E1384" s="40">
        <v>239000</v>
      </c>
    </row>
    <row r="1385">
      <c r="A1385" s="40">
        <v>188</v>
      </c>
      <c r="B1385" s="40" t="str">
        <v>190 Hòa Bình</v>
      </c>
      <c r="C1385" s="40">
        <v>1060</v>
      </c>
      <c r="D1385" s="40" t="str">
        <v>Gội Combo 4</v>
      </c>
      <c r="E1385" s="40">
        <v>319000</v>
      </c>
    </row>
    <row r="1386">
      <c r="A1386" s="40">
        <v>188</v>
      </c>
      <c r="B1386" s="40" t="str">
        <v>190 Hòa Bình</v>
      </c>
      <c r="C1386" s="40">
        <v>1060</v>
      </c>
      <c r="D1386" s="40" t="str">
        <v>Gội Combo 4</v>
      </c>
      <c r="E1386" s="40">
        <v>289000</v>
      </c>
    </row>
    <row r="1387">
      <c r="A1387" s="40">
        <v>188</v>
      </c>
      <c r="B1387" s="40" t="str">
        <v>190 Hòa Bình</v>
      </c>
      <c r="C1387" s="40">
        <v>934</v>
      </c>
      <c r="D1387" s="40" t="str">
        <v>Gội combo 3 - Dưỡng sinh</v>
      </c>
      <c r="E1387" s="40">
        <v>229000</v>
      </c>
    </row>
    <row r="1388">
      <c r="A1388" s="40">
        <v>188</v>
      </c>
      <c r="B1388" s="40" t="str">
        <v>190 Hòa Bình</v>
      </c>
      <c r="C1388" s="40">
        <v>932</v>
      </c>
      <c r="D1388" s="40" t="str">
        <v>Gội combo 5 dưỡng sinh</v>
      </c>
      <c r="E1388" s="40">
        <v>399000</v>
      </c>
    </row>
    <row r="1389">
      <c r="A1389" s="40">
        <v>188</v>
      </c>
      <c r="B1389" s="40" t="str">
        <v>190 Hòa Bình</v>
      </c>
      <c r="C1389" s="40">
        <v>867</v>
      </c>
      <c r="D1389" s="40" t="str">
        <v>Gội dưỡng sinh cổ vai gáy</v>
      </c>
      <c r="E1389" s="40">
        <v>95000</v>
      </c>
    </row>
    <row r="1390">
      <c r="A1390" s="40">
        <v>188</v>
      </c>
      <c r="B1390" s="40" t="str">
        <v>190 Hòa Bình</v>
      </c>
      <c r="C1390" s="40">
        <v>867</v>
      </c>
      <c r="D1390" s="40" t="str">
        <v>Gội dưỡng sinh cổ vai gáy</v>
      </c>
      <c r="E1390" s="40">
        <v>100000</v>
      </c>
    </row>
    <row r="1391">
      <c r="A1391" s="40">
        <v>188</v>
      </c>
      <c r="B1391" s="40" t="str">
        <v>190 Hòa Bình</v>
      </c>
      <c r="C1391" s="40">
        <v>1002</v>
      </c>
      <c r="D1391" s="40" t="str">
        <v>Kid Cắt</v>
      </c>
      <c r="E1391" s="40">
        <v>75000</v>
      </c>
    </row>
    <row r="1392">
      <c r="A1392" s="40">
        <v>188</v>
      </c>
      <c r="B1392" s="40" t="str">
        <v>190 Hòa Bình</v>
      </c>
      <c r="C1392" s="40">
        <v>1149</v>
      </c>
      <c r="D1392" s="40" t="str">
        <v>NHUỘM THIẾT KẾ PHỤC HỒI CHUYÊN SÂU LIPID BOND 2025</v>
      </c>
      <c r="E1392" s="40">
        <v>719000</v>
      </c>
    </row>
    <row r="1393">
      <c r="A1393" s="40">
        <v>188</v>
      </c>
      <c r="B1393" s="40" t="str">
        <v>190 Hòa Bình</v>
      </c>
      <c r="C1393" s="40">
        <v>1046</v>
      </c>
      <c r="D1393" s="40" t="str" xml:space="preserve">
        <v>Shinecombo 2 </v>
      </c>
      <c r="E1393" s="40">
        <v>199000</v>
      </c>
    </row>
    <row r="1394">
      <c r="A1394" s="40">
        <v>188</v>
      </c>
      <c r="B1394" s="40" t="str">
        <v>190 Hòa Bình</v>
      </c>
      <c r="C1394" s="40">
        <v>1196</v>
      </c>
      <c r="D1394" s="40" t="str">
        <v>Thư giãn phục hồi (dưỡng sinh đá nóng)</v>
      </c>
      <c r="E1394" s="40">
        <v>450000</v>
      </c>
    </row>
    <row r="1395">
      <c r="A1395" s="40">
        <v>188</v>
      </c>
      <c r="B1395" s="40" t="str">
        <v>190 Hòa Bình</v>
      </c>
      <c r="C1395" s="40">
        <v>1148</v>
      </c>
      <c r="D1395" s="40" t="str">
        <v>UỐN THIẾT KẾ PHỤC HỒI CHUYÊN SÂU LIPID BOND 2025</v>
      </c>
      <c r="E1395" s="40">
        <v>689000</v>
      </c>
    </row>
    <row r="1396">
      <c r="A1396" s="40">
        <v>188</v>
      </c>
      <c r="B1396" s="40" t="str">
        <v>190 Hòa Bình</v>
      </c>
      <c r="C1396" s="40">
        <v>952</v>
      </c>
      <c r="D1396" s="40" t="str">
        <v>Uốn định hình nếp tóc cao cấp (K-Perm Collection)</v>
      </c>
      <c r="E1396" s="40">
        <v>478000</v>
      </c>
    </row>
    <row r="1397">
      <c r="A1397" s="40">
        <v>188</v>
      </c>
      <c r="B1397" s="40" t="str">
        <v>190 Hòa Bình</v>
      </c>
      <c r="C1397" s="40">
        <v>635</v>
      </c>
      <c r="D1397" s="40" t="str">
        <v>[DV] Detox tẩy da chết da đầu</v>
      </c>
      <c r="E1397" s="40">
        <v>45000</v>
      </c>
    </row>
    <row r="1398">
      <c r="A1398" s="40">
        <v>188</v>
      </c>
      <c r="B1398" s="40" t="str">
        <v>190 Hòa Bình</v>
      </c>
      <c r="C1398" s="40">
        <v>636</v>
      </c>
      <c r="D1398" s="40" t="str">
        <v>[DV] Mặt nạ lạnh Hàn Quốc</v>
      </c>
      <c r="E1398" s="40">
        <v>35000</v>
      </c>
    </row>
    <row r="1399">
      <c r="A1399" s="40">
        <v>188</v>
      </c>
      <c r="B1399" s="40" t="str">
        <v>190 Hòa Bình</v>
      </c>
      <c r="C1399" s="40">
        <v>625</v>
      </c>
      <c r="D1399" s="40" t="str">
        <v>[DV] Mặt nạ tẩy da chết sủi bọt cao cấp</v>
      </c>
      <c r="E1399" s="40">
        <v>55000</v>
      </c>
    </row>
    <row r="1400">
      <c r="A1400" s="40">
        <v>188</v>
      </c>
      <c r="B1400" s="40" t="str">
        <v>190 Hòa Bình</v>
      </c>
      <c r="C1400" s="40">
        <v>912</v>
      </c>
      <c r="D1400" s="40" t="str">
        <v>[DV] Nhuộm đen phủ bạc R&amp;B thảo dược</v>
      </c>
      <c r="E1400" s="40">
        <v>289000</v>
      </c>
    </row>
    <row r="1401">
      <c r="A1401" s="40">
        <v>188</v>
      </c>
      <c r="B1401" s="40" t="str">
        <v>190 Hòa Bình</v>
      </c>
      <c r="C1401" s="40">
        <v>513</v>
      </c>
      <c r="D1401" s="40" t="str">
        <v>[DV] ShineCombo 10 bước Ultra Care 2023</v>
      </c>
      <c r="E1401" s="40">
        <v>120000</v>
      </c>
    </row>
    <row r="1402">
      <c r="A1402" s="40">
        <v>188</v>
      </c>
      <c r="B1402" s="40" t="str">
        <v>190 Hòa Bình</v>
      </c>
      <c r="C1402" s="40">
        <v>513</v>
      </c>
      <c r="D1402" s="40" t="str">
        <v>[DV] ShineCombo 10 bước Ultra Care 2023</v>
      </c>
      <c r="E1402" s="40">
        <v>122000</v>
      </c>
    </row>
    <row r="1403">
      <c r="A1403" s="40">
        <v>188</v>
      </c>
      <c r="B1403" s="40" t="str">
        <v>190 Hòa Bình</v>
      </c>
      <c r="C1403" s="40">
        <v>462</v>
      </c>
      <c r="D1403" s="40" t="str">
        <v>[DV] Thư giãn cổ, vai, gáy bạc hà cam ngọt - Thư giãn tai sảng khoái 9 tầng mây 45k</v>
      </c>
      <c r="E1403" s="40">
        <v>45000</v>
      </c>
    </row>
    <row r="1404">
      <c r="A1404" s="40">
        <v>188</v>
      </c>
      <c r="B1404" s="40" t="str">
        <v>190 Hòa Bình</v>
      </c>
      <c r="C1404" s="40">
        <v>634</v>
      </c>
      <c r="D1404" s="40" t="str">
        <v>[DV] Tẩy da chết sủi bọt Hàn Quốc</v>
      </c>
      <c r="E1404" s="40">
        <v>35000</v>
      </c>
    </row>
    <row r="1405">
      <c r="A1405" s="40">
        <v>188</v>
      </c>
      <c r="B1405" s="40" t="str">
        <v>190 Hòa Bình</v>
      </c>
      <c r="C1405" s="40">
        <v>674</v>
      </c>
      <c r="D1405" s="40" t="str">
        <v>[DV] Uốn Texture con sâu/Uốn Ruffled</v>
      </c>
      <c r="E1405" s="40">
        <v>520000</v>
      </c>
    </row>
    <row r="1406">
      <c r="A1406" s="40">
        <v>188</v>
      </c>
      <c r="B1406" s="40" t="str">
        <v>190 Hòa Bình</v>
      </c>
      <c r="C1406" s="40">
        <v>941</v>
      </c>
      <c r="D1406" s="40" t="str">
        <v>[DV] Vuốt sáp - sấy tạo kiểu 10k</v>
      </c>
      <c r="E1406" s="40">
        <v>10000</v>
      </c>
    </row>
    <row r="1407">
      <c r="A1407" s="40">
        <v>188</v>
      </c>
      <c r="B1407" s="40" t="str">
        <v>190 Hòa Bình</v>
      </c>
      <c r="C1407" s="40">
        <v>902</v>
      </c>
      <c r="D1407" s="40" t="str">
        <v>[DV] Ép side hai bên</v>
      </c>
      <c r="E1407" s="40">
        <v>189000</v>
      </c>
    </row>
    <row r="1408">
      <c r="A1408" s="40">
        <v>188</v>
      </c>
      <c r="B1408" s="40" t="str">
        <v>190 Hòa Bình</v>
      </c>
      <c r="C1408" s="40">
        <v>940</v>
      </c>
      <c r="D1408" s="40" t="str">
        <v>[NEW] Gội dưỡng sinh</v>
      </c>
      <c r="E1408" s="40">
        <v>59000</v>
      </c>
    </row>
    <row r="1409">
      <c r="A1409" s="40">
        <v>188</v>
      </c>
      <c r="B1409" s="40" t="str">
        <v>190 Hòa Bình</v>
      </c>
      <c r="C1409" s="40">
        <v>940</v>
      </c>
      <c r="D1409" s="40" t="str">
        <v>[NEW] Gội dưỡng sinh</v>
      </c>
      <c r="E1409" s="40">
        <v>50000</v>
      </c>
    </row>
    <row r="1410">
      <c r="A1410" s="40">
        <v>188</v>
      </c>
      <c r="B1410" s="40" t="str">
        <v>190 Hòa Bình</v>
      </c>
      <c r="C1410" s="40">
        <v>603</v>
      </c>
      <c r="D1410" s="40" t="str">
        <v>Đánh bay mụn cám lột mụn (Full Face)</v>
      </c>
      <c r="E1410" s="40">
        <v>49000</v>
      </c>
    </row>
    <row r="1411">
      <c r="A1411" s="40">
        <v>192</v>
      </c>
      <c r="B1411" s="40" t="str">
        <v>264 Lạc Long Quân</v>
      </c>
      <c r="C1411" s="40">
        <v>610</v>
      </c>
      <c r="D1411" s="40" t="str">
        <v>(2022T) ATS Control Buffer - Khử mùi tạo thơm cho tóc uốn nhuộm 40k</v>
      </c>
      <c r="E1411" s="40">
        <v>40000</v>
      </c>
    </row>
    <row r="1412">
      <c r="A1412" s="40">
        <v>192</v>
      </c>
      <c r="B1412" s="40" t="str">
        <v>264 Lạc Long Quân</v>
      </c>
      <c r="C1412" s="40">
        <v>960</v>
      </c>
      <c r="D1412" s="40" t="str">
        <v>(NEW) Nhuộm màu thời trang Milano</v>
      </c>
      <c r="E1412" s="40">
        <v>369000</v>
      </c>
    </row>
    <row r="1413">
      <c r="A1413" s="40">
        <v>192</v>
      </c>
      <c r="B1413" s="40" t="str">
        <v>264 Lạc Long Quân</v>
      </c>
      <c r="C1413" s="40">
        <v>967</v>
      </c>
      <c r="D1413" s="40" t="str">
        <v>(NEW) Nhuộm phủ bạc tiêu chuẩn 199K</v>
      </c>
      <c r="E1413" s="40">
        <v>199000</v>
      </c>
    </row>
    <row r="1414">
      <c r="A1414" s="40">
        <v>192</v>
      </c>
      <c r="B1414" s="40" t="str">
        <v>264 Lạc Long Quân</v>
      </c>
      <c r="C1414" s="40">
        <v>1009</v>
      </c>
      <c r="D1414" s="40" t="str">
        <v>(NEW) Uốn/Duỗi/Định hình full đầu tạo form vào nếp tự nhiên</v>
      </c>
      <c r="E1414" s="40">
        <v>406000</v>
      </c>
    </row>
    <row r="1415">
      <c r="A1415" s="40">
        <v>192</v>
      </c>
      <c r="B1415" s="40" t="str">
        <v>264 Lạc Long Quân</v>
      </c>
      <c r="C1415" s="40">
        <v>1048</v>
      </c>
      <c r="D1415" s="40" t="str">
        <v>Combo 4</v>
      </c>
      <c r="E1415" s="40">
        <v>389000</v>
      </c>
    </row>
    <row r="1416">
      <c r="A1416" s="40">
        <v>192</v>
      </c>
      <c r="B1416" s="40" t="str">
        <v>264 Lạc Long Quân</v>
      </c>
      <c r="C1416" s="40">
        <v>1048</v>
      </c>
      <c r="D1416" s="40" t="str">
        <v>Combo 4</v>
      </c>
      <c r="E1416" s="40">
        <v>379000</v>
      </c>
    </row>
    <row r="1417">
      <c r="A1417" s="40">
        <v>192</v>
      </c>
      <c r="B1417" s="40" t="str">
        <v>264 Lạc Long Quân</v>
      </c>
      <c r="C1417" s="40">
        <v>1070</v>
      </c>
      <c r="D1417" s="40" t="str">
        <v>Combo Cắt gội Kid</v>
      </c>
      <c r="E1417" s="40">
        <v>100000</v>
      </c>
    </row>
    <row r="1418">
      <c r="A1418" s="40">
        <v>192</v>
      </c>
      <c r="B1418" s="40" t="str">
        <v>264 Lạc Long Quân</v>
      </c>
      <c r="C1418" s="40">
        <v>1047</v>
      </c>
      <c r="D1418" s="40" t="str">
        <v>Cắt Gội Combo 3 - Chăm da</v>
      </c>
      <c r="E1418" s="40">
        <v>299000</v>
      </c>
    </row>
    <row r="1419">
      <c r="A1419" s="40">
        <v>192</v>
      </c>
      <c r="B1419" s="40" t="str">
        <v>264 Lạc Long Quân</v>
      </c>
      <c r="C1419" s="40">
        <v>891</v>
      </c>
      <c r="D1419" s="40" t="str">
        <v>Cắt xả tạo kiểu</v>
      </c>
      <c r="E1419" s="40">
        <v>94000</v>
      </c>
    </row>
    <row r="1420">
      <c r="A1420" s="40">
        <v>192</v>
      </c>
      <c r="B1420" s="40" t="str">
        <v>264 Lạc Long Quân</v>
      </c>
      <c r="C1420" s="40">
        <v>891</v>
      </c>
      <c r="D1420" s="40" t="str">
        <v>Cắt xả tạo kiểu</v>
      </c>
      <c r="E1420" s="40">
        <v>90000</v>
      </c>
    </row>
    <row r="1421">
      <c r="A1421" s="40">
        <v>192</v>
      </c>
      <c r="B1421" s="40" t="str">
        <v>264 Lạc Long Quân</v>
      </c>
      <c r="C1421" s="40">
        <v>1058</v>
      </c>
      <c r="D1421" s="40" t="str" xml:space="preserve">
        <v>Gội Combo 2 </v>
      </c>
      <c r="E1421" s="40">
        <v>159000</v>
      </c>
    </row>
    <row r="1422">
      <c r="A1422" s="40">
        <v>192</v>
      </c>
      <c r="B1422" s="40" t="str">
        <v>264 Lạc Long Quân</v>
      </c>
      <c r="C1422" s="40">
        <v>1059</v>
      </c>
      <c r="D1422" s="40" t="str">
        <v>Gội Combo 3 - Chăm da</v>
      </c>
      <c r="E1422" s="40">
        <v>239000</v>
      </c>
    </row>
    <row r="1423">
      <c r="A1423" s="40">
        <v>192</v>
      </c>
      <c r="B1423" s="40" t="str">
        <v>264 Lạc Long Quân</v>
      </c>
      <c r="C1423" s="40">
        <v>1059</v>
      </c>
      <c r="D1423" s="40" t="str">
        <v>Gội Combo 3 - Chăm da</v>
      </c>
      <c r="E1423" s="40">
        <v>219000</v>
      </c>
    </row>
    <row r="1424">
      <c r="A1424" s="40">
        <v>192</v>
      </c>
      <c r="B1424" s="40" t="str">
        <v>264 Lạc Long Quân</v>
      </c>
      <c r="C1424" s="40">
        <v>1060</v>
      </c>
      <c r="D1424" s="40" t="str">
        <v>Gội Combo 4</v>
      </c>
      <c r="E1424" s="40">
        <v>289000</v>
      </c>
    </row>
    <row r="1425">
      <c r="A1425" s="40">
        <v>192</v>
      </c>
      <c r="B1425" s="40" t="str">
        <v>264 Lạc Long Quân</v>
      </c>
      <c r="C1425" s="40">
        <v>1060</v>
      </c>
      <c r="D1425" s="40" t="str">
        <v>Gội Combo 4</v>
      </c>
      <c r="E1425" s="40">
        <v>319000</v>
      </c>
    </row>
    <row r="1426">
      <c r="A1426" s="40">
        <v>192</v>
      </c>
      <c r="B1426" s="40" t="str">
        <v>264 Lạc Long Quân</v>
      </c>
      <c r="C1426" s="40">
        <v>867</v>
      </c>
      <c r="D1426" s="40" t="str">
        <v>Gội dưỡng sinh cổ vai gáy</v>
      </c>
      <c r="E1426" s="40">
        <v>95000</v>
      </c>
    </row>
    <row r="1427">
      <c r="A1427" s="40">
        <v>192</v>
      </c>
      <c r="B1427" s="40" t="str">
        <v>264 Lạc Long Quân</v>
      </c>
      <c r="C1427" s="40">
        <v>867</v>
      </c>
      <c r="D1427" s="40" t="str">
        <v>Gội dưỡng sinh cổ vai gáy</v>
      </c>
      <c r="E1427" s="40">
        <v>99000</v>
      </c>
    </row>
    <row r="1428">
      <c r="A1428" s="40">
        <v>192</v>
      </c>
      <c r="B1428" s="40" t="str">
        <v>264 Lạc Long Quân</v>
      </c>
      <c r="C1428" s="40">
        <v>1068</v>
      </c>
      <c r="D1428" s="40" t="str">
        <v>Gội trải nghiệm 115p</v>
      </c>
      <c r="E1428" s="40">
        <v>999000</v>
      </c>
    </row>
    <row r="1429">
      <c r="A1429" s="40">
        <v>192</v>
      </c>
      <c r="B1429" s="40" t="str">
        <v>264 Lạc Long Quân</v>
      </c>
      <c r="C1429" s="40">
        <v>1066</v>
      </c>
      <c r="D1429" s="40" t="str">
        <v>Gội trải nghiệm 75p</v>
      </c>
      <c r="E1429" s="40">
        <v>589000</v>
      </c>
    </row>
    <row r="1430">
      <c r="A1430" s="40">
        <v>192</v>
      </c>
      <c r="B1430" s="40" t="str">
        <v>264 Lạc Long Quân</v>
      </c>
      <c r="C1430" s="40">
        <v>1067</v>
      </c>
      <c r="D1430" s="40" t="str">
        <v>Gội trải nghiệm 90p</v>
      </c>
      <c r="E1430" s="40">
        <v>789000</v>
      </c>
    </row>
    <row r="1431">
      <c r="A1431" s="40">
        <v>192</v>
      </c>
      <c r="B1431" s="40" t="str">
        <v>264 Lạc Long Quân</v>
      </c>
      <c r="C1431" s="40">
        <v>1002</v>
      </c>
      <c r="D1431" s="40" t="str">
        <v>Kid Cắt</v>
      </c>
      <c r="E1431" s="40">
        <v>75000</v>
      </c>
    </row>
    <row r="1432">
      <c r="A1432" s="40">
        <v>192</v>
      </c>
      <c r="B1432" s="40" t="str">
        <v>264 Lạc Long Quân</v>
      </c>
      <c r="C1432" s="40">
        <v>615</v>
      </c>
      <c r="D1432" s="40" t="str">
        <v>Nhổ tóc bạc buổi trưa</v>
      </c>
      <c r="E1432" s="40">
        <v>150000</v>
      </c>
    </row>
    <row r="1433">
      <c r="A1433" s="40">
        <v>192</v>
      </c>
      <c r="B1433" s="40" t="str">
        <v>264 Lạc Long Quân</v>
      </c>
      <c r="C1433" s="40">
        <v>1101</v>
      </c>
      <c r="D1433" s="40" t="str">
        <v>Phục hồi trẻ hóa Lipid Bond</v>
      </c>
      <c r="E1433" s="40">
        <v>146000</v>
      </c>
    </row>
    <row r="1434">
      <c r="A1434" s="40">
        <v>192</v>
      </c>
      <c r="B1434" s="40" t="str">
        <v>264 Lạc Long Quân</v>
      </c>
      <c r="C1434" s="40">
        <v>1046</v>
      </c>
      <c r="D1434" s="40" t="str" xml:space="preserve">
        <v>Shinecombo 2 </v>
      </c>
      <c r="E1434" s="40">
        <v>199000</v>
      </c>
    </row>
    <row r="1435">
      <c r="A1435" s="40">
        <v>192</v>
      </c>
      <c r="B1435" s="40" t="str">
        <v>264 Lạc Long Quân</v>
      </c>
      <c r="C1435" s="40">
        <v>1102</v>
      </c>
      <c r="D1435" s="40" t="str">
        <v>Tái tạo da đầu - Sạch gàu hết ngứa</v>
      </c>
      <c r="E1435" s="40">
        <v>98000</v>
      </c>
    </row>
    <row r="1436">
      <c r="A1436" s="40">
        <v>192</v>
      </c>
      <c r="B1436" s="40" t="str">
        <v>264 Lạc Long Quân</v>
      </c>
      <c r="C1436" s="40">
        <v>1148</v>
      </c>
      <c r="D1436" s="40" t="str">
        <v>UỐN THIẾT KẾ PHỤC HỒI CHUYÊN SÂU LIPID BOND 2025</v>
      </c>
      <c r="E1436" s="40">
        <v>729000</v>
      </c>
    </row>
    <row r="1437">
      <c r="A1437" s="40">
        <v>192</v>
      </c>
      <c r="B1437" s="40" t="str">
        <v>264 Lạc Long Quân</v>
      </c>
      <c r="C1437" s="40">
        <v>952</v>
      </c>
      <c r="D1437" s="40" t="str">
        <v>Uốn định hình nếp tóc cao cấp (K-Perm Collection)</v>
      </c>
      <c r="E1437" s="40">
        <v>502000</v>
      </c>
    </row>
    <row r="1438">
      <c r="A1438" s="40">
        <v>192</v>
      </c>
      <c r="B1438" s="40" t="str">
        <v>264 Lạc Long Quân</v>
      </c>
      <c r="C1438" s="40">
        <v>635</v>
      </c>
      <c r="D1438" s="40" t="str">
        <v>[DV] Detox tẩy da chết da đầu</v>
      </c>
      <c r="E1438" s="40">
        <v>45000</v>
      </c>
    </row>
    <row r="1439">
      <c r="A1439" s="40">
        <v>192</v>
      </c>
      <c r="B1439" s="40" t="str">
        <v>264 Lạc Long Quân</v>
      </c>
      <c r="C1439" s="40">
        <v>625</v>
      </c>
      <c r="D1439" s="40" t="str">
        <v>[DV] Mặt nạ tẩy da chết sủi bọt cao cấp</v>
      </c>
      <c r="E1439" s="40">
        <v>55000</v>
      </c>
    </row>
    <row r="1440">
      <c r="A1440" s="40">
        <v>192</v>
      </c>
      <c r="B1440" s="40" t="str">
        <v>264 Lạc Long Quân</v>
      </c>
      <c r="C1440" s="40">
        <v>912</v>
      </c>
      <c r="D1440" s="40" t="str">
        <v>[DV] Nhuộm đen phủ bạc R&amp;B thảo dược</v>
      </c>
      <c r="E1440" s="40">
        <v>289000</v>
      </c>
    </row>
    <row r="1441">
      <c r="A1441" s="40">
        <v>192</v>
      </c>
      <c r="B1441" s="40" t="str">
        <v>264 Lạc Long Quân</v>
      </c>
      <c r="C1441" s="40">
        <v>513</v>
      </c>
      <c r="D1441" s="40" t="str">
        <v>[DV] ShineCombo 10 bước Ultra Care 2023</v>
      </c>
      <c r="E1441" s="40">
        <v>120000</v>
      </c>
    </row>
    <row r="1442">
      <c r="A1442" s="40">
        <v>192</v>
      </c>
      <c r="B1442" s="40" t="str">
        <v>264 Lạc Long Quân</v>
      </c>
      <c r="C1442" s="40">
        <v>513</v>
      </c>
      <c r="D1442" s="40" t="str">
        <v>[DV] ShineCombo 10 bước Ultra Care 2023</v>
      </c>
      <c r="E1442" s="40">
        <v>122000</v>
      </c>
    </row>
    <row r="1443">
      <c r="A1443" s="40">
        <v>192</v>
      </c>
      <c r="B1443" s="40" t="str">
        <v>264 Lạc Long Quân</v>
      </c>
      <c r="C1443" s="40">
        <v>462</v>
      </c>
      <c r="D1443" s="40" t="str">
        <v>[DV] Thư giãn cổ, vai, gáy bạc hà cam ngọt - Thư giãn tai sảng khoái 9 tầng mây 45k</v>
      </c>
      <c r="E1443" s="40">
        <v>45000</v>
      </c>
    </row>
    <row r="1444">
      <c r="A1444" s="40">
        <v>192</v>
      </c>
      <c r="B1444" s="40" t="str">
        <v>264 Lạc Long Quân</v>
      </c>
      <c r="C1444" s="40">
        <v>634</v>
      </c>
      <c r="D1444" s="40" t="str">
        <v>[DV] Tẩy da chết sủi bọt Hàn Quốc</v>
      </c>
      <c r="E1444" s="40">
        <v>35000</v>
      </c>
    </row>
    <row r="1445">
      <c r="A1445" s="40">
        <v>192</v>
      </c>
      <c r="B1445" s="40" t="str">
        <v>264 Lạc Long Quân</v>
      </c>
      <c r="C1445" s="40">
        <v>915</v>
      </c>
      <c r="D1445" s="40" t="str">
        <v>[DV] Tẩy tóc bật tông Ý (1 lần)</v>
      </c>
      <c r="E1445" s="40">
        <v>269000</v>
      </c>
    </row>
    <row r="1446">
      <c r="A1446" s="40">
        <v>192</v>
      </c>
      <c r="B1446" s="40" t="str">
        <v>264 Lạc Long Quân</v>
      </c>
      <c r="C1446" s="40">
        <v>916</v>
      </c>
      <c r="D1446" s="40" t="str">
        <v>[DV] Tẩy tóc bật tông Ý (2 lần) 500k</v>
      </c>
      <c r="E1446" s="40">
        <v>525000</v>
      </c>
    </row>
    <row r="1447">
      <c r="A1447" s="40">
        <v>192</v>
      </c>
      <c r="B1447" s="40" t="str">
        <v>264 Lạc Long Quân</v>
      </c>
      <c r="C1447" s="40">
        <v>674</v>
      </c>
      <c r="D1447" s="40" t="str">
        <v>[DV] Uốn Texture con sâu/Uốn Ruffled</v>
      </c>
      <c r="E1447" s="40">
        <v>554000</v>
      </c>
    </row>
    <row r="1448">
      <c r="A1448" s="40">
        <v>192</v>
      </c>
      <c r="B1448" s="40" t="str">
        <v>264 Lạc Long Quân</v>
      </c>
      <c r="C1448" s="40">
        <v>941</v>
      </c>
      <c r="D1448" s="40" t="str">
        <v>[DV] Vuốt sáp - sấy tạo kiểu 10k</v>
      </c>
      <c r="E1448" s="40">
        <v>10000</v>
      </c>
    </row>
    <row r="1449">
      <c r="A1449" s="40">
        <v>192</v>
      </c>
      <c r="B1449" s="40" t="str">
        <v>264 Lạc Long Quân</v>
      </c>
      <c r="C1449" s="40">
        <v>902</v>
      </c>
      <c r="D1449" s="40" t="str">
        <v>[DV] Ép side hai bên</v>
      </c>
      <c r="E1449" s="40">
        <v>189000</v>
      </c>
    </row>
    <row r="1450">
      <c r="A1450" s="40">
        <v>192</v>
      </c>
      <c r="B1450" s="40" t="str">
        <v>264 Lạc Long Quân</v>
      </c>
      <c r="C1450" s="40">
        <v>940</v>
      </c>
      <c r="D1450" s="40" t="str">
        <v>[NEW] Gội dưỡng sinh</v>
      </c>
      <c r="E1450" s="40">
        <v>59000</v>
      </c>
    </row>
    <row r="1451">
      <c r="A1451" s="40">
        <v>192</v>
      </c>
      <c r="B1451" s="40" t="str">
        <v>264 Lạc Long Quân</v>
      </c>
      <c r="C1451" s="40">
        <v>603</v>
      </c>
      <c r="D1451" s="40" t="str">
        <v>Đánh bay mụn cám lột mụn (Full Face)</v>
      </c>
      <c r="E1451" s="40">
        <v>49000</v>
      </c>
    </row>
    <row r="1452">
      <c r="A1452" s="40">
        <v>193</v>
      </c>
      <c r="B1452" s="40" t="str">
        <v>145 Tô Hiến Thành</v>
      </c>
      <c r="C1452" s="40">
        <v>610</v>
      </c>
      <c r="D1452" s="40" t="str">
        <v>(2022T) ATS Control Buffer - Khử mùi tạo thơm cho tóc uốn nhuộm 40k</v>
      </c>
      <c r="E1452" s="40">
        <v>40000</v>
      </c>
    </row>
    <row r="1453">
      <c r="A1453" s="40">
        <v>193</v>
      </c>
      <c r="B1453" s="40" t="str">
        <v>145 Tô Hiến Thành</v>
      </c>
      <c r="C1453" s="40">
        <v>960</v>
      </c>
      <c r="D1453" s="40" t="str">
        <v>(NEW) Nhuộm màu thời trang Milano</v>
      </c>
      <c r="E1453" s="40">
        <v>332000</v>
      </c>
    </row>
    <row r="1454">
      <c r="A1454" s="40">
        <v>193</v>
      </c>
      <c r="B1454" s="40" t="str">
        <v>145 Tô Hiến Thành</v>
      </c>
      <c r="C1454" s="40">
        <v>967</v>
      </c>
      <c r="D1454" s="40" t="str">
        <v>(NEW) Nhuộm phủ bạc tiêu chuẩn 199K</v>
      </c>
      <c r="E1454" s="40">
        <v>199000</v>
      </c>
    </row>
    <row r="1455">
      <c r="A1455" s="40">
        <v>193</v>
      </c>
      <c r="B1455" s="40" t="str">
        <v>145 Tô Hiến Thành</v>
      </c>
      <c r="C1455" s="40">
        <v>1009</v>
      </c>
      <c r="D1455" s="40" t="str">
        <v>(NEW) Uốn/Duỗi/Định hình full đầu tạo form vào nếp tự nhiên</v>
      </c>
      <c r="E1455" s="40">
        <v>386000</v>
      </c>
    </row>
    <row r="1456">
      <c r="A1456" s="40">
        <v>193</v>
      </c>
      <c r="B1456" s="40" t="str">
        <v>145 Tô Hiến Thành</v>
      </c>
      <c r="C1456" s="40">
        <v>1052</v>
      </c>
      <c r="D1456" s="40" t="str">
        <v>Combo 1 - First Class 1</v>
      </c>
      <c r="E1456" s="40">
        <v>159000</v>
      </c>
    </row>
    <row r="1457">
      <c r="A1457" s="40">
        <v>193</v>
      </c>
      <c r="B1457" s="40" t="str">
        <v>145 Tô Hiến Thành</v>
      </c>
      <c r="C1457" s="40">
        <v>1054</v>
      </c>
      <c r="D1457" s="40" t="str">
        <v>Combo 3 - First Class 3</v>
      </c>
      <c r="E1457" s="40">
        <v>299000</v>
      </c>
    </row>
    <row r="1458">
      <c r="A1458" s="40">
        <v>193</v>
      </c>
      <c r="B1458" s="40" t="str">
        <v>145 Tô Hiến Thành</v>
      </c>
      <c r="C1458" s="40">
        <v>1048</v>
      </c>
      <c r="D1458" s="40" t="str">
        <v>Combo 4</v>
      </c>
      <c r="E1458" s="40">
        <v>389000</v>
      </c>
    </row>
    <row r="1459">
      <c r="A1459" s="40">
        <v>193</v>
      </c>
      <c r="B1459" s="40" t="str">
        <v>145 Tô Hiến Thành</v>
      </c>
      <c r="C1459" s="40">
        <v>1048</v>
      </c>
      <c r="D1459" s="40" t="str">
        <v>Combo 4</v>
      </c>
      <c r="E1459" s="40">
        <v>379000</v>
      </c>
    </row>
    <row r="1460">
      <c r="A1460" s="40">
        <v>193</v>
      </c>
      <c r="B1460" s="40" t="str">
        <v>145 Tô Hiến Thành</v>
      </c>
      <c r="C1460" s="40">
        <v>1070</v>
      </c>
      <c r="D1460" s="40" t="str">
        <v>Combo Cắt gội Kid</v>
      </c>
      <c r="E1460" s="40">
        <v>100000</v>
      </c>
    </row>
    <row r="1461">
      <c r="A1461" s="40">
        <v>193</v>
      </c>
      <c r="B1461" s="40" t="str">
        <v>145 Tô Hiến Thành</v>
      </c>
      <c r="C1461" s="40">
        <v>1047</v>
      </c>
      <c r="D1461" s="40" t="str">
        <v>Cắt Gội Combo 3 - Chăm da</v>
      </c>
      <c r="E1461" s="40">
        <v>299000</v>
      </c>
    </row>
    <row r="1462">
      <c r="A1462" s="40">
        <v>193</v>
      </c>
      <c r="B1462" s="40" t="str">
        <v>145 Tô Hiến Thành</v>
      </c>
      <c r="C1462" s="40">
        <v>1065</v>
      </c>
      <c r="D1462" s="40" t="str">
        <v>Cắt Gội Combo 3 - Dưỡng sinh</v>
      </c>
      <c r="E1462" s="40">
        <v>299000</v>
      </c>
    </row>
    <row r="1463">
      <c r="A1463" s="40">
        <v>193</v>
      </c>
      <c r="B1463" s="40" t="str">
        <v>145 Tô Hiến Thành</v>
      </c>
      <c r="C1463" s="40">
        <v>1049</v>
      </c>
      <c r="D1463" s="40" t="str">
        <v>Cắt Gội Combo 5 - Chăm da</v>
      </c>
      <c r="E1463" s="40">
        <v>399000</v>
      </c>
    </row>
    <row r="1464">
      <c r="A1464" s="40">
        <v>193</v>
      </c>
      <c r="B1464" s="40" t="str">
        <v>145 Tô Hiến Thành</v>
      </c>
      <c r="C1464" s="40">
        <v>1064</v>
      </c>
      <c r="D1464" s="40" t="str">
        <v>Cắt Gội Combo 5 - Dưỡng sinh</v>
      </c>
      <c r="E1464" s="40">
        <v>459000</v>
      </c>
    </row>
    <row r="1465">
      <c r="A1465" s="40">
        <v>193</v>
      </c>
      <c r="B1465" s="40" t="str">
        <v>145 Tô Hiến Thành</v>
      </c>
      <c r="C1465" s="40">
        <v>891</v>
      </c>
      <c r="D1465" s="40" t="str">
        <v>Cắt xả tạo kiểu</v>
      </c>
      <c r="E1465" s="40">
        <v>90000</v>
      </c>
    </row>
    <row r="1466">
      <c r="A1466" s="40">
        <v>193</v>
      </c>
      <c r="B1466" s="40" t="str">
        <v>145 Tô Hiến Thành</v>
      </c>
      <c r="C1466" s="40">
        <v>891</v>
      </c>
      <c r="D1466" s="40" t="str">
        <v>Cắt xả tạo kiểu</v>
      </c>
      <c r="E1466" s="40">
        <v>94000</v>
      </c>
    </row>
    <row r="1467">
      <c r="A1467" s="40">
        <v>193</v>
      </c>
      <c r="B1467" s="40" t="str">
        <v>145 Tô Hiến Thành</v>
      </c>
      <c r="C1467" s="40">
        <v>1058</v>
      </c>
      <c r="D1467" s="40" t="str" xml:space="preserve">
        <v>Gội Combo 2 </v>
      </c>
      <c r="E1467" s="40">
        <v>159000</v>
      </c>
    </row>
    <row r="1468">
      <c r="A1468" s="40">
        <v>193</v>
      </c>
      <c r="B1468" s="40" t="str">
        <v>145 Tô Hiến Thành</v>
      </c>
      <c r="C1468" s="40">
        <v>1059</v>
      </c>
      <c r="D1468" s="40" t="str">
        <v>Gội Combo 3 - Chăm da</v>
      </c>
      <c r="E1468" s="40">
        <v>219000</v>
      </c>
    </row>
    <row r="1469">
      <c r="A1469" s="40">
        <v>193</v>
      </c>
      <c r="B1469" s="40" t="str">
        <v>145 Tô Hiến Thành</v>
      </c>
      <c r="C1469" s="40">
        <v>1059</v>
      </c>
      <c r="D1469" s="40" t="str">
        <v>Gội Combo 3 - Chăm da</v>
      </c>
      <c r="E1469" s="40">
        <v>239000</v>
      </c>
    </row>
    <row r="1470">
      <c r="A1470" s="40">
        <v>193</v>
      </c>
      <c r="B1470" s="40" t="str">
        <v>145 Tô Hiến Thành</v>
      </c>
      <c r="C1470" s="40">
        <v>1060</v>
      </c>
      <c r="D1470" s="40" t="str">
        <v>Gội Combo 4</v>
      </c>
      <c r="E1470" s="40">
        <v>319000</v>
      </c>
    </row>
    <row r="1471">
      <c r="A1471" s="40">
        <v>193</v>
      </c>
      <c r="B1471" s="40" t="str">
        <v>145 Tô Hiến Thành</v>
      </c>
      <c r="C1471" s="40">
        <v>1060</v>
      </c>
      <c r="D1471" s="40" t="str">
        <v>Gội Combo 4</v>
      </c>
      <c r="E1471" s="40">
        <v>289000</v>
      </c>
    </row>
    <row r="1472">
      <c r="A1472" s="40">
        <v>193</v>
      </c>
      <c r="B1472" s="40" t="str">
        <v>145 Tô Hiến Thành</v>
      </c>
      <c r="C1472" s="40">
        <v>1061</v>
      </c>
      <c r="D1472" s="40" t="str">
        <v>Gội Combo 5 - Chăm da</v>
      </c>
      <c r="E1472" s="40">
        <v>359000</v>
      </c>
    </row>
    <row r="1473">
      <c r="A1473" s="40">
        <v>193</v>
      </c>
      <c r="B1473" s="40" t="str">
        <v>145 Tô Hiến Thành</v>
      </c>
      <c r="C1473" s="40">
        <v>934</v>
      </c>
      <c r="D1473" s="40" t="str">
        <v>Gội combo 3 - Dưỡng sinh</v>
      </c>
      <c r="E1473" s="40">
        <v>229000</v>
      </c>
    </row>
    <row r="1474">
      <c r="A1474" s="40">
        <v>193</v>
      </c>
      <c r="B1474" s="40" t="str">
        <v>145 Tô Hiến Thành</v>
      </c>
      <c r="C1474" s="40">
        <v>932</v>
      </c>
      <c r="D1474" s="40" t="str">
        <v>Gội combo 5 dưỡng sinh</v>
      </c>
      <c r="E1474" s="40">
        <v>399000</v>
      </c>
    </row>
    <row r="1475">
      <c r="A1475" s="40">
        <v>193</v>
      </c>
      <c r="B1475" s="40" t="str">
        <v>145 Tô Hiến Thành</v>
      </c>
      <c r="C1475" s="40">
        <v>867</v>
      </c>
      <c r="D1475" s="40" t="str">
        <v>Gội dưỡng sinh cổ vai gáy</v>
      </c>
      <c r="E1475" s="40">
        <v>95000</v>
      </c>
    </row>
    <row r="1476">
      <c r="A1476" s="40">
        <v>193</v>
      </c>
      <c r="B1476" s="40" t="str">
        <v>145 Tô Hiến Thành</v>
      </c>
      <c r="C1476" s="40">
        <v>867</v>
      </c>
      <c r="D1476" s="40" t="str">
        <v>Gội dưỡng sinh cổ vai gáy</v>
      </c>
      <c r="E1476" s="40">
        <v>100000</v>
      </c>
    </row>
    <row r="1477">
      <c r="A1477" s="40">
        <v>193</v>
      </c>
      <c r="B1477" s="40" t="str">
        <v>145 Tô Hiến Thành</v>
      </c>
      <c r="C1477" s="40">
        <v>1068</v>
      </c>
      <c r="D1477" s="40" t="str">
        <v>Gội trải nghiệm 115p</v>
      </c>
      <c r="E1477" s="40">
        <v>999000</v>
      </c>
    </row>
    <row r="1478">
      <c r="A1478" s="40">
        <v>193</v>
      </c>
      <c r="B1478" s="40" t="str">
        <v>145 Tô Hiến Thành</v>
      </c>
      <c r="C1478" s="40">
        <v>1066</v>
      </c>
      <c r="D1478" s="40" t="str">
        <v>Gội trải nghiệm 75p</v>
      </c>
      <c r="E1478" s="40">
        <v>589000</v>
      </c>
    </row>
    <row r="1479">
      <c r="A1479" s="40">
        <v>193</v>
      </c>
      <c r="B1479" s="40" t="str">
        <v>145 Tô Hiến Thành</v>
      </c>
      <c r="C1479" s="40">
        <v>1067</v>
      </c>
      <c r="D1479" s="40" t="str">
        <v>Gội trải nghiệm 90p</v>
      </c>
      <c r="E1479" s="40">
        <v>789000</v>
      </c>
    </row>
    <row r="1480">
      <c r="A1480" s="40">
        <v>193</v>
      </c>
      <c r="B1480" s="40" t="str">
        <v>145 Tô Hiến Thành</v>
      </c>
      <c r="C1480" s="40">
        <v>1002</v>
      </c>
      <c r="D1480" s="40" t="str">
        <v>Kid Cắt</v>
      </c>
      <c r="E1480" s="40">
        <v>75000</v>
      </c>
    </row>
    <row r="1481">
      <c r="A1481" s="40">
        <v>193</v>
      </c>
      <c r="B1481" s="40" t="str">
        <v>145 Tô Hiến Thành</v>
      </c>
      <c r="C1481" s="40">
        <v>1149</v>
      </c>
      <c r="D1481" s="40" t="str">
        <v>NHUỘM THIẾT KẾ PHỤC HỒI CHUYÊN SÂU LIPID BOND 2025</v>
      </c>
      <c r="E1481" s="40">
        <v>689000</v>
      </c>
    </row>
    <row r="1482">
      <c r="A1482" s="40">
        <v>193</v>
      </c>
      <c r="B1482" s="40" t="str">
        <v>145 Tô Hiến Thành</v>
      </c>
      <c r="C1482" s="40">
        <v>1101</v>
      </c>
      <c r="D1482" s="40" t="str">
        <v>Phục hồi trẻ hóa Lipid Bond</v>
      </c>
      <c r="E1482" s="40">
        <v>146000</v>
      </c>
    </row>
    <row r="1483">
      <c r="A1483" s="40">
        <v>193</v>
      </c>
      <c r="B1483" s="40" t="str">
        <v>145 Tô Hiến Thành</v>
      </c>
      <c r="C1483" s="40">
        <v>1046</v>
      </c>
      <c r="D1483" s="40" t="str" xml:space="preserve">
        <v>Shinecombo 2 </v>
      </c>
      <c r="E1483" s="40">
        <v>199000</v>
      </c>
    </row>
    <row r="1484">
      <c r="A1484" s="40">
        <v>193</v>
      </c>
      <c r="B1484" s="40" t="str">
        <v>145 Tô Hiến Thành</v>
      </c>
      <c r="C1484" s="40">
        <v>1102</v>
      </c>
      <c r="D1484" s="40" t="str">
        <v>Tái tạo da đầu - Sạch gàu hết ngứa</v>
      </c>
      <c r="E1484" s="40">
        <v>98000</v>
      </c>
    </row>
    <row r="1485">
      <c r="A1485" s="40">
        <v>193</v>
      </c>
      <c r="B1485" s="40" t="str">
        <v>145 Tô Hiến Thành</v>
      </c>
      <c r="C1485" s="40">
        <v>1148</v>
      </c>
      <c r="D1485" s="40" t="str">
        <v>UỐN THIẾT KẾ PHỤC HỒI CHUYÊN SÂU LIPID BOND 2025</v>
      </c>
      <c r="E1485" s="40">
        <v>689000</v>
      </c>
    </row>
    <row r="1486">
      <c r="A1486" s="40">
        <v>193</v>
      </c>
      <c r="B1486" s="40" t="str">
        <v>145 Tô Hiến Thành</v>
      </c>
      <c r="C1486" s="40">
        <v>952</v>
      </c>
      <c r="D1486" s="40" t="str">
        <v>Uốn định hình nếp tóc cao cấp (K-Perm Collection)</v>
      </c>
      <c r="E1486" s="40">
        <v>478000</v>
      </c>
    </row>
    <row r="1487">
      <c r="A1487" s="40">
        <v>193</v>
      </c>
      <c r="B1487" s="40" t="str">
        <v>145 Tô Hiến Thành</v>
      </c>
      <c r="C1487" s="40">
        <v>635</v>
      </c>
      <c r="D1487" s="40" t="str">
        <v>[DV] Detox tẩy da chết da đầu</v>
      </c>
      <c r="E1487" s="40">
        <v>45000</v>
      </c>
    </row>
    <row r="1488">
      <c r="A1488" s="40">
        <v>193</v>
      </c>
      <c r="B1488" s="40" t="str">
        <v>145 Tô Hiến Thành</v>
      </c>
      <c r="C1488" s="40">
        <v>636</v>
      </c>
      <c r="D1488" s="40" t="str">
        <v>[DV] Mặt nạ lạnh Hàn Quốc</v>
      </c>
      <c r="E1488" s="40">
        <v>35000</v>
      </c>
    </row>
    <row r="1489">
      <c r="A1489" s="40">
        <v>193</v>
      </c>
      <c r="B1489" s="40" t="str">
        <v>145 Tô Hiến Thành</v>
      </c>
      <c r="C1489" s="40">
        <v>625</v>
      </c>
      <c r="D1489" s="40" t="str">
        <v>[DV] Mặt nạ tẩy da chết sủi bọt cao cấp</v>
      </c>
      <c r="E1489" s="40">
        <v>55000</v>
      </c>
    </row>
    <row r="1490">
      <c r="A1490" s="40">
        <v>193</v>
      </c>
      <c r="B1490" s="40" t="str">
        <v>145 Tô Hiến Thành</v>
      </c>
      <c r="C1490" s="40">
        <v>912</v>
      </c>
      <c r="D1490" s="40" t="str">
        <v>[DV] Nhuộm đen phủ bạc R&amp;B thảo dược</v>
      </c>
      <c r="E1490" s="40">
        <v>289000</v>
      </c>
    </row>
    <row r="1491">
      <c r="A1491" s="40">
        <v>193</v>
      </c>
      <c r="B1491" s="40" t="str">
        <v>145 Tô Hiến Thành</v>
      </c>
      <c r="C1491" s="40">
        <v>513</v>
      </c>
      <c r="D1491" s="40" t="str">
        <v>[DV] ShineCombo 10 bước Ultra Care 2023</v>
      </c>
      <c r="E1491" s="40">
        <v>122000</v>
      </c>
    </row>
    <row r="1492">
      <c r="A1492" s="40">
        <v>193</v>
      </c>
      <c r="B1492" s="40" t="str">
        <v>145 Tô Hiến Thành</v>
      </c>
      <c r="C1492" s="40">
        <v>513</v>
      </c>
      <c r="D1492" s="40" t="str">
        <v>[DV] ShineCombo 10 bước Ultra Care 2023</v>
      </c>
      <c r="E1492" s="40">
        <v>120000</v>
      </c>
    </row>
    <row r="1493">
      <c r="A1493" s="40">
        <v>193</v>
      </c>
      <c r="B1493" s="40" t="str">
        <v>145 Tô Hiến Thành</v>
      </c>
      <c r="C1493" s="40">
        <v>462</v>
      </c>
      <c r="D1493" s="40" t="str">
        <v>[DV] Thư giãn cổ, vai, gáy bạc hà cam ngọt - Thư giãn tai sảng khoái 9 tầng mây 45k</v>
      </c>
      <c r="E1493" s="40">
        <v>45000</v>
      </c>
    </row>
    <row r="1494">
      <c r="A1494" s="40">
        <v>193</v>
      </c>
      <c r="B1494" s="40" t="str">
        <v>145 Tô Hiến Thành</v>
      </c>
      <c r="C1494" s="40">
        <v>634</v>
      </c>
      <c r="D1494" s="40" t="str">
        <v>[DV] Tẩy da chết sủi bọt Hàn Quốc</v>
      </c>
      <c r="E1494" s="40">
        <v>35000</v>
      </c>
    </row>
    <row r="1495">
      <c r="A1495" s="40">
        <v>193</v>
      </c>
      <c r="B1495" s="40" t="str">
        <v>145 Tô Hiến Thành</v>
      </c>
      <c r="C1495" s="40">
        <v>915</v>
      </c>
      <c r="D1495" s="40" t="str">
        <v>[DV] Tẩy tóc bật tông Ý (1 lần)</v>
      </c>
      <c r="E1495" s="40">
        <v>252000</v>
      </c>
    </row>
    <row r="1496">
      <c r="A1496" s="40">
        <v>193</v>
      </c>
      <c r="B1496" s="40" t="str">
        <v>145 Tô Hiến Thành</v>
      </c>
      <c r="C1496" s="40">
        <v>916</v>
      </c>
      <c r="D1496" s="40" t="str">
        <v>[DV] Tẩy tóc bật tông Ý (2 lần) 500k</v>
      </c>
      <c r="E1496" s="40">
        <v>500000</v>
      </c>
    </row>
    <row r="1497">
      <c r="A1497" s="40">
        <v>193</v>
      </c>
      <c r="B1497" s="40" t="str">
        <v>145 Tô Hiến Thành</v>
      </c>
      <c r="C1497" s="40">
        <v>674</v>
      </c>
      <c r="D1497" s="40" t="str">
        <v>[DV] Uốn Texture con sâu/Uốn Ruffled</v>
      </c>
      <c r="E1497" s="40">
        <v>499000</v>
      </c>
    </row>
    <row r="1498">
      <c r="A1498" s="40">
        <v>193</v>
      </c>
      <c r="B1498" s="40" t="str">
        <v>145 Tô Hiến Thành</v>
      </c>
      <c r="C1498" s="40">
        <v>941</v>
      </c>
      <c r="D1498" s="40" t="str">
        <v>[DV] Vuốt sáp - sấy tạo kiểu 10k</v>
      </c>
      <c r="E1498" s="40">
        <v>10000</v>
      </c>
    </row>
    <row r="1499">
      <c r="A1499" s="40">
        <v>193</v>
      </c>
      <c r="B1499" s="40" t="str">
        <v>145 Tô Hiến Thành</v>
      </c>
      <c r="C1499" s="40">
        <v>902</v>
      </c>
      <c r="D1499" s="40" t="str">
        <v>[DV] Ép side hai bên</v>
      </c>
      <c r="E1499" s="40">
        <v>189000</v>
      </c>
    </row>
    <row r="1500">
      <c r="A1500" s="40">
        <v>193</v>
      </c>
      <c r="B1500" s="40" t="str">
        <v>145 Tô Hiến Thành</v>
      </c>
      <c r="C1500" s="40">
        <v>940</v>
      </c>
      <c r="D1500" s="40" t="str">
        <v>[NEW] Gội dưỡng sinh</v>
      </c>
      <c r="E1500" s="40">
        <v>59000</v>
      </c>
    </row>
    <row r="1501">
      <c r="A1501" s="40">
        <v>193</v>
      </c>
      <c r="B1501" s="40" t="str">
        <v>145 Tô Hiến Thành</v>
      </c>
      <c r="C1501" s="40">
        <v>940</v>
      </c>
      <c r="D1501" s="40" t="str">
        <v>[NEW] Gội dưỡng sinh</v>
      </c>
      <c r="E1501" s="40">
        <v>50000</v>
      </c>
    </row>
    <row r="1502">
      <c r="A1502" s="40">
        <v>193</v>
      </c>
      <c r="B1502" s="40" t="str">
        <v>145 Tô Hiến Thành</v>
      </c>
      <c r="C1502" s="40">
        <v>603</v>
      </c>
      <c r="D1502" s="40" t="str">
        <v>Đánh bay mụn cám lột mụn (Full Face)</v>
      </c>
      <c r="E1502" s="40">
        <v>49000</v>
      </c>
    </row>
    <row r="1503">
      <c r="A1503" s="40">
        <v>194</v>
      </c>
      <c r="B1503" s="40" t="str">
        <v>90 Nguyễn Hoàng</v>
      </c>
      <c r="C1503" s="40">
        <v>610</v>
      </c>
      <c r="D1503" s="40" t="str">
        <v>(2022T) ATS Control Buffer - Khử mùi tạo thơm cho tóc uốn nhuộm 40k</v>
      </c>
      <c r="E1503" s="40">
        <v>40000</v>
      </c>
    </row>
    <row r="1504">
      <c r="A1504" s="40">
        <v>194</v>
      </c>
      <c r="B1504" s="40" t="str">
        <v>90 Nguyễn Hoàng</v>
      </c>
      <c r="C1504" s="40">
        <v>960</v>
      </c>
      <c r="D1504" s="40" t="str">
        <v>(NEW) Nhuộm màu thời trang Milano</v>
      </c>
      <c r="E1504" s="40">
        <v>346000</v>
      </c>
    </row>
    <row r="1505">
      <c r="A1505" s="40">
        <v>194</v>
      </c>
      <c r="B1505" s="40" t="str">
        <v>90 Nguyễn Hoàng</v>
      </c>
      <c r="C1505" s="40">
        <v>967</v>
      </c>
      <c r="D1505" s="40" t="str">
        <v>(NEW) Nhuộm phủ bạc tiêu chuẩn 199K</v>
      </c>
      <c r="E1505" s="40">
        <v>202000</v>
      </c>
    </row>
    <row r="1506">
      <c r="A1506" s="40">
        <v>194</v>
      </c>
      <c r="B1506" s="40" t="str">
        <v>90 Nguyễn Hoàng</v>
      </c>
      <c r="C1506" s="40">
        <v>1009</v>
      </c>
      <c r="D1506" s="40" t="str">
        <v>(NEW) Uốn/Duỗi/Định hình full đầu tạo form vào nếp tự nhiên</v>
      </c>
      <c r="E1506" s="40">
        <v>386000</v>
      </c>
    </row>
    <row r="1507">
      <c r="A1507" s="40">
        <v>194</v>
      </c>
      <c r="B1507" s="40" t="str">
        <v>90 Nguyễn Hoàng</v>
      </c>
      <c r="C1507" s="40">
        <v>1048</v>
      </c>
      <c r="D1507" s="40" t="str">
        <v>Combo 4</v>
      </c>
      <c r="E1507" s="40">
        <v>379000</v>
      </c>
    </row>
    <row r="1508">
      <c r="A1508" s="40">
        <v>194</v>
      </c>
      <c r="B1508" s="40" t="str">
        <v>90 Nguyễn Hoàng</v>
      </c>
      <c r="C1508" s="40">
        <v>1048</v>
      </c>
      <c r="D1508" s="40" t="str">
        <v>Combo 4</v>
      </c>
      <c r="E1508" s="40">
        <v>389000</v>
      </c>
    </row>
    <row r="1509">
      <c r="A1509" s="40">
        <v>194</v>
      </c>
      <c r="B1509" s="40" t="str">
        <v>90 Nguyễn Hoàng</v>
      </c>
      <c r="C1509" s="40">
        <v>1047</v>
      </c>
      <c r="D1509" s="40" t="str">
        <v>Cắt Gội Combo 3 - Chăm da</v>
      </c>
      <c r="E1509" s="40">
        <v>299000</v>
      </c>
    </row>
    <row r="1510">
      <c r="A1510" s="40">
        <v>194</v>
      </c>
      <c r="B1510" s="40" t="str">
        <v>90 Nguyễn Hoàng</v>
      </c>
      <c r="C1510" s="40">
        <v>1065</v>
      </c>
      <c r="D1510" s="40" t="str">
        <v>Cắt Gội Combo 3 - Dưỡng sinh</v>
      </c>
      <c r="E1510" s="40">
        <v>299000</v>
      </c>
    </row>
    <row r="1511">
      <c r="A1511" s="40">
        <v>194</v>
      </c>
      <c r="B1511" s="40" t="str">
        <v>90 Nguyễn Hoàng</v>
      </c>
      <c r="C1511" s="40">
        <v>1064</v>
      </c>
      <c r="D1511" s="40" t="str">
        <v>Cắt Gội Combo 5 - Dưỡng sinh</v>
      </c>
      <c r="E1511" s="40">
        <v>459000</v>
      </c>
    </row>
    <row r="1512">
      <c r="A1512" s="40">
        <v>194</v>
      </c>
      <c r="B1512" s="40" t="str">
        <v>90 Nguyễn Hoàng</v>
      </c>
      <c r="C1512" s="40">
        <v>891</v>
      </c>
      <c r="D1512" s="40" t="str">
        <v>Cắt xả tạo kiểu</v>
      </c>
      <c r="E1512" s="40">
        <v>90000</v>
      </c>
    </row>
    <row r="1513">
      <c r="A1513" s="40">
        <v>194</v>
      </c>
      <c r="B1513" s="40" t="str">
        <v>90 Nguyễn Hoàng</v>
      </c>
      <c r="C1513" s="40">
        <v>891</v>
      </c>
      <c r="D1513" s="40" t="str">
        <v>Cắt xả tạo kiểu</v>
      </c>
      <c r="E1513" s="40">
        <v>94000</v>
      </c>
    </row>
    <row r="1514">
      <c r="A1514" s="40">
        <v>194</v>
      </c>
      <c r="B1514" s="40" t="str">
        <v>90 Nguyễn Hoàng</v>
      </c>
      <c r="C1514" s="40">
        <v>1058</v>
      </c>
      <c r="D1514" s="40" t="str" xml:space="preserve">
        <v>Gội Combo 2 </v>
      </c>
      <c r="E1514" s="40">
        <v>159000</v>
      </c>
    </row>
    <row r="1515">
      <c r="A1515" s="40">
        <v>194</v>
      </c>
      <c r="B1515" s="40" t="str">
        <v>90 Nguyễn Hoàng</v>
      </c>
      <c r="C1515" s="40">
        <v>1059</v>
      </c>
      <c r="D1515" s="40" t="str">
        <v>Gội Combo 3 - Chăm da</v>
      </c>
      <c r="E1515" s="40">
        <v>239000</v>
      </c>
    </row>
    <row r="1516">
      <c r="A1516" s="40">
        <v>194</v>
      </c>
      <c r="B1516" s="40" t="str">
        <v>90 Nguyễn Hoàng</v>
      </c>
      <c r="C1516" s="40">
        <v>1060</v>
      </c>
      <c r="D1516" s="40" t="str">
        <v>Gội Combo 4</v>
      </c>
      <c r="E1516" s="40">
        <v>319000</v>
      </c>
    </row>
    <row r="1517">
      <c r="A1517" s="40">
        <v>194</v>
      </c>
      <c r="B1517" s="40" t="str">
        <v>90 Nguyễn Hoàng</v>
      </c>
      <c r="C1517" s="40">
        <v>1060</v>
      </c>
      <c r="D1517" s="40" t="str">
        <v>Gội Combo 4</v>
      </c>
      <c r="E1517" s="40">
        <v>289000</v>
      </c>
    </row>
    <row r="1518">
      <c r="A1518" s="40">
        <v>194</v>
      </c>
      <c r="B1518" s="40" t="str">
        <v>90 Nguyễn Hoàng</v>
      </c>
      <c r="C1518" s="40">
        <v>934</v>
      </c>
      <c r="D1518" s="40" t="str">
        <v>Gội combo 3 - Dưỡng sinh</v>
      </c>
      <c r="E1518" s="40">
        <v>229000</v>
      </c>
    </row>
    <row r="1519">
      <c r="A1519" s="40">
        <v>194</v>
      </c>
      <c r="B1519" s="40" t="str">
        <v>90 Nguyễn Hoàng</v>
      </c>
      <c r="C1519" s="40">
        <v>867</v>
      </c>
      <c r="D1519" s="40" t="str">
        <v>Gội dưỡng sinh cổ vai gáy</v>
      </c>
      <c r="E1519" s="40">
        <v>95000</v>
      </c>
    </row>
    <row r="1520">
      <c r="A1520" s="40">
        <v>194</v>
      </c>
      <c r="B1520" s="40" t="str">
        <v>90 Nguyễn Hoàng</v>
      </c>
      <c r="C1520" s="40">
        <v>867</v>
      </c>
      <c r="D1520" s="40" t="str">
        <v>Gội dưỡng sinh cổ vai gáy</v>
      </c>
      <c r="E1520" s="40">
        <v>99000</v>
      </c>
    </row>
    <row r="1521">
      <c r="A1521" s="40">
        <v>194</v>
      </c>
      <c r="B1521" s="40" t="str">
        <v>90 Nguyễn Hoàng</v>
      </c>
      <c r="C1521" s="40">
        <v>1068</v>
      </c>
      <c r="D1521" s="40" t="str">
        <v>Gội trải nghiệm 115p</v>
      </c>
      <c r="E1521" s="40">
        <v>999000</v>
      </c>
    </row>
    <row r="1522">
      <c r="A1522" s="40">
        <v>194</v>
      </c>
      <c r="B1522" s="40" t="str">
        <v>90 Nguyễn Hoàng</v>
      </c>
      <c r="C1522" s="40">
        <v>1069</v>
      </c>
      <c r="D1522" s="40" t="str">
        <v>Gội trải nghiệm 140p</v>
      </c>
      <c r="E1522" s="40">
        <v>1199000</v>
      </c>
    </row>
    <row r="1523">
      <c r="A1523" s="40">
        <v>194</v>
      </c>
      <c r="B1523" s="40" t="str">
        <v>90 Nguyễn Hoàng</v>
      </c>
      <c r="C1523" s="40">
        <v>1066</v>
      </c>
      <c r="D1523" s="40" t="str">
        <v>Gội trải nghiệm 75p</v>
      </c>
      <c r="E1523" s="40">
        <v>589000</v>
      </c>
    </row>
    <row r="1524">
      <c r="A1524" s="40">
        <v>194</v>
      </c>
      <c r="B1524" s="40" t="str">
        <v>90 Nguyễn Hoàng</v>
      </c>
      <c r="C1524" s="40">
        <v>1067</v>
      </c>
      <c r="D1524" s="40" t="str">
        <v>Gội trải nghiệm 90p</v>
      </c>
      <c r="E1524" s="40">
        <v>789000</v>
      </c>
    </row>
    <row r="1525">
      <c r="A1525" s="40">
        <v>194</v>
      </c>
      <c r="B1525" s="40" t="str">
        <v>90 Nguyễn Hoàng</v>
      </c>
      <c r="C1525" s="40">
        <v>1002</v>
      </c>
      <c r="D1525" s="40" t="str">
        <v>Kid Cắt</v>
      </c>
      <c r="E1525" s="40">
        <v>75000</v>
      </c>
    </row>
    <row r="1526">
      <c r="A1526" s="40">
        <v>194</v>
      </c>
      <c r="B1526" s="40" t="str">
        <v>90 Nguyễn Hoàng</v>
      </c>
      <c r="C1526" s="40">
        <v>1149</v>
      </c>
      <c r="D1526" s="40" t="str">
        <v>NHUỘM THIẾT KẾ PHỤC HỒI CHUYÊN SÂU LIPID BOND 2025</v>
      </c>
      <c r="E1526" s="40">
        <v>719000</v>
      </c>
    </row>
    <row r="1527">
      <c r="A1527" s="40">
        <v>194</v>
      </c>
      <c r="B1527" s="40" t="str">
        <v>90 Nguyễn Hoàng</v>
      </c>
      <c r="C1527" s="40">
        <v>1101</v>
      </c>
      <c r="D1527" s="40" t="str">
        <v>Phục hồi trẻ hóa Lipid Bond</v>
      </c>
      <c r="E1527" s="40">
        <v>146000</v>
      </c>
    </row>
    <row r="1528">
      <c r="A1528" s="40">
        <v>194</v>
      </c>
      <c r="B1528" s="40" t="str">
        <v>90 Nguyễn Hoàng</v>
      </c>
      <c r="C1528" s="40">
        <v>1046</v>
      </c>
      <c r="D1528" s="40" t="str" xml:space="preserve">
        <v>Shinecombo 2 </v>
      </c>
      <c r="E1528" s="40">
        <v>199000</v>
      </c>
    </row>
    <row r="1529">
      <c r="A1529" s="40">
        <v>194</v>
      </c>
      <c r="B1529" s="40" t="str">
        <v>90 Nguyễn Hoàng</v>
      </c>
      <c r="C1529" s="40">
        <v>1102</v>
      </c>
      <c r="D1529" s="40" t="str">
        <v>Tái tạo da đầu - Sạch gàu hết ngứa</v>
      </c>
      <c r="E1529" s="40">
        <v>98000</v>
      </c>
    </row>
    <row r="1530">
      <c r="A1530" s="40">
        <v>194</v>
      </c>
      <c r="B1530" s="40" t="str">
        <v>90 Nguyễn Hoàng</v>
      </c>
      <c r="C1530" s="40">
        <v>1148</v>
      </c>
      <c r="D1530" s="40" t="str">
        <v>UỐN THIẾT KẾ PHỤC HỒI CHUYÊN SÂU LIPID BOND 2025</v>
      </c>
      <c r="E1530" s="40">
        <v>689000</v>
      </c>
    </row>
    <row r="1531">
      <c r="A1531" s="40">
        <v>194</v>
      </c>
      <c r="B1531" s="40" t="str">
        <v>90 Nguyễn Hoàng</v>
      </c>
      <c r="C1531" s="40">
        <v>952</v>
      </c>
      <c r="D1531" s="40" t="str">
        <v>Uốn định hình nếp tóc cao cấp (K-Perm Collection)</v>
      </c>
      <c r="E1531" s="40">
        <v>478000</v>
      </c>
    </row>
    <row r="1532">
      <c r="A1532" s="40">
        <v>194</v>
      </c>
      <c r="B1532" s="40" t="str">
        <v>90 Nguyễn Hoàng</v>
      </c>
      <c r="C1532" s="40">
        <v>635</v>
      </c>
      <c r="D1532" s="40" t="str">
        <v>[DV] Detox tẩy da chết da đầu</v>
      </c>
      <c r="E1532" s="40">
        <v>45000</v>
      </c>
    </row>
    <row r="1533">
      <c r="A1533" s="40">
        <v>194</v>
      </c>
      <c r="B1533" s="40" t="str">
        <v>90 Nguyễn Hoàng</v>
      </c>
      <c r="C1533" s="40">
        <v>625</v>
      </c>
      <c r="D1533" s="40" t="str">
        <v>[DV] Mặt nạ tẩy da chết sủi bọt cao cấp</v>
      </c>
      <c r="E1533" s="40">
        <v>55000</v>
      </c>
    </row>
    <row r="1534">
      <c r="A1534" s="40">
        <v>194</v>
      </c>
      <c r="B1534" s="40" t="str">
        <v>90 Nguyễn Hoàng</v>
      </c>
      <c r="C1534" s="40">
        <v>912</v>
      </c>
      <c r="D1534" s="40" t="str">
        <v>[DV] Nhuộm đen phủ bạc R&amp;B thảo dược</v>
      </c>
      <c r="E1534" s="40">
        <v>293000</v>
      </c>
    </row>
    <row r="1535">
      <c r="A1535" s="40">
        <v>194</v>
      </c>
      <c r="B1535" s="40" t="str">
        <v>90 Nguyễn Hoàng</v>
      </c>
      <c r="C1535" s="40">
        <v>513</v>
      </c>
      <c r="D1535" s="40" t="str">
        <v>[DV] ShineCombo 10 bước Ultra Care 2023</v>
      </c>
      <c r="E1535" s="40">
        <v>120000</v>
      </c>
    </row>
    <row r="1536">
      <c r="A1536" s="40">
        <v>194</v>
      </c>
      <c r="B1536" s="40" t="str">
        <v>90 Nguyễn Hoàng</v>
      </c>
      <c r="C1536" s="40">
        <v>513</v>
      </c>
      <c r="D1536" s="40" t="str">
        <v>[DV] ShineCombo 10 bước Ultra Care 2023</v>
      </c>
      <c r="E1536" s="40">
        <v>122000</v>
      </c>
    </row>
    <row r="1537">
      <c r="A1537" s="40">
        <v>194</v>
      </c>
      <c r="B1537" s="40" t="str">
        <v>90 Nguyễn Hoàng</v>
      </c>
      <c r="C1537" s="40">
        <v>634</v>
      </c>
      <c r="D1537" s="40" t="str">
        <v>[DV] Tẩy da chết sủi bọt Hàn Quốc</v>
      </c>
      <c r="E1537" s="40">
        <v>35000</v>
      </c>
    </row>
    <row r="1538">
      <c r="A1538" s="40">
        <v>194</v>
      </c>
      <c r="B1538" s="40" t="str">
        <v>90 Nguyễn Hoàng</v>
      </c>
      <c r="C1538" s="40">
        <v>916</v>
      </c>
      <c r="D1538" s="40" t="str">
        <v>[DV] Tẩy tóc bật tông Ý (2 lần) 500k</v>
      </c>
      <c r="E1538" s="40">
        <v>500000</v>
      </c>
    </row>
    <row r="1539">
      <c r="A1539" s="40">
        <v>194</v>
      </c>
      <c r="B1539" s="40" t="str">
        <v>90 Nguyễn Hoàng</v>
      </c>
      <c r="C1539" s="40">
        <v>940</v>
      </c>
      <c r="D1539" s="40" t="str">
        <v>[NEW] Gội dưỡng sinh</v>
      </c>
      <c r="E1539" s="40">
        <v>59000</v>
      </c>
    </row>
    <row r="1540">
      <c r="A1540" s="40">
        <v>194</v>
      </c>
      <c r="B1540" s="40" t="str">
        <v>90 Nguyễn Hoàng</v>
      </c>
      <c r="C1540" s="40">
        <v>603</v>
      </c>
      <c r="D1540" s="40" t="str">
        <v>Đánh bay mụn cám lột mụn (Full Face)</v>
      </c>
      <c r="E1540" s="40">
        <v>49000</v>
      </c>
    </row>
    <row r="1541">
      <c r="A1541" s="40">
        <v>196</v>
      </c>
      <c r="B1541" s="40" t="str">
        <v>202 Đội Cấn</v>
      </c>
      <c r="C1541" s="40">
        <v>610</v>
      </c>
      <c r="D1541" s="40" t="str">
        <v>(2022T) ATS Control Buffer - Khử mùi tạo thơm cho tóc uốn nhuộm 40k</v>
      </c>
      <c r="E1541" s="40">
        <v>40000</v>
      </c>
    </row>
    <row r="1542">
      <c r="A1542" s="40">
        <v>196</v>
      </c>
      <c r="B1542" s="40" t="str">
        <v>202 Đội Cấn</v>
      </c>
      <c r="C1542" s="40">
        <v>960</v>
      </c>
      <c r="D1542" s="40" t="str">
        <v>(NEW) Nhuộm màu thời trang Milano</v>
      </c>
      <c r="E1542" s="40">
        <v>369000</v>
      </c>
    </row>
    <row r="1543">
      <c r="A1543" s="40">
        <v>196</v>
      </c>
      <c r="B1543" s="40" t="str">
        <v>202 Đội Cấn</v>
      </c>
      <c r="C1543" s="40">
        <v>967</v>
      </c>
      <c r="D1543" s="40" t="str">
        <v>(NEW) Nhuộm phủ bạc tiêu chuẩn 199K</v>
      </c>
      <c r="E1543" s="40">
        <v>227000</v>
      </c>
    </row>
    <row r="1544">
      <c r="A1544" s="40">
        <v>196</v>
      </c>
      <c r="B1544" s="40" t="str">
        <v>202 Đội Cấn</v>
      </c>
      <c r="C1544" s="40">
        <v>1009</v>
      </c>
      <c r="D1544" s="40" t="str">
        <v>(NEW) Uốn/Duỗi/Định hình full đầu tạo form vào nếp tự nhiên</v>
      </c>
      <c r="E1544" s="40">
        <v>386000</v>
      </c>
    </row>
    <row r="1545">
      <c r="A1545" s="40">
        <v>196</v>
      </c>
      <c r="B1545" s="40" t="str">
        <v>202 Đội Cấn</v>
      </c>
      <c r="C1545" s="40">
        <v>1048</v>
      </c>
      <c r="D1545" s="40" t="str">
        <v>Combo 4</v>
      </c>
      <c r="E1545" s="40">
        <v>379000</v>
      </c>
    </row>
    <row r="1546">
      <c r="A1546" s="40">
        <v>196</v>
      </c>
      <c r="B1546" s="40" t="str">
        <v>202 Đội Cấn</v>
      </c>
      <c r="C1546" s="40">
        <v>1048</v>
      </c>
      <c r="D1546" s="40" t="str">
        <v>Combo 4</v>
      </c>
      <c r="E1546" s="40">
        <v>389000</v>
      </c>
    </row>
    <row r="1547">
      <c r="A1547" s="40">
        <v>196</v>
      </c>
      <c r="B1547" s="40" t="str">
        <v>202 Đội Cấn</v>
      </c>
      <c r="C1547" s="40">
        <v>1047</v>
      </c>
      <c r="D1547" s="40" t="str">
        <v>Cắt Gội Combo 3 - Chăm da</v>
      </c>
      <c r="E1547" s="40">
        <v>299000</v>
      </c>
    </row>
    <row r="1548">
      <c r="A1548" s="40">
        <v>196</v>
      </c>
      <c r="B1548" s="40" t="str">
        <v>202 Đội Cấn</v>
      </c>
      <c r="C1548" s="40">
        <v>1065</v>
      </c>
      <c r="D1548" s="40" t="str">
        <v>Cắt Gội Combo 3 - Dưỡng sinh</v>
      </c>
      <c r="E1548" s="40">
        <v>299000</v>
      </c>
    </row>
    <row r="1549">
      <c r="A1549" s="40">
        <v>196</v>
      </c>
      <c r="B1549" s="40" t="str">
        <v>202 Đội Cấn</v>
      </c>
      <c r="C1549" s="40">
        <v>891</v>
      </c>
      <c r="D1549" s="40" t="str">
        <v>Cắt xả tạo kiểu</v>
      </c>
      <c r="E1549" s="40">
        <v>94000</v>
      </c>
    </row>
    <row r="1550">
      <c r="A1550" s="40">
        <v>196</v>
      </c>
      <c r="B1550" s="40" t="str">
        <v>202 Đội Cấn</v>
      </c>
      <c r="C1550" s="40">
        <v>891</v>
      </c>
      <c r="D1550" s="40" t="str">
        <v>Cắt xả tạo kiểu</v>
      </c>
      <c r="E1550" s="40">
        <v>90000</v>
      </c>
    </row>
    <row r="1551">
      <c r="A1551" s="40">
        <v>196</v>
      </c>
      <c r="B1551" s="40" t="str">
        <v>202 Đội Cấn</v>
      </c>
      <c r="C1551" s="40">
        <v>1058</v>
      </c>
      <c r="D1551" s="40" t="str" xml:space="preserve">
        <v>Gội Combo 2 </v>
      </c>
      <c r="E1551" s="40">
        <v>159000</v>
      </c>
    </row>
    <row r="1552">
      <c r="A1552" s="40">
        <v>196</v>
      </c>
      <c r="B1552" s="40" t="str">
        <v>202 Đội Cấn</v>
      </c>
      <c r="C1552" s="40">
        <v>1059</v>
      </c>
      <c r="D1552" s="40" t="str">
        <v>Gội Combo 3 - Chăm da</v>
      </c>
      <c r="E1552" s="40">
        <v>219000</v>
      </c>
    </row>
    <row r="1553">
      <c r="A1553" s="40">
        <v>196</v>
      </c>
      <c r="B1553" s="40" t="str">
        <v>202 Đội Cấn</v>
      </c>
      <c r="C1553" s="40">
        <v>1059</v>
      </c>
      <c r="D1553" s="40" t="str">
        <v>Gội Combo 3 - Chăm da</v>
      </c>
      <c r="E1553" s="40">
        <v>239000</v>
      </c>
    </row>
    <row r="1554">
      <c r="A1554" s="40">
        <v>196</v>
      </c>
      <c r="B1554" s="40" t="str">
        <v>202 Đội Cấn</v>
      </c>
      <c r="C1554" s="40">
        <v>1060</v>
      </c>
      <c r="D1554" s="40" t="str">
        <v>Gội Combo 4</v>
      </c>
      <c r="E1554" s="40">
        <v>289000</v>
      </c>
    </row>
    <row r="1555">
      <c r="A1555" s="40">
        <v>196</v>
      </c>
      <c r="B1555" s="40" t="str">
        <v>202 Đội Cấn</v>
      </c>
      <c r="C1555" s="40">
        <v>1060</v>
      </c>
      <c r="D1555" s="40" t="str">
        <v>Gội Combo 4</v>
      </c>
      <c r="E1555" s="40">
        <v>319000</v>
      </c>
    </row>
    <row r="1556">
      <c r="A1556" s="40">
        <v>196</v>
      </c>
      <c r="B1556" s="40" t="str">
        <v>202 Đội Cấn</v>
      </c>
      <c r="C1556" s="40">
        <v>867</v>
      </c>
      <c r="D1556" s="40" t="str">
        <v>Gội dưỡng sinh cổ vai gáy</v>
      </c>
      <c r="E1556" s="40">
        <v>95000</v>
      </c>
    </row>
    <row r="1557">
      <c r="A1557" s="40">
        <v>196</v>
      </c>
      <c r="B1557" s="40" t="str">
        <v>202 Đội Cấn</v>
      </c>
      <c r="C1557" s="40">
        <v>867</v>
      </c>
      <c r="D1557" s="40" t="str">
        <v>Gội dưỡng sinh cổ vai gáy</v>
      </c>
      <c r="E1557" s="40">
        <v>129000</v>
      </c>
    </row>
    <row r="1558">
      <c r="A1558" s="40">
        <v>196</v>
      </c>
      <c r="B1558" s="40" t="str">
        <v>202 Đội Cấn</v>
      </c>
      <c r="C1558" s="40">
        <v>1068</v>
      </c>
      <c r="D1558" s="40" t="str">
        <v>Gội trải nghiệm 115p</v>
      </c>
      <c r="E1558" s="40">
        <v>999000</v>
      </c>
    </row>
    <row r="1559">
      <c r="A1559" s="40">
        <v>196</v>
      </c>
      <c r="B1559" s="40" t="str">
        <v>202 Đội Cấn</v>
      </c>
      <c r="C1559" s="40">
        <v>1066</v>
      </c>
      <c r="D1559" s="40" t="str">
        <v>Gội trải nghiệm 75p</v>
      </c>
      <c r="E1559" s="40">
        <v>589000</v>
      </c>
    </row>
    <row r="1560">
      <c r="A1560" s="40">
        <v>196</v>
      </c>
      <c r="B1560" s="40" t="str">
        <v>202 Đội Cấn</v>
      </c>
      <c r="C1560" s="40">
        <v>1067</v>
      </c>
      <c r="D1560" s="40" t="str">
        <v>Gội trải nghiệm 90p</v>
      </c>
      <c r="E1560" s="40">
        <v>789000</v>
      </c>
    </row>
    <row r="1561">
      <c r="A1561" s="40">
        <v>196</v>
      </c>
      <c r="B1561" s="40" t="str">
        <v>202 Đội Cấn</v>
      </c>
      <c r="C1561" s="40">
        <v>1002</v>
      </c>
      <c r="D1561" s="40" t="str">
        <v>Kid Cắt</v>
      </c>
      <c r="E1561" s="40">
        <v>75000</v>
      </c>
    </row>
    <row r="1562">
      <c r="A1562" s="40">
        <v>196</v>
      </c>
      <c r="B1562" s="40" t="str">
        <v>202 Đội Cấn</v>
      </c>
      <c r="C1562" s="40">
        <v>1149</v>
      </c>
      <c r="D1562" s="40" t="str">
        <v>NHUỘM THIẾT KẾ PHỤC HỒI CHUYÊN SÂU LIPID BOND 2025</v>
      </c>
      <c r="E1562" s="40">
        <v>759000</v>
      </c>
    </row>
    <row r="1563">
      <c r="A1563" s="40">
        <v>196</v>
      </c>
      <c r="B1563" s="40" t="str">
        <v>202 Đội Cấn</v>
      </c>
      <c r="C1563" s="40">
        <v>1101</v>
      </c>
      <c r="D1563" s="40" t="str">
        <v>Phục hồi trẻ hóa Lipid Bond</v>
      </c>
      <c r="E1563" s="40">
        <v>146000</v>
      </c>
    </row>
    <row r="1564">
      <c r="A1564" s="40">
        <v>196</v>
      </c>
      <c r="B1564" s="40" t="str">
        <v>202 Đội Cấn</v>
      </c>
      <c r="C1564" s="40">
        <v>1046</v>
      </c>
      <c r="D1564" s="40" t="str" xml:space="preserve">
        <v>Shinecombo 2 </v>
      </c>
      <c r="E1564" s="40">
        <v>199000</v>
      </c>
    </row>
    <row r="1565">
      <c r="A1565" s="40">
        <v>196</v>
      </c>
      <c r="B1565" s="40" t="str">
        <v>202 Đội Cấn</v>
      </c>
      <c r="C1565" s="40">
        <v>1148</v>
      </c>
      <c r="D1565" s="40" t="str">
        <v>UỐN THIẾT KẾ PHỤC HỒI CHUYÊN SÂU LIPID BOND 2025</v>
      </c>
      <c r="E1565" s="40">
        <v>689000</v>
      </c>
    </row>
    <row r="1566">
      <c r="A1566" s="40">
        <v>196</v>
      </c>
      <c r="B1566" s="40" t="str">
        <v>202 Đội Cấn</v>
      </c>
      <c r="C1566" s="40">
        <v>952</v>
      </c>
      <c r="D1566" s="40" t="str">
        <v>Uốn định hình nếp tóc cao cấp (K-Perm Collection)</v>
      </c>
      <c r="E1566" s="40">
        <v>478000</v>
      </c>
    </row>
    <row r="1567">
      <c r="A1567" s="40">
        <v>196</v>
      </c>
      <c r="B1567" s="40" t="str">
        <v>202 Đội Cấn</v>
      </c>
      <c r="C1567" s="40">
        <v>635</v>
      </c>
      <c r="D1567" s="40" t="str">
        <v>[DV] Detox tẩy da chết da đầu</v>
      </c>
      <c r="E1567" s="40">
        <v>45000</v>
      </c>
    </row>
    <row r="1568">
      <c r="A1568" s="40">
        <v>196</v>
      </c>
      <c r="B1568" s="40" t="str">
        <v>202 Đội Cấn</v>
      </c>
      <c r="C1568" s="40">
        <v>636</v>
      </c>
      <c r="D1568" s="40" t="str">
        <v>[DV] Mặt nạ lạnh Hàn Quốc</v>
      </c>
      <c r="E1568" s="40">
        <v>35000</v>
      </c>
    </row>
    <row r="1569">
      <c r="A1569" s="40">
        <v>196</v>
      </c>
      <c r="B1569" s="40" t="str">
        <v>202 Đội Cấn</v>
      </c>
      <c r="C1569" s="40">
        <v>625</v>
      </c>
      <c r="D1569" s="40" t="str">
        <v>[DV] Mặt nạ tẩy da chết sủi bọt cao cấp</v>
      </c>
      <c r="E1569" s="40">
        <v>55000</v>
      </c>
    </row>
    <row r="1570">
      <c r="A1570" s="40">
        <v>196</v>
      </c>
      <c r="B1570" s="40" t="str">
        <v>202 Đội Cấn</v>
      </c>
      <c r="C1570" s="40">
        <v>912</v>
      </c>
      <c r="D1570" s="40" t="str">
        <v>[DV] Nhuộm đen phủ bạc R&amp;B thảo dược</v>
      </c>
      <c r="E1570" s="40">
        <v>329000</v>
      </c>
    </row>
    <row r="1571">
      <c r="A1571" s="40">
        <v>196</v>
      </c>
      <c r="B1571" s="40" t="str">
        <v>202 Đội Cấn</v>
      </c>
      <c r="C1571" s="40">
        <v>513</v>
      </c>
      <c r="D1571" s="40" t="str">
        <v>[DV] ShineCombo 10 bước Ultra Care 2023</v>
      </c>
      <c r="E1571" s="40">
        <v>122000</v>
      </c>
    </row>
    <row r="1572">
      <c r="A1572" s="40">
        <v>196</v>
      </c>
      <c r="B1572" s="40" t="str">
        <v>202 Đội Cấn</v>
      </c>
      <c r="C1572" s="40">
        <v>513</v>
      </c>
      <c r="D1572" s="40" t="str">
        <v>[DV] ShineCombo 10 bước Ultra Care 2023</v>
      </c>
      <c r="E1572" s="40">
        <v>120000</v>
      </c>
    </row>
    <row r="1573">
      <c r="A1573" s="40">
        <v>196</v>
      </c>
      <c r="B1573" s="40" t="str">
        <v>202 Đội Cấn</v>
      </c>
      <c r="C1573" s="40">
        <v>634</v>
      </c>
      <c r="D1573" s="40" t="str">
        <v>[DV] Tẩy da chết sủi bọt Hàn Quốc</v>
      </c>
      <c r="E1573" s="40">
        <v>35000</v>
      </c>
    </row>
    <row r="1574">
      <c r="A1574" s="40">
        <v>196</v>
      </c>
      <c r="B1574" s="40" t="str">
        <v>202 Đội Cấn</v>
      </c>
      <c r="C1574" s="40">
        <v>915</v>
      </c>
      <c r="D1574" s="40" t="str">
        <v>[DV] Tẩy tóc bật tông Ý (1 lần)</v>
      </c>
      <c r="E1574" s="40">
        <v>269000</v>
      </c>
    </row>
    <row r="1575">
      <c r="A1575" s="40">
        <v>196</v>
      </c>
      <c r="B1575" s="40" t="str">
        <v>202 Đội Cấn</v>
      </c>
      <c r="C1575" s="40">
        <v>674</v>
      </c>
      <c r="D1575" s="40" t="str">
        <v>[DV] Uốn Texture con sâu/Uốn Ruffled</v>
      </c>
      <c r="E1575" s="40">
        <v>554000</v>
      </c>
    </row>
    <row r="1576">
      <c r="A1576" s="40">
        <v>196</v>
      </c>
      <c r="B1576" s="40" t="str">
        <v>202 Đội Cấn</v>
      </c>
      <c r="C1576" s="40">
        <v>941</v>
      </c>
      <c r="D1576" s="40" t="str">
        <v>[DV] Vuốt sáp - sấy tạo kiểu 10k</v>
      </c>
      <c r="E1576" s="40">
        <v>10000</v>
      </c>
    </row>
    <row r="1577">
      <c r="A1577" s="40">
        <v>196</v>
      </c>
      <c r="B1577" s="40" t="str">
        <v>202 Đội Cấn</v>
      </c>
      <c r="C1577" s="40">
        <v>902</v>
      </c>
      <c r="D1577" s="40" t="str">
        <v>[DV] Ép side hai bên</v>
      </c>
      <c r="E1577" s="40">
        <v>219000</v>
      </c>
    </row>
    <row r="1578">
      <c r="A1578" s="40">
        <v>196</v>
      </c>
      <c r="B1578" s="40" t="str">
        <v>202 Đội Cấn</v>
      </c>
      <c r="C1578" s="40">
        <v>940</v>
      </c>
      <c r="D1578" s="40" t="str">
        <v>[NEW] Gội dưỡng sinh</v>
      </c>
      <c r="E1578" s="40">
        <v>59000</v>
      </c>
    </row>
    <row r="1579">
      <c r="A1579" s="40">
        <v>196</v>
      </c>
      <c r="B1579" s="40" t="str">
        <v>202 Đội Cấn</v>
      </c>
      <c r="C1579" s="40">
        <v>603</v>
      </c>
      <c r="D1579" s="40" t="str">
        <v>Đánh bay mụn cám lột mụn (Full Face)</v>
      </c>
      <c r="E1579" s="40">
        <v>49000</v>
      </c>
    </row>
    <row r="1580">
      <c r="A1580" s="40">
        <v>197</v>
      </c>
      <c r="B1580" s="40" t="str">
        <v>65 Cầu Diễn</v>
      </c>
      <c r="C1580" s="40">
        <v>610</v>
      </c>
      <c r="D1580" s="40" t="str">
        <v>(2022T) ATS Control Buffer - Khử mùi tạo thơm cho tóc uốn nhuộm 40k</v>
      </c>
      <c r="E1580" s="40">
        <v>40000</v>
      </c>
    </row>
    <row r="1581">
      <c r="A1581" s="40">
        <v>197</v>
      </c>
      <c r="B1581" s="40" t="str">
        <v>65 Cầu Diễn</v>
      </c>
      <c r="C1581" s="40">
        <v>960</v>
      </c>
      <c r="D1581" s="40" t="str">
        <v>(NEW) Nhuộm màu thời trang Milano</v>
      </c>
      <c r="E1581" s="40">
        <v>366000</v>
      </c>
    </row>
    <row r="1582">
      <c r="A1582" s="40">
        <v>197</v>
      </c>
      <c r="B1582" s="40" t="str">
        <v>65 Cầu Diễn</v>
      </c>
      <c r="C1582" s="40">
        <v>967</v>
      </c>
      <c r="D1582" s="40" t="str">
        <v>(NEW) Nhuộm phủ bạc tiêu chuẩn 199K</v>
      </c>
      <c r="E1582" s="40">
        <v>202000</v>
      </c>
    </row>
    <row r="1583">
      <c r="A1583" s="40">
        <v>197</v>
      </c>
      <c r="B1583" s="40" t="str">
        <v>65 Cầu Diễn</v>
      </c>
      <c r="C1583" s="40">
        <v>1009</v>
      </c>
      <c r="D1583" s="40" t="str">
        <v>(NEW) Uốn/Duỗi/Định hình full đầu tạo form vào nếp tự nhiên</v>
      </c>
      <c r="E1583" s="40">
        <v>406000</v>
      </c>
    </row>
    <row r="1584">
      <c r="A1584" s="40">
        <v>197</v>
      </c>
      <c r="B1584" s="40" t="str">
        <v>65 Cầu Diễn</v>
      </c>
      <c r="C1584" s="40">
        <v>1053</v>
      </c>
      <c r="D1584" s="40" t="str">
        <v>Combo 2 - First Class 2</v>
      </c>
      <c r="E1584" s="40">
        <v>239000</v>
      </c>
    </row>
    <row r="1585">
      <c r="A1585" s="40">
        <v>197</v>
      </c>
      <c r="B1585" s="40" t="str">
        <v>65 Cầu Diễn</v>
      </c>
      <c r="C1585" s="40">
        <v>1048</v>
      </c>
      <c r="D1585" s="40" t="str">
        <v>Combo 4</v>
      </c>
      <c r="E1585" s="40">
        <v>379000</v>
      </c>
    </row>
    <row r="1586">
      <c r="A1586" s="40">
        <v>197</v>
      </c>
      <c r="B1586" s="40" t="str">
        <v>65 Cầu Diễn</v>
      </c>
      <c r="C1586" s="40">
        <v>1048</v>
      </c>
      <c r="D1586" s="40" t="str">
        <v>Combo 4</v>
      </c>
      <c r="E1586" s="40">
        <v>389000</v>
      </c>
    </row>
    <row r="1587">
      <c r="A1587" s="40">
        <v>197</v>
      </c>
      <c r="B1587" s="40" t="str">
        <v>65 Cầu Diễn</v>
      </c>
      <c r="C1587" s="40">
        <v>1047</v>
      </c>
      <c r="D1587" s="40" t="str">
        <v>Cắt Gội Combo 3 - Chăm da</v>
      </c>
      <c r="E1587" s="40">
        <v>299000</v>
      </c>
    </row>
    <row r="1588">
      <c r="A1588" s="40">
        <v>197</v>
      </c>
      <c r="B1588" s="40" t="str">
        <v>65 Cầu Diễn</v>
      </c>
      <c r="C1588" s="40">
        <v>891</v>
      </c>
      <c r="D1588" s="40" t="str">
        <v>Cắt xả tạo kiểu</v>
      </c>
      <c r="E1588" s="40">
        <v>94000</v>
      </c>
    </row>
    <row r="1589">
      <c r="A1589" s="40">
        <v>197</v>
      </c>
      <c r="B1589" s="40" t="str">
        <v>65 Cầu Diễn</v>
      </c>
      <c r="C1589" s="40">
        <v>891</v>
      </c>
      <c r="D1589" s="40" t="str">
        <v>Cắt xả tạo kiểu</v>
      </c>
      <c r="E1589" s="40">
        <v>90000</v>
      </c>
    </row>
    <row r="1590">
      <c r="A1590" s="40">
        <v>197</v>
      </c>
      <c r="B1590" s="40" t="str">
        <v>65 Cầu Diễn</v>
      </c>
      <c r="C1590" s="40">
        <v>1058</v>
      </c>
      <c r="D1590" s="40" t="str" xml:space="preserve">
        <v>Gội Combo 2 </v>
      </c>
      <c r="E1590" s="40">
        <v>159000</v>
      </c>
    </row>
    <row r="1591">
      <c r="A1591" s="40">
        <v>197</v>
      </c>
      <c r="B1591" s="40" t="str">
        <v>65 Cầu Diễn</v>
      </c>
      <c r="C1591" s="40">
        <v>1059</v>
      </c>
      <c r="D1591" s="40" t="str">
        <v>Gội Combo 3 - Chăm da</v>
      </c>
      <c r="E1591" s="40">
        <v>239000</v>
      </c>
    </row>
    <row r="1592">
      <c r="A1592" s="40">
        <v>197</v>
      </c>
      <c r="B1592" s="40" t="str">
        <v>65 Cầu Diễn</v>
      </c>
      <c r="C1592" s="40">
        <v>1059</v>
      </c>
      <c r="D1592" s="40" t="str">
        <v>Gội Combo 3 - Chăm da</v>
      </c>
      <c r="E1592" s="40">
        <v>219000</v>
      </c>
    </row>
    <row r="1593">
      <c r="A1593" s="40">
        <v>197</v>
      </c>
      <c r="B1593" s="40" t="str">
        <v>65 Cầu Diễn</v>
      </c>
      <c r="C1593" s="40">
        <v>1060</v>
      </c>
      <c r="D1593" s="40" t="str">
        <v>Gội Combo 4</v>
      </c>
      <c r="E1593" s="40">
        <v>319000</v>
      </c>
    </row>
    <row r="1594">
      <c r="A1594" s="40">
        <v>197</v>
      </c>
      <c r="B1594" s="40" t="str">
        <v>65 Cầu Diễn</v>
      </c>
      <c r="C1594" s="40">
        <v>1060</v>
      </c>
      <c r="D1594" s="40" t="str">
        <v>Gội Combo 4</v>
      </c>
      <c r="E1594" s="40">
        <v>289000</v>
      </c>
    </row>
    <row r="1595">
      <c r="A1595" s="40">
        <v>197</v>
      </c>
      <c r="B1595" s="40" t="str">
        <v>65 Cầu Diễn</v>
      </c>
      <c r="C1595" s="40">
        <v>867</v>
      </c>
      <c r="D1595" s="40" t="str">
        <v>Gội dưỡng sinh cổ vai gáy</v>
      </c>
      <c r="E1595" s="40">
        <v>99000</v>
      </c>
    </row>
    <row r="1596">
      <c r="A1596" s="40">
        <v>197</v>
      </c>
      <c r="B1596" s="40" t="str">
        <v>65 Cầu Diễn</v>
      </c>
      <c r="C1596" s="40">
        <v>1068</v>
      </c>
      <c r="D1596" s="40" t="str">
        <v>Gội trải nghiệm 115p</v>
      </c>
      <c r="E1596" s="40">
        <v>999000</v>
      </c>
    </row>
    <row r="1597">
      <c r="A1597" s="40">
        <v>197</v>
      </c>
      <c r="B1597" s="40" t="str">
        <v>65 Cầu Diễn</v>
      </c>
      <c r="C1597" s="40">
        <v>1069</v>
      </c>
      <c r="D1597" s="40" t="str">
        <v>Gội trải nghiệm 140p</v>
      </c>
      <c r="E1597" s="40">
        <v>1199000</v>
      </c>
    </row>
    <row r="1598">
      <c r="A1598" s="40">
        <v>197</v>
      </c>
      <c r="B1598" s="40" t="str">
        <v>65 Cầu Diễn</v>
      </c>
      <c r="C1598" s="40">
        <v>1066</v>
      </c>
      <c r="D1598" s="40" t="str">
        <v>Gội trải nghiệm 75p</v>
      </c>
      <c r="E1598" s="40">
        <v>589000</v>
      </c>
    </row>
    <row r="1599">
      <c r="A1599" s="40">
        <v>197</v>
      </c>
      <c r="B1599" s="40" t="str">
        <v>65 Cầu Diễn</v>
      </c>
      <c r="C1599" s="40">
        <v>1067</v>
      </c>
      <c r="D1599" s="40" t="str">
        <v>Gội trải nghiệm 90p</v>
      </c>
      <c r="E1599" s="40">
        <v>789000</v>
      </c>
    </row>
    <row r="1600">
      <c r="A1600" s="40">
        <v>197</v>
      </c>
      <c r="B1600" s="40" t="str">
        <v>65 Cầu Diễn</v>
      </c>
      <c r="C1600" s="40">
        <v>1002</v>
      </c>
      <c r="D1600" s="40" t="str">
        <v>Kid Cắt</v>
      </c>
      <c r="E1600" s="40">
        <v>75000</v>
      </c>
    </row>
    <row r="1601">
      <c r="A1601" s="40">
        <v>197</v>
      </c>
      <c r="B1601" s="40" t="str">
        <v>65 Cầu Diễn</v>
      </c>
      <c r="C1601" s="40">
        <v>1101</v>
      </c>
      <c r="D1601" s="40" t="str">
        <v>Phục hồi trẻ hóa Lipid Bond</v>
      </c>
      <c r="E1601" s="40">
        <v>146000</v>
      </c>
    </row>
    <row r="1602">
      <c r="A1602" s="40">
        <v>197</v>
      </c>
      <c r="B1602" s="40" t="str">
        <v>65 Cầu Diễn</v>
      </c>
      <c r="C1602" s="40">
        <v>1046</v>
      </c>
      <c r="D1602" s="40" t="str" xml:space="preserve">
        <v>Shinecombo 2 </v>
      </c>
      <c r="E1602" s="40">
        <v>199000</v>
      </c>
    </row>
    <row r="1603">
      <c r="A1603" s="40">
        <v>197</v>
      </c>
      <c r="B1603" s="40" t="str">
        <v>65 Cầu Diễn</v>
      </c>
      <c r="C1603" s="40">
        <v>952</v>
      </c>
      <c r="D1603" s="40" t="str">
        <v>Uốn định hình nếp tóc cao cấp (K-Perm Collection)</v>
      </c>
      <c r="E1603" s="40">
        <v>502000</v>
      </c>
    </row>
    <row r="1604">
      <c r="A1604" s="40">
        <v>197</v>
      </c>
      <c r="B1604" s="40" t="str">
        <v>65 Cầu Diễn</v>
      </c>
      <c r="C1604" s="40">
        <v>625</v>
      </c>
      <c r="D1604" s="40" t="str">
        <v>[DV] Mặt nạ tẩy da chết sủi bọt cao cấp</v>
      </c>
      <c r="E1604" s="40">
        <v>55000</v>
      </c>
    </row>
    <row r="1605">
      <c r="A1605" s="40">
        <v>197</v>
      </c>
      <c r="B1605" s="40" t="str">
        <v>65 Cầu Diễn</v>
      </c>
      <c r="C1605" s="40">
        <v>912</v>
      </c>
      <c r="D1605" s="40" t="str">
        <v>[DV] Nhuộm đen phủ bạc R&amp;B thảo dược</v>
      </c>
      <c r="E1605" s="40">
        <v>293000</v>
      </c>
    </row>
    <row r="1606">
      <c r="A1606" s="40">
        <v>197</v>
      </c>
      <c r="B1606" s="40" t="str">
        <v>65 Cầu Diễn</v>
      </c>
      <c r="C1606" s="40">
        <v>513</v>
      </c>
      <c r="D1606" s="40" t="str">
        <v>[DV] ShineCombo 10 bước Ultra Care 2023</v>
      </c>
      <c r="E1606" s="40">
        <v>120000</v>
      </c>
    </row>
    <row r="1607">
      <c r="A1607" s="40">
        <v>197</v>
      </c>
      <c r="B1607" s="40" t="str">
        <v>65 Cầu Diễn</v>
      </c>
      <c r="C1607" s="40">
        <v>513</v>
      </c>
      <c r="D1607" s="40" t="str">
        <v>[DV] ShineCombo 10 bước Ultra Care 2023</v>
      </c>
      <c r="E1607" s="40">
        <v>122000</v>
      </c>
    </row>
    <row r="1608">
      <c r="A1608" s="40">
        <v>197</v>
      </c>
      <c r="B1608" s="40" t="str">
        <v>65 Cầu Diễn</v>
      </c>
      <c r="C1608" s="40">
        <v>462</v>
      </c>
      <c r="D1608" s="40" t="str">
        <v>[DV] Thư giãn cổ, vai, gáy bạc hà cam ngọt - Thư giãn tai sảng khoái 9 tầng mây 45k</v>
      </c>
      <c r="E1608" s="40">
        <v>45000</v>
      </c>
    </row>
    <row r="1609">
      <c r="A1609" s="40">
        <v>197</v>
      </c>
      <c r="B1609" s="40" t="str">
        <v>65 Cầu Diễn</v>
      </c>
      <c r="C1609" s="40">
        <v>634</v>
      </c>
      <c r="D1609" s="40" t="str">
        <v>[DV] Tẩy da chết sủi bọt Hàn Quốc</v>
      </c>
      <c r="E1609" s="40">
        <v>35000</v>
      </c>
    </row>
    <row r="1610">
      <c r="A1610" s="40">
        <v>197</v>
      </c>
      <c r="B1610" s="40" t="str">
        <v>65 Cầu Diễn</v>
      </c>
      <c r="C1610" s="40">
        <v>916</v>
      </c>
      <c r="D1610" s="40" t="str">
        <v>[DV] Tẩy tóc bật tông Ý (2 lần) 500k</v>
      </c>
      <c r="E1610" s="40">
        <v>500000</v>
      </c>
    </row>
    <row r="1611">
      <c r="A1611" s="40">
        <v>197</v>
      </c>
      <c r="B1611" s="40" t="str">
        <v>65 Cầu Diễn</v>
      </c>
      <c r="C1611" s="40">
        <v>902</v>
      </c>
      <c r="D1611" s="40" t="str">
        <v>[DV] Ép side hai bên</v>
      </c>
      <c r="E1611" s="40">
        <v>209000</v>
      </c>
    </row>
    <row r="1612">
      <c r="A1612" s="40">
        <v>197</v>
      </c>
      <c r="B1612" s="40" t="str">
        <v>65 Cầu Diễn</v>
      </c>
      <c r="C1612" s="40">
        <v>940</v>
      </c>
      <c r="D1612" s="40" t="str">
        <v>[NEW] Gội dưỡng sinh</v>
      </c>
      <c r="E1612" s="40">
        <v>59000</v>
      </c>
    </row>
    <row r="1613">
      <c r="A1613" s="40">
        <v>197</v>
      </c>
      <c r="B1613" s="40" t="str">
        <v>65 Cầu Diễn</v>
      </c>
      <c r="C1613" s="40">
        <v>603</v>
      </c>
      <c r="D1613" s="40" t="str">
        <v>Đánh bay mụn cám lột mụn (Full Face)</v>
      </c>
      <c r="E1613" s="40">
        <v>49000</v>
      </c>
    </row>
    <row r="1614">
      <c r="A1614" s="40">
        <v>199</v>
      </c>
      <c r="B1614" s="40" t="str">
        <v>7 Đỗ Tường Phong</v>
      </c>
      <c r="C1614" s="40">
        <v>610</v>
      </c>
      <c r="D1614" s="40" t="str">
        <v>(2022T) ATS Control Buffer - Khử mùi tạo thơm cho tóc uốn nhuộm 40k</v>
      </c>
      <c r="E1614" s="40">
        <v>40000</v>
      </c>
    </row>
    <row r="1615">
      <c r="A1615" s="40">
        <v>199</v>
      </c>
      <c r="B1615" s="40" t="str">
        <v>7 Đỗ Tường Phong</v>
      </c>
      <c r="C1615" s="40">
        <v>960</v>
      </c>
      <c r="D1615" s="40" t="str">
        <v>(NEW) Nhuộm màu thời trang Milano</v>
      </c>
      <c r="E1615" s="40">
        <v>366000</v>
      </c>
    </row>
    <row r="1616">
      <c r="A1616" s="40">
        <v>199</v>
      </c>
      <c r="B1616" s="40" t="str">
        <v>7 Đỗ Tường Phong</v>
      </c>
      <c r="C1616" s="40">
        <v>967</v>
      </c>
      <c r="D1616" s="40" t="str">
        <v>(NEW) Nhuộm phủ bạc tiêu chuẩn 199K</v>
      </c>
      <c r="E1616" s="40">
        <v>199000</v>
      </c>
    </row>
    <row r="1617">
      <c r="A1617" s="40">
        <v>199</v>
      </c>
      <c r="B1617" s="40" t="str">
        <v>7 Đỗ Tường Phong</v>
      </c>
      <c r="C1617" s="40">
        <v>1009</v>
      </c>
      <c r="D1617" s="40" t="str">
        <v>(NEW) Uốn/Duỗi/Định hình full đầu tạo form vào nếp tự nhiên</v>
      </c>
      <c r="E1617" s="40">
        <v>386000</v>
      </c>
    </row>
    <row r="1618">
      <c r="A1618" s="40">
        <v>199</v>
      </c>
      <c r="B1618" s="40" t="str">
        <v>7 Đỗ Tường Phong</v>
      </c>
      <c r="C1618" s="40">
        <v>1048</v>
      </c>
      <c r="D1618" s="40" t="str">
        <v>Combo 4</v>
      </c>
      <c r="E1618" s="40">
        <v>389000</v>
      </c>
    </row>
    <row r="1619">
      <c r="A1619" s="40">
        <v>199</v>
      </c>
      <c r="B1619" s="40" t="str">
        <v>7 Đỗ Tường Phong</v>
      </c>
      <c r="C1619" s="40">
        <v>1047</v>
      </c>
      <c r="D1619" s="40" t="str">
        <v>Cắt Gội Combo 3 - Chăm da</v>
      </c>
      <c r="E1619" s="40">
        <v>299000</v>
      </c>
    </row>
    <row r="1620">
      <c r="A1620" s="40">
        <v>199</v>
      </c>
      <c r="B1620" s="40" t="str">
        <v>7 Đỗ Tường Phong</v>
      </c>
      <c r="C1620" s="40">
        <v>891</v>
      </c>
      <c r="D1620" s="40" t="str">
        <v>Cắt xả tạo kiểu</v>
      </c>
      <c r="E1620" s="40">
        <v>94000</v>
      </c>
    </row>
    <row r="1621">
      <c r="A1621" s="40">
        <v>199</v>
      </c>
      <c r="B1621" s="40" t="str">
        <v>7 Đỗ Tường Phong</v>
      </c>
      <c r="C1621" s="40">
        <v>1058</v>
      </c>
      <c r="D1621" s="40" t="str" xml:space="preserve">
        <v>Gội Combo 2 </v>
      </c>
      <c r="E1621" s="40">
        <v>159000</v>
      </c>
    </row>
    <row r="1622">
      <c r="A1622" s="40">
        <v>199</v>
      </c>
      <c r="B1622" s="40" t="str">
        <v>7 Đỗ Tường Phong</v>
      </c>
      <c r="C1622" s="40">
        <v>1059</v>
      </c>
      <c r="D1622" s="40" t="str">
        <v>Gội Combo 3 - Chăm da</v>
      </c>
      <c r="E1622" s="40">
        <v>239000</v>
      </c>
    </row>
    <row r="1623">
      <c r="A1623" s="40">
        <v>199</v>
      </c>
      <c r="B1623" s="40" t="str">
        <v>7 Đỗ Tường Phong</v>
      </c>
      <c r="C1623" s="40">
        <v>1060</v>
      </c>
      <c r="D1623" s="40" t="str">
        <v>Gội Combo 4</v>
      </c>
      <c r="E1623" s="40">
        <v>289000</v>
      </c>
    </row>
    <row r="1624">
      <c r="A1624" s="40">
        <v>199</v>
      </c>
      <c r="B1624" s="40" t="str">
        <v>7 Đỗ Tường Phong</v>
      </c>
      <c r="C1624" s="40">
        <v>934</v>
      </c>
      <c r="D1624" s="40" t="str">
        <v>Gội combo 3 - Dưỡng sinh</v>
      </c>
      <c r="E1624" s="40">
        <v>229000</v>
      </c>
    </row>
    <row r="1625">
      <c r="A1625" s="40">
        <v>199</v>
      </c>
      <c r="B1625" s="40" t="str">
        <v>7 Đỗ Tường Phong</v>
      </c>
      <c r="C1625" s="40">
        <v>932</v>
      </c>
      <c r="D1625" s="40" t="str">
        <v>Gội combo 5 dưỡng sinh</v>
      </c>
      <c r="E1625" s="40">
        <v>399000</v>
      </c>
    </row>
    <row r="1626">
      <c r="A1626" s="40">
        <v>199</v>
      </c>
      <c r="B1626" s="40" t="str">
        <v>7 Đỗ Tường Phong</v>
      </c>
      <c r="C1626" s="40">
        <v>867</v>
      </c>
      <c r="D1626" s="40" t="str">
        <v>Gội dưỡng sinh cổ vai gáy</v>
      </c>
      <c r="E1626" s="40">
        <v>99000</v>
      </c>
    </row>
    <row r="1627">
      <c r="A1627" s="40">
        <v>199</v>
      </c>
      <c r="B1627" s="40" t="str">
        <v>7 Đỗ Tường Phong</v>
      </c>
      <c r="C1627" s="40">
        <v>1002</v>
      </c>
      <c r="D1627" s="40" t="str">
        <v>Kid Cắt</v>
      </c>
      <c r="E1627" s="40">
        <v>75000</v>
      </c>
    </row>
    <row r="1628">
      <c r="A1628" s="40">
        <v>199</v>
      </c>
      <c r="B1628" s="40" t="str">
        <v>7 Đỗ Tường Phong</v>
      </c>
      <c r="C1628" s="40">
        <v>1149</v>
      </c>
      <c r="D1628" s="40" t="str">
        <v>NHUỘM THIẾT KẾ PHỤC HỒI CHUYÊN SÂU LIPID BOND 2025</v>
      </c>
      <c r="E1628" s="40">
        <v>759000</v>
      </c>
    </row>
    <row r="1629">
      <c r="A1629" s="40">
        <v>199</v>
      </c>
      <c r="B1629" s="40" t="str">
        <v>7 Đỗ Tường Phong</v>
      </c>
      <c r="C1629" s="40">
        <v>615</v>
      </c>
      <c r="D1629" s="40" t="str">
        <v>Nhổ tóc bạc buổi trưa</v>
      </c>
      <c r="E1629" s="40">
        <v>150000</v>
      </c>
    </row>
    <row r="1630">
      <c r="A1630" s="40">
        <v>199</v>
      </c>
      <c r="B1630" s="40" t="str">
        <v>7 Đỗ Tường Phong</v>
      </c>
      <c r="C1630" s="40">
        <v>1101</v>
      </c>
      <c r="D1630" s="40" t="str">
        <v>Phục hồi trẻ hóa Lipid Bond</v>
      </c>
      <c r="E1630" s="40">
        <v>146000</v>
      </c>
    </row>
    <row r="1631">
      <c r="A1631" s="40">
        <v>199</v>
      </c>
      <c r="B1631" s="40" t="str">
        <v>7 Đỗ Tường Phong</v>
      </c>
      <c r="C1631" s="40">
        <v>1046</v>
      </c>
      <c r="D1631" s="40" t="str" xml:space="preserve">
        <v>Shinecombo 2 </v>
      </c>
      <c r="E1631" s="40">
        <v>199000</v>
      </c>
    </row>
    <row r="1632">
      <c r="A1632" s="40">
        <v>199</v>
      </c>
      <c r="B1632" s="40" t="str">
        <v>7 Đỗ Tường Phong</v>
      </c>
      <c r="C1632" s="40">
        <v>1148</v>
      </c>
      <c r="D1632" s="40" t="str">
        <v>UỐN THIẾT KẾ PHỤC HỒI CHUYÊN SÂU LIPID BOND 2025</v>
      </c>
      <c r="E1632" s="40">
        <v>689000</v>
      </c>
    </row>
    <row r="1633">
      <c r="A1633" s="40">
        <v>199</v>
      </c>
      <c r="B1633" s="40" t="str">
        <v>7 Đỗ Tường Phong</v>
      </c>
      <c r="C1633" s="40">
        <v>635</v>
      </c>
      <c r="D1633" s="40" t="str">
        <v>[DV] Detox tẩy da chết da đầu</v>
      </c>
      <c r="E1633" s="40">
        <v>45000</v>
      </c>
    </row>
    <row r="1634">
      <c r="A1634" s="40">
        <v>199</v>
      </c>
      <c r="B1634" s="40" t="str">
        <v>7 Đỗ Tường Phong</v>
      </c>
      <c r="C1634" s="40">
        <v>625</v>
      </c>
      <c r="D1634" s="40" t="str">
        <v>[DV] Mặt nạ tẩy da chết sủi bọt cao cấp</v>
      </c>
      <c r="E1634" s="40">
        <v>55000</v>
      </c>
    </row>
    <row r="1635">
      <c r="A1635" s="40">
        <v>199</v>
      </c>
      <c r="B1635" s="40" t="str">
        <v>7 Đỗ Tường Phong</v>
      </c>
      <c r="C1635" s="40">
        <v>912</v>
      </c>
      <c r="D1635" s="40" t="str">
        <v>[DV] Nhuộm đen phủ bạc R&amp;B thảo dược</v>
      </c>
      <c r="E1635" s="40">
        <v>289000</v>
      </c>
    </row>
    <row r="1636">
      <c r="A1636" s="40">
        <v>199</v>
      </c>
      <c r="B1636" s="40" t="str">
        <v>7 Đỗ Tường Phong</v>
      </c>
      <c r="C1636" s="40">
        <v>513</v>
      </c>
      <c r="D1636" s="40" t="str">
        <v>[DV] ShineCombo 10 bước Ultra Care 2023</v>
      </c>
      <c r="E1636" s="40">
        <v>120000</v>
      </c>
    </row>
    <row r="1637">
      <c r="A1637" s="40">
        <v>199</v>
      </c>
      <c r="B1637" s="40" t="str">
        <v>7 Đỗ Tường Phong</v>
      </c>
      <c r="C1637" s="40">
        <v>513</v>
      </c>
      <c r="D1637" s="40" t="str">
        <v>[DV] ShineCombo 10 bước Ultra Care 2023</v>
      </c>
      <c r="E1637" s="40">
        <v>122000</v>
      </c>
    </row>
    <row r="1638">
      <c r="A1638" s="40">
        <v>199</v>
      </c>
      <c r="B1638" s="40" t="str">
        <v>7 Đỗ Tường Phong</v>
      </c>
      <c r="C1638" s="40">
        <v>634</v>
      </c>
      <c r="D1638" s="40" t="str">
        <v>[DV] Tẩy da chết sủi bọt Hàn Quốc</v>
      </c>
      <c r="E1638" s="40">
        <v>35000</v>
      </c>
    </row>
    <row r="1639">
      <c r="A1639" s="40">
        <v>199</v>
      </c>
      <c r="B1639" s="40" t="str">
        <v>7 Đỗ Tường Phong</v>
      </c>
      <c r="C1639" s="40">
        <v>674</v>
      </c>
      <c r="D1639" s="40" t="str">
        <v>[DV] Uốn Texture con sâu/Uốn Ruffled</v>
      </c>
      <c r="E1639" s="40">
        <v>550000</v>
      </c>
    </row>
    <row r="1640">
      <c r="A1640" s="40">
        <v>199</v>
      </c>
      <c r="B1640" s="40" t="str">
        <v>7 Đỗ Tường Phong</v>
      </c>
      <c r="C1640" s="40">
        <v>902</v>
      </c>
      <c r="D1640" s="40" t="str">
        <v>[DV] Ép side hai bên</v>
      </c>
      <c r="E1640" s="40">
        <v>209000</v>
      </c>
    </row>
    <row r="1641">
      <c r="A1641" s="40">
        <v>199</v>
      </c>
      <c r="B1641" s="40" t="str">
        <v>7 Đỗ Tường Phong</v>
      </c>
      <c r="C1641" s="40">
        <v>940</v>
      </c>
      <c r="D1641" s="40" t="str">
        <v>[NEW] Gội dưỡng sinh</v>
      </c>
      <c r="E1641" s="40">
        <v>59000</v>
      </c>
    </row>
    <row r="1642">
      <c r="A1642" s="40">
        <v>199</v>
      </c>
      <c r="B1642" s="40" t="str">
        <v>7 Đỗ Tường Phong</v>
      </c>
      <c r="C1642" s="40">
        <v>603</v>
      </c>
      <c r="D1642" s="40" t="str">
        <v>Đánh bay mụn cám lột mụn (Full Face)</v>
      </c>
      <c r="E1642" s="40">
        <v>49000</v>
      </c>
    </row>
    <row r="1643">
      <c r="A1643" s="40">
        <v>200</v>
      </c>
      <c r="B1643" s="40" t="str">
        <v>39 Hai Bà Trưng</v>
      </c>
      <c r="C1643" s="40">
        <v>610</v>
      </c>
      <c r="D1643" s="40" t="str">
        <v>(2022T) ATS Control Buffer - Khử mùi tạo thơm cho tóc uốn nhuộm 40k</v>
      </c>
      <c r="E1643" s="40">
        <v>40000</v>
      </c>
    </row>
    <row r="1644">
      <c r="A1644" s="40">
        <v>200</v>
      </c>
      <c r="B1644" s="40" t="str">
        <v>39 Hai Bà Trưng</v>
      </c>
      <c r="C1644" s="40">
        <v>960</v>
      </c>
      <c r="D1644" s="40" t="str">
        <v>(NEW) Nhuộm màu thời trang Milano</v>
      </c>
      <c r="E1644" s="40">
        <v>332000</v>
      </c>
    </row>
    <row r="1645">
      <c r="A1645" s="40">
        <v>200</v>
      </c>
      <c r="B1645" s="40" t="str">
        <v>39 Hai Bà Trưng</v>
      </c>
      <c r="C1645" s="40">
        <v>967</v>
      </c>
      <c r="D1645" s="40" t="str">
        <v>(NEW) Nhuộm phủ bạc tiêu chuẩn 199K</v>
      </c>
      <c r="E1645" s="40">
        <v>199000</v>
      </c>
    </row>
    <row r="1646">
      <c r="A1646" s="40">
        <v>200</v>
      </c>
      <c r="B1646" s="40" t="str">
        <v>39 Hai Bà Trưng</v>
      </c>
      <c r="C1646" s="40">
        <v>1009</v>
      </c>
      <c r="D1646" s="40" t="str">
        <v>(NEW) Uốn/Duỗi/Định hình full đầu tạo form vào nếp tự nhiên</v>
      </c>
      <c r="E1646" s="40">
        <v>386000</v>
      </c>
    </row>
    <row r="1647">
      <c r="A1647" s="40">
        <v>200</v>
      </c>
      <c r="B1647" s="40" t="str">
        <v>39 Hai Bà Trưng</v>
      </c>
      <c r="C1647" s="40">
        <v>1053</v>
      </c>
      <c r="D1647" s="40" t="str">
        <v>Combo 2 - First Class 2</v>
      </c>
      <c r="E1647" s="40">
        <v>229000</v>
      </c>
    </row>
    <row r="1648">
      <c r="A1648" s="40">
        <v>200</v>
      </c>
      <c r="B1648" s="40" t="str">
        <v>39 Hai Bà Trưng</v>
      </c>
      <c r="C1648" s="40">
        <v>1048</v>
      </c>
      <c r="D1648" s="40" t="str">
        <v>Combo 4</v>
      </c>
      <c r="E1648" s="40">
        <v>379000</v>
      </c>
    </row>
    <row r="1649">
      <c r="A1649" s="40">
        <v>200</v>
      </c>
      <c r="B1649" s="40" t="str">
        <v>39 Hai Bà Trưng</v>
      </c>
      <c r="C1649" s="40">
        <v>1048</v>
      </c>
      <c r="D1649" s="40" t="str">
        <v>Combo 4</v>
      </c>
      <c r="E1649" s="40">
        <v>389000</v>
      </c>
    </row>
    <row r="1650">
      <c r="A1650" s="40">
        <v>200</v>
      </c>
      <c r="B1650" s="40" t="str">
        <v>39 Hai Bà Trưng</v>
      </c>
      <c r="C1650" s="40">
        <v>1070</v>
      </c>
      <c r="D1650" s="40" t="str">
        <v>Combo Cắt gội Kid</v>
      </c>
      <c r="E1650" s="40">
        <v>100000</v>
      </c>
    </row>
    <row r="1651">
      <c r="A1651" s="40">
        <v>200</v>
      </c>
      <c r="B1651" s="40" t="str">
        <v>39 Hai Bà Trưng</v>
      </c>
      <c r="C1651" s="40">
        <v>1047</v>
      </c>
      <c r="D1651" s="40" t="str">
        <v>Cắt Gội Combo 3 - Chăm da</v>
      </c>
      <c r="E1651" s="40">
        <v>299000</v>
      </c>
    </row>
    <row r="1652">
      <c r="A1652" s="40">
        <v>200</v>
      </c>
      <c r="B1652" s="40" t="str">
        <v>39 Hai Bà Trưng</v>
      </c>
      <c r="C1652" s="40">
        <v>891</v>
      </c>
      <c r="D1652" s="40" t="str">
        <v>Cắt xả tạo kiểu</v>
      </c>
      <c r="E1652" s="40">
        <v>90000</v>
      </c>
    </row>
    <row r="1653">
      <c r="A1653" s="40">
        <v>200</v>
      </c>
      <c r="B1653" s="40" t="str">
        <v>39 Hai Bà Trưng</v>
      </c>
      <c r="C1653" s="40">
        <v>891</v>
      </c>
      <c r="D1653" s="40" t="str">
        <v>Cắt xả tạo kiểu</v>
      </c>
      <c r="E1653" s="40">
        <v>94000</v>
      </c>
    </row>
    <row r="1654">
      <c r="A1654" s="40">
        <v>200</v>
      </c>
      <c r="B1654" s="40" t="str">
        <v>39 Hai Bà Trưng</v>
      </c>
      <c r="C1654" s="40">
        <v>1058</v>
      </c>
      <c r="D1654" s="40" t="str" xml:space="preserve">
        <v>Gội Combo 2 </v>
      </c>
      <c r="E1654" s="40">
        <v>159000</v>
      </c>
    </row>
    <row r="1655">
      <c r="A1655" s="40">
        <v>200</v>
      </c>
      <c r="B1655" s="40" t="str">
        <v>39 Hai Bà Trưng</v>
      </c>
      <c r="C1655" s="40">
        <v>1059</v>
      </c>
      <c r="D1655" s="40" t="str">
        <v>Gội Combo 3 - Chăm da</v>
      </c>
      <c r="E1655" s="40">
        <v>219000</v>
      </c>
    </row>
    <row r="1656">
      <c r="A1656" s="40">
        <v>200</v>
      </c>
      <c r="B1656" s="40" t="str">
        <v>39 Hai Bà Trưng</v>
      </c>
      <c r="C1656" s="40">
        <v>1059</v>
      </c>
      <c r="D1656" s="40" t="str">
        <v>Gội Combo 3 - Chăm da</v>
      </c>
      <c r="E1656" s="40">
        <v>239000</v>
      </c>
    </row>
    <row r="1657">
      <c r="A1657" s="40">
        <v>200</v>
      </c>
      <c r="B1657" s="40" t="str">
        <v>39 Hai Bà Trưng</v>
      </c>
      <c r="C1657" s="40">
        <v>1060</v>
      </c>
      <c r="D1657" s="40" t="str">
        <v>Gội Combo 4</v>
      </c>
      <c r="E1657" s="40">
        <v>289000</v>
      </c>
    </row>
    <row r="1658">
      <c r="A1658" s="40">
        <v>200</v>
      </c>
      <c r="B1658" s="40" t="str">
        <v>39 Hai Bà Trưng</v>
      </c>
      <c r="C1658" s="40">
        <v>1060</v>
      </c>
      <c r="D1658" s="40" t="str">
        <v>Gội Combo 4</v>
      </c>
      <c r="E1658" s="40">
        <v>319000</v>
      </c>
    </row>
    <row r="1659">
      <c r="A1659" s="40">
        <v>200</v>
      </c>
      <c r="B1659" s="40" t="str">
        <v>39 Hai Bà Trưng</v>
      </c>
      <c r="C1659" s="40">
        <v>867</v>
      </c>
      <c r="D1659" s="40" t="str">
        <v>Gội dưỡng sinh cổ vai gáy</v>
      </c>
      <c r="E1659" s="40">
        <v>95000</v>
      </c>
    </row>
    <row r="1660">
      <c r="A1660" s="40">
        <v>200</v>
      </c>
      <c r="B1660" s="40" t="str">
        <v>39 Hai Bà Trưng</v>
      </c>
      <c r="C1660" s="40">
        <v>867</v>
      </c>
      <c r="D1660" s="40" t="str">
        <v>Gội dưỡng sinh cổ vai gáy</v>
      </c>
      <c r="E1660" s="40">
        <v>99000</v>
      </c>
    </row>
    <row r="1661">
      <c r="A1661" s="40">
        <v>200</v>
      </c>
      <c r="B1661" s="40" t="str">
        <v>39 Hai Bà Trưng</v>
      </c>
      <c r="C1661" s="40">
        <v>1068</v>
      </c>
      <c r="D1661" s="40" t="str">
        <v>Gội trải nghiệm 115p</v>
      </c>
      <c r="E1661" s="40">
        <v>999000</v>
      </c>
    </row>
    <row r="1662">
      <c r="A1662" s="40">
        <v>200</v>
      </c>
      <c r="B1662" s="40" t="str">
        <v>39 Hai Bà Trưng</v>
      </c>
      <c r="C1662" s="40">
        <v>1069</v>
      </c>
      <c r="D1662" s="40" t="str">
        <v>Gội trải nghiệm 140p</v>
      </c>
      <c r="E1662" s="40">
        <v>1199000</v>
      </c>
    </row>
    <row r="1663">
      <c r="A1663" s="40">
        <v>200</v>
      </c>
      <c r="B1663" s="40" t="str">
        <v>39 Hai Bà Trưng</v>
      </c>
      <c r="C1663" s="40">
        <v>1066</v>
      </c>
      <c r="D1663" s="40" t="str">
        <v>Gội trải nghiệm 75p</v>
      </c>
      <c r="E1663" s="40">
        <v>589000</v>
      </c>
    </row>
    <row r="1664">
      <c r="A1664" s="40">
        <v>200</v>
      </c>
      <c r="B1664" s="40" t="str">
        <v>39 Hai Bà Trưng</v>
      </c>
      <c r="C1664" s="40">
        <v>1067</v>
      </c>
      <c r="D1664" s="40" t="str">
        <v>Gội trải nghiệm 90p</v>
      </c>
      <c r="E1664" s="40">
        <v>789000</v>
      </c>
    </row>
    <row r="1665">
      <c r="A1665" s="40">
        <v>200</v>
      </c>
      <c r="B1665" s="40" t="str">
        <v>39 Hai Bà Trưng</v>
      </c>
      <c r="C1665" s="40">
        <v>1002</v>
      </c>
      <c r="D1665" s="40" t="str">
        <v>Kid Cắt</v>
      </c>
      <c r="E1665" s="40">
        <v>75000</v>
      </c>
    </row>
    <row r="1666">
      <c r="A1666" s="40">
        <v>200</v>
      </c>
      <c r="B1666" s="40" t="str">
        <v>39 Hai Bà Trưng</v>
      </c>
      <c r="C1666" s="40">
        <v>1149</v>
      </c>
      <c r="D1666" s="40" t="str">
        <v>NHUỘM THIẾT KẾ PHỤC HỒI CHUYÊN SÂU LIPID BOND 2025</v>
      </c>
      <c r="E1666" s="40">
        <v>729000</v>
      </c>
    </row>
    <row r="1667">
      <c r="A1667" s="40">
        <v>200</v>
      </c>
      <c r="B1667" s="40" t="str">
        <v>39 Hai Bà Trưng</v>
      </c>
      <c r="C1667" s="40">
        <v>1101</v>
      </c>
      <c r="D1667" s="40" t="str">
        <v>Phục hồi trẻ hóa Lipid Bond</v>
      </c>
      <c r="E1667" s="40">
        <v>146000</v>
      </c>
    </row>
    <row r="1668">
      <c r="A1668" s="40">
        <v>200</v>
      </c>
      <c r="B1668" s="40" t="str">
        <v>39 Hai Bà Trưng</v>
      </c>
      <c r="C1668" s="40">
        <v>1046</v>
      </c>
      <c r="D1668" s="40" t="str" xml:space="preserve">
        <v>Shinecombo 2 </v>
      </c>
      <c r="E1668" s="40">
        <v>199000</v>
      </c>
    </row>
    <row r="1669">
      <c r="A1669" s="40">
        <v>200</v>
      </c>
      <c r="B1669" s="40" t="str">
        <v>39 Hai Bà Trưng</v>
      </c>
      <c r="C1669" s="40">
        <v>1102</v>
      </c>
      <c r="D1669" s="40" t="str">
        <v>Tái tạo da đầu - Sạch gàu hết ngứa</v>
      </c>
      <c r="E1669" s="40">
        <v>98000</v>
      </c>
    </row>
    <row r="1670">
      <c r="A1670" s="40">
        <v>200</v>
      </c>
      <c r="B1670" s="40" t="str">
        <v>39 Hai Bà Trưng</v>
      </c>
      <c r="C1670" s="40">
        <v>1148</v>
      </c>
      <c r="D1670" s="40" t="str">
        <v>UỐN THIẾT KẾ PHỤC HỒI CHUYÊN SÂU LIPID BOND 2025</v>
      </c>
      <c r="E1670" s="40">
        <v>689000</v>
      </c>
    </row>
    <row r="1671">
      <c r="A1671" s="40">
        <v>200</v>
      </c>
      <c r="B1671" s="40" t="str">
        <v>39 Hai Bà Trưng</v>
      </c>
      <c r="C1671" s="40">
        <v>952</v>
      </c>
      <c r="D1671" s="40" t="str">
        <v>Uốn định hình nếp tóc cao cấp (K-Perm Collection)</v>
      </c>
      <c r="E1671" s="40">
        <v>478000</v>
      </c>
    </row>
    <row r="1672">
      <c r="A1672" s="40">
        <v>200</v>
      </c>
      <c r="B1672" s="40" t="str">
        <v>39 Hai Bà Trưng</v>
      </c>
      <c r="C1672" s="40">
        <v>635</v>
      </c>
      <c r="D1672" s="40" t="str">
        <v>[DV] Detox tẩy da chết da đầu</v>
      </c>
      <c r="E1672" s="40">
        <v>45000</v>
      </c>
    </row>
    <row r="1673">
      <c r="A1673" s="40">
        <v>200</v>
      </c>
      <c r="B1673" s="40" t="str">
        <v>39 Hai Bà Trưng</v>
      </c>
      <c r="C1673" s="40">
        <v>636</v>
      </c>
      <c r="D1673" s="40" t="str">
        <v>[DV] Mặt nạ lạnh Hàn Quốc</v>
      </c>
      <c r="E1673" s="40">
        <v>35000</v>
      </c>
    </row>
    <row r="1674">
      <c r="A1674" s="40">
        <v>200</v>
      </c>
      <c r="B1674" s="40" t="str">
        <v>39 Hai Bà Trưng</v>
      </c>
      <c r="C1674" s="40">
        <v>625</v>
      </c>
      <c r="D1674" s="40" t="str">
        <v>[DV] Mặt nạ tẩy da chết sủi bọt cao cấp</v>
      </c>
      <c r="E1674" s="40">
        <v>55000</v>
      </c>
    </row>
    <row r="1675">
      <c r="A1675" s="40">
        <v>200</v>
      </c>
      <c r="B1675" s="40" t="str">
        <v>39 Hai Bà Trưng</v>
      </c>
      <c r="C1675" s="40">
        <v>912</v>
      </c>
      <c r="D1675" s="40" t="str">
        <v>[DV] Nhuộm đen phủ bạc R&amp;B thảo dược</v>
      </c>
      <c r="E1675" s="40">
        <v>289000</v>
      </c>
    </row>
    <row r="1676">
      <c r="A1676" s="40">
        <v>200</v>
      </c>
      <c r="B1676" s="40" t="str">
        <v>39 Hai Bà Trưng</v>
      </c>
      <c r="C1676" s="40">
        <v>513</v>
      </c>
      <c r="D1676" s="40" t="str">
        <v>[DV] ShineCombo 10 bước Ultra Care 2023</v>
      </c>
      <c r="E1676" s="40">
        <v>120000</v>
      </c>
    </row>
    <row r="1677">
      <c r="A1677" s="40">
        <v>200</v>
      </c>
      <c r="B1677" s="40" t="str">
        <v>39 Hai Bà Trưng</v>
      </c>
      <c r="C1677" s="40">
        <v>513</v>
      </c>
      <c r="D1677" s="40" t="str">
        <v>[DV] ShineCombo 10 bước Ultra Care 2023</v>
      </c>
      <c r="E1677" s="40">
        <v>122000</v>
      </c>
    </row>
    <row r="1678">
      <c r="A1678" s="40">
        <v>200</v>
      </c>
      <c r="B1678" s="40" t="str">
        <v>39 Hai Bà Trưng</v>
      </c>
      <c r="C1678" s="40">
        <v>462</v>
      </c>
      <c r="D1678" s="40" t="str">
        <v>[DV] Thư giãn cổ, vai, gáy bạc hà cam ngọt - Thư giãn tai sảng khoái 9 tầng mây 45k</v>
      </c>
      <c r="E1678" s="40">
        <v>45000</v>
      </c>
    </row>
    <row r="1679">
      <c r="A1679" s="40">
        <v>200</v>
      </c>
      <c r="B1679" s="40" t="str">
        <v>39 Hai Bà Trưng</v>
      </c>
      <c r="C1679" s="40">
        <v>634</v>
      </c>
      <c r="D1679" s="40" t="str">
        <v>[DV] Tẩy da chết sủi bọt Hàn Quốc</v>
      </c>
      <c r="E1679" s="40">
        <v>35000</v>
      </c>
    </row>
    <row r="1680">
      <c r="A1680" s="40">
        <v>200</v>
      </c>
      <c r="B1680" s="40" t="str">
        <v>39 Hai Bà Trưng</v>
      </c>
      <c r="C1680" s="40">
        <v>674</v>
      </c>
      <c r="D1680" s="40" t="str">
        <v>[DV] Uốn Texture con sâu/Uốn Ruffled</v>
      </c>
      <c r="E1680" s="40">
        <v>499000</v>
      </c>
    </row>
    <row r="1681">
      <c r="A1681" s="40">
        <v>200</v>
      </c>
      <c r="B1681" s="40" t="str">
        <v>39 Hai Bà Trưng</v>
      </c>
      <c r="C1681" s="40">
        <v>941</v>
      </c>
      <c r="D1681" s="40" t="str">
        <v>[DV] Vuốt sáp - sấy tạo kiểu 10k</v>
      </c>
      <c r="E1681" s="40">
        <v>10000</v>
      </c>
    </row>
    <row r="1682">
      <c r="A1682" s="40">
        <v>200</v>
      </c>
      <c r="B1682" s="40" t="str">
        <v>39 Hai Bà Trưng</v>
      </c>
      <c r="C1682" s="40">
        <v>902</v>
      </c>
      <c r="D1682" s="40" t="str">
        <v>[DV] Ép side hai bên</v>
      </c>
      <c r="E1682" s="40">
        <v>189000</v>
      </c>
    </row>
    <row r="1683">
      <c r="A1683" s="40">
        <v>200</v>
      </c>
      <c r="B1683" s="40" t="str">
        <v>39 Hai Bà Trưng</v>
      </c>
      <c r="C1683" s="40">
        <v>940</v>
      </c>
      <c r="D1683" s="40" t="str">
        <v>[NEW] Gội dưỡng sinh</v>
      </c>
      <c r="E1683" s="40">
        <v>59000</v>
      </c>
    </row>
    <row r="1684">
      <c r="A1684" s="40">
        <v>200</v>
      </c>
      <c r="B1684" s="40" t="str">
        <v>39 Hai Bà Trưng</v>
      </c>
      <c r="C1684" s="40">
        <v>603</v>
      </c>
      <c r="D1684" s="40" t="str">
        <v>Đánh bay mụn cám lột mụn (Full Face)</v>
      </c>
      <c r="E1684" s="40">
        <v>49000</v>
      </c>
    </row>
    <row r="1685">
      <c r="A1685" s="40">
        <v>201</v>
      </c>
      <c r="B1685" s="40" t="str">
        <v>4 Lê Quang Đạo</v>
      </c>
      <c r="C1685" s="40">
        <v>960</v>
      </c>
      <c r="D1685" s="40" t="str">
        <v>(NEW) Nhuộm màu thời trang Milano</v>
      </c>
      <c r="E1685" s="40">
        <v>332000</v>
      </c>
    </row>
    <row r="1686">
      <c r="A1686" s="40">
        <v>201</v>
      </c>
      <c r="B1686" s="40" t="str">
        <v>4 Lê Quang Đạo</v>
      </c>
      <c r="C1686" s="40">
        <v>1009</v>
      </c>
      <c r="D1686" s="40" t="str">
        <v>(NEW) Uốn/Duỗi/Định hình full đầu tạo form vào nếp tự nhiên</v>
      </c>
      <c r="E1686" s="40">
        <v>386000</v>
      </c>
    </row>
    <row r="1687">
      <c r="A1687" s="40">
        <v>201</v>
      </c>
      <c r="B1687" s="40" t="str">
        <v>4 Lê Quang Đạo</v>
      </c>
      <c r="C1687" s="40">
        <v>1048</v>
      </c>
      <c r="D1687" s="40" t="str">
        <v>Combo 4</v>
      </c>
      <c r="E1687" s="40">
        <v>389000</v>
      </c>
    </row>
    <row r="1688">
      <c r="A1688" s="40">
        <v>201</v>
      </c>
      <c r="B1688" s="40" t="str">
        <v>4 Lê Quang Đạo</v>
      </c>
      <c r="C1688" s="40">
        <v>1070</v>
      </c>
      <c r="D1688" s="40" t="str">
        <v>Combo Cắt gội Kid</v>
      </c>
      <c r="E1688" s="40">
        <v>100000</v>
      </c>
    </row>
    <row r="1689">
      <c r="A1689" s="40">
        <v>201</v>
      </c>
      <c r="B1689" s="40" t="str">
        <v>4 Lê Quang Đạo</v>
      </c>
      <c r="C1689" s="40">
        <v>1047</v>
      </c>
      <c r="D1689" s="40" t="str">
        <v>Cắt Gội Combo 3 - Chăm da</v>
      </c>
      <c r="E1689" s="40">
        <v>299000</v>
      </c>
    </row>
    <row r="1690">
      <c r="A1690" s="40">
        <v>201</v>
      </c>
      <c r="B1690" s="40" t="str">
        <v>4 Lê Quang Đạo</v>
      </c>
      <c r="C1690" s="40">
        <v>891</v>
      </c>
      <c r="D1690" s="40" t="str">
        <v>Cắt xả tạo kiểu</v>
      </c>
      <c r="E1690" s="40">
        <v>94000</v>
      </c>
    </row>
    <row r="1691">
      <c r="A1691" s="40">
        <v>201</v>
      </c>
      <c r="B1691" s="40" t="str">
        <v>4 Lê Quang Đạo</v>
      </c>
      <c r="C1691" s="40">
        <v>891</v>
      </c>
      <c r="D1691" s="40" t="str">
        <v>Cắt xả tạo kiểu</v>
      </c>
      <c r="E1691" s="40">
        <v>90000</v>
      </c>
    </row>
    <row r="1692">
      <c r="A1692" s="40">
        <v>201</v>
      </c>
      <c r="B1692" s="40" t="str">
        <v>4 Lê Quang Đạo</v>
      </c>
      <c r="C1692" s="40">
        <v>1058</v>
      </c>
      <c r="D1692" s="40" t="str" xml:space="preserve">
        <v>Gội Combo 2 </v>
      </c>
      <c r="E1692" s="40">
        <v>159000</v>
      </c>
    </row>
    <row r="1693">
      <c r="A1693" s="40">
        <v>201</v>
      </c>
      <c r="B1693" s="40" t="str">
        <v>4 Lê Quang Đạo</v>
      </c>
      <c r="C1693" s="40">
        <v>1059</v>
      </c>
      <c r="D1693" s="40" t="str">
        <v>Gội Combo 3 - Chăm da</v>
      </c>
      <c r="E1693" s="40">
        <v>239000</v>
      </c>
    </row>
    <row r="1694">
      <c r="A1694" s="40">
        <v>201</v>
      </c>
      <c r="B1694" s="40" t="str">
        <v>4 Lê Quang Đạo</v>
      </c>
      <c r="C1694" s="40">
        <v>1059</v>
      </c>
      <c r="D1694" s="40" t="str">
        <v>Gội Combo 3 - Chăm da</v>
      </c>
      <c r="E1694" s="40">
        <v>219000</v>
      </c>
    </row>
    <row r="1695">
      <c r="A1695" s="40">
        <v>201</v>
      </c>
      <c r="B1695" s="40" t="str">
        <v>4 Lê Quang Đạo</v>
      </c>
      <c r="C1695" s="40">
        <v>1060</v>
      </c>
      <c r="D1695" s="40" t="str">
        <v>Gội Combo 4</v>
      </c>
      <c r="E1695" s="40">
        <v>289000</v>
      </c>
    </row>
    <row r="1696">
      <c r="A1696" s="40">
        <v>201</v>
      </c>
      <c r="B1696" s="40" t="str">
        <v>4 Lê Quang Đạo</v>
      </c>
      <c r="C1696" s="40">
        <v>867</v>
      </c>
      <c r="D1696" s="40" t="str">
        <v>Gội dưỡng sinh cổ vai gáy</v>
      </c>
      <c r="E1696" s="40">
        <v>95000</v>
      </c>
    </row>
    <row r="1697">
      <c r="A1697" s="40">
        <v>201</v>
      </c>
      <c r="B1697" s="40" t="str">
        <v>4 Lê Quang Đạo</v>
      </c>
      <c r="C1697" s="40">
        <v>867</v>
      </c>
      <c r="D1697" s="40" t="str">
        <v>Gội dưỡng sinh cổ vai gáy</v>
      </c>
      <c r="E1697" s="40">
        <v>99000</v>
      </c>
    </row>
    <row r="1698">
      <c r="A1698" s="40">
        <v>201</v>
      </c>
      <c r="B1698" s="40" t="str">
        <v>4 Lê Quang Đạo</v>
      </c>
      <c r="C1698" s="40">
        <v>1002</v>
      </c>
      <c r="D1698" s="40" t="str">
        <v>Kid Cắt</v>
      </c>
      <c r="E1698" s="40">
        <v>75000</v>
      </c>
    </row>
    <row r="1699">
      <c r="A1699" s="40">
        <v>201</v>
      </c>
      <c r="B1699" s="40" t="str">
        <v>4 Lê Quang Đạo</v>
      </c>
      <c r="C1699" s="40">
        <v>1101</v>
      </c>
      <c r="D1699" s="40" t="str">
        <v>Phục hồi trẻ hóa Lipid Bond</v>
      </c>
      <c r="E1699" s="40">
        <v>146000</v>
      </c>
    </row>
    <row r="1700">
      <c r="A1700" s="40">
        <v>201</v>
      </c>
      <c r="B1700" s="40" t="str">
        <v>4 Lê Quang Đạo</v>
      </c>
      <c r="C1700" s="40">
        <v>1046</v>
      </c>
      <c r="D1700" s="40" t="str" xml:space="preserve">
        <v>Shinecombo 2 </v>
      </c>
      <c r="E1700" s="40">
        <v>199000</v>
      </c>
    </row>
    <row r="1701">
      <c r="A1701" s="40">
        <v>201</v>
      </c>
      <c r="B1701" s="40" t="str">
        <v>4 Lê Quang Đạo</v>
      </c>
      <c r="C1701" s="40">
        <v>1148</v>
      </c>
      <c r="D1701" s="40" t="str">
        <v>UỐN THIẾT KẾ PHỤC HỒI CHUYÊN SÂU LIPID BOND 2025</v>
      </c>
      <c r="E1701" s="40">
        <v>689000</v>
      </c>
    </row>
    <row r="1702">
      <c r="A1702" s="40">
        <v>201</v>
      </c>
      <c r="B1702" s="40" t="str">
        <v>4 Lê Quang Đạo</v>
      </c>
      <c r="C1702" s="40">
        <v>636</v>
      </c>
      <c r="D1702" s="40" t="str">
        <v>[DV] Mặt nạ lạnh Hàn Quốc</v>
      </c>
      <c r="E1702" s="40">
        <v>35000</v>
      </c>
    </row>
    <row r="1703">
      <c r="A1703" s="40">
        <v>201</v>
      </c>
      <c r="B1703" s="40" t="str">
        <v>4 Lê Quang Đạo</v>
      </c>
      <c r="C1703" s="40">
        <v>625</v>
      </c>
      <c r="D1703" s="40" t="str">
        <v>[DV] Mặt nạ tẩy da chết sủi bọt cao cấp</v>
      </c>
      <c r="E1703" s="40">
        <v>55000</v>
      </c>
    </row>
    <row r="1704">
      <c r="A1704" s="40">
        <v>201</v>
      </c>
      <c r="B1704" s="40" t="str">
        <v>4 Lê Quang Đạo</v>
      </c>
      <c r="C1704" s="40">
        <v>912</v>
      </c>
      <c r="D1704" s="40" t="str">
        <v>[DV] Nhuộm đen phủ bạc R&amp;B thảo dược</v>
      </c>
      <c r="E1704" s="40">
        <v>289000</v>
      </c>
    </row>
    <row r="1705">
      <c r="A1705" s="40">
        <v>201</v>
      </c>
      <c r="B1705" s="40" t="str">
        <v>4 Lê Quang Đạo</v>
      </c>
      <c r="C1705" s="40">
        <v>513</v>
      </c>
      <c r="D1705" s="40" t="str">
        <v>[DV] ShineCombo 10 bước Ultra Care 2023</v>
      </c>
      <c r="E1705" s="40">
        <v>120000</v>
      </c>
    </row>
    <row r="1706">
      <c r="A1706" s="40">
        <v>201</v>
      </c>
      <c r="B1706" s="40" t="str">
        <v>4 Lê Quang Đạo</v>
      </c>
      <c r="C1706" s="40">
        <v>513</v>
      </c>
      <c r="D1706" s="40" t="str">
        <v>[DV] ShineCombo 10 bước Ultra Care 2023</v>
      </c>
      <c r="E1706" s="40">
        <v>122000</v>
      </c>
    </row>
    <row r="1707">
      <c r="A1707" s="40">
        <v>201</v>
      </c>
      <c r="B1707" s="40" t="str">
        <v>4 Lê Quang Đạo</v>
      </c>
      <c r="C1707" s="40">
        <v>462</v>
      </c>
      <c r="D1707" s="40" t="str">
        <v>[DV] Thư giãn cổ, vai, gáy bạc hà cam ngọt - Thư giãn tai sảng khoái 9 tầng mây 45k</v>
      </c>
      <c r="E1707" s="40">
        <v>45000</v>
      </c>
    </row>
    <row r="1708">
      <c r="A1708" s="40">
        <v>201</v>
      </c>
      <c r="B1708" s="40" t="str">
        <v>4 Lê Quang Đạo</v>
      </c>
      <c r="C1708" s="40">
        <v>634</v>
      </c>
      <c r="D1708" s="40" t="str">
        <v>[DV] Tẩy da chết sủi bọt Hàn Quốc</v>
      </c>
      <c r="E1708" s="40">
        <v>35000</v>
      </c>
    </row>
    <row r="1709">
      <c r="A1709" s="40">
        <v>201</v>
      </c>
      <c r="B1709" s="40" t="str">
        <v>4 Lê Quang Đạo</v>
      </c>
      <c r="C1709" s="40">
        <v>915</v>
      </c>
      <c r="D1709" s="40" t="str">
        <v>[DV] Tẩy tóc bật tông Ý (1 lần)</v>
      </c>
      <c r="E1709" s="40">
        <v>252000</v>
      </c>
    </row>
    <row r="1710">
      <c r="A1710" s="40">
        <v>201</v>
      </c>
      <c r="B1710" s="40" t="str">
        <v>4 Lê Quang Đạo</v>
      </c>
      <c r="C1710" s="40">
        <v>674</v>
      </c>
      <c r="D1710" s="40" t="str">
        <v>[DV] Uốn Texture con sâu/Uốn Ruffled</v>
      </c>
      <c r="E1710" s="40">
        <v>499000</v>
      </c>
    </row>
    <row r="1711">
      <c r="A1711" s="40">
        <v>201</v>
      </c>
      <c r="B1711" s="40" t="str">
        <v>4 Lê Quang Đạo</v>
      </c>
      <c r="C1711" s="40">
        <v>940</v>
      </c>
      <c r="D1711" s="40" t="str">
        <v>[NEW] Gội dưỡng sinh</v>
      </c>
      <c r="E1711" s="40">
        <v>59000</v>
      </c>
    </row>
    <row r="1712">
      <c r="A1712" s="40">
        <v>201</v>
      </c>
      <c r="B1712" s="40" t="str">
        <v>4 Lê Quang Đạo</v>
      </c>
      <c r="C1712" s="40">
        <v>603</v>
      </c>
      <c r="D1712" s="40" t="str">
        <v>Đánh bay mụn cám lột mụn (Full Face)</v>
      </c>
      <c r="E1712" s="40">
        <v>49000</v>
      </c>
    </row>
    <row r="1713">
      <c r="A1713" s="40">
        <v>204</v>
      </c>
      <c r="B1713" s="40" t="str">
        <v>401/1 Nguyễn Duy Trinh</v>
      </c>
      <c r="C1713" s="40">
        <v>610</v>
      </c>
      <c r="D1713" s="40" t="str">
        <v>(2022T) ATS Control Buffer - Khử mùi tạo thơm cho tóc uốn nhuộm 40k</v>
      </c>
      <c r="E1713" s="40">
        <v>40000</v>
      </c>
    </row>
    <row r="1714">
      <c r="A1714" s="40">
        <v>204</v>
      </c>
      <c r="B1714" s="40" t="str">
        <v>401/1 Nguyễn Duy Trinh</v>
      </c>
      <c r="C1714" s="40">
        <v>960</v>
      </c>
      <c r="D1714" s="40" t="str">
        <v>(NEW) Nhuộm màu thời trang Milano</v>
      </c>
      <c r="E1714" s="40">
        <v>346000</v>
      </c>
    </row>
    <row r="1715">
      <c r="A1715" s="40">
        <v>204</v>
      </c>
      <c r="B1715" s="40" t="str">
        <v>401/1 Nguyễn Duy Trinh</v>
      </c>
      <c r="C1715" s="40">
        <v>967</v>
      </c>
      <c r="D1715" s="40" t="str">
        <v>(NEW) Nhuộm phủ bạc tiêu chuẩn 199K</v>
      </c>
      <c r="E1715" s="40">
        <v>202000</v>
      </c>
    </row>
    <row r="1716">
      <c r="A1716" s="40">
        <v>204</v>
      </c>
      <c r="B1716" s="40" t="str">
        <v>401/1 Nguyễn Duy Trinh</v>
      </c>
      <c r="C1716" s="40">
        <v>1009</v>
      </c>
      <c r="D1716" s="40" t="str">
        <v>(NEW) Uốn/Duỗi/Định hình full đầu tạo form vào nếp tự nhiên</v>
      </c>
      <c r="E1716" s="40">
        <v>386000</v>
      </c>
    </row>
    <row r="1717">
      <c r="A1717" s="40">
        <v>204</v>
      </c>
      <c r="B1717" s="40" t="str">
        <v>401/1 Nguyễn Duy Trinh</v>
      </c>
      <c r="C1717" s="40">
        <v>1052</v>
      </c>
      <c r="D1717" s="40" t="str">
        <v>Combo 1 - First Class 1</v>
      </c>
      <c r="E1717" s="40">
        <v>159000</v>
      </c>
    </row>
    <row r="1718">
      <c r="A1718" s="40">
        <v>204</v>
      </c>
      <c r="B1718" s="40" t="str">
        <v>401/1 Nguyễn Duy Trinh</v>
      </c>
      <c r="C1718" s="40">
        <v>1048</v>
      </c>
      <c r="D1718" s="40" t="str">
        <v>Combo 4</v>
      </c>
      <c r="E1718" s="40">
        <v>389000</v>
      </c>
    </row>
    <row r="1719">
      <c r="A1719" s="40">
        <v>204</v>
      </c>
      <c r="B1719" s="40" t="str">
        <v>401/1 Nguyễn Duy Trinh</v>
      </c>
      <c r="C1719" s="40">
        <v>1048</v>
      </c>
      <c r="D1719" s="40" t="str">
        <v>Combo 4</v>
      </c>
      <c r="E1719" s="40">
        <v>379000</v>
      </c>
    </row>
    <row r="1720">
      <c r="A1720" s="40">
        <v>204</v>
      </c>
      <c r="B1720" s="40" t="str">
        <v>401/1 Nguyễn Duy Trinh</v>
      </c>
      <c r="C1720" s="40">
        <v>1070</v>
      </c>
      <c r="D1720" s="40" t="str">
        <v>Combo Cắt gội Kid</v>
      </c>
      <c r="E1720" s="40">
        <v>100000</v>
      </c>
    </row>
    <row r="1721">
      <c r="A1721" s="40">
        <v>204</v>
      </c>
      <c r="B1721" s="40" t="str">
        <v>401/1 Nguyễn Duy Trinh</v>
      </c>
      <c r="C1721" s="40">
        <v>1047</v>
      </c>
      <c r="D1721" s="40" t="str">
        <v>Cắt Gội Combo 3 - Chăm da</v>
      </c>
      <c r="E1721" s="40">
        <v>299000</v>
      </c>
    </row>
    <row r="1722">
      <c r="A1722" s="40">
        <v>204</v>
      </c>
      <c r="B1722" s="40" t="str">
        <v>401/1 Nguyễn Duy Trinh</v>
      </c>
      <c r="C1722" s="40">
        <v>1065</v>
      </c>
      <c r="D1722" s="40" t="str">
        <v>Cắt Gội Combo 3 - Dưỡng sinh</v>
      </c>
      <c r="E1722" s="40">
        <v>299000</v>
      </c>
    </row>
    <row r="1723">
      <c r="A1723" s="40">
        <v>204</v>
      </c>
      <c r="B1723" s="40" t="str">
        <v>401/1 Nguyễn Duy Trinh</v>
      </c>
      <c r="C1723" s="40">
        <v>1064</v>
      </c>
      <c r="D1723" s="40" t="str">
        <v>Cắt Gội Combo 5 - Dưỡng sinh</v>
      </c>
      <c r="E1723" s="40">
        <v>459000</v>
      </c>
    </row>
    <row r="1724">
      <c r="A1724" s="40">
        <v>204</v>
      </c>
      <c r="B1724" s="40" t="str">
        <v>401/1 Nguyễn Duy Trinh</v>
      </c>
      <c r="C1724" s="40">
        <v>891</v>
      </c>
      <c r="D1724" s="40" t="str">
        <v>Cắt xả tạo kiểu</v>
      </c>
      <c r="E1724" s="40">
        <v>94000</v>
      </c>
    </row>
    <row r="1725">
      <c r="A1725" s="40">
        <v>204</v>
      </c>
      <c r="B1725" s="40" t="str">
        <v>401/1 Nguyễn Duy Trinh</v>
      </c>
      <c r="C1725" s="40">
        <v>1058</v>
      </c>
      <c r="D1725" s="40" t="str" xml:space="preserve">
        <v>Gội Combo 2 </v>
      </c>
      <c r="E1725" s="40">
        <v>159000</v>
      </c>
    </row>
    <row r="1726">
      <c r="A1726" s="40">
        <v>204</v>
      </c>
      <c r="B1726" s="40" t="str">
        <v>401/1 Nguyễn Duy Trinh</v>
      </c>
      <c r="C1726" s="40">
        <v>1059</v>
      </c>
      <c r="D1726" s="40" t="str">
        <v>Gội Combo 3 - Chăm da</v>
      </c>
      <c r="E1726" s="40">
        <v>239000</v>
      </c>
    </row>
    <row r="1727">
      <c r="A1727" s="40">
        <v>204</v>
      </c>
      <c r="B1727" s="40" t="str">
        <v>401/1 Nguyễn Duy Trinh</v>
      </c>
      <c r="C1727" s="40">
        <v>1060</v>
      </c>
      <c r="D1727" s="40" t="str">
        <v>Gội Combo 4</v>
      </c>
      <c r="E1727" s="40">
        <v>289000</v>
      </c>
    </row>
    <row r="1728">
      <c r="A1728" s="40">
        <v>204</v>
      </c>
      <c r="B1728" s="40" t="str">
        <v>401/1 Nguyễn Duy Trinh</v>
      </c>
      <c r="C1728" s="40">
        <v>1060</v>
      </c>
      <c r="D1728" s="40" t="str">
        <v>Gội Combo 4</v>
      </c>
      <c r="E1728" s="40">
        <v>319000</v>
      </c>
    </row>
    <row r="1729">
      <c r="A1729" s="40">
        <v>204</v>
      </c>
      <c r="B1729" s="40" t="str">
        <v>401/1 Nguyễn Duy Trinh</v>
      </c>
      <c r="C1729" s="40">
        <v>934</v>
      </c>
      <c r="D1729" s="40" t="str">
        <v>Gội combo 3 - Dưỡng sinh</v>
      </c>
      <c r="E1729" s="40">
        <v>229000</v>
      </c>
    </row>
    <row r="1730">
      <c r="A1730" s="40">
        <v>204</v>
      </c>
      <c r="B1730" s="40" t="str">
        <v>401/1 Nguyễn Duy Trinh</v>
      </c>
      <c r="C1730" s="40">
        <v>867</v>
      </c>
      <c r="D1730" s="40" t="str">
        <v>Gội dưỡng sinh cổ vai gáy</v>
      </c>
      <c r="E1730" s="40">
        <v>99000</v>
      </c>
    </row>
    <row r="1731">
      <c r="A1731" s="40">
        <v>204</v>
      </c>
      <c r="B1731" s="40" t="str">
        <v>401/1 Nguyễn Duy Trinh</v>
      </c>
      <c r="C1731" s="40">
        <v>867</v>
      </c>
      <c r="D1731" s="40" t="str">
        <v>Gội dưỡng sinh cổ vai gáy</v>
      </c>
      <c r="E1731" s="40">
        <v>95000</v>
      </c>
    </row>
    <row r="1732">
      <c r="A1732" s="40">
        <v>204</v>
      </c>
      <c r="B1732" s="40" t="str">
        <v>401/1 Nguyễn Duy Trinh</v>
      </c>
      <c r="C1732" s="40">
        <v>1002</v>
      </c>
      <c r="D1732" s="40" t="str">
        <v>Kid Cắt</v>
      </c>
      <c r="E1732" s="40">
        <v>75000</v>
      </c>
    </row>
    <row r="1733">
      <c r="A1733" s="40">
        <v>204</v>
      </c>
      <c r="B1733" s="40" t="str">
        <v>401/1 Nguyễn Duy Trinh</v>
      </c>
      <c r="C1733" s="40">
        <v>1046</v>
      </c>
      <c r="D1733" s="40" t="str" xml:space="preserve">
        <v>Shinecombo 2 </v>
      </c>
      <c r="E1733" s="40">
        <v>199000</v>
      </c>
    </row>
    <row r="1734">
      <c r="A1734" s="40">
        <v>204</v>
      </c>
      <c r="B1734" s="40" t="str">
        <v>401/1 Nguyễn Duy Trinh</v>
      </c>
      <c r="C1734" s="40">
        <v>1148</v>
      </c>
      <c r="D1734" s="40" t="str">
        <v>UỐN THIẾT KẾ PHỤC HỒI CHUYÊN SÂU LIPID BOND 2025</v>
      </c>
      <c r="E1734" s="40">
        <v>689000</v>
      </c>
    </row>
    <row r="1735">
      <c r="A1735" s="40">
        <v>204</v>
      </c>
      <c r="B1735" s="40" t="str">
        <v>401/1 Nguyễn Duy Trinh</v>
      </c>
      <c r="C1735" s="40">
        <v>952</v>
      </c>
      <c r="D1735" s="40" t="str">
        <v>Uốn định hình nếp tóc cao cấp (K-Perm Collection)</v>
      </c>
      <c r="E1735" s="40">
        <v>478000</v>
      </c>
    </row>
    <row r="1736">
      <c r="A1736" s="40">
        <v>204</v>
      </c>
      <c r="B1736" s="40" t="str">
        <v>401/1 Nguyễn Duy Trinh</v>
      </c>
      <c r="C1736" s="40">
        <v>635</v>
      </c>
      <c r="D1736" s="40" t="str">
        <v>[DV] Detox tẩy da chết da đầu</v>
      </c>
      <c r="E1736" s="40">
        <v>45000</v>
      </c>
    </row>
    <row r="1737">
      <c r="A1737" s="40">
        <v>204</v>
      </c>
      <c r="B1737" s="40" t="str">
        <v>401/1 Nguyễn Duy Trinh</v>
      </c>
      <c r="C1737" s="40">
        <v>636</v>
      </c>
      <c r="D1737" s="40" t="str">
        <v>[DV] Mặt nạ lạnh Hàn Quốc</v>
      </c>
      <c r="E1737" s="40">
        <v>35000</v>
      </c>
    </row>
    <row r="1738">
      <c r="A1738" s="40">
        <v>204</v>
      </c>
      <c r="B1738" s="40" t="str">
        <v>401/1 Nguyễn Duy Trinh</v>
      </c>
      <c r="C1738" s="40">
        <v>625</v>
      </c>
      <c r="D1738" s="40" t="str">
        <v>[DV] Mặt nạ tẩy da chết sủi bọt cao cấp</v>
      </c>
      <c r="E1738" s="40">
        <v>55000</v>
      </c>
    </row>
    <row r="1739">
      <c r="A1739" s="40">
        <v>204</v>
      </c>
      <c r="B1739" s="40" t="str">
        <v>401/1 Nguyễn Duy Trinh</v>
      </c>
      <c r="C1739" s="40">
        <v>912</v>
      </c>
      <c r="D1739" s="40" t="str">
        <v>[DV] Nhuộm đen phủ bạc R&amp;B thảo dược</v>
      </c>
      <c r="E1739" s="40">
        <v>293000</v>
      </c>
    </row>
    <row r="1740">
      <c r="A1740" s="40">
        <v>204</v>
      </c>
      <c r="B1740" s="40" t="str">
        <v>401/1 Nguyễn Duy Trinh</v>
      </c>
      <c r="C1740" s="40">
        <v>513</v>
      </c>
      <c r="D1740" s="40" t="str">
        <v>[DV] ShineCombo 10 bước Ultra Care 2023</v>
      </c>
      <c r="E1740" s="40">
        <v>120000</v>
      </c>
    </row>
    <row r="1741">
      <c r="A1741" s="40">
        <v>204</v>
      </c>
      <c r="B1741" s="40" t="str">
        <v>401/1 Nguyễn Duy Trinh</v>
      </c>
      <c r="C1741" s="40">
        <v>513</v>
      </c>
      <c r="D1741" s="40" t="str">
        <v>[DV] ShineCombo 10 bước Ultra Care 2023</v>
      </c>
      <c r="E1741" s="40">
        <v>122000</v>
      </c>
    </row>
    <row r="1742">
      <c r="A1742" s="40">
        <v>204</v>
      </c>
      <c r="B1742" s="40" t="str">
        <v>401/1 Nguyễn Duy Trinh</v>
      </c>
      <c r="C1742" s="40">
        <v>462</v>
      </c>
      <c r="D1742" s="40" t="str">
        <v>[DV] Thư giãn cổ, vai, gáy bạc hà cam ngọt - Thư giãn tai sảng khoái 9 tầng mây 45k</v>
      </c>
      <c r="E1742" s="40">
        <v>45000</v>
      </c>
    </row>
    <row r="1743">
      <c r="A1743" s="40">
        <v>204</v>
      </c>
      <c r="B1743" s="40" t="str">
        <v>401/1 Nguyễn Duy Trinh</v>
      </c>
      <c r="C1743" s="40">
        <v>634</v>
      </c>
      <c r="D1743" s="40" t="str">
        <v>[DV] Tẩy da chết sủi bọt Hàn Quốc</v>
      </c>
      <c r="E1743" s="40">
        <v>35000</v>
      </c>
    </row>
    <row r="1744">
      <c r="A1744" s="40">
        <v>204</v>
      </c>
      <c r="B1744" s="40" t="str">
        <v>401/1 Nguyễn Duy Trinh</v>
      </c>
      <c r="C1744" s="40">
        <v>916</v>
      </c>
      <c r="D1744" s="40" t="str">
        <v>[DV] Tẩy tóc bật tông Ý (2 lần) 500k</v>
      </c>
      <c r="E1744" s="40">
        <v>500000</v>
      </c>
    </row>
    <row r="1745">
      <c r="A1745" s="40">
        <v>204</v>
      </c>
      <c r="B1745" s="40" t="str">
        <v>401/1 Nguyễn Duy Trinh</v>
      </c>
      <c r="C1745" s="40">
        <v>940</v>
      </c>
      <c r="D1745" s="40" t="str">
        <v>[NEW] Gội dưỡng sinh</v>
      </c>
      <c r="E1745" s="40">
        <v>59000</v>
      </c>
    </row>
    <row r="1746">
      <c r="A1746" s="40">
        <v>204</v>
      </c>
      <c r="B1746" s="40" t="str">
        <v>401/1 Nguyễn Duy Trinh</v>
      </c>
      <c r="C1746" s="40">
        <v>940</v>
      </c>
      <c r="D1746" s="40" t="str">
        <v>[NEW] Gội dưỡng sinh</v>
      </c>
      <c r="E1746" s="40">
        <v>50000</v>
      </c>
    </row>
    <row r="1747">
      <c r="A1747" s="40">
        <v>204</v>
      </c>
      <c r="B1747" s="40" t="str">
        <v>401/1 Nguyễn Duy Trinh</v>
      </c>
      <c r="C1747" s="40">
        <v>603</v>
      </c>
      <c r="D1747" s="40" t="str">
        <v>Đánh bay mụn cám lột mụn (Full Face)</v>
      </c>
      <c r="E1747" s="40">
        <v>49000</v>
      </c>
    </row>
    <row r="1748">
      <c r="A1748" s="40">
        <v>205</v>
      </c>
      <c r="B1748" s="40" t="str">
        <v>341 Xô Viết Nghệ Tĩnh</v>
      </c>
      <c r="C1748" s="40">
        <v>610</v>
      </c>
      <c r="D1748" s="40" t="str">
        <v>(2022T) ATS Control Buffer - Khử mùi tạo thơm cho tóc uốn nhuộm 40k</v>
      </c>
      <c r="E1748" s="40">
        <v>40000</v>
      </c>
    </row>
    <row r="1749">
      <c r="A1749" s="40">
        <v>205</v>
      </c>
      <c r="B1749" s="40" t="str">
        <v>341 Xô Viết Nghệ Tĩnh</v>
      </c>
      <c r="C1749" s="40">
        <v>960</v>
      </c>
      <c r="D1749" s="40" t="str">
        <v>(NEW) Nhuộm màu thời trang Milano</v>
      </c>
      <c r="E1749" s="40">
        <v>332000</v>
      </c>
    </row>
    <row r="1750">
      <c r="A1750" s="40">
        <v>205</v>
      </c>
      <c r="B1750" s="40" t="str">
        <v>341 Xô Viết Nghệ Tĩnh</v>
      </c>
      <c r="C1750" s="40">
        <v>967</v>
      </c>
      <c r="D1750" s="40" t="str">
        <v>(NEW) Nhuộm phủ bạc tiêu chuẩn 199K</v>
      </c>
      <c r="E1750" s="40">
        <v>199000</v>
      </c>
    </row>
    <row r="1751">
      <c r="A1751" s="40">
        <v>205</v>
      </c>
      <c r="B1751" s="40" t="str">
        <v>341 Xô Viết Nghệ Tĩnh</v>
      </c>
      <c r="C1751" s="40">
        <v>1009</v>
      </c>
      <c r="D1751" s="40" t="str">
        <v>(NEW) Uốn/Duỗi/Định hình full đầu tạo form vào nếp tự nhiên</v>
      </c>
      <c r="E1751" s="40">
        <v>386000</v>
      </c>
    </row>
    <row r="1752">
      <c r="A1752" s="40">
        <v>205</v>
      </c>
      <c r="B1752" s="40" t="str">
        <v>341 Xô Viết Nghệ Tĩnh</v>
      </c>
      <c r="C1752" s="40">
        <v>1052</v>
      </c>
      <c r="D1752" s="40" t="str">
        <v>Combo 1 - First Class 1</v>
      </c>
      <c r="E1752" s="40">
        <v>159000</v>
      </c>
    </row>
    <row r="1753">
      <c r="A1753" s="40">
        <v>205</v>
      </c>
      <c r="B1753" s="40" t="str">
        <v>341 Xô Viết Nghệ Tĩnh</v>
      </c>
      <c r="C1753" s="40">
        <v>1054</v>
      </c>
      <c r="D1753" s="40" t="str">
        <v>Combo 3 - First Class 3</v>
      </c>
      <c r="E1753" s="40">
        <v>299000</v>
      </c>
    </row>
    <row r="1754">
      <c r="A1754" s="40">
        <v>205</v>
      </c>
      <c r="B1754" s="40" t="str">
        <v>341 Xô Viết Nghệ Tĩnh</v>
      </c>
      <c r="C1754" s="40">
        <v>1048</v>
      </c>
      <c r="D1754" s="40" t="str">
        <v>Combo 4</v>
      </c>
      <c r="E1754" s="40">
        <v>379000</v>
      </c>
    </row>
    <row r="1755">
      <c r="A1755" s="40">
        <v>205</v>
      </c>
      <c r="B1755" s="40" t="str">
        <v>341 Xô Viết Nghệ Tĩnh</v>
      </c>
      <c r="C1755" s="40">
        <v>1048</v>
      </c>
      <c r="D1755" s="40" t="str">
        <v>Combo 4</v>
      </c>
      <c r="E1755" s="40">
        <v>389000</v>
      </c>
    </row>
    <row r="1756">
      <c r="A1756" s="40">
        <v>205</v>
      </c>
      <c r="B1756" s="40" t="str">
        <v>341 Xô Viết Nghệ Tĩnh</v>
      </c>
      <c r="C1756" s="40">
        <v>1047</v>
      </c>
      <c r="D1756" s="40" t="str">
        <v>Cắt Gội Combo 3 - Chăm da</v>
      </c>
      <c r="E1756" s="40">
        <v>299000</v>
      </c>
    </row>
    <row r="1757">
      <c r="A1757" s="40">
        <v>205</v>
      </c>
      <c r="B1757" s="40" t="str">
        <v>341 Xô Viết Nghệ Tĩnh</v>
      </c>
      <c r="C1757" s="40">
        <v>891</v>
      </c>
      <c r="D1757" s="40" t="str">
        <v>Cắt xả tạo kiểu</v>
      </c>
      <c r="E1757" s="40">
        <v>94000</v>
      </c>
    </row>
    <row r="1758">
      <c r="A1758" s="40">
        <v>205</v>
      </c>
      <c r="B1758" s="40" t="str">
        <v>341 Xô Viết Nghệ Tĩnh</v>
      </c>
      <c r="C1758" s="40">
        <v>891</v>
      </c>
      <c r="D1758" s="40" t="str">
        <v>Cắt xả tạo kiểu</v>
      </c>
      <c r="E1758" s="40">
        <v>90000</v>
      </c>
    </row>
    <row r="1759">
      <c r="A1759" s="40">
        <v>205</v>
      </c>
      <c r="B1759" s="40" t="str">
        <v>341 Xô Viết Nghệ Tĩnh</v>
      </c>
      <c r="C1759" s="40">
        <v>1058</v>
      </c>
      <c r="D1759" s="40" t="str" xml:space="preserve">
        <v>Gội Combo 2 </v>
      </c>
      <c r="E1759" s="40">
        <v>159000</v>
      </c>
    </row>
    <row r="1760">
      <c r="A1760" s="40">
        <v>205</v>
      </c>
      <c r="B1760" s="40" t="str">
        <v>341 Xô Viết Nghệ Tĩnh</v>
      </c>
      <c r="C1760" s="40">
        <v>1059</v>
      </c>
      <c r="D1760" s="40" t="str">
        <v>Gội Combo 3 - Chăm da</v>
      </c>
      <c r="E1760" s="40">
        <v>219000</v>
      </c>
    </row>
    <row r="1761">
      <c r="A1761" s="40">
        <v>205</v>
      </c>
      <c r="B1761" s="40" t="str">
        <v>341 Xô Viết Nghệ Tĩnh</v>
      </c>
      <c r="C1761" s="40">
        <v>1059</v>
      </c>
      <c r="D1761" s="40" t="str">
        <v>Gội Combo 3 - Chăm da</v>
      </c>
      <c r="E1761" s="40">
        <v>239000</v>
      </c>
    </row>
    <row r="1762">
      <c r="A1762" s="40">
        <v>205</v>
      </c>
      <c r="B1762" s="40" t="str">
        <v>341 Xô Viết Nghệ Tĩnh</v>
      </c>
      <c r="C1762" s="40">
        <v>1060</v>
      </c>
      <c r="D1762" s="40" t="str">
        <v>Gội Combo 4</v>
      </c>
      <c r="E1762" s="40">
        <v>289000</v>
      </c>
    </row>
    <row r="1763">
      <c r="A1763" s="40">
        <v>205</v>
      </c>
      <c r="B1763" s="40" t="str">
        <v>341 Xô Viết Nghệ Tĩnh</v>
      </c>
      <c r="C1763" s="40">
        <v>1060</v>
      </c>
      <c r="D1763" s="40" t="str">
        <v>Gội Combo 4</v>
      </c>
      <c r="E1763" s="40">
        <v>319000</v>
      </c>
    </row>
    <row r="1764">
      <c r="A1764" s="40">
        <v>205</v>
      </c>
      <c r="B1764" s="40" t="str">
        <v>341 Xô Viết Nghệ Tĩnh</v>
      </c>
      <c r="C1764" s="40">
        <v>934</v>
      </c>
      <c r="D1764" s="40" t="str">
        <v>Gội combo 3 - Dưỡng sinh</v>
      </c>
      <c r="E1764" s="40">
        <v>229000</v>
      </c>
    </row>
    <row r="1765">
      <c r="A1765" s="40">
        <v>205</v>
      </c>
      <c r="B1765" s="40" t="str">
        <v>341 Xô Viết Nghệ Tĩnh</v>
      </c>
      <c r="C1765" s="40">
        <v>867</v>
      </c>
      <c r="D1765" s="40" t="str">
        <v>Gội dưỡng sinh cổ vai gáy</v>
      </c>
      <c r="E1765" s="40">
        <v>99000</v>
      </c>
    </row>
    <row r="1766">
      <c r="A1766" s="40">
        <v>205</v>
      </c>
      <c r="B1766" s="40" t="str">
        <v>341 Xô Viết Nghệ Tĩnh</v>
      </c>
      <c r="C1766" s="40">
        <v>867</v>
      </c>
      <c r="D1766" s="40" t="str">
        <v>Gội dưỡng sinh cổ vai gáy</v>
      </c>
      <c r="E1766" s="40">
        <v>95000</v>
      </c>
    </row>
    <row r="1767">
      <c r="A1767" s="40">
        <v>205</v>
      </c>
      <c r="B1767" s="40" t="str">
        <v>341 Xô Viết Nghệ Tĩnh</v>
      </c>
      <c r="C1767" s="40">
        <v>1002</v>
      </c>
      <c r="D1767" s="40" t="str">
        <v>Kid Cắt</v>
      </c>
      <c r="E1767" s="40">
        <v>75000</v>
      </c>
    </row>
    <row r="1768">
      <c r="A1768" s="40">
        <v>205</v>
      </c>
      <c r="B1768" s="40" t="str">
        <v>341 Xô Viết Nghệ Tĩnh</v>
      </c>
      <c r="C1768" s="40">
        <v>615</v>
      </c>
      <c r="D1768" s="40" t="str">
        <v>Nhổ tóc bạc buổi trưa</v>
      </c>
      <c r="E1768" s="40">
        <v>150000</v>
      </c>
    </row>
    <row r="1769">
      <c r="A1769" s="40">
        <v>205</v>
      </c>
      <c r="B1769" s="40" t="str">
        <v>341 Xô Viết Nghệ Tĩnh</v>
      </c>
      <c r="C1769" s="40">
        <v>1101</v>
      </c>
      <c r="D1769" s="40" t="str">
        <v>Phục hồi trẻ hóa Lipid Bond</v>
      </c>
      <c r="E1769" s="40">
        <v>146000</v>
      </c>
    </row>
    <row r="1770">
      <c r="A1770" s="40">
        <v>205</v>
      </c>
      <c r="B1770" s="40" t="str">
        <v>341 Xô Viết Nghệ Tĩnh</v>
      </c>
      <c r="C1770" s="40">
        <v>1046</v>
      </c>
      <c r="D1770" s="40" t="str" xml:space="preserve">
        <v>Shinecombo 2 </v>
      </c>
      <c r="E1770" s="40">
        <v>199000</v>
      </c>
    </row>
    <row r="1771">
      <c r="A1771" s="40">
        <v>205</v>
      </c>
      <c r="B1771" s="40" t="str">
        <v>341 Xô Viết Nghệ Tĩnh</v>
      </c>
      <c r="C1771" s="40">
        <v>1148</v>
      </c>
      <c r="D1771" s="40" t="str">
        <v>UỐN THIẾT KẾ PHỤC HỒI CHUYÊN SÂU LIPID BOND 2025</v>
      </c>
      <c r="E1771" s="40">
        <v>689000</v>
      </c>
    </row>
    <row r="1772">
      <c r="A1772" s="40">
        <v>205</v>
      </c>
      <c r="B1772" s="40" t="str">
        <v>341 Xô Viết Nghệ Tĩnh</v>
      </c>
      <c r="C1772" s="40">
        <v>952</v>
      </c>
      <c r="D1772" s="40" t="str">
        <v>Uốn định hình nếp tóc cao cấp (K-Perm Collection)</v>
      </c>
      <c r="E1772" s="40">
        <v>478000</v>
      </c>
    </row>
    <row r="1773">
      <c r="A1773" s="40">
        <v>205</v>
      </c>
      <c r="B1773" s="40" t="str">
        <v>341 Xô Viết Nghệ Tĩnh</v>
      </c>
      <c r="C1773" s="40">
        <v>635</v>
      </c>
      <c r="D1773" s="40" t="str">
        <v>[DV] Detox tẩy da chết da đầu</v>
      </c>
      <c r="E1773" s="40">
        <v>45000</v>
      </c>
    </row>
    <row r="1774">
      <c r="A1774" s="40">
        <v>205</v>
      </c>
      <c r="B1774" s="40" t="str">
        <v>341 Xô Viết Nghệ Tĩnh</v>
      </c>
      <c r="C1774" s="40">
        <v>636</v>
      </c>
      <c r="D1774" s="40" t="str">
        <v>[DV] Mặt nạ lạnh Hàn Quốc</v>
      </c>
      <c r="E1774" s="40">
        <v>35000</v>
      </c>
    </row>
    <row r="1775">
      <c r="A1775" s="40">
        <v>205</v>
      </c>
      <c r="B1775" s="40" t="str">
        <v>341 Xô Viết Nghệ Tĩnh</v>
      </c>
      <c r="C1775" s="40">
        <v>625</v>
      </c>
      <c r="D1775" s="40" t="str">
        <v>[DV] Mặt nạ tẩy da chết sủi bọt cao cấp</v>
      </c>
      <c r="E1775" s="40">
        <v>55000</v>
      </c>
    </row>
    <row r="1776">
      <c r="A1776" s="40">
        <v>205</v>
      </c>
      <c r="B1776" s="40" t="str">
        <v>341 Xô Viết Nghệ Tĩnh</v>
      </c>
      <c r="C1776" s="40">
        <v>912</v>
      </c>
      <c r="D1776" s="40" t="str">
        <v>[DV] Nhuộm đen phủ bạc R&amp;B thảo dược</v>
      </c>
      <c r="E1776" s="40">
        <v>289000</v>
      </c>
    </row>
    <row r="1777">
      <c r="A1777" s="40">
        <v>205</v>
      </c>
      <c r="B1777" s="40" t="str">
        <v>341 Xô Viết Nghệ Tĩnh</v>
      </c>
      <c r="C1777" s="40">
        <v>513</v>
      </c>
      <c r="D1777" s="40" t="str">
        <v>[DV] ShineCombo 10 bước Ultra Care 2023</v>
      </c>
      <c r="E1777" s="40">
        <v>120000</v>
      </c>
    </row>
    <row r="1778">
      <c r="A1778" s="40">
        <v>205</v>
      </c>
      <c r="B1778" s="40" t="str">
        <v>341 Xô Viết Nghệ Tĩnh</v>
      </c>
      <c r="C1778" s="40">
        <v>513</v>
      </c>
      <c r="D1778" s="40" t="str">
        <v>[DV] ShineCombo 10 bước Ultra Care 2023</v>
      </c>
      <c r="E1778" s="40">
        <v>122000</v>
      </c>
    </row>
    <row r="1779">
      <c r="A1779" s="40">
        <v>205</v>
      </c>
      <c r="B1779" s="40" t="str">
        <v>341 Xô Viết Nghệ Tĩnh</v>
      </c>
      <c r="C1779" s="40">
        <v>462</v>
      </c>
      <c r="D1779" s="40" t="str">
        <v>[DV] Thư giãn cổ, vai, gáy bạc hà cam ngọt - Thư giãn tai sảng khoái 9 tầng mây 45k</v>
      </c>
      <c r="E1779" s="40">
        <v>45000</v>
      </c>
    </row>
    <row r="1780">
      <c r="A1780" s="40">
        <v>205</v>
      </c>
      <c r="B1780" s="40" t="str">
        <v>341 Xô Viết Nghệ Tĩnh</v>
      </c>
      <c r="C1780" s="40">
        <v>634</v>
      </c>
      <c r="D1780" s="40" t="str">
        <v>[DV] Tẩy da chết sủi bọt Hàn Quốc</v>
      </c>
      <c r="E1780" s="40">
        <v>35000</v>
      </c>
    </row>
    <row r="1781">
      <c r="A1781" s="40">
        <v>205</v>
      </c>
      <c r="B1781" s="40" t="str">
        <v>341 Xô Viết Nghệ Tĩnh</v>
      </c>
      <c r="C1781" s="40">
        <v>915</v>
      </c>
      <c r="D1781" s="40" t="str">
        <v>[DV] Tẩy tóc bật tông Ý (1 lần)</v>
      </c>
      <c r="E1781" s="40">
        <v>252000</v>
      </c>
    </row>
    <row r="1782">
      <c r="A1782" s="40">
        <v>205</v>
      </c>
      <c r="B1782" s="40" t="str">
        <v>341 Xô Viết Nghệ Tĩnh</v>
      </c>
      <c r="C1782" s="40">
        <v>941</v>
      </c>
      <c r="D1782" s="40" t="str">
        <v>[DV] Vuốt sáp - sấy tạo kiểu 10k</v>
      </c>
      <c r="E1782" s="40">
        <v>10000</v>
      </c>
    </row>
    <row r="1783">
      <c r="A1783" s="40">
        <v>205</v>
      </c>
      <c r="B1783" s="40" t="str">
        <v>341 Xô Viết Nghệ Tĩnh</v>
      </c>
      <c r="C1783" s="40">
        <v>902</v>
      </c>
      <c r="D1783" s="40" t="str">
        <v>[DV] Ép side hai bên</v>
      </c>
      <c r="E1783" s="40">
        <v>198000</v>
      </c>
    </row>
    <row r="1784">
      <c r="A1784" s="40">
        <v>205</v>
      </c>
      <c r="B1784" s="40" t="str">
        <v>341 Xô Viết Nghệ Tĩnh</v>
      </c>
      <c r="C1784" s="40">
        <v>940</v>
      </c>
      <c r="D1784" s="40" t="str">
        <v>[NEW] Gội dưỡng sinh</v>
      </c>
      <c r="E1784" s="40">
        <v>59000</v>
      </c>
    </row>
    <row r="1785">
      <c r="A1785" s="40">
        <v>205</v>
      </c>
      <c r="B1785" s="40" t="str">
        <v>341 Xô Viết Nghệ Tĩnh</v>
      </c>
      <c r="C1785" s="40">
        <v>940</v>
      </c>
      <c r="D1785" s="40" t="str">
        <v>[NEW] Gội dưỡng sinh</v>
      </c>
      <c r="E1785" s="40">
        <v>50000</v>
      </c>
    </row>
    <row r="1786">
      <c r="A1786" s="40">
        <v>205</v>
      </c>
      <c r="B1786" s="40" t="str">
        <v>341 Xô Viết Nghệ Tĩnh</v>
      </c>
      <c r="C1786" s="40">
        <v>603</v>
      </c>
      <c r="D1786" s="40" t="str">
        <v>Đánh bay mụn cám lột mụn (Full Face)</v>
      </c>
      <c r="E1786" s="40">
        <v>49000</v>
      </c>
    </row>
    <row r="1787">
      <c r="A1787" s="40">
        <v>210</v>
      </c>
      <c r="B1787" s="40" t="str">
        <v>148B Trương Định</v>
      </c>
      <c r="C1787" s="40">
        <v>610</v>
      </c>
      <c r="D1787" s="40" t="str">
        <v>(2022T) ATS Control Buffer - Khử mùi tạo thơm cho tóc uốn nhuộm 40k</v>
      </c>
      <c r="E1787" s="40">
        <v>40000</v>
      </c>
    </row>
    <row r="1788">
      <c r="A1788" s="40">
        <v>210</v>
      </c>
      <c r="B1788" s="40" t="str">
        <v>148B Trương Định</v>
      </c>
      <c r="C1788" s="40">
        <v>960</v>
      </c>
      <c r="D1788" s="40" t="str">
        <v>(NEW) Nhuộm màu thời trang Milano</v>
      </c>
      <c r="E1788" s="40">
        <v>366000</v>
      </c>
    </row>
    <row r="1789">
      <c r="A1789" s="40">
        <v>210</v>
      </c>
      <c r="B1789" s="40" t="str">
        <v>148B Trương Định</v>
      </c>
      <c r="C1789" s="40">
        <v>967</v>
      </c>
      <c r="D1789" s="40" t="str">
        <v>(NEW) Nhuộm phủ bạc tiêu chuẩn 199K</v>
      </c>
      <c r="E1789" s="40">
        <v>199000</v>
      </c>
    </row>
    <row r="1790">
      <c r="A1790" s="40">
        <v>210</v>
      </c>
      <c r="B1790" s="40" t="str">
        <v>148B Trương Định</v>
      </c>
      <c r="C1790" s="40">
        <v>1009</v>
      </c>
      <c r="D1790" s="40" t="str">
        <v>(NEW) Uốn/Duỗi/Định hình full đầu tạo form vào nếp tự nhiên</v>
      </c>
      <c r="E1790" s="40">
        <v>386000</v>
      </c>
    </row>
    <row r="1791">
      <c r="A1791" s="40">
        <v>210</v>
      </c>
      <c r="B1791" s="40" t="str">
        <v>148B Trương Định</v>
      </c>
      <c r="C1791" s="40">
        <v>1053</v>
      </c>
      <c r="D1791" s="40" t="str">
        <v>Combo 2 - First Class 2</v>
      </c>
      <c r="E1791" s="40">
        <v>239000</v>
      </c>
    </row>
    <row r="1792">
      <c r="A1792" s="40">
        <v>210</v>
      </c>
      <c r="B1792" s="40" t="str">
        <v>148B Trương Định</v>
      </c>
      <c r="C1792" s="40">
        <v>1048</v>
      </c>
      <c r="D1792" s="40" t="str">
        <v>Combo 4</v>
      </c>
      <c r="E1792" s="40">
        <v>389000</v>
      </c>
    </row>
    <row r="1793">
      <c r="A1793" s="40">
        <v>210</v>
      </c>
      <c r="B1793" s="40" t="str">
        <v>148B Trương Định</v>
      </c>
      <c r="C1793" s="40">
        <v>1070</v>
      </c>
      <c r="D1793" s="40" t="str">
        <v>Combo Cắt gội Kid</v>
      </c>
      <c r="E1793" s="40">
        <v>100000</v>
      </c>
    </row>
    <row r="1794">
      <c r="A1794" s="40">
        <v>210</v>
      </c>
      <c r="B1794" s="40" t="str">
        <v>148B Trương Định</v>
      </c>
      <c r="C1794" s="40">
        <v>1047</v>
      </c>
      <c r="D1794" s="40" t="str">
        <v>Cắt Gội Combo 3 - Chăm da</v>
      </c>
      <c r="E1794" s="40">
        <v>299000</v>
      </c>
    </row>
    <row r="1795">
      <c r="A1795" s="40">
        <v>210</v>
      </c>
      <c r="B1795" s="40" t="str">
        <v>148B Trương Định</v>
      </c>
      <c r="C1795" s="40">
        <v>1065</v>
      </c>
      <c r="D1795" s="40" t="str">
        <v>Cắt Gội Combo 3 - Dưỡng sinh</v>
      </c>
      <c r="E1795" s="40">
        <v>299000</v>
      </c>
    </row>
    <row r="1796">
      <c r="A1796" s="40">
        <v>210</v>
      </c>
      <c r="B1796" s="40" t="str">
        <v>148B Trương Định</v>
      </c>
      <c r="C1796" s="40">
        <v>891</v>
      </c>
      <c r="D1796" s="40" t="str">
        <v>Cắt xả tạo kiểu</v>
      </c>
      <c r="E1796" s="40">
        <v>94000</v>
      </c>
    </row>
    <row r="1797">
      <c r="A1797" s="40">
        <v>210</v>
      </c>
      <c r="B1797" s="40" t="str">
        <v>148B Trương Định</v>
      </c>
      <c r="C1797" s="40">
        <v>891</v>
      </c>
      <c r="D1797" s="40" t="str">
        <v>Cắt xả tạo kiểu</v>
      </c>
      <c r="E1797" s="40">
        <v>90000</v>
      </c>
    </row>
    <row r="1798">
      <c r="A1798" s="40">
        <v>210</v>
      </c>
      <c r="B1798" s="40" t="str">
        <v>148B Trương Định</v>
      </c>
      <c r="C1798" s="40">
        <v>1058</v>
      </c>
      <c r="D1798" s="40" t="str" xml:space="preserve">
        <v>Gội Combo 2 </v>
      </c>
      <c r="E1798" s="40">
        <v>159000</v>
      </c>
    </row>
    <row r="1799">
      <c r="A1799" s="40">
        <v>210</v>
      </c>
      <c r="B1799" s="40" t="str">
        <v>148B Trương Định</v>
      </c>
      <c r="C1799" s="40">
        <v>1059</v>
      </c>
      <c r="D1799" s="40" t="str">
        <v>Gội Combo 3 - Chăm da</v>
      </c>
      <c r="E1799" s="40">
        <v>239000</v>
      </c>
    </row>
    <row r="1800">
      <c r="A1800" s="40">
        <v>210</v>
      </c>
      <c r="B1800" s="40" t="str">
        <v>148B Trương Định</v>
      </c>
      <c r="C1800" s="40">
        <v>1060</v>
      </c>
      <c r="D1800" s="40" t="str">
        <v>Gội Combo 4</v>
      </c>
      <c r="E1800" s="40">
        <v>319000</v>
      </c>
    </row>
    <row r="1801">
      <c r="A1801" s="40">
        <v>210</v>
      </c>
      <c r="B1801" s="40" t="str">
        <v>148B Trương Định</v>
      </c>
      <c r="C1801" s="40">
        <v>1060</v>
      </c>
      <c r="D1801" s="40" t="str">
        <v>Gội Combo 4</v>
      </c>
      <c r="E1801" s="40">
        <v>289000</v>
      </c>
    </row>
    <row r="1802">
      <c r="A1802" s="40">
        <v>210</v>
      </c>
      <c r="B1802" s="40" t="str">
        <v>148B Trương Định</v>
      </c>
      <c r="C1802" s="40">
        <v>867</v>
      </c>
      <c r="D1802" s="40" t="str">
        <v>Gội dưỡng sinh cổ vai gáy</v>
      </c>
      <c r="E1802" s="40">
        <v>99000</v>
      </c>
    </row>
    <row r="1803">
      <c r="A1803" s="40">
        <v>210</v>
      </c>
      <c r="B1803" s="40" t="str">
        <v>148B Trương Định</v>
      </c>
      <c r="C1803" s="40">
        <v>867</v>
      </c>
      <c r="D1803" s="40" t="str">
        <v>Gội dưỡng sinh cổ vai gáy</v>
      </c>
      <c r="E1803" s="40">
        <v>95000</v>
      </c>
    </row>
    <row r="1804">
      <c r="A1804" s="40">
        <v>210</v>
      </c>
      <c r="B1804" s="40" t="str">
        <v>148B Trương Định</v>
      </c>
      <c r="C1804" s="40">
        <v>1066</v>
      </c>
      <c r="D1804" s="40" t="str">
        <v>Gội trải nghiệm 75p</v>
      </c>
      <c r="E1804" s="40">
        <v>589000</v>
      </c>
    </row>
    <row r="1805">
      <c r="A1805" s="40">
        <v>210</v>
      </c>
      <c r="B1805" s="40" t="str">
        <v>148B Trương Định</v>
      </c>
      <c r="C1805" s="40">
        <v>1002</v>
      </c>
      <c r="D1805" s="40" t="str">
        <v>Kid Cắt</v>
      </c>
      <c r="E1805" s="40">
        <v>75000</v>
      </c>
    </row>
    <row r="1806">
      <c r="A1806" s="40">
        <v>210</v>
      </c>
      <c r="B1806" s="40" t="str">
        <v>148B Trương Định</v>
      </c>
      <c r="C1806" s="40">
        <v>1101</v>
      </c>
      <c r="D1806" s="40" t="str">
        <v>Phục hồi trẻ hóa Lipid Bond</v>
      </c>
      <c r="E1806" s="40">
        <v>146000</v>
      </c>
    </row>
    <row r="1807">
      <c r="A1807" s="40">
        <v>210</v>
      </c>
      <c r="B1807" s="40" t="str">
        <v>148B Trương Định</v>
      </c>
      <c r="C1807" s="40">
        <v>1046</v>
      </c>
      <c r="D1807" s="40" t="str" xml:space="preserve">
        <v>Shinecombo 2 </v>
      </c>
      <c r="E1807" s="40">
        <v>199000</v>
      </c>
    </row>
    <row r="1808">
      <c r="A1808" s="40">
        <v>210</v>
      </c>
      <c r="B1808" s="40" t="str">
        <v>148B Trương Định</v>
      </c>
      <c r="C1808" s="40">
        <v>1148</v>
      </c>
      <c r="D1808" s="40" t="str">
        <v>UỐN THIẾT KẾ PHỤC HỒI CHUYÊN SÂU LIPID BOND 2025</v>
      </c>
      <c r="E1808" s="40">
        <v>689000</v>
      </c>
    </row>
    <row r="1809">
      <c r="A1809" s="40">
        <v>210</v>
      </c>
      <c r="B1809" s="40" t="str">
        <v>148B Trương Định</v>
      </c>
      <c r="C1809" s="40">
        <v>952</v>
      </c>
      <c r="D1809" s="40" t="str">
        <v>Uốn định hình nếp tóc cao cấp (K-Perm Collection)</v>
      </c>
      <c r="E1809" s="40">
        <v>478000</v>
      </c>
    </row>
    <row r="1810">
      <c r="A1810" s="40">
        <v>210</v>
      </c>
      <c r="B1810" s="40" t="str">
        <v>148B Trương Định</v>
      </c>
      <c r="C1810" s="40">
        <v>635</v>
      </c>
      <c r="D1810" s="40" t="str">
        <v>[DV] Detox tẩy da chết da đầu</v>
      </c>
      <c r="E1810" s="40">
        <v>45000</v>
      </c>
    </row>
    <row r="1811">
      <c r="A1811" s="40">
        <v>210</v>
      </c>
      <c r="B1811" s="40" t="str">
        <v>148B Trương Định</v>
      </c>
      <c r="C1811" s="40">
        <v>625</v>
      </c>
      <c r="D1811" s="40" t="str">
        <v>[DV] Mặt nạ tẩy da chết sủi bọt cao cấp</v>
      </c>
      <c r="E1811" s="40">
        <v>55000</v>
      </c>
    </row>
    <row r="1812">
      <c r="A1812" s="40">
        <v>210</v>
      </c>
      <c r="B1812" s="40" t="str">
        <v>148B Trương Định</v>
      </c>
      <c r="C1812" s="40">
        <v>513</v>
      </c>
      <c r="D1812" s="40" t="str">
        <v>[DV] ShineCombo 10 bước Ultra Care 2023</v>
      </c>
      <c r="E1812" s="40">
        <v>120000</v>
      </c>
    </row>
    <row r="1813">
      <c r="A1813" s="40">
        <v>210</v>
      </c>
      <c r="B1813" s="40" t="str">
        <v>148B Trương Định</v>
      </c>
      <c r="C1813" s="40">
        <v>513</v>
      </c>
      <c r="D1813" s="40" t="str">
        <v>[DV] ShineCombo 10 bước Ultra Care 2023</v>
      </c>
      <c r="E1813" s="40">
        <v>122000</v>
      </c>
    </row>
    <row r="1814">
      <c r="A1814" s="40">
        <v>210</v>
      </c>
      <c r="B1814" s="40" t="str">
        <v>148B Trương Định</v>
      </c>
      <c r="C1814" s="40">
        <v>634</v>
      </c>
      <c r="D1814" s="40" t="str">
        <v>[DV] Tẩy da chết sủi bọt Hàn Quốc</v>
      </c>
      <c r="E1814" s="40">
        <v>35000</v>
      </c>
    </row>
    <row r="1815">
      <c r="A1815" s="40">
        <v>210</v>
      </c>
      <c r="B1815" s="40" t="str">
        <v>148B Trương Định</v>
      </c>
      <c r="C1815" s="40">
        <v>674</v>
      </c>
      <c r="D1815" s="40" t="str">
        <v>[DV] Uốn Texture con sâu/Uốn Ruffled</v>
      </c>
      <c r="E1815" s="40">
        <v>550000</v>
      </c>
    </row>
    <row r="1816">
      <c r="A1816" s="40">
        <v>210</v>
      </c>
      <c r="B1816" s="40" t="str">
        <v>148B Trương Định</v>
      </c>
      <c r="C1816" s="40">
        <v>902</v>
      </c>
      <c r="D1816" s="40" t="str">
        <v>[DV] Ép side hai bên</v>
      </c>
      <c r="E1816" s="40">
        <v>198000</v>
      </c>
    </row>
    <row r="1817">
      <c r="A1817" s="40">
        <v>210</v>
      </c>
      <c r="B1817" s="40" t="str">
        <v>148B Trương Định</v>
      </c>
      <c r="C1817" s="40">
        <v>940</v>
      </c>
      <c r="D1817" s="40" t="str">
        <v>[NEW] Gội dưỡng sinh</v>
      </c>
      <c r="E1817" s="40">
        <v>59000</v>
      </c>
    </row>
    <row r="1818">
      <c r="A1818" s="40">
        <v>210</v>
      </c>
      <c r="B1818" s="40" t="str">
        <v>148B Trương Định</v>
      </c>
      <c r="C1818" s="40">
        <v>603</v>
      </c>
      <c r="D1818" s="40" t="str">
        <v>Đánh bay mụn cám lột mụn (Full Face)</v>
      </c>
      <c r="E1818" s="40">
        <v>49000</v>
      </c>
    </row>
    <row r="1819">
      <c r="A1819" s="40">
        <v>212</v>
      </c>
      <c r="B1819" s="40" t="str">
        <v>58 Nguyễn Văn Cừ</v>
      </c>
      <c r="C1819" s="40">
        <v>960</v>
      </c>
      <c r="D1819" s="40" t="str">
        <v>(NEW) Nhuộm màu thời trang Milano</v>
      </c>
      <c r="E1819" s="40">
        <v>346000</v>
      </c>
    </row>
    <row r="1820">
      <c r="A1820" s="40">
        <v>212</v>
      </c>
      <c r="B1820" s="40" t="str">
        <v>58 Nguyễn Văn Cừ</v>
      </c>
      <c r="C1820" s="40">
        <v>967</v>
      </c>
      <c r="D1820" s="40" t="str">
        <v>(NEW) Nhuộm phủ bạc tiêu chuẩn 199K</v>
      </c>
      <c r="E1820" s="40">
        <v>199000</v>
      </c>
    </row>
    <row r="1821">
      <c r="A1821" s="40">
        <v>212</v>
      </c>
      <c r="B1821" s="40" t="str">
        <v>58 Nguyễn Văn Cừ</v>
      </c>
      <c r="C1821" s="40">
        <v>1009</v>
      </c>
      <c r="D1821" s="40" t="str">
        <v>(NEW) Uốn/Duỗi/Định hình full đầu tạo form vào nếp tự nhiên</v>
      </c>
      <c r="E1821" s="40">
        <v>386000</v>
      </c>
    </row>
    <row r="1822">
      <c r="A1822" s="40">
        <v>212</v>
      </c>
      <c r="B1822" s="40" t="str">
        <v>58 Nguyễn Văn Cừ</v>
      </c>
      <c r="C1822" s="40">
        <v>1054</v>
      </c>
      <c r="D1822" s="40" t="str">
        <v>Combo 3 - First Class 3</v>
      </c>
      <c r="E1822" s="40">
        <v>299000</v>
      </c>
    </row>
    <row r="1823">
      <c r="A1823" s="40">
        <v>212</v>
      </c>
      <c r="B1823" s="40" t="str">
        <v>58 Nguyễn Văn Cừ</v>
      </c>
      <c r="C1823" s="40">
        <v>1048</v>
      </c>
      <c r="D1823" s="40" t="str">
        <v>Combo 4</v>
      </c>
      <c r="E1823" s="40">
        <v>389000</v>
      </c>
    </row>
    <row r="1824">
      <c r="A1824" s="40">
        <v>212</v>
      </c>
      <c r="B1824" s="40" t="str">
        <v>58 Nguyễn Văn Cừ</v>
      </c>
      <c r="C1824" s="40">
        <v>1047</v>
      </c>
      <c r="D1824" s="40" t="str">
        <v>Cắt Gội Combo 3 - Chăm da</v>
      </c>
      <c r="E1824" s="40">
        <v>299000</v>
      </c>
    </row>
    <row r="1825">
      <c r="A1825" s="40">
        <v>212</v>
      </c>
      <c r="B1825" s="40" t="str">
        <v>58 Nguyễn Văn Cừ</v>
      </c>
      <c r="C1825" s="40">
        <v>1065</v>
      </c>
      <c r="D1825" s="40" t="str">
        <v>Cắt Gội Combo 3 - Dưỡng sinh</v>
      </c>
      <c r="E1825" s="40">
        <v>299000</v>
      </c>
    </row>
    <row r="1826">
      <c r="A1826" s="40">
        <v>212</v>
      </c>
      <c r="B1826" s="40" t="str">
        <v>58 Nguyễn Văn Cừ</v>
      </c>
      <c r="C1826" s="40">
        <v>891</v>
      </c>
      <c r="D1826" s="40" t="str">
        <v>Cắt xả tạo kiểu</v>
      </c>
      <c r="E1826" s="40">
        <v>90000</v>
      </c>
    </row>
    <row r="1827">
      <c r="A1827" s="40">
        <v>212</v>
      </c>
      <c r="B1827" s="40" t="str">
        <v>58 Nguyễn Văn Cừ</v>
      </c>
      <c r="C1827" s="40">
        <v>891</v>
      </c>
      <c r="D1827" s="40" t="str">
        <v>Cắt xả tạo kiểu</v>
      </c>
      <c r="E1827" s="40">
        <v>94000</v>
      </c>
    </row>
    <row r="1828">
      <c r="A1828" s="40">
        <v>212</v>
      </c>
      <c r="B1828" s="40" t="str">
        <v>58 Nguyễn Văn Cừ</v>
      </c>
      <c r="C1828" s="40">
        <v>1058</v>
      </c>
      <c r="D1828" s="40" t="str" xml:space="preserve">
        <v>Gội Combo 2 </v>
      </c>
      <c r="E1828" s="40">
        <v>159000</v>
      </c>
    </row>
    <row r="1829">
      <c r="A1829" s="40">
        <v>212</v>
      </c>
      <c r="B1829" s="40" t="str">
        <v>58 Nguyễn Văn Cừ</v>
      </c>
      <c r="C1829" s="40">
        <v>1059</v>
      </c>
      <c r="D1829" s="40" t="str">
        <v>Gội Combo 3 - Chăm da</v>
      </c>
      <c r="E1829" s="40">
        <v>219000</v>
      </c>
    </row>
    <row r="1830">
      <c r="A1830" s="40">
        <v>212</v>
      </c>
      <c r="B1830" s="40" t="str">
        <v>58 Nguyễn Văn Cừ</v>
      </c>
      <c r="C1830" s="40">
        <v>1060</v>
      </c>
      <c r="D1830" s="40" t="str">
        <v>Gội Combo 4</v>
      </c>
      <c r="E1830" s="40">
        <v>289000</v>
      </c>
    </row>
    <row r="1831">
      <c r="A1831" s="40">
        <v>212</v>
      </c>
      <c r="B1831" s="40" t="str">
        <v>58 Nguyễn Văn Cừ</v>
      </c>
      <c r="C1831" s="40">
        <v>934</v>
      </c>
      <c r="D1831" s="40" t="str">
        <v>Gội combo 3 - Dưỡng sinh</v>
      </c>
      <c r="E1831" s="40">
        <v>229000</v>
      </c>
    </row>
    <row r="1832">
      <c r="A1832" s="40">
        <v>212</v>
      </c>
      <c r="B1832" s="40" t="str">
        <v>58 Nguyễn Văn Cừ</v>
      </c>
      <c r="C1832" s="40">
        <v>867</v>
      </c>
      <c r="D1832" s="40" t="str">
        <v>Gội dưỡng sinh cổ vai gáy</v>
      </c>
      <c r="E1832" s="40">
        <v>99000</v>
      </c>
    </row>
    <row r="1833">
      <c r="A1833" s="40">
        <v>212</v>
      </c>
      <c r="B1833" s="40" t="str">
        <v>58 Nguyễn Văn Cừ</v>
      </c>
      <c r="C1833" s="40">
        <v>867</v>
      </c>
      <c r="D1833" s="40" t="str">
        <v>Gội dưỡng sinh cổ vai gáy</v>
      </c>
      <c r="E1833" s="40">
        <v>95000</v>
      </c>
    </row>
    <row r="1834">
      <c r="A1834" s="40">
        <v>212</v>
      </c>
      <c r="B1834" s="40" t="str">
        <v>58 Nguyễn Văn Cừ</v>
      </c>
      <c r="C1834" s="40">
        <v>1002</v>
      </c>
      <c r="D1834" s="40" t="str">
        <v>Kid Cắt</v>
      </c>
      <c r="E1834" s="40">
        <v>75000</v>
      </c>
    </row>
    <row r="1835">
      <c r="A1835" s="40">
        <v>212</v>
      </c>
      <c r="B1835" s="40" t="str">
        <v>58 Nguyễn Văn Cừ</v>
      </c>
      <c r="C1835" s="40">
        <v>1149</v>
      </c>
      <c r="D1835" s="40" t="str">
        <v>NHUỘM THIẾT KẾ PHỤC HỒI CHUYÊN SÂU LIPID BOND 2025</v>
      </c>
      <c r="E1835" s="40">
        <v>719000</v>
      </c>
    </row>
    <row r="1836">
      <c r="A1836" s="40">
        <v>212</v>
      </c>
      <c r="B1836" s="40" t="str">
        <v>58 Nguyễn Văn Cừ</v>
      </c>
      <c r="C1836" s="40">
        <v>1046</v>
      </c>
      <c r="D1836" s="40" t="str" xml:space="preserve">
        <v>Shinecombo 2 </v>
      </c>
      <c r="E1836" s="40">
        <v>199000</v>
      </c>
    </row>
    <row r="1837">
      <c r="A1837" s="40">
        <v>212</v>
      </c>
      <c r="B1837" s="40" t="str">
        <v>58 Nguyễn Văn Cừ</v>
      </c>
      <c r="C1837" s="40">
        <v>1148</v>
      </c>
      <c r="D1837" s="40" t="str">
        <v>UỐN THIẾT KẾ PHỤC HỒI CHUYÊN SÂU LIPID BOND 2025</v>
      </c>
      <c r="E1837" s="40">
        <v>689000</v>
      </c>
    </row>
    <row r="1838">
      <c r="A1838" s="40">
        <v>212</v>
      </c>
      <c r="B1838" s="40" t="str">
        <v>58 Nguyễn Văn Cừ</v>
      </c>
      <c r="C1838" s="40">
        <v>952</v>
      </c>
      <c r="D1838" s="40" t="str">
        <v>Uốn định hình nếp tóc cao cấp (K-Perm Collection)</v>
      </c>
      <c r="E1838" s="40">
        <v>478000</v>
      </c>
    </row>
    <row r="1839">
      <c r="A1839" s="40">
        <v>212</v>
      </c>
      <c r="B1839" s="40" t="str">
        <v>58 Nguyễn Văn Cừ</v>
      </c>
      <c r="C1839" s="40">
        <v>1255</v>
      </c>
      <c r="D1839" s="40" t="str" xml:space="preserve">
        <v>VH Cắt gội dưỡng sinh Vip </v>
      </c>
      <c r="E1839" s="40">
        <v>249000</v>
      </c>
    </row>
    <row r="1840">
      <c r="A1840" s="40">
        <v>212</v>
      </c>
      <c r="B1840" s="40" t="str">
        <v>58 Nguyễn Văn Cừ</v>
      </c>
      <c r="C1840" s="40">
        <v>1256</v>
      </c>
      <c r="D1840" s="40" t="str">
        <v>VH Cắt gội dưỡng sinh Vip LRT</v>
      </c>
      <c r="E1840" s="40">
        <v>299000</v>
      </c>
    </row>
    <row r="1841">
      <c r="A1841" s="40">
        <v>212</v>
      </c>
      <c r="B1841" s="40" t="str">
        <v>58 Nguyễn Văn Cừ</v>
      </c>
      <c r="C1841" s="40">
        <v>635</v>
      </c>
      <c r="D1841" s="40" t="str">
        <v>[DV] Detox tẩy da chết da đầu</v>
      </c>
      <c r="E1841" s="40">
        <v>45000</v>
      </c>
    </row>
    <row r="1842">
      <c r="A1842" s="40">
        <v>212</v>
      </c>
      <c r="B1842" s="40" t="str">
        <v>58 Nguyễn Văn Cừ</v>
      </c>
      <c r="C1842" s="40">
        <v>636</v>
      </c>
      <c r="D1842" s="40" t="str">
        <v>[DV] Mặt nạ lạnh Hàn Quốc</v>
      </c>
      <c r="E1842" s="40">
        <v>35000</v>
      </c>
    </row>
    <row r="1843">
      <c r="A1843" s="40">
        <v>212</v>
      </c>
      <c r="B1843" s="40" t="str">
        <v>58 Nguyễn Văn Cừ</v>
      </c>
      <c r="C1843" s="40">
        <v>625</v>
      </c>
      <c r="D1843" s="40" t="str">
        <v>[DV] Mặt nạ tẩy da chết sủi bọt cao cấp</v>
      </c>
      <c r="E1843" s="40">
        <v>55000</v>
      </c>
    </row>
    <row r="1844">
      <c r="A1844" s="40">
        <v>212</v>
      </c>
      <c r="B1844" s="40" t="str">
        <v>58 Nguyễn Văn Cừ</v>
      </c>
      <c r="C1844" s="40">
        <v>912</v>
      </c>
      <c r="D1844" s="40" t="str">
        <v>[DV] Nhuộm đen phủ bạc R&amp;B thảo dược</v>
      </c>
      <c r="E1844" s="40">
        <v>289000</v>
      </c>
    </row>
    <row r="1845">
      <c r="A1845" s="40">
        <v>212</v>
      </c>
      <c r="B1845" s="40" t="str">
        <v>58 Nguyễn Văn Cừ</v>
      </c>
      <c r="C1845" s="40">
        <v>513</v>
      </c>
      <c r="D1845" s="40" t="str">
        <v>[DV] ShineCombo 10 bước Ultra Care 2023</v>
      </c>
      <c r="E1845" s="40">
        <v>122000</v>
      </c>
    </row>
    <row r="1846">
      <c r="A1846" s="40">
        <v>212</v>
      </c>
      <c r="B1846" s="40" t="str">
        <v>58 Nguyễn Văn Cừ</v>
      </c>
      <c r="C1846" s="40">
        <v>513</v>
      </c>
      <c r="D1846" s="40" t="str">
        <v>[DV] ShineCombo 10 bước Ultra Care 2023</v>
      </c>
      <c r="E1846" s="40">
        <v>120000</v>
      </c>
    </row>
    <row r="1847">
      <c r="A1847" s="40">
        <v>212</v>
      </c>
      <c r="B1847" s="40" t="str">
        <v>58 Nguyễn Văn Cừ</v>
      </c>
      <c r="C1847" s="40">
        <v>634</v>
      </c>
      <c r="D1847" s="40" t="str">
        <v>[DV] Tẩy da chết sủi bọt Hàn Quốc</v>
      </c>
      <c r="E1847" s="40">
        <v>35000</v>
      </c>
    </row>
    <row r="1848">
      <c r="A1848" s="40">
        <v>212</v>
      </c>
      <c r="B1848" s="40" t="str">
        <v>58 Nguyễn Văn Cừ</v>
      </c>
      <c r="C1848" s="40">
        <v>674</v>
      </c>
      <c r="D1848" s="40" t="str">
        <v>[DV] Uốn Texture con sâu/Uốn Ruffled</v>
      </c>
      <c r="E1848" s="40">
        <v>520000</v>
      </c>
    </row>
    <row r="1849">
      <c r="A1849" s="40">
        <v>212</v>
      </c>
      <c r="B1849" s="40" t="str">
        <v>58 Nguyễn Văn Cừ</v>
      </c>
      <c r="C1849" s="40">
        <v>940</v>
      </c>
      <c r="D1849" s="40" t="str">
        <v>[NEW] Gội dưỡng sinh</v>
      </c>
      <c r="E1849" s="40">
        <v>59000</v>
      </c>
    </row>
    <row r="1850">
      <c r="A1850" s="40">
        <v>212</v>
      </c>
      <c r="B1850" s="40" t="str">
        <v>58 Nguyễn Văn Cừ</v>
      </c>
      <c r="C1850" s="40">
        <v>603</v>
      </c>
      <c r="D1850" s="40" t="str">
        <v>Đánh bay mụn cám lột mụn (Full Face)</v>
      </c>
      <c r="E1850" s="40">
        <v>49000</v>
      </c>
    </row>
    <row r="1851">
      <c r="A1851" s="40">
        <v>217</v>
      </c>
      <c r="B1851" s="40" t="str">
        <v>Time Garden 25/4</v>
      </c>
      <c r="C1851" s="40">
        <v>610</v>
      </c>
      <c r="D1851" s="40" t="str">
        <v>(2022T) ATS Control Buffer - Khử mùi tạo thơm cho tóc uốn nhuộm 40k</v>
      </c>
      <c r="E1851" s="40">
        <v>40000</v>
      </c>
    </row>
    <row r="1852">
      <c r="A1852" s="40">
        <v>217</v>
      </c>
      <c r="B1852" s="40" t="str">
        <v>Time Garden 25/4</v>
      </c>
      <c r="C1852" s="40">
        <v>960</v>
      </c>
      <c r="D1852" s="40" t="str">
        <v>(NEW) Nhuộm màu thời trang Milano</v>
      </c>
      <c r="E1852" s="40">
        <v>346000</v>
      </c>
    </row>
    <row r="1853">
      <c r="A1853" s="40">
        <v>217</v>
      </c>
      <c r="B1853" s="40" t="str">
        <v>Time Garden 25/4</v>
      </c>
      <c r="C1853" s="40">
        <v>967</v>
      </c>
      <c r="D1853" s="40" t="str">
        <v>(NEW) Nhuộm phủ bạc tiêu chuẩn 199K</v>
      </c>
      <c r="E1853" s="40">
        <v>199000</v>
      </c>
    </row>
    <row r="1854">
      <c r="A1854" s="40">
        <v>217</v>
      </c>
      <c r="B1854" s="40" t="str">
        <v>Time Garden 25/4</v>
      </c>
      <c r="C1854" s="40">
        <v>1009</v>
      </c>
      <c r="D1854" s="40" t="str">
        <v>(NEW) Uốn/Duỗi/Định hình full đầu tạo form vào nếp tự nhiên</v>
      </c>
      <c r="E1854" s="40">
        <v>386000</v>
      </c>
    </row>
    <row r="1855">
      <c r="A1855" s="40">
        <v>217</v>
      </c>
      <c r="B1855" s="40" t="str">
        <v>Time Garden 25/4</v>
      </c>
      <c r="C1855" s="40">
        <v>1048</v>
      </c>
      <c r="D1855" s="40" t="str">
        <v>Combo 4</v>
      </c>
      <c r="E1855" s="40">
        <v>389000</v>
      </c>
    </row>
    <row r="1856">
      <c r="A1856" s="40">
        <v>217</v>
      </c>
      <c r="B1856" s="40" t="str">
        <v>Time Garden 25/4</v>
      </c>
      <c r="C1856" s="40">
        <v>1070</v>
      </c>
      <c r="D1856" s="40" t="str">
        <v>Combo Cắt gội Kid</v>
      </c>
      <c r="E1856" s="40">
        <v>100000</v>
      </c>
    </row>
    <row r="1857">
      <c r="A1857" s="40">
        <v>217</v>
      </c>
      <c r="B1857" s="40" t="str">
        <v>Time Garden 25/4</v>
      </c>
      <c r="C1857" s="40">
        <v>1047</v>
      </c>
      <c r="D1857" s="40" t="str">
        <v>Cắt Gội Combo 3 - Chăm da</v>
      </c>
      <c r="E1857" s="40">
        <v>299000</v>
      </c>
    </row>
    <row r="1858">
      <c r="A1858" s="40">
        <v>217</v>
      </c>
      <c r="B1858" s="40" t="str">
        <v>Time Garden 25/4</v>
      </c>
      <c r="C1858" s="40">
        <v>891</v>
      </c>
      <c r="D1858" s="40" t="str">
        <v>Cắt xả tạo kiểu</v>
      </c>
      <c r="E1858" s="40">
        <v>94000</v>
      </c>
    </row>
    <row r="1859">
      <c r="A1859" s="40">
        <v>217</v>
      </c>
      <c r="B1859" s="40" t="str">
        <v>Time Garden 25/4</v>
      </c>
      <c r="C1859" s="40">
        <v>1058</v>
      </c>
      <c r="D1859" s="40" t="str" xml:space="preserve">
        <v>Gội Combo 2 </v>
      </c>
      <c r="E1859" s="40">
        <v>159000</v>
      </c>
    </row>
    <row r="1860">
      <c r="A1860" s="40">
        <v>217</v>
      </c>
      <c r="B1860" s="40" t="str">
        <v>Time Garden 25/4</v>
      </c>
      <c r="C1860" s="40">
        <v>1059</v>
      </c>
      <c r="D1860" s="40" t="str">
        <v>Gội Combo 3 - Chăm da</v>
      </c>
      <c r="E1860" s="40">
        <v>219000</v>
      </c>
    </row>
    <row r="1861">
      <c r="A1861" s="40">
        <v>217</v>
      </c>
      <c r="B1861" s="40" t="str">
        <v>Time Garden 25/4</v>
      </c>
      <c r="C1861" s="40">
        <v>1059</v>
      </c>
      <c r="D1861" s="40" t="str">
        <v>Gội Combo 3 - Chăm da</v>
      </c>
      <c r="E1861" s="40">
        <v>239000</v>
      </c>
    </row>
    <row r="1862">
      <c r="A1862" s="40">
        <v>217</v>
      </c>
      <c r="B1862" s="40" t="str">
        <v>Time Garden 25/4</v>
      </c>
      <c r="C1862" s="40">
        <v>1060</v>
      </c>
      <c r="D1862" s="40" t="str">
        <v>Gội Combo 4</v>
      </c>
      <c r="E1862" s="40">
        <v>289000</v>
      </c>
    </row>
    <row r="1863">
      <c r="A1863" s="40">
        <v>217</v>
      </c>
      <c r="B1863" s="40" t="str">
        <v>Time Garden 25/4</v>
      </c>
      <c r="C1863" s="40">
        <v>934</v>
      </c>
      <c r="D1863" s="40" t="str">
        <v>Gội combo 3 - Dưỡng sinh</v>
      </c>
      <c r="E1863" s="40">
        <v>229000</v>
      </c>
    </row>
    <row r="1864">
      <c r="A1864" s="40">
        <v>217</v>
      </c>
      <c r="B1864" s="40" t="str">
        <v>Time Garden 25/4</v>
      </c>
      <c r="C1864" s="40">
        <v>867</v>
      </c>
      <c r="D1864" s="40" t="str">
        <v>Gội dưỡng sinh cổ vai gáy</v>
      </c>
      <c r="E1864" s="40">
        <v>99000</v>
      </c>
    </row>
    <row r="1865">
      <c r="A1865" s="40">
        <v>217</v>
      </c>
      <c r="B1865" s="40" t="str">
        <v>Time Garden 25/4</v>
      </c>
      <c r="C1865" s="40">
        <v>1002</v>
      </c>
      <c r="D1865" s="40" t="str">
        <v>Kid Cắt</v>
      </c>
      <c r="E1865" s="40">
        <v>75000</v>
      </c>
    </row>
    <row r="1866">
      <c r="A1866" s="40">
        <v>217</v>
      </c>
      <c r="B1866" s="40" t="str">
        <v>Time Garden 25/4</v>
      </c>
      <c r="C1866" s="40">
        <v>615</v>
      </c>
      <c r="D1866" s="40" t="str">
        <v>Nhổ tóc bạc buổi trưa</v>
      </c>
      <c r="E1866" s="40">
        <v>150000</v>
      </c>
    </row>
    <row r="1867">
      <c r="A1867" s="40">
        <v>217</v>
      </c>
      <c r="B1867" s="40" t="str">
        <v>Time Garden 25/4</v>
      </c>
      <c r="C1867" s="40">
        <v>1046</v>
      </c>
      <c r="D1867" s="40" t="str" xml:space="preserve">
        <v>Shinecombo 2 </v>
      </c>
      <c r="E1867" s="40">
        <v>199000</v>
      </c>
    </row>
    <row r="1868">
      <c r="A1868" s="40">
        <v>217</v>
      </c>
      <c r="B1868" s="40" t="str">
        <v>Time Garden 25/4</v>
      </c>
      <c r="C1868" s="40">
        <v>1148</v>
      </c>
      <c r="D1868" s="40" t="str">
        <v>UỐN THIẾT KẾ PHỤC HỒI CHUYÊN SÂU LIPID BOND 2025</v>
      </c>
      <c r="E1868" s="40">
        <v>689000</v>
      </c>
    </row>
    <row r="1869">
      <c r="A1869" s="40">
        <v>217</v>
      </c>
      <c r="B1869" s="40" t="str">
        <v>Time Garden 25/4</v>
      </c>
      <c r="C1869" s="40">
        <v>635</v>
      </c>
      <c r="D1869" s="40" t="str">
        <v>[DV] Detox tẩy da chết da đầu</v>
      </c>
      <c r="E1869" s="40">
        <v>45000</v>
      </c>
    </row>
    <row r="1870">
      <c r="A1870" s="40">
        <v>217</v>
      </c>
      <c r="B1870" s="40" t="str">
        <v>Time Garden 25/4</v>
      </c>
      <c r="C1870" s="40">
        <v>636</v>
      </c>
      <c r="D1870" s="40" t="str">
        <v>[DV] Mặt nạ lạnh Hàn Quốc</v>
      </c>
      <c r="E1870" s="40">
        <v>35000</v>
      </c>
    </row>
    <row r="1871">
      <c r="A1871" s="40">
        <v>217</v>
      </c>
      <c r="B1871" s="40" t="str">
        <v>Time Garden 25/4</v>
      </c>
      <c r="C1871" s="40">
        <v>625</v>
      </c>
      <c r="D1871" s="40" t="str">
        <v>[DV] Mặt nạ tẩy da chết sủi bọt cao cấp</v>
      </c>
      <c r="E1871" s="40">
        <v>55000</v>
      </c>
    </row>
    <row r="1872">
      <c r="A1872" s="40">
        <v>217</v>
      </c>
      <c r="B1872" s="40" t="str">
        <v>Time Garden 25/4</v>
      </c>
      <c r="C1872" s="40">
        <v>912</v>
      </c>
      <c r="D1872" s="40" t="str">
        <v>[DV] Nhuộm đen phủ bạc R&amp;B thảo dược</v>
      </c>
      <c r="E1872" s="40">
        <v>289000</v>
      </c>
    </row>
    <row r="1873">
      <c r="A1873" s="40">
        <v>217</v>
      </c>
      <c r="B1873" s="40" t="str">
        <v>Time Garden 25/4</v>
      </c>
      <c r="C1873" s="40">
        <v>513</v>
      </c>
      <c r="D1873" s="40" t="str">
        <v>[DV] ShineCombo 10 bước Ultra Care 2023</v>
      </c>
      <c r="E1873" s="40">
        <v>120000</v>
      </c>
    </row>
    <row r="1874">
      <c r="A1874" s="40">
        <v>217</v>
      </c>
      <c r="B1874" s="40" t="str">
        <v>Time Garden 25/4</v>
      </c>
      <c r="C1874" s="40">
        <v>513</v>
      </c>
      <c r="D1874" s="40" t="str">
        <v>[DV] ShineCombo 10 bước Ultra Care 2023</v>
      </c>
      <c r="E1874" s="40">
        <v>122000</v>
      </c>
    </row>
    <row r="1875">
      <c r="A1875" s="40">
        <v>217</v>
      </c>
      <c r="B1875" s="40" t="str">
        <v>Time Garden 25/4</v>
      </c>
      <c r="C1875" s="40">
        <v>462</v>
      </c>
      <c r="D1875" s="40" t="str">
        <v>[DV] Thư giãn cổ, vai, gáy bạc hà cam ngọt - Thư giãn tai sảng khoái 9 tầng mây 45k</v>
      </c>
      <c r="E1875" s="40">
        <v>45000</v>
      </c>
    </row>
    <row r="1876">
      <c r="A1876" s="40">
        <v>217</v>
      </c>
      <c r="B1876" s="40" t="str">
        <v>Time Garden 25/4</v>
      </c>
      <c r="C1876" s="40">
        <v>634</v>
      </c>
      <c r="D1876" s="40" t="str">
        <v>[DV] Tẩy da chết sủi bọt Hàn Quốc</v>
      </c>
      <c r="E1876" s="40">
        <v>35000</v>
      </c>
    </row>
    <row r="1877">
      <c r="A1877" s="40">
        <v>217</v>
      </c>
      <c r="B1877" s="40" t="str">
        <v>Time Garden 25/4</v>
      </c>
      <c r="C1877" s="40">
        <v>674</v>
      </c>
      <c r="D1877" s="40" t="str">
        <v>[DV] Uốn Texture con sâu/Uốn Ruffled</v>
      </c>
      <c r="E1877" s="40">
        <v>520000</v>
      </c>
    </row>
    <row r="1878">
      <c r="A1878" s="40">
        <v>217</v>
      </c>
      <c r="B1878" s="40" t="str">
        <v>Time Garden 25/4</v>
      </c>
      <c r="C1878" s="40">
        <v>941</v>
      </c>
      <c r="D1878" s="40" t="str">
        <v>[DV] Vuốt sáp - sấy tạo kiểu 10k</v>
      </c>
      <c r="E1878" s="40">
        <v>10000</v>
      </c>
    </row>
    <row r="1879">
      <c r="A1879" s="40">
        <v>217</v>
      </c>
      <c r="B1879" s="40" t="str">
        <v>Time Garden 25/4</v>
      </c>
      <c r="C1879" s="40">
        <v>902</v>
      </c>
      <c r="D1879" s="40" t="str">
        <v>[DV] Ép side hai bên</v>
      </c>
      <c r="E1879" s="40">
        <v>209000</v>
      </c>
    </row>
    <row r="1880">
      <c r="A1880" s="40">
        <v>217</v>
      </c>
      <c r="B1880" s="40" t="str">
        <v>Time Garden 25/4</v>
      </c>
      <c r="C1880" s="40">
        <v>940</v>
      </c>
      <c r="D1880" s="40" t="str">
        <v>[NEW] Gội dưỡng sinh</v>
      </c>
      <c r="E1880" s="40">
        <v>59000</v>
      </c>
    </row>
    <row r="1881">
      <c r="A1881" s="40">
        <v>217</v>
      </c>
      <c r="B1881" s="40" t="str">
        <v>Time Garden 25/4</v>
      </c>
      <c r="C1881" s="40">
        <v>603</v>
      </c>
      <c r="D1881" s="40" t="str">
        <v>Đánh bay mụn cám lột mụn (Full Face)</v>
      </c>
      <c r="E1881" s="40">
        <v>49000</v>
      </c>
    </row>
    <row r="1882">
      <c r="A1882" s="40">
        <v>228</v>
      </c>
      <c r="B1882" s="40" t="str">
        <v>62 Láng Hạ</v>
      </c>
      <c r="C1882" s="40">
        <v>610</v>
      </c>
      <c r="D1882" s="40" t="str">
        <v>(2022T) ATS Control Buffer - Khử mùi tạo thơm cho tóc uốn nhuộm 40k</v>
      </c>
      <c r="E1882" s="40">
        <v>40000</v>
      </c>
    </row>
    <row r="1883">
      <c r="A1883" s="40">
        <v>228</v>
      </c>
      <c r="B1883" s="40" t="str">
        <v>62 Láng Hạ</v>
      </c>
      <c r="C1883" s="40">
        <v>960</v>
      </c>
      <c r="D1883" s="40" t="str">
        <v>(NEW) Nhuộm màu thời trang Milano</v>
      </c>
      <c r="E1883" s="40">
        <v>332000</v>
      </c>
    </row>
    <row r="1884">
      <c r="A1884" s="40">
        <v>228</v>
      </c>
      <c r="B1884" s="40" t="str">
        <v>62 Láng Hạ</v>
      </c>
      <c r="C1884" s="40">
        <v>967</v>
      </c>
      <c r="D1884" s="40" t="str">
        <v>(NEW) Nhuộm phủ bạc tiêu chuẩn 199K</v>
      </c>
      <c r="E1884" s="40">
        <v>227000</v>
      </c>
    </row>
    <row r="1885">
      <c r="A1885" s="40">
        <v>228</v>
      </c>
      <c r="B1885" s="40" t="str">
        <v>62 Láng Hạ</v>
      </c>
      <c r="C1885" s="40">
        <v>1009</v>
      </c>
      <c r="D1885" s="40" t="str">
        <v>(NEW) Uốn/Duỗi/Định hình full đầu tạo form vào nếp tự nhiên</v>
      </c>
      <c r="E1885" s="40">
        <v>386000</v>
      </c>
    </row>
    <row r="1886">
      <c r="A1886" s="40">
        <v>228</v>
      </c>
      <c r="B1886" s="40" t="str">
        <v>62 Láng Hạ</v>
      </c>
      <c r="C1886" s="40">
        <v>1052</v>
      </c>
      <c r="D1886" s="40" t="str">
        <v>Combo 1 - First Class 1</v>
      </c>
      <c r="E1886" s="40">
        <v>159000</v>
      </c>
    </row>
    <row r="1887">
      <c r="A1887" s="40">
        <v>228</v>
      </c>
      <c r="B1887" s="40" t="str">
        <v>62 Láng Hạ</v>
      </c>
      <c r="C1887" s="40">
        <v>1053</v>
      </c>
      <c r="D1887" s="40" t="str">
        <v>Combo 2 - First Class 2</v>
      </c>
      <c r="E1887" s="40">
        <v>239000</v>
      </c>
    </row>
    <row r="1888">
      <c r="A1888" s="40">
        <v>228</v>
      </c>
      <c r="B1888" s="40" t="str">
        <v>62 Láng Hạ</v>
      </c>
      <c r="C1888" s="40">
        <v>1054</v>
      </c>
      <c r="D1888" s="40" t="str">
        <v>Combo 3 - First Class 3</v>
      </c>
      <c r="E1888" s="40">
        <v>299000</v>
      </c>
    </row>
    <row r="1889">
      <c r="A1889" s="40">
        <v>228</v>
      </c>
      <c r="B1889" s="40" t="str">
        <v>62 Láng Hạ</v>
      </c>
      <c r="C1889" s="40">
        <v>1048</v>
      </c>
      <c r="D1889" s="40" t="str">
        <v>Combo 4</v>
      </c>
      <c r="E1889" s="40">
        <v>379000</v>
      </c>
    </row>
    <row r="1890">
      <c r="A1890" s="40">
        <v>228</v>
      </c>
      <c r="B1890" s="40" t="str">
        <v>62 Láng Hạ</v>
      </c>
      <c r="C1890" s="40">
        <v>1048</v>
      </c>
      <c r="D1890" s="40" t="str">
        <v>Combo 4</v>
      </c>
      <c r="E1890" s="40">
        <v>389000</v>
      </c>
    </row>
    <row r="1891">
      <c r="A1891" s="40">
        <v>228</v>
      </c>
      <c r="B1891" s="40" t="str">
        <v>62 Láng Hạ</v>
      </c>
      <c r="C1891" s="40">
        <v>1047</v>
      </c>
      <c r="D1891" s="40" t="str">
        <v>Cắt Gội Combo 3 - Chăm da</v>
      </c>
      <c r="E1891" s="40">
        <v>299000</v>
      </c>
    </row>
    <row r="1892">
      <c r="A1892" s="40">
        <v>228</v>
      </c>
      <c r="B1892" s="40" t="str">
        <v>62 Láng Hạ</v>
      </c>
      <c r="C1892" s="40">
        <v>1064</v>
      </c>
      <c r="D1892" s="40" t="str">
        <v>Cắt Gội Combo 5 - Dưỡng sinh</v>
      </c>
      <c r="E1892" s="40">
        <v>459000</v>
      </c>
    </row>
    <row r="1893">
      <c r="A1893" s="40">
        <v>228</v>
      </c>
      <c r="B1893" s="40" t="str">
        <v>62 Láng Hạ</v>
      </c>
      <c r="C1893" s="40">
        <v>891</v>
      </c>
      <c r="D1893" s="40" t="str">
        <v>Cắt xả tạo kiểu</v>
      </c>
      <c r="E1893" s="40">
        <v>94000</v>
      </c>
    </row>
    <row r="1894">
      <c r="A1894" s="40">
        <v>228</v>
      </c>
      <c r="B1894" s="40" t="str">
        <v>62 Láng Hạ</v>
      </c>
      <c r="C1894" s="40">
        <v>891</v>
      </c>
      <c r="D1894" s="40" t="str">
        <v>Cắt xả tạo kiểu</v>
      </c>
      <c r="E1894" s="40">
        <v>90000</v>
      </c>
    </row>
    <row r="1895">
      <c r="A1895" s="40">
        <v>228</v>
      </c>
      <c r="B1895" s="40" t="str">
        <v>62 Láng Hạ</v>
      </c>
      <c r="C1895" s="40">
        <v>1058</v>
      </c>
      <c r="D1895" s="40" t="str" xml:space="preserve">
        <v>Gội Combo 2 </v>
      </c>
      <c r="E1895" s="40">
        <v>159000</v>
      </c>
    </row>
    <row r="1896">
      <c r="A1896" s="40">
        <v>228</v>
      </c>
      <c r="B1896" s="40" t="str">
        <v>62 Láng Hạ</v>
      </c>
      <c r="C1896" s="40">
        <v>1059</v>
      </c>
      <c r="D1896" s="40" t="str">
        <v>Gội Combo 3 - Chăm da</v>
      </c>
      <c r="E1896" s="40">
        <v>239000</v>
      </c>
    </row>
    <row r="1897">
      <c r="A1897" s="40">
        <v>228</v>
      </c>
      <c r="B1897" s="40" t="str">
        <v>62 Láng Hạ</v>
      </c>
      <c r="C1897" s="40">
        <v>1059</v>
      </c>
      <c r="D1897" s="40" t="str">
        <v>Gội Combo 3 - Chăm da</v>
      </c>
      <c r="E1897" s="40">
        <v>219000</v>
      </c>
    </row>
    <row r="1898">
      <c r="A1898" s="40">
        <v>228</v>
      </c>
      <c r="B1898" s="40" t="str">
        <v>62 Láng Hạ</v>
      </c>
      <c r="C1898" s="40">
        <v>1060</v>
      </c>
      <c r="D1898" s="40" t="str">
        <v>Gội Combo 4</v>
      </c>
      <c r="E1898" s="40">
        <v>289000</v>
      </c>
    </row>
    <row r="1899">
      <c r="A1899" s="40">
        <v>228</v>
      </c>
      <c r="B1899" s="40" t="str">
        <v>62 Láng Hạ</v>
      </c>
      <c r="C1899" s="40">
        <v>1060</v>
      </c>
      <c r="D1899" s="40" t="str">
        <v>Gội Combo 4</v>
      </c>
      <c r="E1899" s="40">
        <v>319000</v>
      </c>
    </row>
    <row r="1900">
      <c r="A1900" s="40">
        <v>228</v>
      </c>
      <c r="B1900" s="40" t="str">
        <v>62 Láng Hạ</v>
      </c>
      <c r="C1900" s="40">
        <v>867</v>
      </c>
      <c r="D1900" s="40" t="str">
        <v>Gội dưỡng sinh cổ vai gáy</v>
      </c>
      <c r="E1900" s="40">
        <v>95000</v>
      </c>
    </row>
    <row r="1901">
      <c r="A1901" s="40">
        <v>228</v>
      </c>
      <c r="B1901" s="40" t="str">
        <v>62 Láng Hạ</v>
      </c>
      <c r="C1901" s="40">
        <v>867</v>
      </c>
      <c r="D1901" s="40" t="str">
        <v>Gội dưỡng sinh cổ vai gáy</v>
      </c>
      <c r="E1901" s="40">
        <v>99000</v>
      </c>
    </row>
    <row r="1902">
      <c r="A1902" s="40">
        <v>228</v>
      </c>
      <c r="B1902" s="40" t="str">
        <v>62 Láng Hạ</v>
      </c>
      <c r="C1902" s="40">
        <v>1068</v>
      </c>
      <c r="D1902" s="40" t="str">
        <v>Gội trải nghiệm 115p</v>
      </c>
      <c r="E1902" s="40">
        <v>999000</v>
      </c>
    </row>
    <row r="1903">
      <c r="A1903" s="40">
        <v>228</v>
      </c>
      <c r="B1903" s="40" t="str">
        <v>62 Láng Hạ</v>
      </c>
      <c r="C1903" s="40">
        <v>1066</v>
      </c>
      <c r="D1903" s="40" t="str">
        <v>Gội trải nghiệm 75p</v>
      </c>
      <c r="E1903" s="40">
        <v>589000</v>
      </c>
    </row>
    <row r="1904">
      <c r="A1904" s="40">
        <v>228</v>
      </c>
      <c r="B1904" s="40" t="str">
        <v>62 Láng Hạ</v>
      </c>
      <c r="C1904" s="40">
        <v>1067</v>
      </c>
      <c r="D1904" s="40" t="str">
        <v>Gội trải nghiệm 90p</v>
      </c>
      <c r="E1904" s="40">
        <v>789000</v>
      </c>
    </row>
    <row r="1905">
      <c r="A1905" s="40">
        <v>228</v>
      </c>
      <c r="B1905" s="40" t="str">
        <v>62 Láng Hạ</v>
      </c>
      <c r="C1905" s="40">
        <v>1002</v>
      </c>
      <c r="D1905" s="40" t="str">
        <v>Kid Cắt</v>
      </c>
      <c r="E1905" s="40">
        <v>75000</v>
      </c>
    </row>
    <row r="1906">
      <c r="A1906" s="40">
        <v>228</v>
      </c>
      <c r="B1906" s="40" t="str">
        <v>62 Láng Hạ</v>
      </c>
      <c r="C1906" s="40">
        <v>1101</v>
      </c>
      <c r="D1906" s="40" t="str">
        <v>Phục hồi trẻ hóa Lipid Bond</v>
      </c>
      <c r="E1906" s="40">
        <v>146000</v>
      </c>
    </row>
    <row r="1907">
      <c r="A1907" s="40">
        <v>228</v>
      </c>
      <c r="B1907" s="40" t="str">
        <v>62 Láng Hạ</v>
      </c>
      <c r="C1907" s="40">
        <v>1046</v>
      </c>
      <c r="D1907" s="40" t="str" xml:space="preserve">
        <v>Shinecombo 2 </v>
      </c>
      <c r="E1907" s="40">
        <v>199000</v>
      </c>
    </row>
    <row r="1908">
      <c r="A1908" s="40">
        <v>228</v>
      </c>
      <c r="B1908" s="40" t="str">
        <v>62 Láng Hạ</v>
      </c>
      <c r="C1908" s="40">
        <v>1148</v>
      </c>
      <c r="D1908" s="40" t="str">
        <v>UỐN THIẾT KẾ PHỤC HỒI CHUYÊN SÂU LIPID BOND 2025</v>
      </c>
      <c r="E1908" s="40">
        <v>689000</v>
      </c>
    </row>
    <row r="1909">
      <c r="A1909" s="40">
        <v>228</v>
      </c>
      <c r="B1909" s="40" t="str">
        <v>62 Láng Hạ</v>
      </c>
      <c r="C1909" s="40">
        <v>952</v>
      </c>
      <c r="D1909" s="40" t="str">
        <v>Uốn định hình nếp tóc cao cấp (K-Perm Collection)</v>
      </c>
      <c r="E1909" s="40">
        <v>478000</v>
      </c>
    </row>
    <row r="1910">
      <c r="A1910" s="40">
        <v>228</v>
      </c>
      <c r="B1910" s="40" t="str">
        <v>62 Láng Hạ</v>
      </c>
      <c r="C1910" s="40">
        <v>635</v>
      </c>
      <c r="D1910" s="40" t="str">
        <v>[DV] Detox tẩy da chết da đầu</v>
      </c>
      <c r="E1910" s="40">
        <v>45000</v>
      </c>
    </row>
    <row r="1911">
      <c r="A1911" s="40">
        <v>228</v>
      </c>
      <c r="B1911" s="40" t="str">
        <v>62 Láng Hạ</v>
      </c>
      <c r="C1911" s="40">
        <v>636</v>
      </c>
      <c r="D1911" s="40" t="str">
        <v>[DV] Mặt nạ lạnh Hàn Quốc</v>
      </c>
      <c r="E1911" s="40">
        <v>35000</v>
      </c>
    </row>
    <row r="1912">
      <c r="A1912" s="40">
        <v>228</v>
      </c>
      <c r="B1912" s="40" t="str">
        <v>62 Láng Hạ</v>
      </c>
      <c r="C1912" s="40">
        <v>625</v>
      </c>
      <c r="D1912" s="40" t="str">
        <v>[DV] Mặt nạ tẩy da chết sủi bọt cao cấp</v>
      </c>
      <c r="E1912" s="40">
        <v>55000</v>
      </c>
    </row>
    <row r="1913">
      <c r="A1913" s="40">
        <v>228</v>
      </c>
      <c r="B1913" s="40" t="str">
        <v>62 Láng Hạ</v>
      </c>
      <c r="C1913" s="40">
        <v>912</v>
      </c>
      <c r="D1913" s="40" t="str">
        <v>[DV] Nhuộm đen phủ bạc R&amp;B thảo dược</v>
      </c>
      <c r="E1913" s="40">
        <v>329000</v>
      </c>
    </row>
    <row r="1914">
      <c r="A1914" s="40">
        <v>228</v>
      </c>
      <c r="B1914" s="40" t="str">
        <v>62 Láng Hạ</v>
      </c>
      <c r="C1914" s="40">
        <v>513</v>
      </c>
      <c r="D1914" s="40" t="str">
        <v>[DV] ShineCombo 10 bước Ultra Care 2023</v>
      </c>
      <c r="E1914" s="40">
        <v>122000</v>
      </c>
    </row>
    <row r="1915">
      <c r="A1915" s="40">
        <v>228</v>
      </c>
      <c r="B1915" s="40" t="str">
        <v>62 Láng Hạ</v>
      </c>
      <c r="C1915" s="40">
        <v>513</v>
      </c>
      <c r="D1915" s="40" t="str">
        <v>[DV] ShineCombo 10 bước Ultra Care 2023</v>
      </c>
      <c r="E1915" s="40">
        <v>120000</v>
      </c>
    </row>
    <row r="1916">
      <c r="A1916" s="40">
        <v>228</v>
      </c>
      <c r="B1916" s="40" t="str">
        <v>62 Láng Hạ</v>
      </c>
      <c r="C1916" s="40">
        <v>634</v>
      </c>
      <c r="D1916" s="40" t="str">
        <v>[DV] Tẩy da chết sủi bọt Hàn Quốc</v>
      </c>
      <c r="E1916" s="40">
        <v>35000</v>
      </c>
    </row>
    <row r="1917">
      <c r="A1917" s="40">
        <v>228</v>
      </c>
      <c r="B1917" s="40" t="str">
        <v>62 Láng Hạ</v>
      </c>
      <c r="C1917" s="40">
        <v>916</v>
      </c>
      <c r="D1917" s="40" t="str">
        <v>[DV] Tẩy tóc bật tông Ý (2 lần) 500k</v>
      </c>
      <c r="E1917" s="40">
        <v>500000</v>
      </c>
    </row>
    <row r="1918">
      <c r="A1918" s="40">
        <v>228</v>
      </c>
      <c r="B1918" s="40" t="str">
        <v>62 Láng Hạ</v>
      </c>
      <c r="C1918" s="40">
        <v>941</v>
      </c>
      <c r="D1918" s="40" t="str">
        <v>[DV] Vuốt sáp - sấy tạo kiểu 10k</v>
      </c>
      <c r="E1918" s="40">
        <v>10000</v>
      </c>
    </row>
    <row r="1919">
      <c r="A1919" s="40">
        <v>228</v>
      </c>
      <c r="B1919" s="40" t="str">
        <v>62 Láng Hạ</v>
      </c>
      <c r="C1919" s="40">
        <v>902</v>
      </c>
      <c r="D1919" s="40" t="str">
        <v>[DV] Ép side hai bên</v>
      </c>
      <c r="E1919" s="40">
        <v>216000</v>
      </c>
    </row>
    <row r="1920">
      <c r="A1920" s="40">
        <v>228</v>
      </c>
      <c r="B1920" s="40" t="str">
        <v>62 Láng Hạ</v>
      </c>
      <c r="C1920" s="40">
        <v>940</v>
      </c>
      <c r="D1920" s="40" t="str">
        <v>[NEW] Gội dưỡng sinh</v>
      </c>
      <c r="E1920" s="40">
        <v>59000</v>
      </c>
    </row>
    <row r="1921">
      <c r="A1921" s="40">
        <v>228</v>
      </c>
      <c r="B1921" s="40" t="str">
        <v>62 Láng Hạ</v>
      </c>
      <c r="C1921" s="40">
        <v>603</v>
      </c>
      <c r="D1921" s="40" t="str">
        <v>Đánh bay mụn cám lột mụn (Full Face)</v>
      </c>
      <c r="E1921" s="40">
        <v>49000</v>
      </c>
    </row>
    <row r="1922">
      <c r="A1922" s="40">
        <v>230</v>
      </c>
      <c r="B1922" s="40" t="str">
        <v>290 Quang Trung</v>
      </c>
      <c r="C1922" s="40">
        <v>610</v>
      </c>
      <c r="D1922" s="40" t="str">
        <v>(2022T) ATS Control Buffer - Khử mùi tạo thơm cho tóc uốn nhuộm 40k</v>
      </c>
      <c r="E1922" s="40">
        <v>40000</v>
      </c>
    </row>
    <row r="1923">
      <c r="A1923" s="40">
        <v>230</v>
      </c>
      <c r="B1923" s="40" t="str">
        <v>290 Quang Trung</v>
      </c>
      <c r="C1923" s="40">
        <v>960</v>
      </c>
      <c r="D1923" s="40" t="str">
        <v>(NEW) Nhuộm màu thời trang Milano</v>
      </c>
      <c r="E1923" s="40">
        <v>369000</v>
      </c>
    </row>
    <row r="1924">
      <c r="A1924" s="40">
        <v>230</v>
      </c>
      <c r="B1924" s="40" t="str">
        <v>290 Quang Trung</v>
      </c>
      <c r="C1924" s="40">
        <v>967</v>
      </c>
      <c r="D1924" s="40" t="str">
        <v>(NEW) Nhuộm phủ bạc tiêu chuẩn 199K</v>
      </c>
      <c r="E1924" s="40">
        <v>199000</v>
      </c>
    </row>
    <row r="1925">
      <c r="A1925" s="40">
        <v>230</v>
      </c>
      <c r="B1925" s="40" t="str">
        <v>290 Quang Trung</v>
      </c>
      <c r="C1925" s="40">
        <v>1009</v>
      </c>
      <c r="D1925" s="40" t="str">
        <v>(NEW) Uốn/Duỗi/Định hình full đầu tạo form vào nếp tự nhiên</v>
      </c>
      <c r="E1925" s="40">
        <v>386000</v>
      </c>
    </row>
    <row r="1926">
      <c r="A1926" s="40">
        <v>230</v>
      </c>
      <c r="B1926" s="40" t="str">
        <v>290 Quang Trung</v>
      </c>
      <c r="C1926" s="40">
        <v>1048</v>
      </c>
      <c r="D1926" s="40" t="str">
        <v>Combo 4</v>
      </c>
      <c r="E1926" s="40">
        <v>389000</v>
      </c>
    </row>
    <row r="1927">
      <c r="A1927" s="40">
        <v>230</v>
      </c>
      <c r="B1927" s="40" t="str">
        <v>290 Quang Trung</v>
      </c>
      <c r="C1927" s="40">
        <v>1048</v>
      </c>
      <c r="D1927" s="40" t="str">
        <v>Combo 4</v>
      </c>
      <c r="E1927" s="40">
        <v>379000</v>
      </c>
    </row>
    <row r="1928">
      <c r="A1928" s="40">
        <v>230</v>
      </c>
      <c r="B1928" s="40" t="str">
        <v>290 Quang Trung</v>
      </c>
      <c r="C1928" s="40">
        <v>1070</v>
      </c>
      <c r="D1928" s="40" t="str">
        <v>Combo Cắt gội Kid</v>
      </c>
      <c r="E1928" s="40">
        <v>100000</v>
      </c>
    </row>
    <row r="1929">
      <c r="A1929" s="40">
        <v>230</v>
      </c>
      <c r="B1929" s="40" t="str">
        <v>290 Quang Trung</v>
      </c>
      <c r="C1929" s="40">
        <v>1047</v>
      </c>
      <c r="D1929" s="40" t="str">
        <v>Cắt Gội Combo 3 - Chăm da</v>
      </c>
      <c r="E1929" s="40">
        <v>299000</v>
      </c>
    </row>
    <row r="1930">
      <c r="A1930" s="40">
        <v>230</v>
      </c>
      <c r="B1930" s="40" t="str">
        <v>290 Quang Trung</v>
      </c>
      <c r="C1930" s="40">
        <v>1065</v>
      </c>
      <c r="D1930" s="40" t="str">
        <v>Cắt Gội Combo 3 - Dưỡng sinh</v>
      </c>
      <c r="E1930" s="40">
        <v>299000</v>
      </c>
    </row>
    <row r="1931">
      <c r="A1931" s="40">
        <v>230</v>
      </c>
      <c r="B1931" s="40" t="str">
        <v>290 Quang Trung</v>
      </c>
      <c r="C1931" s="40">
        <v>891</v>
      </c>
      <c r="D1931" s="40" t="str">
        <v>Cắt xả tạo kiểu</v>
      </c>
      <c r="E1931" s="40">
        <v>94000</v>
      </c>
    </row>
    <row r="1932">
      <c r="A1932" s="40">
        <v>230</v>
      </c>
      <c r="B1932" s="40" t="str">
        <v>290 Quang Trung</v>
      </c>
      <c r="C1932" s="40">
        <v>891</v>
      </c>
      <c r="D1932" s="40" t="str">
        <v>Cắt xả tạo kiểu</v>
      </c>
      <c r="E1932" s="40">
        <v>90000</v>
      </c>
    </row>
    <row r="1933">
      <c r="A1933" s="40">
        <v>230</v>
      </c>
      <c r="B1933" s="40" t="str">
        <v>290 Quang Trung</v>
      </c>
      <c r="C1933" s="40">
        <v>1058</v>
      </c>
      <c r="D1933" s="40" t="str" xml:space="preserve">
        <v>Gội Combo 2 </v>
      </c>
      <c r="E1933" s="40">
        <v>159000</v>
      </c>
    </row>
    <row r="1934">
      <c r="A1934" s="40">
        <v>230</v>
      </c>
      <c r="B1934" s="40" t="str">
        <v>290 Quang Trung</v>
      </c>
      <c r="C1934" s="40">
        <v>1059</v>
      </c>
      <c r="D1934" s="40" t="str">
        <v>Gội Combo 3 - Chăm da</v>
      </c>
      <c r="E1934" s="40">
        <v>219000</v>
      </c>
    </row>
    <row r="1935">
      <c r="A1935" s="40">
        <v>230</v>
      </c>
      <c r="B1935" s="40" t="str">
        <v>290 Quang Trung</v>
      </c>
      <c r="C1935" s="40">
        <v>1060</v>
      </c>
      <c r="D1935" s="40" t="str">
        <v>Gội Combo 4</v>
      </c>
      <c r="E1935" s="40">
        <v>289000</v>
      </c>
    </row>
    <row r="1936">
      <c r="A1936" s="40">
        <v>230</v>
      </c>
      <c r="B1936" s="40" t="str">
        <v>290 Quang Trung</v>
      </c>
      <c r="C1936" s="40">
        <v>934</v>
      </c>
      <c r="D1936" s="40" t="str">
        <v>Gội combo 3 - Dưỡng sinh</v>
      </c>
      <c r="E1936" s="40">
        <v>229000</v>
      </c>
    </row>
    <row r="1937">
      <c r="A1937" s="40">
        <v>230</v>
      </c>
      <c r="B1937" s="40" t="str">
        <v>290 Quang Trung</v>
      </c>
      <c r="C1937" s="40">
        <v>867</v>
      </c>
      <c r="D1937" s="40" t="str">
        <v>Gội dưỡng sinh cổ vai gáy</v>
      </c>
      <c r="E1937" s="40">
        <v>99000</v>
      </c>
    </row>
    <row r="1938">
      <c r="A1938" s="40">
        <v>230</v>
      </c>
      <c r="B1938" s="40" t="str">
        <v>290 Quang Trung</v>
      </c>
      <c r="C1938" s="40">
        <v>1002</v>
      </c>
      <c r="D1938" s="40" t="str">
        <v>Kid Cắt</v>
      </c>
      <c r="E1938" s="40">
        <v>75000</v>
      </c>
    </row>
    <row r="1939">
      <c r="A1939" s="40">
        <v>230</v>
      </c>
      <c r="B1939" s="40" t="str">
        <v>290 Quang Trung</v>
      </c>
      <c r="C1939" s="40">
        <v>615</v>
      </c>
      <c r="D1939" s="40" t="str">
        <v>Nhổ tóc bạc buổi trưa</v>
      </c>
      <c r="E1939" s="40">
        <v>150000</v>
      </c>
    </row>
    <row r="1940">
      <c r="A1940" s="40">
        <v>230</v>
      </c>
      <c r="B1940" s="40" t="str">
        <v>290 Quang Trung</v>
      </c>
      <c r="C1940" s="40">
        <v>1046</v>
      </c>
      <c r="D1940" s="40" t="str" xml:space="preserve">
        <v>Shinecombo 2 </v>
      </c>
      <c r="E1940" s="40">
        <v>199000</v>
      </c>
    </row>
    <row r="1941">
      <c r="A1941" s="40">
        <v>230</v>
      </c>
      <c r="B1941" s="40" t="str">
        <v>290 Quang Trung</v>
      </c>
      <c r="C1941" s="40">
        <v>1148</v>
      </c>
      <c r="D1941" s="40" t="str">
        <v>UỐN THIẾT KẾ PHỤC HỒI CHUYÊN SÂU LIPID BOND 2025</v>
      </c>
      <c r="E1941" s="40">
        <v>689000</v>
      </c>
    </row>
    <row r="1942">
      <c r="A1942" s="40">
        <v>230</v>
      </c>
      <c r="B1942" s="40" t="str">
        <v>290 Quang Trung</v>
      </c>
      <c r="C1942" s="40">
        <v>952</v>
      </c>
      <c r="D1942" s="40" t="str">
        <v>Uốn định hình nếp tóc cao cấp (K-Perm Collection)</v>
      </c>
      <c r="E1942" s="40">
        <v>478000</v>
      </c>
    </row>
    <row r="1943">
      <c r="A1943" s="40">
        <v>230</v>
      </c>
      <c r="B1943" s="40" t="str">
        <v>290 Quang Trung</v>
      </c>
      <c r="C1943" s="40">
        <v>1260</v>
      </c>
      <c r="D1943" s="40" t="str">
        <v>VH Combo Gội Dưỡng Sinh Phục Hồi</v>
      </c>
      <c r="E1943" s="40">
        <v>399000</v>
      </c>
    </row>
    <row r="1944">
      <c r="A1944" s="40">
        <v>230</v>
      </c>
      <c r="B1944" s="40" t="str">
        <v>290 Quang Trung</v>
      </c>
      <c r="C1944" s="40">
        <v>1255</v>
      </c>
      <c r="D1944" s="40" t="str" xml:space="preserve">
        <v>VH Cắt gội dưỡng sinh Vip </v>
      </c>
      <c r="E1944" s="40">
        <v>249000</v>
      </c>
    </row>
    <row r="1945">
      <c r="A1945" s="40">
        <v>230</v>
      </c>
      <c r="B1945" s="40" t="str">
        <v>290 Quang Trung</v>
      </c>
      <c r="C1945" s="40">
        <v>1256</v>
      </c>
      <c r="D1945" s="40" t="str">
        <v>VH Cắt gội dưỡng sinh Vip LRT</v>
      </c>
      <c r="E1945" s="40">
        <v>299000</v>
      </c>
    </row>
    <row r="1946">
      <c r="A1946" s="40">
        <v>230</v>
      </c>
      <c r="B1946" s="40" t="str">
        <v>290 Quang Trung</v>
      </c>
      <c r="C1946" s="40">
        <v>1257</v>
      </c>
      <c r="D1946" s="40" t="str">
        <v>VH Cắt gội thư giãn phục hồi</v>
      </c>
      <c r="E1946" s="40">
        <v>449000</v>
      </c>
    </row>
    <row r="1947">
      <c r="A1947" s="40">
        <v>230</v>
      </c>
      <c r="B1947" s="40" t="str">
        <v>290 Quang Trung</v>
      </c>
      <c r="C1947" s="40">
        <v>1258</v>
      </c>
      <c r="D1947" s="40" t="str">
        <v>VH Gội Vip Dưỡng Sinh</v>
      </c>
      <c r="E1947" s="40">
        <v>199000</v>
      </c>
    </row>
    <row r="1948">
      <c r="A1948" s="40">
        <v>230</v>
      </c>
      <c r="B1948" s="40" t="str">
        <v>290 Quang Trung</v>
      </c>
      <c r="C1948" s="40">
        <v>1259</v>
      </c>
      <c r="D1948" s="40" t="str">
        <v>VH Gội Vip Dưỡng Sinh LRT</v>
      </c>
      <c r="E1948" s="40">
        <v>259000</v>
      </c>
    </row>
    <row r="1949">
      <c r="A1949" s="40">
        <v>230</v>
      </c>
      <c r="B1949" s="40" t="str">
        <v>290 Quang Trung</v>
      </c>
      <c r="C1949" s="40">
        <v>636</v>
      </c>
      <c r="D1949" s="40" t="str">
        <v>[DV] Mặt nạ lạnh Hàn Quốc</v>
      </c>
      <c r="E1949" s="40">
        <v>35000</v>
      </c>
    </row>
    <row r="1950">
      <c r="A1950" s="40">
        <v>230</v>
      </c>
      <c r="B1950" s="40" t="str">
        <v>290 Quang Trung</v>
      </c>
      <c r="C1950" s="40">
        <v>625</v>
      </c>
      <c r="D1950" s="40" t="str">
        <v>[DV] Mặt nạ tẩy da chết sủi bọt cao cấp</v>
      </c>
      <c r="E1950" s="40">
        <v>55000</v>
      </c>
    </row>
    <row r="1951">
      <c r="A1951" s="40">
        <v>230</v>
      </c>
      <c r="B1951" s="40" t="str">
        <v>290 Quang Trung</v>
      </c>
      <c r="C1951" s="40">
        <v>912</v>
      </c>
      <c r="D1951" s="40" t="str">
        <v>[DV] Nhuộm đen phủ bạc R&amp;B thảo dược</v>
      </c>
      <c r="E1951" s="40">
        <v>289000</v>
      </c>
    </row>
    <row r="1952">
      <c r="A1952" s="40">
        <v>230</v>
      </c>
      <c r="B1952" s="40" t="str">
        <v>290 Quang Trung</v>
      </c>
      <c r="C1952" s="40">
        <v>513</v>
      </c>
      <c r="D1952" s="40" t="str">
        <v>[DV] ShineCombo 10 bước Ultra Care 2023</v>
      </c>
      <c r="E1952" s="40">
        <v>120000</v>
      </c>
    </row>
    <row r="1953">
      <c r="A1953" s="40">
        <v>230</v>
      </c>
      <c r="B1953" s="40" t="str">
        <v>290 Quang Trung</v>
      </c>
      <c r="C1953" s="40">
        <v>513</v>
      </c>
      <c r="D1953" s="40" t="str">
        <v>[DV] ShineCombo 10 bước Ultra Care 2023</v>
      </c>
      <c r="E1953" s="40">
        <v>122000</v>
      </c>
    </row>
    <row r="1954">
      <c r="A1954" s="40">
        <v>230</v>
      </c>
      <c r="B1954" s="40" t="str">
        <v>290 Quang Trung</v>
      </c>
      <c r="C1954" s="40">
        <v>634</v>
      </c>
      <c r="D1954" s="40" t="str">
        <v>[DV] Tẩy da chết sủi bọt Hàn Quốc</v>
      </c>
      <c r="E1954" s="40">
        <v>35000</v>
      </c>
    </row>
    <row r="1955">
      <c r="A1955" s="40">
        <v>230</v>
      </c>
      <c r="B1955" s="40" t="str">
        <v>290 Quang Trung</v>
      </c>
      <c r="C1955" s="40">
        <v>941</v>
      </c>
      <c r="D1955" s="40" t="str">
        <v>[DV] Vuốt sáp - sấy tạo kiểu 10k</v>
      </c>
      <c r="E1955" s="40">
        <v>10000</v>
      </c>
    </row>
    <row r="1956">
      <c r="A1956" s="40">
        <v>230</v>
      </c>
      <c r="B1956" s="40" t="str">
        <v>290 Quang Trung</v>
      </c>
      <c r="C1956" s="40">
        <v>940</v>
      </c>
      <c r="D1956" s="40" t="str">
        <v>[NEW] Gội dưỡng sinh</v>
      </c>
      <c r="E1956" s="40">
        <v>59000</v>
      </c>
    </row>
    <row r="1957">
      <c r="A1957" s="40">
        <v>230</v>
      </c>
      <c r="B1957" s="40" t="str">
        <v>290 Quang Trung</v>
      </c>
      <c r="C1957" s="40">
        <v>603</v>
      </c>
      <c r="D1957" s="40" t="str">
        <v>Đánh bay mụn cám lột mụn (Full Face)</v>
      </c>
      <c r="E1957" s="40">
        <v>49000</v>
      </c>
    </row>
    <row r="1958">
      <c r="A1958" s="40">
        <v>231</v>
      </c>
      <c r="B1958" s="40" t="str" xml:space="preserve">
        <v>304 Nguyễn Trãi </v>
      </c>
      <c r="C1958" s="40">
        <v>610</v>
      </c>
      <c r="D1958" s="40" t="str">
        <v>(2022T) ATS Control Buffer - Khử mùi tạo thơm cho tóc uốn nhuộm 40k</v>
      </c>
      <c r="E1958" s="40">
        <v>40000</v>
      </c>
    </row>
    <row r="1959">
      <c r="A1959" s="40">
        <v>231</v>
      </c>
      <c r="B1959" s="40" t="str" xml:space="preserve">
        <v>304 Nguyễn Trãi </v>
      </c>
      <c r="C1959" s="40">
        <v>960</v>
      </c>
      <c r="D1959" s="40" t="str">
        <v>(NEW) Nhuộm màu thời trang Milano</v>
      </c>
      <c r="E1959" s="40">
        <v>332000</v>
      </c>
    </row>
    <row r="1960">
      <c r="A1960" s="40">
        <v>231</v>
      </c>
      <c r="B1960" s="40" t="str" xml:space="preserve">
        <v>304 Nguyễn Trãi </v>
      </c>
      <c r="C1960" s="40">
        <v>967</v>
      </c>
      <c r="D1960" s="40" t="str">
        <v>(NEW) Nhuộm phủ bạc tiêu chuẩn 199K</v>
      </c>
      <c r="E1960" s="40">
        <v>202000</v>
      </c>
    </row>
    <row r="1961">
      <c r="A1961" s="40">
        <v>231</v>
      </c>
      <c r="B1961" s="40" t="str" xml:space="preserve">
        <v>304 Nguyễn Trãi </v>
      </c>
      <c r="C1961" s="40">
        <v>1009</v>
      </c>
      <c r="D1961" s="40" t="str">
        <v>(NEW) Uốn/Duỗi/Định hình full đầu tạo form vào nếp tự nhiên</v>
      </c>
      <c r="E1961" s="40">
        <v>386000</v>
      </c>
    </row>
    <row r="1962">
      <c r="A1962" s="40">
        <v>231</v>
      </c>
      <c r="B1962" s="40" t="str" xml:space="preserve">
        <v>304 Nguyễn Trãi </v>
      </c>
      <c r="C1962" s="40">
        <v>1053</v>
      </c>
      <c r="D1962" s="40" t="str">
        <v>Combo 2 - First Class 2</v>
      </c>
      <c r="E1962" s="40">
        <v>229000</v>
      </c>
    </row>
    <row r="1963">
      <c r="A1963" s="40">
        <v>231</v>
      </c>
      <c r="B1963" s="40" t="str" xml:space="preserve">
        <v>304 Nguyễn Trãi </v>
      </c>
      <c r="C1963" s="40">
        <v>1048</v>
      </c>
      <c r="D1963" s="40" t="str">
        <v>Combo 4</v>
      </c>
      <c r="E1963" s="40">
        <v>389000</v>
      </c>
    </row>
    <row r="1964">
      <c r="A1964" s="40">
        <v>231</v>
      </c>
      <c r="B1964" s="40" t="str" xml:space="preserve">
        <v>304 Nguyễn Trãi </v>
      </c>
      <c r="C1964" s="40">
        <v>1047</v>
      </c>
      <c r="D1964" s="40" t="str">
        <v>Cắt Gội Combo 3 - Chăm da</v>
      </c>
      <c r="E1964" s="40">
        <v>299000</v>
      </c>
    </row>
    <row r="1965">
      <c r="A1965" s="40">
        <v>231</v>
      </c>
      <c r="B1965" s="40" t="str" xml:space="preserve">
        <v>304 Nguyễn Trãi </v>
      </c>
      <c r="C1965" s="40">
        <v>1065</v>
      </c>
      <c r="D1965" s="40" t="str">
        <v>Cắt Gội Combo 3 - Dưỡng sinh</v>
      </c>
      <c r="E1965" s="40">
        <v>299000</v>
      </c>
    </row>
    <row r="1966">
      <c r="A1966" s="40">
        <v>231</v>
      </c>
      <c r="B1966" s="40" t="str" xml:space="preserve">
        <v>304 Nguyễn Trãi </v>
      </c>
      <c r="C1966" s="40">
        <v>891</v>
      </c>
      <c r="D1966" s="40" t="str">
        <v>Cắt xả tạo kiểu</v>
      </c>
      <c r="E1966" s="40">
        <v>90000</v>
      </c>
    </row>
    <row r="1967">
      <c r="A1967" s="40">
        <v>231</v>
      </c>
      <c r="B1967" s="40" t="str" xml:space="preserve">
        <v>304 Nguyễn Trãi </v>
      </c>
      <c r="C1967" s="40">
        <v>891</v>
      </c>
      <c r="D1967" s="40" t="str">
        <v>Cắt xả tạo kiểu</v>
      </c>
      <c r="E1967" s="40">
        <v>94000</v>
      </c>
    </row>
    <row r="1968">
      <c r="A1968" s="40">
        <v>231</v>
      </c>
      <c r="B1968" s="40" t="str" xml:space="preserve">
        <v>304 Nguyễn Trãi </v>
      </c>
      <c r="C1968" s="40">
        <v>1058</v>
      </c>
      <c r="D1968" s="40" t="str" xml:space="preserve">
        <v>Gội Combo 2 </v>
      </c>
      <c r="E1968" s="40">
        <v>159000</v>
      </c>
    </row>
    <row r="1969">
      <c r="A1969" s="40">
        <v>231</v>
      </c>
      <c r="B1969" s="40" t="str" xml:space="preserve">
        <v>304 Nguyễn Trãi </v>
      </c>
      <c r="C1969" s="40">
        <v>1059</v>
      </c>
      <c r="D1969" s="40" t="str">
        <v>Gội Combo 3 - Chăm da</v>
      </c>
      <c r="E1969" s="40">
        <v>219000</v>
      </c>
    </row>
    <row r="1970">
      <c r="A1970" s="40">
        <v>231</v>
      </c>
      <c r="B1970" s="40" t="str" xml:space="preserve">
        <v>304 Nguyễn Trãi </v>
      </c>
      <c r="C1970" s="40">
        <v>934</v>
      </c>
      <c r="D1970" s="40" t="str">
        <v>Gội combo 3 - Dưỡng sinh</v>
      </c>
      <c r="E1970" s="40">
        <v>229000</v>
      </c>
    </row>
    <row r="1971">
      <c r="A1971" s="40">
        <v>231</v>
      </c>
      <c r="B1971" s="40" t="str" xml:space="preserve">
        <v>304 Nguyễn Trãi </v>
      </c>
      <c r="C1971" s="40">
        <v>867</v>
      </c>
      <c r="D1971" s="40" t="str">
        <v>Gội dưỡng sinh cổ vai gáy</v>
      </c>
      <c r="E1971" s="40">
        <v>95000</v>
      </c>
    </row>
    <row r="1972">
      <c r="A1972" s="40">
        <v>231</v>
      </c>
      <c r="B1972" s="40" t="str" xml:space="preserve">
        <v>304 Nguyễn Trãi </v>
      </c>
      <c r="C1972" s="40">
        <v>867</v>
      </c>
      <c r="D1972" s="40" t="str">
        <v>Gội dưỡng sinh cổ vai gáy</v>
      </c>
      <c r="E1972" s="40">
        <v>99000</v>
      </c>
    </row>
    <row r="1973">
      <c r="A1973" s="40">
        <v>231</v>
      </c>
      <c r="B1973" s="40" t="str" xml:space="preserve">
        <v>304 Nguyễn Trãi </v>
      </c>
      <c r="C1973" s="40">
        <v>1066</v>
      </c>
      <c r="D1973" s="40" t="str">
        <v>Gội trải nghiệm 75p</v>
      </c>
      <c r="E1973" s="40">
        <v>589000</v>
      </c>
    </row>
    <row r="1974">
      <c r="A1974" s="40">
        <v>231</v>
      </c>
      <c r="B1974" s="40" t="str" xml:space="preserve">
        <v>304 Nguyễn Trãi </v>
      </c>
      <c r="C1974" s="40">
        <v>1002</v>
      </c>
      <c r="D1974" s="40" t="str">
        <v>Kid Cắt</v>
      </c>
      <c r="E1974" s="40">
        <v>75000</v>
      </c>
    </row>
    <row r="1975">
      <c r="A1975" s="40">
        <v>231</v>
      </c>
      <c r="B1975" s="40" t="str" xml:space="preserve">
        <v>304 Nguyễn Trãi </v>
      </c>
      <c r="C1975" s="40">
        <v>615</v>
      </c>
      <c r="D1975" s="40" t="str">
        <v>Nhổ tóc bạc buổi trưa</v>
      </c>
      <c r="E1975" s="40">
        <v>150000</v>
      </c>
    </row>
    <row r="1976">
      <c r="A1976" s="40">
        <v>231</v>
      </c>
      <c r="B1976" s="40" t="str" xml:space="preserve">
        <v>304 Nguyễn Trãi </v>
      </c>
      <c r="C1976" s="40">
        <v>1046</v>
      </c>
      <c r="D1976" s="40" t="str" xml:space="preserve">
        <v>Shinecombo 2 </v>
      </c>
      <c r="E1976" s="40">
        <v>199000</v>
      </c>
    </row>
    <row r="1977">
      <c r="A1977" s="40">
        <v>231</v>
      </c>
      <c r="B1977" s="40" t="str" xml:space="preserve">
        <v>304 Nguyễn Trãi </v>
      </c>
      <c r="C1977" s="40">
        <v>1148</v>
      </c>
      <c r="D1977" s="40" t="str">
        <v>UỐN THIẾT KẾ PHỤC HỒI CHUYÊN SÂU LIPID BOND 2025</v>
      </c>
      <c r="E1977" s="40">
        <v>689000</v>
      </c>
    </row>
    <row r="1978">
      <c r="A1978" s="40">
        <v>231</v>
      </c>
      <c r="B1978" s="40" t="str" xml:space="preserve">
        <v>304 Nguyễn Trãi </v>
      </c>
      <c r="C1978" s="40">
        <v>952</v>
      </c>
      <c r="D1978" s="40" t="str">
        <v>Uốn định hình nếp tóc cao cấp (K-Perm Collection)</v>
      </c>
      <c r="E1978" s="40">
        <v>478000</v>
      </c>
    </row>
    <row r="1979">
      <c r="A1979" s="40">
        <v>231</v>
      </c>
      <c r="B1979" s="40" t="str" xml:space="preserve">
        <v>304 Nguyễn Trãi </v>
      </c>
      <c r="C1979" s="40">
        <v>1255</v>
      </c>
      <c r="D1979" s="40" t="str" xml:space="preserve">
        <v>VH Cắt gội dưỡng sinh Vip </v>
      </c>
      <c r="E1979" s="40">
        <v>249000</v>
      </c>
    </row>
    <row r="1980">
      <c r="A1980" s="40">
        <v>231</v>
      </c>
      <c r="B1980" s="40" t="str" xml:space="preserve">
        <v>304 Nguyễn Trãi </v>
      </c>
      <c r="C1980" s="40">
        <v>1256</v>
      </c>
      <c r="D1980" s="40" t="str">
        <v>VH Cắt gội dưỡng sinh Vip LRT</v>
      </c>
      <c r="E1980" s="40">
        <v>299000</v>
      </c>
    </row>
    <row r="1981">
      <c r="A1981" s="40">
        <v>231</v>
      </c>
      <c r="B1981" s="40" t="str" xml:space="preserve">
        <v>304 Nguyễn Trãi </v>
      </c>
      <c r="C1981" s="40">
        <v>1257</v>
      </c>
      <c r="D1981" s="40" t="str">
        <v>VH Cắt gội thư giãn phục hồi</v>
      </c>
      <c r="E1981" s="40">
        <v>449000</v>
      </c>
    </row>
    <row r="1982">
      <c r="A1982" s="40">
        <v>231</v>
      </c>
      <c r="B1982" s="40" t="str" xml:space="preserve">
        <v>304 Nguyễn Trãi </v>
      </c>
      <c r="C1982" s="40">
        <v>1258</v>
      </c>
      <c r="D1982" s="40" t="str">
        <v>VH Gội Vip Dưỡng Sinh</v>
      </c>
      <c r="E1982" s="40">
        <v>199000</v>
      </c>
    </row>
    <row r="1983">
      <c r="A1983" s="40">
        <v>231</v>
      </c>
      <c r="B1983" s="40" t="str" xml:space="preserve">
        <v>304 Nguyễn Trãi </v>
      </c>
      <c r="C1983" s="40">
        <v>636</v>
      </c>
      <c r="D1983" s="40" t="str">
        <v>[DV] Mặt nạ lạnh Hàn Quốc</v>
      </c>
      <c r="E1983" s="40">
        <v>35000</v>
      </c>
    </row>
    <row r="1984">
      <c r="A1984" s="40">
        <v>231</v>
      </c>
      <c r="B1984" s="40" t="str" xml:space="preserve">
        <v>304 Nguyễn Trãi </v>
      </c>
      <c r="C1984" s="40">
        <v>625</v>
      </c>
      <c r="D1984" s="40" t="str">
        <v>[DV] Mặt nạ tẩy da chết sủi bọt cao cấp</v>
      </c>
      <c r="E1984" s="40">
        <v>55000</v>
      </c>
    </row>
    <row r="1985">
      <c r="A1985" s="40">
        <v>231</v>
      </c>
      <c r="B1985" s="40" t="str" xml:space="preserve">
        <v>304 Nguyễn Trãi </v>
      </c>
      <c r="C1985" s="40">
        <v>513</v>
      </c>
      <c r="D1985" s="40" t="str">
        <v>[DV] ShineCombo 10 bước Ultra Care 2023</v>
      </c>
      <c r="E1985" s="40">
        <v>120000</v>
      </c>
    </row>
    <row r="1986">
      <c r="A1986" s="40">
        <v>231</v>
      </c>
      <c r="B1986" s="40" t="str" xml:space="preserve">
        <v>304 Nguyễn Trãi </v>
      </c>
      <c r="C1986" s="40">
        <v>513</v>
      </c>
      <c r="D1986" s="40" t="str">
        <v>[DV] ShineCombo 10 bước Ultra Care 2023</v>
      </c>
      <c r="E1986" s="40">
        <v>122000</v>
      </c>
    </row>
    <row r="1987">
      <c r="A1987" s="40">
        <v>231</v>
      </c>
      <c r="B1987" s="40" t="str" xml:space="preserve">
        <v>304 Nguyễn Trãi </v>
      </c>
      <c r="C1987" s="40">
        <v>462</v>
      </c>
      <c r="D1987" s="40" t="str">
        <v>[DV] Thư giãn cổ, vai, gáy bạc hà cam ngọt - Thư giãn tai sảng khoái 9 tầng mây 45k</v>
      </c>
      <c r="E1987" s="40">
        <v>45000</v>
      </c>
    </row>
    <row r="1988">
      <c r="A1988" s="40">
        <v>231</v>
      </c>
      <c r="B1988" s="40" t="str" xml:space="preserve">
        <v>304 Nguyễn Trãi </v>
      </c>
      <c r="C1988" s="40">
        <v>634</v>
      </c>
      <c r="D1988" s="40" t="str">
        <v>[DV] Tẩy da chết sủi bọt Hàn Quốc</v>
      </c>
      <c r="E1988" s="40">
        <v>35000</v>
      </c>
    </row>
    <row r="1989">
      <c r="A1989" s="40">
        <v>231</v>
      </c>
      <c r="B1989" s="40" t="str" xml:space="preserve">
        <v>304 Nguyễn Trãi </v>
      </c>
      <c r="C1989" s="40">
        <v>674</v>
      </c>
      <c r="D1989" s="40" t="str">
        <v>[DV] Uốn Texture con sâu/Uốn Ruffled</v>
      </c>
      <c r="E1989" s="40">
        <v>499000</v>
      </c>
    </row>
    <row r="1990">
      <c r="A1990" s="40">
        <v>231</v>
      </c>
      <c r="B1990" s="40" t="str" xml:space="preserve">
        <v>304 Nguyễn Trãi </v>
      </c>
      <c r="C1990" s="40">
        <v>902</v>
      </c>
      <c r="D1990" s="40" t="str">
        <v>[DV] Ép side hai bên</v>
      </c>
      <c r="E1990" s="40">
        <v>189000</v>
      </c>
    </row>
    <row r="1991">
      <c r="A1991" s="40">
        <v>231</v>
      </c>
      <c r="B1991" s="40" t="str" xml:space="preserve">
        <v>304 Nguyễn Trãi </v>
      </c>
      <c r="C1991" s="40">
        <v>940</v>
      </c>
      <c r="D1991" s="40" t="str">
        <v>[NEW] Gội dưỡng sinh</v>
      </c>
      <c r="E1991" s="40">
        <v>59000</v>
      </c>
    </row>
    <row r="1992">
      <c r="A1992" s="40">
        <v>231</v>
      </c>
      <c r="B1992" s="40" t="str" xml:space="preserve">
        <v>304 Nguyễn Trãi </v>
      </c>
      <c r="C1992" s="40">
        <v>603</v>
      </c>
      <c r="D1992" s="40" t="str">
        <v>Đánh bay mụn cám lột mụn (Full Face)</v>
      </c>
      <c r="E1992" s="40">
        <v>49000</v>
      </c>
    </row>
    <row r="1993">
      <c r="A1993" s="40">
        <v>232</v>
      </c>
      <c r="B1993" s="40" t="str">
        <v>80 Trần Phú</v>
      </c>
      <c r="C1993" s="40">
        <v>610</v>
      </c>
      <c r="D1993" s="40" t="str">
        <v>(2022T) ATS Control Buffer - Khử mùi tạo thơm cho tóc uốn nhuộm 40k</v>
      </c>
      <c r="E1993" s="40">
        <v>40000</v>
      </c>
    </row>
    <row r="1994">
      <c r="A1994" s="40">
        <v>232</v>
      </c>
      <c r="B1994" s="40" t="str">
        <v>80 Trần Phú</v>
      </c>
      <c r="C1994" s="40">
        <v>960</v>
      </c>
      <c r="D1994" s="40" t="str">
        <v>(NEW) Nhuộm màu thời trang Milano</v>
      </c>
      <c r="E1994" s="40">
        <v>332000</v>
      </c>
    </row>
    <row r="1995">
      <c r="A1995" s="40">
        <v>232</v>
      </c>
      <c r="B1995" s="40" t="str">
        <v>80 Trần Phú</v>
      </c>
      <c r="C1995" s="40">
        <v>967</v>
      </c>
      <c r="D1995" s="40" t="str">
        <v>(NEW) Nhuộm phủ bạc tiêu chuẩn 199K</v>
      </c>
      <c r="E1995" s="40">
        <v>199000</v>
      </c>
    </row>
    <row r="1996">
      <c r="A1996" s="40">
        <v>232</v>
      </c>
      <c r="B1996" s="40" t="str">
        <v>80 Trần Phú</v>
      </c>
      <c r="C1996" s="40">
        <v>1009</v>
      </c>
      <c r="D1996" s="40" t="str">
        <v>(NEW) Uốn/Duỗi/Định hình full đầu tạo form vào nếp tự nhiên</v>
      </c>
      <c r="E1996" s="40">
        <v>386000</v>
      </c>
    </row>
    <row r="1997">
      <c r="A1997" s="40">
        <v>232</v>
      </c>
      <c r="B1997" s="40" t="str">
        <v>80 Trần Phú</v>
      </c>
      <c r="C1997" s="40">
        <v>1048</v>
      </c>
      <c r="D1997" s="40" t="str">
        <v>Combo 4</v>
      </c>
      <c r="E1997" s="40">
        <v>389000</v>
      </c>
    </row>
    <row r="1998">
      <c r="A1998" s="40">
        <v>232</v>
      </c>
      <c r="B1998" s="40" t="str">
        <v>80 Trần Phú</v>
      </c>
      <c r="C1998" s="40">
        <v>1047</v>
      </c>
      <c r="D1998" s="40" t="str">
        <v>Cắt Gội Combo 3 - Chăm da</v>
      </c>
      <c r="E1998" s="40">
        <v>299000</v>
      </c>
    </row>
    <row r="1999">
      <c r="A1999" s="40">
        <v>232</v>
      </c>
      <c r="B1999" s="40" t="str">
        <v>80 Trần Phú</v>
      </c>
      <c r="C1999" s="40">
        <v>1065</v>
      </c>
      <c r="D1999" s="40" t="str">
        <v>Cắt Gội Combo 3 - Dưỡng sinh</v>
      </c>
      <c r="E1999" s="40">
        <v>299000</v>
      </c>
    </row>
    <row r="2000">
      <c r="A2000" s="40">
        <v>232</v>
      </c>
      <c r="B2000" s="40" t="str">
        <v>80 Trần Phú</v>
      </c>
      <c r="C2000" s="40">
        <v>891</v>
      </c>
      <c r="D2000" s="40" t="str">
        <v>Cắt xả tạo kiểu</v>
      </c>
      <c r="E2000" s="40">
        <v>94000</v>
      </c>
    </row>
    <row r="2001">
      <c r="A2001" s="40">
        <v>232</v>
      </c>
      <c r="B2001" s="40" t="str">
        <v>80 Trần Phú</v>
      </c>
      <c r="C2001" s="40">
        <v>1058</v>
      </c>
      <c r="D2001" s="40" t="str" xml:space="preserve">
        <v>Gội Combo 2 </v>
      </c>
      <c r="E2001" s="40">
        <v>159000</v>
      </c>
    </row>
    <row r="2002">
      <c r="A2002" s="40">
        <v>232</v>
      </c>
      <c r="B2002" s="40" t="str">
        <v>80 Trần Phú</v>
      </c>
      <c r="C2002" s="40">
        <v>1059</v>
      </c>
      <c r="D2002" s="40" t="str">
        <v>Gội Combo 3 - Chăm da</v>
      </c>
      <c r="E2002" s="40">
        <v>219000</v>
      </c>
    </row>
    <row r="2003">
      <c r="A2003" s="40">
        <v>232</v>
      </c>
      <c r="B2003" s="40" t="str">
        <v>80 Trần Phú</v>
      </c>
      <c r="C2003" s="40">
        <v>1060</v>
      </c>
      <c r="D2003" s="40" t="str">
        <v>Gội Combo 4</v>
      </c>
      <c r="E2003" s="40">
        <v>289000</v>
      </c>
    </row>
    <row r="2004">
      <c r="A2004" s="40">
        <v>232</v>
      </c>
      <c r="B2004" s="40" t="str">
        <v>80 Trần Phú</v>
      </c>
      <c r="C2004" s="40">
        <v>934</v>
      </c>
      <c r="D2004" s="40" t="str">
        <v>Gội combo 3 - Dưỡng sinh</v>
      </c>
      <c r="E2004" s="40">
        <v>229000</v>
      </c>
    </row>
    <row r="2005">
      <c r="A2005" s="40">
        <v>232</v>
      </c>
      <c r="B2005" s="40" t="str">
        <v>80 Trần Phú</v>
      </c>
      <c r="C2005" s="40">
        <v>867</v>
      </c>
      <c r="D2005" s="40" t="str">
        <v>Gội dưỡng sinh cổ vai gáy</v>
      </c>
      <c r="E2005" s="40">
        <v>99000</v>
      </c>
    </row>
    <row r="2006">
      <c r="A2006" s="40">
        <v>232</v>
      </c>
      <c r="B2006" s="40" t="str">
        <v>80 Trần Phú</v>
      </c>
      <c r="C2006" s="40">
        <v>867</v>
      </c>
      <c r="D2006" s="40" t="str">
        <v>Gội dưỡng sinh cổ vai gáy</v>
      </c>
      <c r="E2006" s="40">
        <v>95000</v>
      </c>
    </row>
    <row r="2007">
      <c r="A2007" s="40">
        <v>232</v>
      </c>
      <c r="B2007" s="40" t="str">
        <v>80 Trần Phú</v>
      </c>
      <c r="C2007" s="40">
        <v>1066</v>
      </c>
      <c r="D2007" s="40" t="str">
        <v>Gội trải nghiệm 75p</v>
      </c>
      <c r="E2007" s="40">
        <v>589000</v>
      </c>
    </row>
    <row r="2008">
      <c r="A2008" s="40">
        <v>232</v>
      </c>
      <c r="B2008" s="40" t="str">
        <v>80 Trần Phú</v>
      </c>
      <c r="C2008" s="40">
        <v>1067</v>
      </c>
      <c r="D2008" s="40" t="str">
        <v>Gội trải nghiệm 90p</v>
      </c>
      <c r="E2008" s="40">
        <v>789000</v>
      </c>
    </row>
    <row r="2009">
      <c r="A2009" s="40">
        <v>232</v>
      </c>
      <c r="B2009" s="40" t="str">
        <v>80 Trần Phú</v>
      </c>
      <c r="C2009" s="40">
        <v>1002</v>
      </c>
      <c r="D2009" s="40" t="str">
        <v>Kid Cắt</v>
      </c>
      <c r="E2009" s="40">
        <v>75000</v>
      </c>
    </row>
    <row r="2010">
      <c r="A2010" s="40">
        <v>232</v>
      </c>
      <c r="B2010" s="40" t="str">
        <v>80 Trần Phú</v>
      </c>
      <c r="C2010" s="40">
        <v>615</v>
      </c>
      <c r="D2010" s="40" t="str">
        <v>Nhổ tóc bạc buổi trưa</v>
      </c>
      <c r="E2010" s="40">
        <v>150000</v>
      </c>
    </row>
    <row r="2011">
      <c r="A2011" s="40">
        <v>232</v>
      </c>
      <c r="B2011" s="40" t="str">
        <v>80 Trần Phú</v>
      </c>
      <c r="C2011" s="40">
        <v>1101</v>
      </c>
      <c r="D2011" s="40" t="str">
        <v>Phục hồi trẻ hóa Lipid Bond</v>
      </c>
      <c r="E2011" s="40">
        <v>146000</v>
      </c>
    </row>
    <row r="2012">
      <c r="A2012" s="40">
        <v>232</v>
      </c>
      <c r="B2012" s="40" t="str">
        <v>80 Trần Phú</v>
      </c>
      <c r="C2012" s="40">
        <v>1046</v>
      </c>
      <c r="D2012" s="40" t="str" xml:space="preserve">
        <v>Shinecombo 2 </v>
      </c>
      <c r="E2012" s="40">
        <v>199000</v>
      </c>
    </row>
    <row r="2013">
      <c r="A2013" s="40">
        <v>232</v>
      </c>
      <c r="B2013" s="40" t="str">
        <v>80 Trần Phú</v>
      </c>
      <c r="C2013" s="40">
        <v>1148</v>
      </c>
      <c r="D2013" s="40" t="str">
        <v>UỐN THIẾT KẾ PHỤC HỒI CHUYÊN SÂU LIPID BOND 2025</v>
      </c>
      <c r="E2013" s="40">
        <v>689000</v>
      </c>
    </row>
    <row r="2014">
      <c r="A2014" s="40">
        <v>232</v>
      </c>
      <c r="B2014" s="40" t="str">
        <v>80 Trần Phú</v>
      </c>
      <c r="C2014" s="40">
        <v>952</v>
      </c>
      <c r="D2014" s="40" t="str">
        <v>Uốn định hình nếp tóc cao cấp (K-Perm Collection)</v>
      </c>
      <c r="E2014" s="40">
        <v>478000</v>
      </c>
    </row>
    <row r="2015">
      <c r="A2015" s="40">
        <v>232</v>
      </c>
      <c r="B2015" s="40" t="str">
        <v>80 Trần Phú</v>
      </c>
      <c r="C2015" s="40">
        <v>1260</v>
      </c>
      <c r="D2015" s="40" t="str">
        <v>VH Combo Gội Dưỡng Sinh Phục Hồi</v>
      </c>
      <c r="E2015" s="40">
        <v>399000</v>
      </c>
    </row>
    <row r="2016">
      <c r="A2016" s="40">
        <v>232</v>
      </c>
      <c r="B2016" s="40" t="str">
        <v>80 Trần Phú</v>
      </c>
      <c r="C2016" s="40">
        <v>1255</v>
      </c>
      <c r="D2016" s="40" t="str" xml:space="preserve">
        <v>VH Cắt gội dưỡng sinh Vip </v>
      </c>
      <c r="E2016" s="40">
        <v>249000</v>
      </c>
    </row>
    <row r="2017">
      <c r="A2017" s="40">
        <v>232</v>
      </c>
      <c r="B2017" s="40" t="str">
        <v>80 Trần Phú</v>
      </c>
      <c r="C2017" s="40">
        <v>1256</v>
      </c>
      <c r="D2017" s="40" t="str">
        <v>VH Cắt gội dưỡng sinh Vip LRT</v>
      </c>
      <c r="E2017" s="40">
        <v>299000</v>
      </c>
    </row>
    <row r="2018">
      <c r="A2018" s="40">
        <v>232</v>
      </c>
      <c r="B2018" s="40" t="str">
        <v>80 Trần Phú</v>
      </c>
      <c r="C2018" s="40">
        <v>1257</v>
      </c>
      <c r="D2018" s="40" t="str">
        <v>VH Cắt gội thư giãn phục hồi</v>
      </c>
      <c r="E2018" s="40">
        <v>449000</v>
      </c>
    </row>
    <row r="2019">
      <c r="A2019" s="40">
        <v>232</v>
      </c>
      <c r="B2019" s="40" t="str">
        <v>80 Trần Phú</v>
      </c>
      <c r="C2019" s="40">
        <v>1258</v>
      </c>
      <c r="D2019" s="40" t="str">
        <v>VH Gội Vip Dưỡng Sinh</v>
      </c>
      <c r="E2019" s="40">
        <v>199000</v>
      </c>
    </row>
    <row r="2020">
      <c r="A2020" s="40">
        <v>232</v>
      </c>
      <c r="B2020" s="40" t="str">
        <v>80 Trần Phú</v>
      </c>
      <c r="C2020" s="40">
        <v>1259</v>
      </c>
      <c r="D2020" s="40" t="str">
        <v>VH Gội Vip Dưỡng Sinh LRT</v>
      </c>
      <c r="E2020" s="40">
        <v>259000</v>
      </c>
    </row>
    <row r="2021">
      <c r="A2021" s="40">
        <v>232</v>
      </c>
      <c r="B2021" s="40" t="str">
        <v>80 Trần Phú</v>
      </c>
      <c r="C2021" s="40">
        <v>625</v>
      </c>
      <c r="D2021" s="40" t="str">
        <v>[DV] Mặt nạ tẩy da chết sủi bọt cao cấp</v>
      </c>
      <c r="E2021" s="40">
        <v>55000</v>
      </c>
    </row>
    <row r="2022">
      <c r="A2022" s="40">
        <v>232</v>
      </c>
      <c r="B2022" s="40" t="str">
        <v>80 Trần Phú</v>
      </c>
      <c r="C2022" s="40">
        <v>912</v>
      </c>
      <c r="D2022" s="40" t="str">
        <v>[DV] Nhuộm đen phủ bạc R&amp;B thảo dược</v>
      </c>
      <c r="E2022" s="40">
        <v>289000</v>
      </c>
    </row>
    <row r="2023">
      <c r="A2023" s="40">
        <v>232</v>
      </c>
      <c r="B2023" s="40" t="str">
        <v>80 Trần Phú</v>
      </c>
      <c r="C2023" s="40">
        <v>513</v>
      </c>
      <c r="D2023" s="40" t="str">
        <v>[DV] ShineCombo 10 bước Ultra Care 2023</v>
      </c>
      <c r="E2023" s="40">
        <v>122000</v>
      </c>
    </row>
    <row r="2024">
      <c r="A2024" s="40">
        <v>232</v>
      </c>
      <c r="B2024" s="40" t="str">
        <v>80 Trần Phú</v>
      </c>
      <c r="C2024" s="40">
        <v>513</v>
      </c>
      <c r="D2024" s="40" t="str">
        <v>[DV] ShineCombo 10 bước Ultra Care 2023</v>
      </c>
      <c r="E2024" s="40">
        <v>120000</v>
      </c>
    </row>
    <row r="2025">
      <c r="A2025" s="40">
        <v>232</v>
      </c>
      <c r="B2025" s="40" t="str">
        <v>80 Trần Phú</v>
      </c>
      <c r="C2025" s="40">
        <v>634</v>
      </c>
      <c r="D2025" s="40" t="str">
        <v>[DV] Tẩy da chết sủi bọt Hàn Quốc</v>
      </c>
      <c r="E2025" s="40">
        <v>35000</v>
      </c>
    </row>
    <row r="2026">
      <c r="A2026" s="40">
        <v>232</v>
      </c>
      <c r="B2026" s="40" t="str">
        <v>80 Trần Phú</v>
      </c>
      <c r="C2026" s="40">
        <v>902</v>
      </c>
      <c r="D2026" s="40" t="str">
        <v>[DV] Ép side hai bên</v>
      </c>
      <c r="E2026" s="40">
        <v>189000</v>
      </c>
    </row>
    <row r="2027">
      <c r="A2027" s="40">
        <v>232</v>
      </c>
      <c r="B2027" s="40" t="str">
        <v>80 Trần Phú</v>
      </c>
      <c r="C2027" s="40">
        <v>940</v>
      </c>
      <c r="D2027" s="40" t="str">
        <v>[NEW] Gội dưỡng sinh</v>
      </c>
      <c r="E2027" s="40">
        <v>59000</v>
      </c>
    </row>
    <row r="2028">
      <c r="A2028" s="40">
        <v>233</v>
      </c>
      <c r="B2028" s="40" t="str">
        <v>595 Bà Triệu</v>
      </c>
      <c r="C2028" s="40">
        <v>610</v>
      </c>
      <c r="D2028" s="40" t="str">
        <v>(2022T) ATS Control Buffer - Khử mùi tạo thơm cho tóc uốn nhuộm 40k</v>
      </c>
      <c r="E2028" s="40">
        <v>40000</v>
      </c>
    </row>
    <row r="2029">
      <c r="A2029" s="40">
        <v>233</v>
      </c>
      <c r="B2029" s="40" t="str">
        <v>595 Bà Triệu</v>
      </c>
      <c r="C2029" s="40">
        <v>960</v>
      </c>
      <c r="D2029" s="40" t="str">
        <v>(NEW) Nhuộm màu thời trang Milano</v>
      </c>
      <c r="E2029" s="40">
        <v>332000</v>
      </c>
    </row>
    <row r="2030">
      <c r="A2030" s="40">
        <v>233</v>
      </c>
      <c r="B2030" s="40" t="str">
        <v>595 Bà Triệu</v>
      </c>
      <c r="C2030" s="40">
        <v>967</v>
      </c>
      <c r="D2030" s="40" t="str">
        <v>(NEW) Nhuộm phủ bạc tiêu chuẩn 199K</v>
      </c>
      <c r="E2030" s="40">
        <v>199000</v>
      </c>
    </row>
    <row r="2031">
      <c r="A2031" s="40">
        <v>233</v>
      </c>
      <c r="B2031" s="40" t="str">
        <v>595 Bà Triệu</v>
      </c>
      <c r="C2031" s="40">
        <v>1009</v>
      </c>
      <c r="D2031" s="40" t="str">
        <v>(NEW) Uốn/Duỗi/Định hình full đầu tạo form vào nếp tự nhiên</v>
      </c>
      <c r="E2031" s="40">
        <v>386000</v>
      </c>
    </row>
    <row r="2032">
      <c r="A2032" s="40">
        <v>233</v>
      </c>
      <c r="B2032" s="40" t="str">
        <v>595 Bà Triệu</v>
      </c>
      <c r="C2032" s="40">
        <v>1048</v>
      </c>
      <c r="D2032" s="40" t="str">
        <v>Combo 4</v>
      </c>
      <c r="E2032" s="40">
        <v>389000</v>
      </c>
    </row>
    <row r="2033">
      <c r="A2033" s="40">
        <v>233</v>
      </c>
      <c r="B2033" s="40" t="str">
        <v>595 Bà Triệu</v>
      </c>
      <c r="C2033" s="40">
        <v>1048</v>
      </c>
      <c r="D2033" s="40" t="str">
        <v>Combo 4</v>
      </c>
      <c r="E2033" s="40">
        <v>379000</v>
      </c>
    </row>
    <row r="2034">
      <c r="A2034" s="40">
        <v>233</v>
      </c>
      <c r="B2034" s="40" t="str">
        <v>595 Bà Triệu</v>
      </c>
      <c r="C2034" s="40">
        <v>1047</v>
      </c>
      <c r="D2034" s="40" t="str">
        <v>Cắt Gội Combo 3 - Chăm da</v>
      </c>
      <c r="E2034" s="40">
        <v>299000</v>
      </c>
    </row>
    <row r="2035">
      <c r="A2035" s="40">
        <v>233</v>
      </c>
      <c r="B2035" s="40" t="str">
        <v>595 Bà Triệu</v>
      </c>
      <c r="C2035" s="40">
        <v>891</v>
      </c>
      <c r="D2035" s="40" t="str">
        <v>Cắt xả tạo kiểu</v>
      </c>
      <c r="E2035" s="40">
        <v>94000</v>
      </c>
    </row>
    <row r="2036">
      <c r="A2036" s="40">
        <v>233</v>
      </c>
      <c r="B2036" s="40" t="str">
        <v>595 Bà Triệu</v>
      </c>
      <c r="C2036" s="40">
        <v>891</v>
      </c>
      <c r="D2036" s="40" t="str">
        <v>Cắt xả tạo kiểu</v>
      </c>
      <c r="E2036" s="40">
        <v>90000</v>
      </c>
    </row>
    <row r="2037">
      <c r="A2037" s="40">
        <v>233</v>
      </c>
      <c r="B2037" s="40" t="str">
        <v>595 Bà Triệu</v>
      </c>
      <c r="C2037" s="40">
        <v>1058</v>
      </c>
      <c r="D2037" s="40" t="str" xml:space="preserve">
        <v>Gội Combo 2 </v>
      </c>
      <c r="E2037" s="40">
        <v>159000</v>
      </c>
    </row>
    <row r="2038">
      <c r="A2038" s="40">
        <v>233</v>
      </c>
      <c r="B2038" s="40" t="str">
        <v>595 Bà Triệu</v>
      </c>
      <c r="C2038" s="40">
        <v>1059</v>
      </c>
      <c r="D2038" s="40" t="str">
        <v>Gội Combo 3 - Chăm da</v>
      </c>
      <c r="E2038" s="40">
        <v>219000</v>
      </c>
    </row>
    <row r="2039">
      <c r="A2039" s="40">
        <v>233</v>
      </c>
      <c r="B2039" s="40" t="str">
        <v>595 Bà Triệu</v>
      </c>
      <c r="C2039" s="40">
        <v>934</v>
      </c>
      <c r="D2039" s="40" t="str">
        <v>Gội combo 3 - Dưỡng sinh</v>
      </c>
      <c r="E2039" s="40">
        <v>229000</v>
      </c>
    </row>
    <row r="2040">
      <c r="A2040" s="40">
        <v>233</v>
      </c>
      <c r="B2040" s="40" t="str">
        <v>595 Bà Triệu</v>
      </c>
      <c r="C2040" s="40">
        <v>867</v>
      </c>
      <c r="D2040" s="40" t="str">
        <v>Gội dưỡng sinh cổ vai gáy</v>
      </c>
      <c r="E2040" s="40">
        <v>99000</v>
      </c>
    </row>
    <row r="2041">
      <c r="A2041" s="40">
        <v>233</v>
      </c>
      <c r="B2041" s="40" t="str">
        <v>595 Bà Triệu</v>
      </c>
      <c r="C2041" s="40">
        <v>867</v>
      </c>
      <c r="D2041" s="40" t="str">
        <v>Gội dưỡng sinh cổ vai gáy</v>
      </c>
      <c r="E2041" s="40">
        <v>95000</v>
      </c>
    </row>
    <row r="2042">
      <c r="A2042" s="40">
        <v>233</v>
      </c>
      <c r="B2042" s="40" t="str">
        <v>595 Bà Triệu</v>
      </c>
      <c r="C2042" s="40">
        <v>1066</v>
      </c>
      <c r="D2042" s="40" t="str">
        <v>Gội trải nghiệm 75p</v>
      </c>
      <c r="E2042" s="40">
        <v>589000</v>
      </c>
    </row>
    <row r="2043">
      <c r="A2043" s="40">
        <v>233</v>
      </c>
      <c r="B2043" s="40" t="str">
        <v>595 Bà Triệu</v>
      </c>
      <c r="C2043" s="40">
        <v>1067</v>
      </c>
      <c r="D2043" s="40" t="str">
        <v>Gội trải nghiệm 90p</v>
      </c>
      <c r="E2043" s="40">
        <v>789000</v>
      </c>
    </row>
    <row r="2044">
      <c r="A2044" s="40">
        <v>233</v>
      </c>
      <c r="B2044" s="40" t="str">
        <v>595 Bà Triệu</v>
      </c>
      <c r="C2044" s="40">
        <v>1002</v>
      </c>
      <c r="D2044" s="40" t="str">
        <v>Kid Cắt</v>
      </c>
      <c r="E2044" s="40">
        <v>75000</v>
      </c>
    </row>
    <row r="2045">
      <c r="A2045" s="40">
        <v>233</v>
      </c>
      <c r="B2045" s="40" t="str">
        <v>595 Bà Triệu</v>
      </c>
      <c r="C2045" s="40">
        <v>615</v>
      </c>
      <c r="D2045" s="40" t="str">
        <v>Nhổ tóc bạc buổi trưa</v>
      </c>
      <c r="E2045" s="40">
        <v>150000</v>
      </c>
    </row>
    <row r="2046">
      <c r="A2046" s="40">
        <v>233</v>
      </c>
      <c r="B2046" s="40" t="str">
        <v>595 Bà Triệu</v>
      </c>
      <c r="C2046" s="40">
        <v>1046</v>
      </c>
      <c r="D2046" s="40" t="str" xml:space="preserve">
        <v>Shinecombo 2 </v>
      </c>
      <c r="E2046" s="40">
        <v>199000</v>
      </c>
    </row>
    <row r="2047">
      <c r="A2047" s="40">
        <v>233</v>
      </c>
      <c r="B2047" s="40" t="str">
        <v>595 Bà Triệu</v>
      </c>
      <c r="C2047" s="40">
        <v>952</v>
      </c>
      <c r="D2047" s="40" t="str">
        <v>Uốn định hình nếp tóc cao cấp (K-Perm Collection)</v>
      </c>
      <c r="E2047" s="40">
        <v>478000</v>
      </c>
    </row>
    <row r="2048">
      <c r="A2048" s="40">
        <v>233</v>
      </c>
      <c r="B2048" s="40" t="str">
        <v>595 Bà Triệu</v>
      </c>
      <c r="C2048" s="40">
        <v>1260</v>
      </c>
      <c r="D2048" s="40" t="str">
        <v>VH Combo Gội Dưỡng Sinh Phục Hồi</v>
      </c>
      <c r="E2048" s="40">
        <v>399000</v>
      </c>
    </row>
    <row r="2049">
      <c r="A2049" s="40">
        <v>233</v>
      </c>
      <c r="B2049" s="40" t="str">
        <v>595 Bà Triệu</v>
      </c>
      <c r="C2049" s="40">
        <v>1255</v>
      </c>
      <c r="D2049" s="40" t="str" xml:space="preserve">
        <v>VH Cắt gội dưỡng sinh Vip </v>
      </c>
      <c r="E2049" s="40">
        <v>249000</v>
      </c>
    </row>
    <row r="2050">
      <c r="A2050" s="40">
        <v>233</v>
      </c>
      <c r="B2050" s="40" t="str">
        <v>595 Bà Triệu</v>
      </c>
      <c r="C2050" s="40">
        <v>1256</v>
      </c>
      <c r="D2050" s="40" t="str">
        <v>VH Cắt gội dưỡng sinh Vip LRT</v>
      </c>
      <c r="E2050" s="40">
        <v>299000</v>
      </c>
    </row>
    <row r="2051">
      <c r="A2051" s="40">
        <v>233</v>
      </c>
      <c r="B2051" s="40" t="str">
        <v>595 Bà Triệu</v>
      </c>
      <c r="C2051" s="40">
        <v>1257</v>
      </c>
      <c r="D2051" s="40" t="str">
        <v>VH Cắt gội thư giãn phục hồi</v>
      </c>
      <c r="E2051" s="40">
        <v>449000</v>
      </c>
    </row>
    <row r="2052">
      <c r="A2052" s="40">
        <v>233</v>
      </c>
      <c r="B2052" s="40" t="str">
        <v>595 Bà Triệu</v>
      </c>
      <c r="C2052" s="40">
        <v>1259</v>
      </c>
      <c r="D2052" s="40" t="str">
        <v>VH Gội Vip Dưỡng Sinh LRT</v>
      </c>
      <c r="E2052" s="40">
        <v>259000</v>
      </c>
    </row>
    <row r="2053">
      <c r="A2053" s="40">
        <v>233</v>
      </c>
      <c r="B2053" s="40" t="str">
        <v>595 Bà Triệu</v>
      </c>
      <c r="C2053" s="40">
        <v>635</v>
      </c>
      <c r="D2053" s="40" t="str">
        <v>[DV] Detox tẩy da chết da đầu</v>
      </c>
      <c r="E2053" s="40">
        <v>45000</v>
      </c>
    </row>
    <row r="2054">
      <c r="A2054" s="40">
        <v>233</v>
      </c>
      <c r="B2054" s="40" t="str">
        <v>595 Bà Triệu</v>
      </c>
      <c r="C2054" s="40">
        <v>625</v>
      </c>
      <c r="D2054" s="40" t="str">
        <v>[DV] Mặt nạ tẩy da chết sủi bọt cao cấp</v>
      </c>
      <c r="E2054" s="40">
        <v>55000</v>
      </c>
    </row>
    <row r="2055">
      <c r="A2055" s="40">
        <v>233</v>
      </c>
      <c r="B2055" s="40" t="str">
        <v>595 Bà Triệu</v>
      </c>
      <c r="C2055" s="40">
        <v>912</v>
      </c>
      <c r="D2055" s="40" t="str">
        <v>[DV] Nhuộm đen phủ bạc R&amp;B thảo dược</v>
      </c>
      <c r="E2055" s="40">
        <v>289000</v>
      </c>
    </row>
    <row r="2056">
      <c r="A2056" s="40">
        <v>233</v>
      </c>
      <c r="B2056" s="40" t="str">
        <v>595 Bà Triệu</v>
      </c>
      <c r="C2056" s="40">
        <v>513</v>
      </c>
      <c r="D2056" s="40" t="str">
        <v>[DV] ShineCombo 10 bước Ultra Care 2023</v>
      </c>
      <c r="E2056" s="40">
        <v>120000</v>
      </c>
    </row>
    <row r="2057">
      <c r="A2057" s="40">
        <v>233</v>
      </c>
      <c r="B2057" s="40" t="str">
        <v>595 Bà Triệu</v>
      </c>
      <c r="C2057" s="40">
        <v>513</v>
      </c>
      <c r="D2057" s="40" t="str">
        <v>[DV] ShineCombo 10 bước Ultra Care 2023</v>
      </c>
      <c r="E2057" s="40">
        <v>122000</v>
      </c>
    </row>
    <row r="2058">
      <c r="A2058" s="40">
        <v>233</v>
      </c>
      <c r="B2058" s="40" t="str">
        <v>595 Bà Triệu</v>
      </c>
      <c r="C2058" s="40">
        <v>634</v>
      </c>
      <c r="D2058" s="40" t="str">
        <v>[DV] Tẩy da chết sủi bọt Hàn Quốc</v>
      </c>
      <c r="E2058" s="40">
        <v>35000</v>
      </c>
    </row>
    <row r="2059">
      <c r="A2059" s="40">
        <v>233</v>
      </c>
      <c r="B2059" s="40" t="str">
        <v>595 Bà Triệu</v>
      </c>
      <c r="C2059" s="40">
        <v>915</v>
      </c>
      <c r="D2059" s="40" t="str">
        <v>[DV] Tẩy tóc bật tông Ý (1 lần)</v>
      </c>
      <c r="E2059" s="40">
        <v>259000</v>
      </c>
    </row>
    <row r="2060">
      <c r="A2060" s="40">
        <v>233</v>
      </c>
      <c r="B2060" s="40" t="str">
        <v>595 Bà Triệu</v>
      </c>
      <c r="C2060" s="40">
        <v>674</v>
      </c>
      <c r="D2060" s="40" t="str">
        <v>[DV] Uốn Texture con sâu/Uốn Ruffled</v>
      </c>
      <c r="E2060" s="40">
        <v>499000</v>
      </c>
    </row>
    <row r="2061">
      <c r="A2061" s="40">
        <v>233</v>
      </c>
      <c r="B2061" s="40" t="str">
        <v>595 Bà Triệu</v>
      </c>
      <c r="C2061" s="40">
        <v>941</v>
      </c>
      <c r="D2061" s="40" t="str">
        <v>[DV] Vuốt sáp - sấy tạo kiểu 10k</v>
      </c>
      <c r="E2061" s="40">
        <v>10000</v>
      </c>
    </row>
    <row r="2062">
      <c r="A2062" s="40">
        <v>233</v>
      </c>
      <c r="B2062" s="40" t="str">
        <v>595 Bà Triệu</v>
      </c>
      <c r="C2062" s="40">
        <v>940</v>
      </c>
      <c r="D2062" s="40" t="str">
        <v>[NEW] Gội dưỡng sinh</v>
      </c>
      <c r="E2062" s="40">
        <v>59000</v>
      </c>
    </row>
    <row r="2063">
      <c r="A2063" s="40">
        <v>233</v>
      </c>
      <c r="B2063" s="40" t="str">
        <v>595 Bà Triệu</v>
      </c>
      <c r="C2063" s="40">
        <v>603</v>
      </c>
      <c r="D2063" s="40" t="str">
        <v>Đánh bay mụn cám lột mụn (Full Face)</v>
      </c>
      <c r="E2063" s="40">
        <v>49000</v>
      </c>
    </row>
    <row r="2064">
      <c r="A2064" s="40">
        <v>239</v>
      </c>
      <c r="B2064" s="40" t="str" xml:space="preserve">
        <v>186 Quang Trung </v>
      </c>
      <c r="C2064" s="40">
        <v>610</v>
      </c>
      <c r="D2064" s="40" t="str">
        <v>(2022T) ATS Control Buffer - Khử mùi tạo thơm cho tóc uốn nhuộm 40k</v>
      </c>
      <c r="E2064" s="40">
        <v>40000</v>
      </c>
    </row>
    <row r="2065">
      <c r="A2065" s="40">
        <v>239</v>
      </c>
      <c r="B2065" s="40" t="str" xml:space="preserve">
        <v>186 Quang Trung </v>
      </c>
      <c r="C2065" s="40">
        <v>960</v>
      </c>
      <c r="D2065" s="40" t="str">
        <v>(NEW) Nhuộm màu thời trang Milano</v>
      </c>
      <c r="E2065" s="40">
        <v>332000</v>
      </c>
    </row>
    <row r="2066">
      <c r="A2066" s="40">
        <v>239</v>
      </c>
      <c r="B2066" s="40" t="str" xml:space="preserve">
        <v>186 Quang Trung </v>
      </c>
      <c r="C2066" s="40">
        <v>967</v>
      </c>
      <c r="D2066" s="40" t="str">
        <v>(NEW) Nhuộm phủ bạc tiêu chuẩn 199K</v>
      </c>
      <c r="E2066" s="40">
        <v>199000</v>
      </c>
    </row>
    <row r="2067">
      <c r="A2067" s="40">
        <v>239</v>
      </c>
      <c r="B2067" s="40" t="str" xml:space="preserve">
        <v>186 Quang Trung </v>
      </c>
      <c r="C2067" s="40">
        <v>1009</v>
      </c>
      <c r="D2067" s="40" t="str">
        <v>(NEW) Uốn/Duỗi/Định hình full đầu tạo form vào nếp tự nhiên</v>
      </c>
      <c r="E2067" s="40">
        <v>386000</v>
      </c>
    </row>
    <row r="2068">
      <c r="A2068" s="40">
        <v>239</v>
      </c>
      <c r="B2068" s="40" t="str" xml:space="preserve">
        <v>186 Quang Trung </v>
      </c>
      <c r="C2068" s="40">
        <v>1048</v>
      </c>
      <c r="D2068" s="40" t="str">
        <v>Combo 4</v>
      </c>
      <c r="E2068" s="40">
        <v>389000</v>
      </c>
    </row>
    <row r="2069">
      <c r="A2069" s="40">
        <v>239</v>
      </c>
      <c r="B2069" s="40" t="str" xml:space="preserve">
        <v>186 Quang Trung </v>
      </c>
      <c r="C2069" s="40">
        <v>1048</v>
      </c>
      <c r="D2069" s="40" t="str">
        <v>Combo 4</v>
      </c>
      <c r="E2069" s="40">
        <v>379000</v>
      </c>
    </row>
    <row r="2070">
      <c r="A2070" s="40">
        <v>239</v>
      </c>
      <c r="B2070" s="40" t="str" xml:space="preserve">
        <v>186 Quang Trung </v>
      </c>
      <c r="C2070" s="40">
        <v>1047</v>
      </c>
      <c r="D2070" s="40" t="str">
        <v>Cắt Gội Combo 3 - Chăm da</v>
      </c>
      <c r="E2070" s="40">
        <v>299000</v>
      </c>
    </row>
    <row r="2071">
      <c r="A2071" s="40">
        <v>239</v>
      </c>
      <c r="B2071" s="40" t="str" xml:space="preserve">
        <v>186 Quang Trung </v>
      </c>
      <c r="C2071" s="40">
        <v>891</v>
      </c>
      <c r="D2071" s="40" t="str">
        <v>Cắt xả tạo kiểu</v>
      </c>
      <c r="E2071" s="40">
        <v>94000</v>
      </c>
    </row>
    <row r="2072">
      <c r="A2072" s="40">
        <v>239</v>
      </c>
      <c r="B2072" s="40" t="str" xml:space="preserve">
        <v>186 Quang Trung </v>
      </c>
      <c r="C2072" s="40">
        <v>1058</v>
      </c>
      <c r="D2072" s="40" t="str" xml:space="preserve">
        <v>Gội Combo 2 </v>
      </c>
      <c r="E2072" s="40">
        <v>159000</v>
      </c>
    </row>
    <row r="2073">
      <c r="A2073" s="40">
        <v>239</v>
      </c>
      <c r="B2073" s="40" t="str" xml:space="preserve">
        <v>186 Quang Trung </v>
      </c>
      <c r="C2073" s="40">
        <v>1059</v>
      </c>
      <c r="D2073" s="40" t="str">
        <v>Gội Combo 3 - Chăm da</v>
      </c>
      <c r="E2073" s="40">
        <v>239000</v>
      </c>
    </row>
    <row r="2074">
      <c r="A2074" s="40">
        <v>239</v>
      </c>
      <c r="B2074" s="40" t="str" xml:space="preserve">
        <v>186 Quang Trung </v>
      </c>
      <c r="C2074" s="40">
        <v>1060</v>
      </c>
      <c r="D2074" s="40" t="str">
        <v>Gội Combo 4</v>
      </c>
      <c r="E2074" s="40">
        <v>289000</v>
      </c>
    </row>
    <row r="2075">
      <c r="A2075" s="40">
        <v>239</v>
      </c>
      <c r="B2075" s="40" t="str" xml:space="preserve">
        <v>186 Quang Trung </v>
      </c>
      <c r="C2075" s="40">
        <v>934</v>
      </c>
      <c r="D2075" s="40" t="str">
        <v>Gội combo 3 - Dưỡng sinh</v>
      </c>
      <c r="E2075" s="40">
        <v>229000</v>
      </c>
    </row>
    <row r="2076">
      <c r="A2076" s="40">
        <v>239</v>
      </c>
      <c r="B2076" s="40" t="str" xml:space="preserve">
        <v>186 Quang Trung </v>
      </c>
      <c r="C2076" s="40">
        <v>867</v>
      </c>
      <c r="D2076" s="40" t="str">
        <v>Gội dưỡng sinh cổ vai gáy</v>
      </c>
      <c r="E2076" s="40">
        <v>99000</v>
      </c>
    </row>
    <row r="2077">
      <c r="A2077" s="40">
        <v>239</v>
      </c>
      <c r="B2077" s="40" t="str" xml:space="preserve">
        <v>186 Quang Trung </v>
      </c>
      <c r="C2077" s="40">
        <v>1069</v>
      </c>
      <c r="D2077" s="40" t="str">
        <v>Gội trải nghiệm 140p</v>
      </c>
      <c r="E2077" s="40">
        <v>1199000</v>
      </c>
    </row>
    <row r="2078">
      <c r="A2078" s="40">
        <v>239</v>
      </c>
      <c r="B2078" s="40" t="str" xml:space="preserve">
        <v>186 Quang Trung </v>
      </c>
      <c r="C2078" s="40">
        <v>1066</v>
      </c>
      <c r="D2078" s="40" t="str">
        <v>Gội trải nghiệm 75p</v>
      </c>
      <c r="E2078" s="40">
        <v>589000</v>
      </c>
    </row>
    <row r="2079">
      <c r="A2079" s="40">
        <v>239</v>
      </c>
      <c r="B2079" s="40" t="str" xml:space="preserve">
        <v>186 Quang Trung </v>
      </c>
      <c r="C2079" s="40">
        <v>1067</v>
      </c>
      <c r="D2079" s="40" t="str">
        <v>Gội trải nghiệm 90p</v>
      </c>
      <c r="E2079" s="40">
        <v>789000</v>
      </c>
    </row>
    <row r="2080">
      <c r="A2080" s="40">
        <v>239</v>
      </c>
      <c r="B2080" s="40" t="str" xml:space="preserve">
        <v>186 Quang Trung </v>
      </c>
      <c r="C2080" s="40">
        <v>1002</v>
      </c>
      <c r="D2080" s="40" t="str">
        <v>Kid Cắt</v>
      </c>
      <c r="E2080" s="40">
        <v>75000</v>
      </c>
    </row>
    <row r="2081">
      <c r="A2081" s="40">
        <v>239</v>
      </c>
      <c r="B2081" s="40" t="str" xml:space="preserve">
        <v>186 Quang Trung </v>
      </c>
      <c r="C2081" s="40">
        <v>1101</v>
      </c>
      <c r="D2081" s="40" t="str">
        <v>Phục hồi trẻ hóa Lipid Bond</v>
      </c>
      <c r="E2081" s="40">
        <v>146000</v>
      </c>
    </row>
    <row r="2082">
      <c r="A2082" s="40">
        <v>239</v>
      </c>
      <c r="B2082" s="40" t="str" xml:space="preserve">
        <v>186 Quang Trung </v>
      </c>
      <c r="C2082" s="40">
        <v>1046</v>
      </c>
      <c r="D2082" s="40" t="str" xml:space="preserve">
        <v>Shinecombo 2 </v>
      </c>
      <c r="E2082" s="40">
        <v>199000</v>
      </c>
    </row>
    <row r="2083">
      <c r="A2083" s="40">
        <v>239</v>
      </c>
      <c r="B2083" s="40" t="str" xml:space="preserve">
        <v>186 Quang Trung </v>
      </c>
      <c r="C2083" s="40">
        <v>1148</v>
      </c>
      <c r="D2083" s="40" t="str">
        <v>UỐN THIẾT KẾ PHỤC HỒI CHUYÊN SÂU LIPID BOND 2025</v>
      </c>
      <c r="E2083" s="40">
        <v>689000</v>
      </c>
    </row>
    <row r="2084">
      <c r="A2084" s="40">
        <v>239</v>
      </c>
      <c r="B2084" s="40" t="str" xml:space="preserve">
        <v>186 Quang Trung </v>
      </c>
      <c r="C2084" s="40">
        <v>952</v>
      </c>
      <c r="D2084" s="40" t="str">
        <v>Uốn định hình nếp tóc cao cấp (K-Perm Collection)</v>
      </c>
      <c r="E2084" s="40">
        <v>478000</v>
      </c>
    </row>
    <row r="2085">
      <c r="A2085" s="40">
        <v>239</v>
      </c>
      <c r="B2085" s="40" t="str" xml:space="preserve">
        <v>186 Quang Trung </v>
      </c>
      <c r="C2085" s="40">
        <v>625</v>
      </c>
      <c r="D2085" s="40" t="str">
        <v>[DV] Mặt nạ tẩy da chết sủi bọt cao cấp</v>
      </c>
      <c r="E2085" s="40">
        <v>55000</v>
      </c>
    </row>
    <row r="2086">
      <c r="A2086" s="40">
        <v>239</v>
      </c>
      <c r="B2086" s="40" t="str" xml:space="preserve">
        <v>186 Quang Trung </v>
      </c>
      <c r="C2086" s="40">
        <v>912</v>
      </c>
      <c r="D2086" s="40" t="str">
        <v>[DV] Nhuộm đen phủ bạc R&amp;B thảo dược</v>
      </c>
      <c r="E2086" s="40">
        <v>289000</v>
      </c>
    </row>
    <row r="2087">
      <c r="A2087" s="40">
        <v>239</v>
      </c>
      <c r="B2087" s="40" t="str" xml:space="preserve">
        <v>186 Quang Trung </v>
      </c>
      <c r="C2087" s="40">
        <v>513</v>
      </c>
      <c r="D2087" s="40" t="str">
        <v>[DV] ShineCombo 10 bước Ultra Care 2023</v>
      </c>
      <c r="E2087" s="40">
        <v>120000</v>
      </c>
    </row>
    <row r="2088">
      <c r="A2088" s="40">
        <v>239</v>
      </c>
      <c r="B2088" s="40" t="str" xml:space="preserve">
        <v>186 Quang Trung </v>
      </c>
      <c r="C2088" s="40">
        <v>513</v>
      </c>
      <c r="D2088" s="40" t="str">
        <v>[DV] ShineCombo 10 bước Ultra Care 2023</v>
      </c>
      <c r="E2088" s="40">
        <v>122000</v>
      </c>
    </row>
    <row r="2089">
      <c r="A2089" s="40">
        <v>239</v>
      </c>
      <c r="B2089" s="40" t="str" xml:space="preserve">
        <v>186 Quang Trung </v>
      </c>
      <c r="C2089" s="40">
        <v>462</v>
      </c>
      <c r="D2089" s="40" t="str">
        <v>[DV] Thư giãn cổ, vai, gáy bạc hà cam ngọt - Thư giãn tai sảng khoái 9 tầng mây 45k</v>
      </c>
      <c r="E2089" s="40">
        <v>45000</v>
      </c>
    </row>
    <row r="2090">
      <c r="A2090" s="40">
        <v>239</v>
      </c>
      <c r="B2090" s="40" t="str" xml:space="preserve">
        <v>186 Quang Trung </v>
      </c>
      <c r="C2090" s="40">
        <v>634</v>
      </c>
      <c r="D2090" s="40" t="str">
        <v>[DV] Tẩy da chết sủi bọt Hàn Quốc</v>
      </c>
      <c r="E2090" s="40">
        <v>35000</v>
      </c>
    </row>
    <row r="2091">
      <c r="A2091" s="40">
        <v>239</v>
      </c>
      <c r="B2091" s="40" t="str" xml:space="preserve">
        <v>186 Quang Trung </v>
      </c>
      <c r="C2091" s="40">
        <v>915</v>
      </c>
      <c r="D2091" s="40" t="str">
        <v>[DV] Tẩy tóc bật tông Ý (1 lần)</v>
      </c>
      <c r="E2091" s="40">
        <v>252000</v>
      </c>
    </row>
    <row r="2092">
      <c r="A2092" s="40">
        <v>239</v>
      </c>
      <c r="B2092" s="40" t="str" xml:space="preserve">
        <v>186 Quang Trung </v>
      </c>
      <c r="C2092" s="40">
        <v>674</v>
      </c>
      <c r="D2092" s="40" t="str">
        <v>[DV] Uốn Texture con sâu/Uốn Ruffled</v>
      </c>
      <c r="E2092" s="40">
        <v>499000</v>
      </c>
    </row>
    <row r="2093">
      <c r="A2093" s="40">
        <v>239</v>
      </c>
      <c r="B2093" s="40" t="str" xml:space="preserve">
        <v>186 Quang Trung </v>
      </c>
      <c r="C2093" s="40">
        <v>902</v>
      </c>
      <c r="D2093" s="40" t="str">
        <v>[DV] Ép side hai bên</v>
      </c>
      <c r="E2093" s="40">
        <v>209000</v>
      </c>
    </row>
    <row r="2094">
      <c r="A2094" s="40">
        <v>239</v>
      </c>
      <c r="B2094" s="40" t="str" xml:space="preserve">
        <v>186 Quang Trung </v>
      </c>
      <c r="C2094" s="40">
        <v>940</v>
      </c>
      <c r="D2094" s="40" t="str">
        <v>[NEW] Gội dưỡng sinh</v>
      </c>
      <c r="E2094" s="40">
        <v>59000</v>
      </c>
    </row>
    <row r="2095">
      <c r="A2095" s="40">
        <v>239</v>
      </c>
      <c r="B2095" s="40" t="str" xml:space="preserve">
        <v>186 Quang Trung </v>
      </c>
      <c r="C2095" s="40">
        <v>603</v>
      </c>
      <c r="D2095" s="40" t="str">
        <v>Đánh bay mụn cám lột mụn (Full Face)</v>
      </c>
      <c r="E2095" s="40">
        <v>49000</v>
      </c>
    </row>
    <row r="2096">
      <c r="A2096" s="40">
        <v>240</v>
      </c>
      <c r="B2096" s="40" t="str">
        <v>68 Lê Nin</v>
      </c>
      <c r="C2096" s="40">
        <v>1009</v>
      </c>
      <c r="D2096" s="40" t="str">
        <v>(NEW) Uốn/Duỗi/Định hình full đầu tạo form vào nếp tự nhiên</v>
      </c>
      <c r="E2096" s="40">
        <v>386000</v>
      </c>
    </row>
    <row r="2097">
      <c r="A2097" s="40">
        <v>240</v>
      </c>
      <c r="B2097" s="40" t="str">
        <v>68 Lê Nin</v>
      </c>
      <c r="C2097" s="40">
        <v>1048</v>
      </c>
      <c r="D2097" s="40" t="str">
        <v>Combo 4</v>
      </c>
      <c r="E2097" s="40">
        <v>379000</v>
      </c>
    </row>
    <row r="2098">
      <c r="A2098" s="40">
        <v>240</v>
      </c>
      <c r="B2098" s="40" t="str">
        <v>68 Lê Nin</v>
      </c>
      <c r="C2098" s="40">
        <v>1048</v>
      </c>
      <c r="D2098" s="40" t="str">
        <v>Combo 4</v>
      </c>
      <c r="E2098" s="40">
        <v>389000</v>
      </c>
    </row>
    <row r="2099">
      <c r="A2099" s="40">
        <v>240</v>
      </c>
      <c r="B2099" s="40" t="str">
        <v>68 Lê Nin</v>
      </c>
      <c r="C2099" s="40">
        <v>1047</v>
      </c>
      <c r="D2099" s="40" t="str">
        <v>Cắt Gội Combo 3 - Chăm da</v>
      </c>
      <c r="E2099" s="40">
        <v>299000</v>
      </c>
    </row>
    <row r="2100">
      <c r="A2100" s="40">
        <v>240</v>
      </c>
      <c r="B2100" s="40" t="str">
        <v>68 Lê Nin</v>
      </c>
      <c r="C2100" s="40">
        <v>1065</v>
      </c>
      <c r="D2100" s="40" t="str">
        <v>Cắt Gội Combo 3 - Dưỡng sinh</v>
      </c>
      <c r="E2100" s="40">
        <v>299000</v>
      </c>
    </row>
    <row r="2101">
      <c r="A2101" s="40">
        <v>240</v>
      </c>
      <c r="B2101" s="40" t="str">
        <v>68 Lê Nin</v>
      </c>
      <c r="C2101" s="40">
        <v>891</v>
      </c>
      <c r="D2101" s="40" t="str">
        <v>Cắt xả tạo kiểu</v>
      </c>
      <c r="E2101" s="40">
        <v>90000</v>
      </c>
    </row>
    <row r="2102">
      <c r="A2102" s="40">
        <v>240</v>
      </c>
      <c r="B2102" s="40" t="str">
        <v>68 Lê Nin</v>
      </c>
      <c r="C2102" s="40">
        <v>891</v>
      </c>
      <c r="D2102" s="40" t="str">
        <v>Cắt xả tạo kiểu</v>
      </c>
      <c r="E2102" s="40">
        <v>94000</v>
      </c>
    </row>
    <row r="2103">
      <c r="A2103" s="40">
        <v>240</v>
      </c>
      <c r="B2103" s="40" t="str">
        <v>68 Lê Nin</v>
      </c>
      <c r="C2103" s="40">
        <v>1058</v>
      </c>
      <c r="D2103" s="40" t="str" xml:space="preserve">
        <v>Gội Combo 2 </v>
      </c>
      <c r="E2103" s="40">
        <v>159000</v>
      </c>
    </row>
    <row r="2104">
      <c r="A2104" s="40">
        <v>240</v>
      </c>
      <c r="B2104" s="40" t="str">
        <v>68 Lê Nin</v>
      </c>
      <c r="C2104" s="40">
        <v>1059</v>
      </c>
      <c r="D2104" s="40" t="str">
        <v>Gội Combo 3 - Chăm da</v>
      </c>
      <c r="E2104" s="40">
        <v>219000</v>
      </c>
    </row>
    <row r="2105">
      <c r="A2105" s="40">
        <v>240</v>
      </c>
      <c r="B2105" s="40" t="str">
        <v>68 Lê Nin</v>
      </c>
      <c r="C2105" s="40">
        <v>1060</v>
      </c>
      <c r="D2105" s="40" t="str">
        <v>Gội Combo 4</v>
      </c>
      <c r="E2105" s="40">
        <v>289000</v>
      </c>
    </row>
    <row r="2106">
      <c r="A2106" s="40">
        <v>240</v>
      </c>
      <c r="B2106" s="40" t="str">
        <v>68 Lê Nin</v>
      </c>
      <c r="C2106" s="40">
        <v>934</v>
      </c>
      <c r="D2106" s="40" t="str">
        <v>Gội combo 3 - Dưỡng sinh</v>
      </c>
      <c r="E2106" s="40">
        <v>229000</v>
      </c>
    </row>
    <row r="2107">
      <c r="A2107" s="40">
        <v>240</v>
      </c>
      <c r="B2107" s="40" t="str">
        <v>68 Lê Nin</v>
      </c>
      <c r="C2107" s="40">
        <v>1002</v>
      </c>
      <c r="D2107" s="40" t="str">
        <v>Kid Cắt</v>
      </c>
      <c r="E2107" s="40">
        <v>75000</v>
      </c>
    </row>
    <row r="2108">
      <c r="A2108" s="40">
        <v>240</v>
      </c>
      <c r="B2108" s="40" t="str">
        <v>68 Lê Nin</v>
      </c>
      <c r="C2108" s="40">
        <v>1149</v>
      </c>
      <c r="D2108" s="40" t="str">
        <v>NHUỘM THIẾT KẾ PHỤC HỒI CHUYÊN SÂU LIPID BOND 2025</v>
      </c>
      <c r="E2108" s="40">
        <v>689000</v>
      </c>
    </row>
    <row r="2109">
      <c r="A2109" s="40">
        <v>240</v>
      </c>
      <c r="B2109" s="40" t="str">
        <v>68 Lê Nin</v>
      </c>
      <c r="C2109" s="40">
        <v>1046</v>
      </c>
      <c r="D2109" s="40" t="str" xml:space="preserve">
        <v>Shinecombo 2 </v>
      </c>
      <c r="E2109" s="40">
        <v>199000</v>
      </c>
    </row>
    <row r="2110">
      <c r="A2110" s="40">
        <v>240</v>
      </c>
      <c r="B2110" s="40" t="str">
        <v>68 Lê Nin</v>
      </c>
      <c r="C2110" s="40">
        <v>1148</v>
      </c>
      <c r="D2110" s="40" t="str">
        <v>UỐN THIẾT KẾ PHỤC HỒI CHUYÊN SÂU LIPID BOND 2025</v>
      </c>
      <c r="E2110" s="40">
        <v>689000</v>
      </c>
    </row>
    <row r="2111">
      <c r="A2111" s="40">
        <v>240</v>
      </c>
      <c r="B2111" s="40" t="str">
        <v>68 Lê Nin</v>
      </c>
      <c r="C2111" s="40">
        <v>952</v>
      </c>
      <c r="D2111" s="40" t="str">
        <v>Uốn định hình nếp tóc cao cấp (K-Perm Collection)</v>
      </c>
      <c r="E2111" s="40">
        <v>478000</v>
      </c>
    </row>
    <row r="2112">
      <c r="A2112" s="40">
        <v>240</v>
      </c>
      <c r="B2112" s="40" t="str">
        <v>68 Lê Nin</v>
      </c>
      <c r="C2112" s="40">
        <v>1255</v>
      </c>
      <c r="D2112" s="40" t="str" xml:space="preserve">
        <v>VH Cắt gội dưỡng sinh Vip </v>
      </c>
      <c r="E2112" s="40">
        <v>249000</v>
      </c>
    </row>
    <row r="2113">
      <c r="A2113" s="40">
        <v>240</v>
      </c>
      <c r="B2113" s="40" t="str">
        <v>68 Lê Nin</v>
      </c>
      <c r="C2113" s="40">
        <v>636</v>
      </c>
      <c r="D2113" s="40" t="str">
        <v>[DV] Mặt nạ lạnh Hàn Quốc</v>
      </c>
      <c r="E2113" s="40">
        <v>35000</v>
      </c>
    </row>
    <row r="2114">
      <c r="A2114" s="40">
        <v>240</v>
      </c>
      <c r="B2114" s="40" t="str">
        <v>68 Lê Nin</v>
      </c>
      <c r="C2114" s="40">
        <v>625</v>
      </c>
      <c r="D2114" s="40" t="str">
        <v>[DV] Mặt nạ tẩy da chết sủi bọt cao cấp</v>
      </c>
      <c r="E2114" s="40">
        <v>55000</v>
      </c>
    </row>
    <row r="2115">
      <c r="A2115" s="40">
        <v>240</v>
      </c>
      <c r="B2115" s="40" t="str">
        <v>68 Lê Nin</v>
      </c>
      <c r="C2115" s="40">
        <v>912</v>
      </c>
      <c r="D2115" s="40" t="str">
        <v>[DV] Nhuộm đen phủ bạc R&amp;B thảo dược</v>
      </c>
      <c r="E2115" s="40">
        <v>289000</v>
      </c>
    </row>
    <row r="2116">
      <c r="A2116" s="40">
        <v>240</v>
      </c>
      <c r="B2116" s="40" t="str">
        <v>68 Lê Nin</v>
      </c>
      <c r="C2116" s="40">
        <v>513</v>
      </c>
      <c r="D2116" s="40" t="str">
        <v>[DV] ShineCombo 10 bước Ultra Care 2023</v>
      </c>
      <c r="E2116" s="40">
        <v>120000</v>
      </c>
    </row>
    <row r="2117">
      <c r="A2117" s="40">
        <v>240</v>
      </c>
      <c r="B2117" s="40" t="str">
        <v>68 Lê Nin</v>
      </c>
      <c r="C2117" s="40">
        <v>513</v>
      </c>
      <c r="D2117" s="40" t="str">
        <v>[DV] ShineCombo 10 bước Ultra Care 2023</v>
      </c>
      <c r="E2117" s="40">
        <v>122000</v>
      </c>
    </row>
    <row r="2118">
      <c r="A2118" s="40">
        <v>240</v>
      </c>
      <c r="B2118" s="40" t="str">
        <v>68 Lê Nin</v>
      </c>
      <c r="C2118" s="40">
        <v>634</v>
      </c>
      <c r="D2118" s="40" t="str">
        <v>[DV] Tẩy da chết sủi bọt Hàn Quốc</v>
      </c>
      <c r="E2118" s="40">
        <v>35000</v>
      </c>
    </row>
    <row r="2119">
      <c r="A2119" s="40">
        <v>240</v>
      </c>
      <c r="B2119" s="40" t="str">
        <v>68 Lê Nin</v>
      </c>
      <c r="C2119" s="40">
        <v>674</v>
      </c>
      <c r="D2119" s="40" t="str">
        <v>[DV] Uốn Texture con sâu/Uốn Ruffled</v>
      </c>
      <c r="E2119" s="40">
        <v>499000</v>
      </c>
    </row>
    <row r="2120">
      <c r="A2120" s="40">
        <v>240</v>
      </c>
      <c r="B2120" s="40" t="str">
        <v>68 Lê Nin</v>
      </c>
      <c r="C2120" s="40">
        <v>940</v>
      </c>
      <c r="D2120" s="40" t="str">
        <v>[NEW] Gội dưỡng sinh</v>
      </c>
      <c r="E2120" s="40">
        <v>59000</v>
      </c>
    </row>
    <row r="2121">
      <c r="A2121" s="40">
        <v>240</v>
      </c>
      <c r="B2121" s="40" t="str">
        <v>68 Lê Nin</v>
      </c>
      <c r="C2121" s="40">
        <v>603</v>
      </c>
      <c r="D2121" s="40" t="str">
        <v>Đánh bay mụn cám lột mụn (Full Face)</v>
      </c>
      <c r="E2121" s="40">
        <v>49000</v>
      </c>
    </row>
    <row r="2122">
      <c r="A2122" s="40">
        <v>244</v>
      </c>
      <c r="B2122" s="40" t="str">
        <v>11 Phan Kế Toại</v>
      </c>
      <c r="C2122" s="40">
        <v>610</v>
      </c>
      <c r="D2122" s="40" t="str">
        <v>(2022T) ATS Control Buffer - Khử mùi tạo thơm cho tóc uốn nhuộm 40k</v>
      </c>
      <c r="E2122" s="40">
        <v>40000</v>
      </c>
    </row>
    <row r="2123">
      <c r="A2123" s="40">
        <v>244</v>
      </c>
      <c r="B2123" s="40" t="str">
        <v>11 Phan Kế Toại</v>
      </c>
      <c r="C2123" s="40">
        <v>960</v>
      </c>
      <c r="D2123" s="40" t="str">
        <v>(NEW) Nhuộm màu thời trang Milano</v>
      </c>
      <c r="E2123" s="40">
        <v>369000</v>
      </c>
    </row>
    <row r="2124">
      <c r="A2124" s="40">
        <v>244</v>
      </c>
      <c r="B2124" s="40" t="str">
        <v>11 Phan Kế Toại</v>
      </c>
      <c r="C2124" s="40">
        <v>967</v>
      </c>
      <c r="D2124" s="40" t="str">
        <v>(NEW) Nhuộm phủ bạc tiêu chuẩn 199K</v>
      </c>
      <c r="E2124" s="40">
        <v>206000</v>
      </c>
    </row>
    <row r="2125">
      <c r="A2125" s="40">
        <v>244</v>
      </c>
      <c r="B2125" s="40" t="str">
        <v>11 Phan Kế Toại</v>
      </c>
      <c r="C2125" s="40">
        <v>1009</v>
      </c>
      <c r="D2125" s="40" t="str">
        <v>(NEW) Uốn/Duỗi/Định hình full đầu tạo form vào nếp tự nhiên</v>
      </c>
      <c r="E2125" s="40">
        <v>424000</v>
      </c>
    </row>
    <row r="2126">
      <c r="A2126" s="40">
        <v>244</v>
      </c>
      <c r="B2126" s="40" t="str">
        <v>11 Phan Kế Toại</v>
      </c>
      <c r="C2126" s="40">
        <v>1052</v>
      </c>
      <c r="D2126" s="40" t="str">
        <v>Combo 1 - First Class 1</v>
      </c>
      <c r="E2126" s="40">
        <v>159000</v>
      </c>
    </row>
    <row r="2127">
      <c r="A2127" s="40">
        <v>244</v>
      </c>
      <c r="B2127" s="40" t="str">
        <v>11 Phan Kế Toại</v>
      </c>
      <c r="C2127" s="40">
        <v>1053</v>
      </c>
      <c r="D2127" s="40" t="str">
        <v>Combo 2 - First Class 2</v>
      </c>
      <c r="E2127" s="40">
        <v>239000</v>
      </c>
    </row>
    <row r="2128">
      <c r="A2128" s="40">
        <v>244</v>
      </c>
      <c r="B2128" s="40" t="str">
        <v>11 Phan Kế Toại</v>
      </c>
      <c r="C2128" s="40">
        <v>1054</v>
      </c>
      <c r="D2128" s="40" t="str">
        <v>Combo 3 - First Class 3</v>
      </c>
      <c r="E2128" s="40">
        <v>299000</v>
      </c>
    </row>
    <row r="2129">
      <c r="A2129" s="40">
        <v>244</v>
      </c>
      <c r="B2129" s="40" t="str">
        <v>11 Phan Kế Toại</v>
      </c>
      <c r="C2129" s="40">
        <v>1048</v>
      </c>
      <c r="D2129" s="40" t="str">
        <v>Combo 4</v>
      </c>
      <c r="E2129" s="40">
        <v>389000</v>
      </c>
    </row>
    <row r="2130">
      <c r="A2130" s="40">
        <v>244</v>
      </c>
      <c r="B2130" s="40" t="str">
        <v>11 Phan Kế Toại</v>
      </c>
      <c r="C2130" s="40">
        <v>1048</v>
      </c>
      <c r="D2130" s="40" t="str">
        <v>Combo 4</v>
      </c>
      <c r="E2130" s="40">
        <v>379000</v>
      </c>
    </row>
    <row r="2131">
      <c r="A2131" s="40">
        <v>244</v>
      </c>
      <c r="B2131" s="40" t="str">
        <v>11 Phan Kế Toại</v>
      </c>
      <c r="C2131" s="40">
        <v>1070</v>
      </c>
      <c r="D2131" s="40" t="str">
        <v>Combo Cắt gội Kid</v>
      </c>
      <c r="E2131" s="40">
        <v>100000</v>
      </c>
    </row>
    <row r="2132">
      <c r="A2132" s="40">
        <v>244</v>
      </c>
      <c r="B2132" s="40" t="str">
        <v>11 Phan Kế Toại</v>
      </c>
      <c r="C2132" s="40">
        <v>1047</v>
      </c>
      <c r="D2132" s="40" t="str">
        <v>Cắt Gội Combo 3 - Chăm da</v>
      </c>
      <c r="E2132" s="40">
        <v>299000</v>
      </c>
    </row>
    <row r="2133">
      <c r="A2133" s="40">
        <v>244</v>
      </c>
      <c r="B2133" s="40" t="str">
        <v>11 Phan Kế Toại</v>
      </c>
      <c r="C2133" s="40">
        <v>1065</v>
      </c>
      <c r="D2133" s="40" t="str">
        <v>Cắt Gội Combo 3 - Dưỡng sinh</v>
      </c>
      <c r="E2133" s="40">
        <v>299000</v>
      </c>
    </row>
    <row r="2134">
      <c r="A2134" s="40">
        <v>244</v>
      </c>
      <c r="B2134" s="40" t="str">
        <v>11 Phan Kế Toại</v>
      </c>
      <c r="C2134" s="40">
        <v>891</v>
      </c>
      <c r="D2134" s="40" t="str">
        <v>Cắt xả tạo kiểu</v>
      </c>
      <c r="E2134" s="40">
        <v>90000</v>
      </c>
    </row>
    <row r="2135">
      <c r="A2135" s="40">
        <v>244</v>
      </c>
      <c r="B2135" s="40" t="str">
        <v>11 Phan Kế Toại</v>
      </c>
      <c r="C2135" s="40">
        <v>891</v>
      </c>
      <c r="D2135" s="40" t="str">
        <v>Cắt xả tạo kiểu</v>
      </c>
      <c r="E2135" s="40">
        <v>94000</v>
      </c>
    </row>
    <row r="2136">
      <c r="A2136" s="40">
        <v>244</v>
      </c>
      <c r="B2136" s="40" t="str">
        <v>11 Phan Kế Toại</v>
      </c>
      <c r="C2136" s="40">
        <v>1058</v>
      </c>
      <c r="D2136" s="40" t="str" xml:space="preserve">
        <v>Gội Combo 2 </v>
      </c>
      <c r="E2136" s="40">
        <v>159000</v>
      </c>
    </row>
    <row r="2137">
      <c r="A2137" s="40">
        <v>244</v>
      </c>
      <c r="B2137" s="40" t="str">
        <v>11 Phan Kế Toại</v>
      </c>
      <c r="C2137" s="40">
        <v>1059</v>
      </c>
      <c r="D2137" s="40" t="str">
        <v>Gội Combo 3 - Chăm da</v>
      </c>
      <c r="E2137" s="40">
        <v>239000</v>
      </c>
    </row>
    <row r="2138">
      <c r="A2138" s="40">
        <v>244</v>
      </c>
      <c r="B2138" s="40" t="str">
        <v>11 Phan Kế Toại</v>
      </c>
      <c r="C2138" s="40">
        <v>1059</v>
      </c>
      <c r="D2138" s="40" t="str">
        <v>Gội Combo 3 - Chăm da</v>
      </c>
      <c r="E2138" s="40">
        <v>219000</v>
      </c>
    </row>
    <row r="2139">
      <c r="A2139" s="40">
        <v>244</v>
      </c>
      <c r="B2139" s="40" t="str">
        <v>11 Phan Kế Toại</v>
      </c>
      <c r="C2139" s="40">
        <v>1060</v>
      </c>
      <c r="D2139" s="40" t="str">
        <v>Gội Combo 4</v>
      </c>
      <c r="E2139" s="40">
        <v>319000</v>
      </c>
    </row>
    <row r="2140">
      <c r="A2140" s="40">
        <v>244</v>
      </c>
      <c r="B2140" s="40" t="str">
        <v>11 Phan Kế Toại</v>
      </c>
      <c r="C2140" s="40">
        <v>1060</v>
      </c>
      <c r="D2140" s="40" t="str">
        <v>Gội Combo 4</v>
      </c>
      <c r="E2140" s="40">
        <v>289000</v>
      </c>
    </row>
    <row r="2141">
      <c r="A2141" s="40">
        <v>244</v>
      </c>
      <c r="B2141" s="40" t="str">
        <v>11 Phan Kế Toại</v>
      </c>
      <c r="C2141" s="40">
        <v>934</v>
      </c>
      <c r="D2141" s="40" t="str">
        <v>Gội combo 3 - Dưỡng sinh</v>
      </c>
      <c r="E2141" s="40">
        <v>229000</v>
      </c>
    </row>
    <row r="2142">
      <c r="A2142" s="40">
        <v>244</v>
      </c>
      <c r="B2142" s="40" t="str">
        <v>11 Phan Kế Toại</v>
      </c>
      <c r="C2142" s="40">
        <v>867</v>
      </c>
      <c r="D2142" s="40" t="str">
        <v>Gội dưỡng sinh cổ vai gáy</v>
      </c>
      <c r="E2142" s="40">
        <v>99000</v>
      </c>
    </row>
    <row r="2143">
      <c r="A2143" s="40">
        <v>244</v>
      </c>
      <c r="B2143" s="40" t="str">
        <v>11 Phan Kế Toại</v>
      </c>
      <c r="C2143" s="40">
        <v>1066</v>
      </c>
      <c r="D2143" s="40" t="str">
        <v>Gội trải nghiệm 75p</v>
      </c>
      <c r="E2143" s="40">
        <v>589000</v>
      </c>
    </row>
    <row r="2144">
      <c r="A2144" s="40">
        <v>244</v>
      </c>
      <c r="B2144" s="40" t="str">
        <v>11 Phan Kế Toại</v>
      </c>
      <c r="C2144" s="40">
        <v>1067</v>
      </c>
      <c r="D2144" s="40" t="str">
        <v>Gội trải nghiệm 90p</v>
      </c>
      <c r="E2144" s="40">
        <v>789000</v>
      </c>
    </row>
    <row r="2145">
      <c r="A2145" s="40">
        <v>244</v>
      </c>
      <c r="B2145" s="40" t="str">
        <v>11 Phan Kế Toại</v>
      </c>
      <c r="C2145" s="40">
        <v>1002</v>
      </c>
      <c r="D2145" s="40" t="str">
        <v>Kid Cắt</v>
      </c>
      <c r="E2145" s="40">
        <v>75000</v>
      </c>
    </row>
    <row r="2146">
      <c r="A2146" s="40">
        <v>244</v>
      </c>
      <c r="B2146" s="40" t="str">
        <v>11 Phan Kế Toại</v>
      </c>
      <c r="C2146" s="40">
        <v>1149</v>
      </c>
      <c r="D2146" s="40" t="str">
        <v>NHUỘM THIẾT KẾ PHỤC HỒI CHUYÊN SÂU LIPID BOND 2025</v>
      </c>
      <c r="E2146" s="40">
        <v>759000</v>
      </c>
    </row>
    <row r="2147">
      <c r="A2147" s="40">
        <v>244</v>
      </c>
      <c r="B2147" s="40" t="str">
        <v>11 Phan Kế Toại</v>
      </c>
      <c r="C2147" s="40">
        <v>1101</v>
      </c>
      <c r="D2147" s="40" t="str">
        <v>Phục hồi trẻ hóa Lipid Bond</v>
      </c>
      <c r="E2147" s="40">
        <v>146000</v>
      </c>
    </row>
    <row r="2148">
      <c r="A2148" s="40">
        <v>244</v>
      </c>
      <c r="B2148" s="40" t="str">
        <v>11 Phan Kế Toại</v>
      </c>
      <c r="C2148" s="40">
        <v>1046</v>
      </c>
      <c r="D2148" s="40" t="str" xml:space="preserve">
        <v>Shinecombo 2 </v>
      </c>
      <c r="E2148" s="40">
        <v>199000</v>
      </c>
    </row>
    <row r="2149">
      <c r="A2149" s="40">
        <v>244</v>
      </c>
      <c r="B2149" s="40" t="str">
        <v>11 Phan Kế Toại</v>
      </c>
      <c r="C2149" s="40">
        <v>1148</v>
      </c>
      <c r="D2149" s="40" t="str">
        <v>UỐN THIẾT KẾ PHỤC HỒI CHUYÊN SÂU LIPID BOND 2025</v>
      </c>
      <c r="E2149" s="40">
        <v>759000</v>
      </c>
    </row>
    <row r="2150">
      <c r="A2150" s="40">
        <v>244</v>
      </c>
      <c r="B2150" s="40" t="str">
        <v>11 Phan Kế Toại</v>
      </c>
      <c r="C2150" s="40">
        <v>952</v>
      </c>
      <c r="D2150" s="40" t="str">
        <v>Uốn định hình nếp tóc cao cấp (K-Perm Collection)</v>
      </c>
      <c r="E2150" s="40">
        <v>529000</v>
      </c>
    </row>
    <row r="2151">
      <c r="A2151" s="40">
        <v>244</v>
      </c>
      <c r="B2151" s="40" t="str">
        <v>11 Phan Kế Toại</v>
      </c>
      <c r="C2151" s="40">
        <v>636</v>
      </c>
      <c r="D2151" s="40" t="str">
        <v>[DV] Mặt nạ lạnh Hàn Quốc</v>
      </c>
      <c r="E2151" s="40">
        <v>35000</v>
      </c>
    </row>
    <row r="2152">
      <c r="A2152" s="40">
        <v>244</v>
      </c>
      <c r="B2152" s="40" t="str">
        <v>11 Phan Kế Toại</v>
      </c>
      <c r="C2152" s="40">
        <v>625</v>
      </c>
      <c r="D2152" s="40" t="str">
        <v>[DV] Mặt nạ tẩy da chết sủi bọt cao cấp</v>
      </c>
      <c r="E2152" s="40">
        <v>55000</v>
      </c>
    </row>
    <row r="2153">
      <c r="A2153" s="40">
        <v>244</v>
      </c>
      <c r="B2153" s="40" t="str">
        <v>11 Phan Kế Toại</v>
      </c>
      <c r="C2153" s="40">
        <v>912</v>
      </c>
      <c r="D2153" s="40" t="str">
        <v>[DV] Nhuộm đen phủ bạc R&amp;B thảo dược</v>
      </c>
      <c r="E2153" s="40">
        <v>299000</v>
      </c>
    </row>
    <row r="2154">
      <c r="A2154" s="40">
        <v>244</v>
      </c>
      <c r="B2154" s="40" t="str">
        <v>11 Phan Kế Toại</v>
      </c>
      <c r="C2154" s="40">
        <v>513</v>
      </c>
      <c r="D2154" s="40" t="str">
        <v>[DV] ShineCombo 10 bước Ultra Care 2023</v>
      </c>
      <c r="E2154" s="40">
        <v>122000</v>
      </c>
    </row>
    <row r="2155">
      <c r="A2155" s="40">
        <v>244</v>
      </c>
      <c r="B2155" s="40" t="str">
        <v>11 Phan Kế Toại</v>
      </c>
      <c r="C2155" s="40">
        <v>513</v>
      </c>
      <c r="D2155" s="40" t="str">
        <v>[DV] ShineCombo 10 bước Ultra Care 2023</v>
      </c>
      <c r="E2155" s="40">
        <v>120000</v>
      </c>
    </row>
    <row r="2156">
      <c r="A2156" s="40">
        <v>244</v>
      </c>
      <c r="B2156" s="40" t="str">
        <v>11 Phan Kế Toại</v>
      </c>
      <c r="C2156" s="40">
        <v>462</v>
      </c>
      <c r="D2156" s="40" t="str">
        <v>[DV] Thư giãn cổ, vai, gáy bạc hà cam ngọt - Thư giãn tai sảng khoái 9 tầng mây 45k</v>
      </c>
      <c r="E2156" s="40">
        <v>45000</v>
      </c>
    </row>
    <row r="2157">
      <c r="A2157" s="40">
        <v>244</v>
      </c>
      <c r="B2157" s="40" t="str">
        <v>11 Phan Kế Toại</v>
      </c>
      <c r="C2157" s="40">
        <v>634</v>
      </c>
      <c r="D2157" s="40" t="str">
        <v>[DV] Tẩy da chết sủi bọt Hàn Quốc</v>
      </c>
      <c r="E2157" s="40">
        <v>35000</v>
      </c>
    </row>
    <row r="2158">
      <c r="A2158" s="40">
        <v>244</v>
      </c>
      <c r="B2158" s="40" t="str">
        <v>11 Phan Kế Toại</v>
      </c>
      <c r="C2158" s="40">
        <v>674</v>
      </c>
      <c r="D2158" s="40" t="str">
        <v>[DV] Uốn Texture con sâu/Uốn Ruffled</v>
      </c>
      <c r="E2158" s="40">
        <v>554000</v>
      </c>
    </row>
    <row r="2159">
      <c r="A2159" s="40">
        <v>244</v>
      </c>
      <c r="B2159" s="40" t="str">
        <v>11 Phan Kế Toại</v>
      </c>
      <c r="C2159" s="40">
        <v>941</v>
      </c>
      <c r="D2159" s="40" t="str">
        <v>[DV] Vuốt sáp - sấy tạo kiểu 10k</v>
      </c>
      <c r="E2159" s="40">
        <v>10000</v>
      </c>
    </row>
    <row r="2160">
      <c r="A2160" s="40">
        <v>244</v>
      </c>
      <c r="B2160" s="40" t="str">
        <v>11 Phan Kế Toại</v>
      </c>
      <c r="C2160" s="40">
        <v>902</v>
      </c>
      <c r="D2160" s="40" t="str">
        <v>[DV] Ép side hai bên</v>
      </c>
      <c r="E2160" s="40">
        <v>226000</v>
      </c>
    </row>
    <row r="2161">
      <c r="A2161" s="40">
        <v>244</v>
      </c>
      <c r="B2161" s="40" t="str">
        <v>11 Phan Kế Toại</v>
      </c>
      <c r="C2161" s="40">
        <v>940</v>
      </c>
      <c r="D2161" s="40" t="str">
        <v>[NEW] Gội dưỡng sinh</v>
      </c>
      <c r="E2161" s="40">
        <v>59000</v>
      </c>
    </row>
    <row r="2162">
      <c r="A2162" s="40">
        <v>244</v>
      </c>
      <c r="B2162" s="40" t="str">
        <v>11 Phan Kế Toại</v>
      </c>
      <c r="C2162" s="40">
        <v>603</v>
      </c>
      <c r="D2162" s="40" t="str">
        <v>Đánh bay mụn cám lột mụn (Full Face)</v>
      </c>
      <c r="E2162" s="40">
        <v>49000</v>
      </c>
    </row>
    <row r="2163">
      <c r="A2163" s="40">
        <v>245</v>
      </c>
      <c r="B2163" s="40" t="str">
        <v>55A Nguyễn Văn Lộc</v>
      </c>
      <c r="C2163" s="40">
        <v>610</v>
      </c>
      <c r="D2163" s="40" t="str">
        <v>(2022T) ATS Control Buffer - Khử mùi tạo thơm cho tóc uốn nhuộm 40k</v>
      </c>
      <c r="E2163" s="40">
        <v>40000</v>
      </c>
    </row>
    <row r="2164">
      <c r="A2164" s="40">
        <v>245</v>
      </c>
      <c r="B2164" s="40" t="str">
        <v>55A Nguyễn Văn Lộc</v>
      </c>
      <c r="C2164" s="40">
        <v>960</v>
      </c>
      <c r="D2164" s="40" t="str">
        <v>(NEW) Nhuộm màu thời trang Milano</v>
      </c>
      <c r="E2164" s="40">
        <v>369000</v>
      </c>
    </row>
    <row r="2165">
      <c r="A2165" s="40">
        <v>245</v>
      </c>
      <c r="B2165" s="40" t="str">
        <v>55A Nguyễn Văn Lộc</v>
      </c>
      <c r="C2165" s="40">
        <v>1009</v>
      </c>
      <c r="D2165" s="40" t="str">
        <v>(NEW) Uốn/Duỗi/Định hình full đầu tạo form vào nếp tự nhiên</v>
      </c>
      <c r="E2165" s="40">
        <v>386000</v>
      </c>
    </row>
    <row r="2166">
      <c r="A2166" s="40">
        <v>245</v>
      </c>
      <c r="B2166" s="40" t="str">
        <v>55A Nguyễn Văn Lộc</v>
      </c>
      <c r="C2166" s="40">
        <v>1052</v>
      </c>
      <c r="D2166" s="40" t="str">
        <v>Combo 1 - First Class 1</v>
      </c>
      <c r="E2166" s="40">
        <v>159000</v>
      </c>
    </row>
    <row r="2167">
      <c r="A2167" s="40">
        <v>245</v>
      </c>
      <c r="B2167" s="40" t="str">
        <v>55A Nguyễn Văn Lộc</v>
      </c>
      <c r="C2167" s="40">
        <v>1053</v>
      </c>
      <c r="D2167" s="40" t="str">
        <v>Combo 2 - First Class 2</v>
      </c>
      <c r="E2167" s="40">
        <v>239000</v>
      </c>
    </row>
    <row r="2168">
      <c r="A2168" s="40">
        <v>245</v>
      </c>
      <c r="B2168" s="40" t="str">
        <v>55A Nguyễn Văn Lộc</v>
      </c>
      <c r="C2168" s="40">
        <v>1048</v>
      </c>
      <c r="D2168" s="40" t="str">
        <v>Combo 4</v>
      </c>
      <c r="E2168" s="40">
        <v>389000</v>
      </c>
    </row>
    <row r="2169">
      <c r="A2169" s="40">
        <v>245</v>
      </c>
      <c r="B2169" s="40" t="str">
        <v>55A Nguyễn Văn Lộc</v>
      </c>
      <c r="C2169" s="40">
        <v>1048</v>
      </c>
      <c r="D2169" s="40" t="str">
        <v>Combo 4</v>
      </c>
      <c r="E2169" s="40">
        <v>379000</v>
      </c>
    </row>
    <row r="2170">
      <c r="A2170" s="40">
        <v>245</v>
      </c>
      <c r="B2170" s="40" t="str">
        <v>55A Nguyễn Văn Lộc</v>
      </c>
      <c r="C2170" s="40">
        <v>1070</v>
      </c>
      <c r="D2170" s="40" t="str">
        <v>Combo Cắt gội Kid</v>
      </c>
      <c r="E2170" s="40">
        <v>100000</v>
      </c>
    </row>
    <row r="2171">
      <c r="A2171" s="40">
        <v>245</v>
      </c>
      <c r="B2171" s="40" t="str">
        <v>55A Nguyễn Văn Lộc</v>
      </c>
      <c r="C2171" s="40">
        <v>1047</v>
      </c>
      <c r="D2171" s="40" t="str">
        <v>Cắt Gội Combo 3 - Chăm da</v>
      </c>
      <c r="E2171" s="40">
        <v>299000</v>
      </c>
    </row>
    <row r="2172">
      <c r="A2172" s="40">
        <v>245</v>
      </c>
      <c r="B2172" s="40" t="str">
        <v>55A Nguyễn Văn Lộc</v>
      </c>
      <c r="C2172" s="40">
        <v>891</v>
      </c>
      <c r="D2172" s="40" t="str">
        <v>Cắt xả tạo kiểu</v>
      </c>
      <c r="E2172" s="40">
        <v>94000</v>
      </c>
    </row>
    <row r="2173">
      <c r="A2173" s="40">
        <v>245</v>
      </c>
      <c r="B2173" s="40" t="str">
        <v>55A Nguyễn Văn Lộc</v>
      </c>
      <c r="C2173" s="40">
        <v>891</v>
      </c>
      <c r="D2173" s="40" t="str">
        <v>Cắt xả tạo kiểu</v>
      </c>
      <c r="E2173" s="40">
        <v>90000</v>
      </c>
    </row>
    <row r="2174">
      <c r="A2174" s="40">
        <v>245</v>
      </c>
      <c r="B2174" s="40" t="str">
        <v>55A Nguyễn Văn Lộc</v>
      </c>
      <c r="C2174" s="40">
        <v>1058</v>
      </c>
      <c r="D2174" s="40" t="str" xml:space="preserve">
        <v>Gội Combo 2 </v>
      </c>
      <c r="E2174" s="40">
        <v>159000</v>
      </c>
    </row>
    <row r="2175">
      <c r="A2175" s="40">
        <v>245</v>
      </c>
      <c r="B2175" s="40" t="str">
        <v>55A Nguyễn Văn Lộc</v>
      </c>
      <c r="C2175" s="40">
        <v>1059</v>
      </c>
      <c r="D2175" s="40" t="str">
        <v>Gội Combo 3 - Chăm da</v>
      </c>
      <c r="E2175" s="40">
        <v>239000</v>
      </c>
    </row>
    <row r="2176">
      <c r="A2176" s="40">
        <v>245</v>
      </c>
      <c r="B2176" s="40" t="str">
        <v>55A Nguyễn Văn Lộc</v>
      </c>
      <c r="C2176" s="40">
        <v>1059</v>
      </c>
      <c r="D2176" s="40" t="str">
        <v>Gội Combo 3 - Chăm da</v>
      </c>
      <c r="E2176" s="40">
        <v>219000</v>
      </c>
    </row>
    <row r="2177">
      <c r="A2177" s="40">
        <v>245</v>
      </c>
      <c r="B2177" s="40" t="str">
        <v>55A Nguyễn Văn Lộc</v>
      </c>
      <c r="C2177" s="40">
        <v>1060</v>
      </c>
      <c r="D2177" s="40" t="str">
        <v>Gội Combo 4</v>
      </c>
      <c r="E2177" s="40">
        <v>289000</v>
      </c>
    </row>
    <row r="2178">
      <c r="A2178" s="40">
        <v>245</v>
      </c>
      <c r="B2178" s="40" t="str">
        <v>55A Nguyễn Văn Lộc</v>
      </c>
      <c r="C2178" s="40">
        <v>1060</v>
      </c>
      <c r="D2178" s="40" t="str">
        <v>Gội Combo 4</v>
      </c>
      <c r="E2178" s="40">
        <v>319000</v>
      </c>
    </row>
    <row r="2179">
      <c r="A2179" s="40">
        <v>245</v>
      </c>
      <c r="B2179" s="40" t="str">
        <v>55A Nguyễn Văn Lộc</v>
      </c>
      <c r="C2179" s="40">
        <v>867</v>
      </c>
      <c r="D2179" s="40" t="str">
        <v>Gội dưỡng sinh cổ vai gáy</v>
      </c>
      <c r="E2179" s="40">
        <v>95000</v>
      </c>
    </row>
    <row r="2180">
      <c r="A2180" s="40">
        <v>245</v>
      </c>
      <c r="B2180" s="40" t="str">
        <v>55A Nguyễn Văn Lộc</v>
      </c>
      <c r="C2180" s="40">
        <v>867</v>
      </c>
      <c r="D2180" s="40" t="str">
        <v>Gội dưỡng sinh cổ vai gáy</v>
      </c>
      <c r="E2180" s="40">
        <v>99000</v>
      </c>
    </row>
    <row r="2181">
      <c r="A2181" s="40">
        <v>245</v>
      </c>
      <c r="B2181" s="40" t="str">
        <v>55A Nguyễn Văn Lộc</v>
      </c>
      <c r="C2181" s="40">
        <v>1066</v>
      </c>
      <c r="D2181" s="40" t="str">
        <v>Gội trải nghiệm 75p</v>
      </c>
      <c r="E2181" s="40">
        <v>589000</v>
      </c>
    </row>
    <row r="2182">
      <c r="A2182" s="40">
        <v>245</v>
      </c>
      <c r="B2182" s="40" t="str">
        <v>55A Nguyễn Văn Lộc</v>
      </c>
      <c r="C2182" s="40">
        <v>1067</v>
      </c>
      <c r="D2182" s="40" t="str">
        <v>Gội trải nghiệm 90p</v>
      </c>
      <c r="E2182" s="40">
        <v>789000</v>
      </c>
    </row>
    <row r="2183">
      <c r="A2183" s="40">
        <v>245</v>
      </c>
      <c r="B2183" s="40" t="str">
        <v>55A Nguyễn Văn Lộc</v>
      </c>
      <c r="C2183" s="40">
        <v>1002</v>
      </c>
      <c r="D2183" s="40" t="str">
        <v>Kid Cắt</v>
      </c>
      <c r="E2183" s="40">
        <v>75000</v>
      </c>
    </row>
    <row r="2184">
      <c r="A2184" s="40">
        <v>245</v>
      </c>
      <c r="B2184" s="40" t="str">
        <v>55A Nguyễn Văn Lộc</v>
      </c>
      <c r="C2184" s="40">
        <v>1101</v>
      </c>
      <c r="D2184" s="40" t="str">
        <v>Phục hồi trẻ hóa Lipid Bond</v>
      </c>
      <c r="E2184" s="40">
        <v>146000</v>
      </c>
    </row>
    <row r="2185">
      <c r="A2185" s="40">
        <v>245</v>
      </c>
      <c r="B2185" s="40" t="str">
        <v>55A Nguyễn Văn Lộc</v>
      </c>
      <c r="C2185" s="40">
        <v>1046</v>
      </c>
      <c r="D2185" s="40" t="str" xml:space="preserve">
        <v>Shinecombo 2 </v>
      </c>
      <c r="E2185" s="40">
        <v>199000</v>
      </c>
    </row>
    <row r="2186">
      <c r="A2186" s="40">
        <v>245</v>
      </c>
      <c r="B2186" s="40" t="str">
        <v>55A Nguyễn Văn Lộc</v>
      </c>
      <c r="C2186" s="40">
        <v>1148</v>
      </c>
      <c r="D2186" s="40" t="str">
        <v>UỐN THIẾT KẾ PHỤC HỒI CHUYÊN SÂU LIPID BOND 2025</v>
      </c>
      <c r="E2186" s="40">
        <v>689000</v>
      </c>
    </row>
    <row r="2187">
      <c r="A2187" s="40">
        <v>245</v>
      </c>
      <c r="B2187" s="40" t="str">
        <v>55A Nguyễn Văn Lộc</v>
      </c>
      <c r="C2187" s="40">
        <v>952</v>
      </c>
      <c r="D2187" s="40" t="str">
        <v>Uốn định hình nếp tóc cao cấp (K-Perm Collection)</v>
      </c>
      <c r="E2187" s="40">
        <v>478000</v>
      </c>
    </row>
    <row r="2188">
      <c r="A2188" s="40">
        <v>245</v>
      </c>
      <c r="B2188" s="40" t="str">
        <v>55A Nguyễn Văn Lộc</v>
      </c>
      <c r="C2188" s="40">
        <v>635</v>
      </c>
      <c r="D2188" s="40" t="str">
        <v>[DV] Detox tẩy da chết da đầu</v>
      </c>
      <c r="E2188" s="40">
        <v>45000</v>
      </c>
    </row>
    <row r="2189">
      <c r="A2189" s="40">
        <v>245</v>
      </c>
      <c r="B2189" s="40" t="str">
        <v>55A Nguyễn Văn Lộc</v>
      </c>
      <c r="C2189" s="40">
        <v>636</v>
      </c>
      <c r="D2189" s="40" t="str">
        <v>[DV] Mặt nạ lạnh Hàn Quốc</v>
      </c>
      <c r="E2189" s="40">
        <v>35000</v>
      </c>
    </row>
    <row r="2190">
      <c r="A2190" s="40">
        <v>245</v>
      </c>
      <c r="B2190" s="40" t="str">
        <v>55A Nguyễn Văn Lộc</v>
      </c>
      <c r="C2190" s="40">
        <v>625</v>
      </c>
      <c r="D2190" s="40" t="str">
        <v>[DV] Mặt nạ tẩy da chết sủi bọt cao cấp</v>
      </c>
      <c r="E2190" s="40">
        <v>55000</v>
      </c>
    </row>
    <row r="2191">
      <c r="A2191" s="40">
        <v>245</v>
      </c>
      <c r="B2191" s="40" t="str">
        <v>55A Nguyễn Văn Lộc</v>
      </c>
      <c r="C2191" s="40">
        <v>912</v>
      </c>
      <c r="D2191" s="40" t="str">
        <v>[DV] Nhuộm đen phủ bạc R&amp;B thảo dược</v>
      </c>
      <c r="E2191" s="40">
        <v>299000</v>
      </c>
    </row>
    <row r="2192">
      <c r="A2192" s="40">
        <v>245</v>
      </c>
      <c r="B2192" s="40" t="str">
        <v>55A Nguyễn Văn Lộc</v>
      </c>
      <c r="C2192" s="40">
        <v>513</v>
      </c>
      <c r="D2192" s="40" t="str">
        <v>[DV] ShineCombo 10 bước Ultra Care 2023</v>
      </c>
      <c r="E2192" s="40">
        <v>120000</v>
      </c>
    </row>
    <row r="2193">
      <c r="A2193" s="40">
        <v>245</v>
      </c>
      <c r="B2193" s="40" t="str">
        <v>55A Nguyễn Văn Lộc</v>
      </c>
      <c r="C2193" s="40">
        <v>513</v>
      </c>
      <c r="D2193" s="40" t="str">
        <v>[DV] ShineCombo 10 bước Ultra Care 2023</v>
      </c>
      <c r="E2193" s="40">
        <v>122000</v>
      </c>
    </row>
    <row r="2194">
      <c r="A2194" s="40">
        <v>245</v>
      </c>
      <c r="B2194" s="40" t="str">
        <v>55A Nguyễn Văn Lộc</v>
      </c>
      <c r="C2194" s="40">
        <v>462</v>
      </c>
      <c r="D2194" s="40" t="str">
        <v>[DV] Thư giãn cổ, vai, gáy bạc hà cam ngọt - Thư giãn tai sảng khoái 9 tầng mây 45k</v>
      </c>
      <c r="E2194" s="40">
        <v>45000</v>
      </c>
    </row>
    <row r="2195">
      <c r="A2195" s="40">
        <v>245</v>
      </c>
      <c r="B2195" s="40" t="str">
        <v>55A Nguyễn Văn Lộc</v>
      </c>
      <c r="C2195" s="40">
        <v>634</v>
      </c>
      <c r="D2195" s="40" t="str">
        <v>[DV] Tẩy da chết sủi bọt Hàn Quốc</v>
      </c>
      <c r="E2195" s="40">
        <v>35000</v>
      </c>
    </row>
    <row r="2196">
      <c r="A2196" s="40">
        <v>245</v>
      </c>
      <c r="B2196" s="40" t="str">
        <v>55A Nguyễn Văn Lộc</v>
      </c>
      <c r="C2196" s="40">
        <v>674</v>
      </c>
      <c r="D2196" s="40" t="str">
        <v>[DV] Uốn Texture con sâu/Uốn Ruffled</v>
      </c>
      <c r="E2196" s="40">
        <v>554000</v>
      </c>
    </row>
    <row r="2197">
      <c r="A2197" s="40">
        <v>245</v>
      </c>
      <c r="B2197" s="40" t="str">
        <v>55A Nguyễn Văn Lộc</v>
      </c>
      <c r="C2197" s="40">
        <v>941</v>
      </c>
      <c r="D2197" s="40" t="str">
        <v>[DV] Vuốt sáp - sấy tạo kiểu 10k</v>
      </c>
      <c r="E2197" s="40">
        <v>10000</v>
      </c>
    </row>
    <row r="2198">
      <c r="A2198" s="40">
        <v>245</v>
      </c>
      <c r="B2198" s="40" t="str">
        <v>55A Nguyễn Văn Lộc</v>
      </c>
      <c r="C2198" s="40">
        <v>902</v>
      </c>
      <c r="D2198" s="40" t="str">
        <v>[DV] Ép side hai bên</v>
      </c>
      <c r="E2198" s="40">
        <v>219000</v>
      </c>
    </row>
    <row r="2199">
      <c r="A2199" s="40">
        <v>245</v>
      </c>
      <c r="B2199" s="40" t="str">
        <v>55A Nguyễn Văn Lộc</v>
      </c>
      <c r="C2199" s="40">
        <v>940</v>
      </c>
      <c r="D2199" s="40" t="str">
        <v>[NEW] Gội dưỡng sinh</v>
      </c>
      <c r="E2199" s="40">
        <v>59000</v>
      </c>
    </row>
    <row r="2200">
      <c r="A2200" s="40">
        <v>245</v>
      </c>
      <c r="B2200" s="40" t="str">
        <v>55A Nguyễn Văn Lộc</v>
      </c>
      <c r="C2200" s="40">
        <v>939</v>
      </c>
      <c r="D2200" s="40" t="str">
        <v>[NEW] Trắng đều màu da &amp; Spa da chuyên sâu NANO TECH 449k</v>
      </c>
      <c r="E2200" s="40">
        <v>449000</v>
      </c>
    </row>
    <row r="2201">
      <c r="A2201" s="40">
        <v>245</v>
      </c>
      <c r="B2201" s="40" t="str">
        <v>55A Nguyễn Văn Lộc</v>
      </c>
      <c r="C2201" s="40">
        <v>603</v>
      </c>
      <c r="D2201" s="40" t="str">
        <v>Đánh bay mụn cám lột mụn (Full Face)</v>
      </c>
      <c r="E2201" s="40">
        <v>49000</v>
      </c>
    </row>
    <row r="2202">
      <c r="A2202" s="40">
        <v>247</v>
      </c>
      <c r="B2202" s="40" t="str">
        <v>1371 Phạm Văn Thuận</v>
      </c>
      <c r="C2202" s="40">
        <v>610</v>
      </c>
      <c r="D2202" s="40" t="str">
        <v>(2022T) ATS Control Buffer - Khử mùi tạo thơm cho tóc uốn nhuộm 40k</v>
      </c>
      <c r="E2202" s="40">
        <v>40000</v>
      </c>
    </row>
    <row r="2203">
      <c r="A2203" s="40">
        <v>247</v>
      </c>
      <c r="B2203" s="40" t="str">
        <v>1371 Phạm Văn Thuận</v>
      </c>
      <c r="C2203" s="40">
        <v>967</v>
      </c>
      <c r="D2203" s="40" t="str">
        <v>(NEW) Nhuộm phủ bạc tiêu chuẩn 199K</v>
      </c>
      <c r="E2203" s="40">
        <v>199000</v>
      </c>
    </row>
    <row r="2204">
      <c r="A2204" s="40">
        <v>247</v>
      </c>
      <c r="B2204" s="40" t="str">
        <v>1371 Phạm Văn Thuận</v>
      </c>
      <c r="C2204" s="40">
        <v>1009</v>
      </c>
      <c r="D2204" s="40" t="str">
        <v>(NEW) Uốn/Duỗi/Định hình full đầu tạo form vào nếp tự nhiên</v>
      </c>
      <c r="E2204" s="40">
        <v>386000</v>
      </c>
    </row>
    <row r="2205">
      <c r="A2205" s="40">
        <v>247</v>
      </c>
      <c r="B2205" s="40" t="str">
        <v>1371 Phạm Văn Thuận</v>
      </c>
      <c r="C2205" s="40">
        <v>1048</v>
      </c>
      <c r="D2205" s="40" t="str">
        <v>Combo 4</v>
      </c>
      <c r="E2205" s="40">
        <v>389000</v>
      </c>
    </row>
    <row r="2206">
      <c r="A2206" s="40">
        <v>247</v>
      </c>
      <c r="B2206" s="40" t="str">
        <v>1371 Phạm Văn Thuận</v>
      </c>
      <c r="C2206" s="40">
        <v>1070</v>
      </c>
      <c r="D2206" s="40" t="str">
        <v>Combo Cắt gội Kid</v>
      </c>
      <c r="E2206" s="40">
        <v>100000</v>
      </c>
    </row>
    <row r="2207">
      <c r="A2207" s="40">
        <v>247</v>
      </c>
      <c r="B2207" s="40" t="str">
        <v>1371 Phạm Văn Thuận</v>
      </c>
      <c r="C2207" s="40">
        <v>1150</v>
      </c>
      <c r="D2207" s="40" t="str">
        <v>Combo cắt gội đỉnh cao thư giãn vip</v>
      </c>
      <c r="E2207" s="40">
        <v>500000</v>
      </c>
    </row>
    <row r="2208">
      <c r="A2208" s="40">
        <v>247</v>
      </c>
      <c r="B2208" s="40" t="str">
        <v>1371 Phạm Văn Thuận</v>
      </c>
      <c r="C2208" s="40">
        <v>1047</v>
      </c>
      <c r="D2208" s="40" t="str">
        <v>Cắt Gội Combo 3 - Chăm da</v>
      </c>
      <c r="E2208" s="40">
        <v>279000</v>
      </c>
    </row>
    <row r="2209">
      <c r="A2209" s="40">
        <v>247</v>
      </c>
      <c r="B2209" s="40" t="str">
        <v>1371 Phạm Văn Thuận</v>
      </c>
      <c r="C2209" s="40">
        <v>1047</v>
      </c>
      <c r="D2209" s="40" t="str">
        <v>Cắt Gội Combo 3 - Chăm da</v>
      </c>
      <c r="E2209" s="40">
        <v>299000</v>
      </c>
    </row>
    <row r="2210">
      <c r="A2210" s="40">
        <v>247</v>
      </c>
      <c r="B2210" s="40" t="str">
        <v>1371 Phạm Văn Thuận</v>
      </c>
      <c r="C2210" s="40">
        <v>891</v>
      </c>
      <c r="D2210" s="40" t="str">
        <v>Cắt xả tạo kiểu</v>
      </c>
      <c r="E2210" s="40">
        <v>94000</v>
      </c>
    </row>
    <row r="2211">
      <c r="A2211" s="40">
        <v>247</v>
      </c>
      <c r="B2211" s="40" t="str">
        <v>1371 Phạm Văn Thuận</v>
      </c>
      <c r="C2211" s="40">
        <v>1058</v>
      </c>
      <c r="D2211" s="40" t="str" xml:space="preserve">
        <v>Gội Combo 2 </v>
      </c>
      <c r="E2211" s="40">
        <v>159000</v>
      </c>
    </row>
    <row r="2212">
      <c r="A2212" s="40">
        <v>247</v>
      </c>
      <c r="B2212" s="40" t="str">
        <v>1371 Phạm Văn Thuận</v>
      </c>
      <c r="C2212" s="40">
        <v>1058</v>
      </c>
      <c r="D2212" s="40" t="str" xml:space="preserve">
        <v>Gội Combo 2 </v>
      </c>
      <c r="E2212" s="40">
        <v>139000</v>
      </c>
    </row>
    <row r="2213">
      <c r="A2213" s="40">
        <v>247</v>
      </c>
      <c r="B2213" s="40" t="str">
        <v>1371 Phạm Văn Thuận</v>
      </c>
      <c r="C2213" s="40">
        <v>1059</v>
      </c>
      <c r="D2213" s="40" t="str">
        <v>Gội Combo 3 - Chăm da</v>
      </c>
      <c r="E2213" s="40">
        <v>219000</v>
      </c>
    </row>
    <row r="2214">
      <c r="A2214" s="40">
        <v>247</v>
      </c>
      <c r="B2214" s="40" t="str">
        <v>1371 Phạm Văn Thuận</v>
      </c>
      <c r="C2214" s="40">
        <v>1059</v>
      </c>
      <c r="D2214" s="40" t="str">
        <v>Gội Combo 3 - Chăm da</v>
      </c>
      <c r="E2214" s="40">
        <v>239000</v>
      </c>
    </row>
    <row r="2215">
      <c r="A2215" s="40">
        <v>247</v>
      </c>
      <c r="B2215" s="40" t="str">
        <v>1371 Phạm Văn Thuận</v>
      </c>
      <c r="C2215" s="40">
        <v>1060</v>
      </c>
      <c r="D2215" s="40" t="str">
        <v>Gội Combo 4</v>
      </c>
      <c r="E2215" s="40">
        <v>319000</v>
      </c>
    </row>
    <row r="2216">
      <c r="A2216" s="40">
        <v>247</v>
      </c>
      <c r="B2216" s="40" t="str">
        <v>1371 Phạm Văn Thuận</v>
      </c>
      <c r="C2216" s="40">
        <v>1060</v>
      </c>
      <c r="D2216" s="40" t="str">
        <v>Gội Combo 4</v>
      </c>
      <c r="E2216" s="40">
        <v>289000</v>
      </c>
    </row>
    <row r="2217">
      <c r="A2217" s="40">
        <v>247</v>
      </c>
      <c r="B2217" s="40" t="str">
        <v>1371 Phạm Văn Thuận</v>
      </c>
      <c r="C2217" s="40">
        <v>867</v>
      </c>
      <c r="D2217" s="40" t="str">
        <v>Gội dưỡng sinh cổ vai gáy</v>
      </c>
      <c r="E2217" s="40">
        <v>99000</v>
      </c>
    </row>
    <row r="2218">
      <c r="A2218" s="40">
        <v>247</v>
      </c>
      <c r="B2218" s="40" t="str">
        <v>1371 Phạm Văn Thuận</v>
      </c>
      <c r="C2218" s="40">
        <v>1002</v>
      </c>
      <c r="D2218" s="40" t="str">
        <v>Kid Cắt</v>
      </c>
      <c r="E2218" s="40">
        <v>75000</v>
      </c>
    </row>
    <row r="2219">
      <c r="A2219" s="40">
        <v>247</v>
      </c>
      <c r="B2219" s="40" t="str">
        <v>1371 Phạm Văn Thuận</v>
      </c>
      <c r="C2219" s="40">
        <v>1149</v>
      </c>
      <c r="D2219" s="40" t="str">
        <v>NHUỘM THIẾT KẾ PHỤC HỒI CHUYÊN SÂU LIPID BOND 2025</v>
      </c>
      <c r="E2219" s="40">
        <v>719000</v>
      </c>
    </row>
    <row r="2220">
      <c r="A2220" s="40">
        <v>247</v>
      </c>
      <c r="B2220" s="40" t="str">
        <v>1371 Phạm Văn Thuận</v>
      </c>
      <c r="C2220" s="40">
        <v>1101</v>
      </c>
      <c r="D2220" s="40" t="str">
        <v>Phục hồi trẻ hóa Lipid Bond</v>
      </c>
      <c r="E2220" s="40">
        <v>146000</v>
      </c>
    </row>
    <row r="2221">
      <c r="A2221" s="40">
        <v>247</v>
      </c>
      <c r="B2221" s="40" t="str">
        <v>1371 Phạm Văn Thuận</v>
      </c>
      <c r="C2221" s="40">
        <v>1046</v>
      </c>
      <c r="D2221" s="40" t="str" xml:space="preserve">
        <v>Shinecombo 2 </v>
      </c>
      <c r="E2221" s="40">
        <v>199000</v>
      </c>
    </row>
    <row r="2222">
      <c r="A2222" s="40">
        <v>247</v>
      </c>
      <c r="B2222" s="40" t="str">
        <v>1371 Phạm Văn Thuận</v>
      </c>
      <c r="C2222" s="40">
        <v>1046</v>
      </c>
      <c r="D2222" s="40" t="str" xml:space="preserve">
        <v>Shinecombo 2 </v>
      </c>
      <c r="E2222" s="40">
        <v>169000</v>
      </c>
    </row>
    <row r="2223">
      <c r="A2223" s="40">
        <v>247</v>
      </c>
      <c r="B2223" s="40" t="str">
        <v>1371 Phạm Văn Thuận</v>
      </c>
      <c r="C2223" s="40">
        <v>1148</v>
      </c>
      <c r="D2223" s="40" t="str">
        <v>UỐN THIẾT KẾ PHỤC HỒI CHUYÊN SÂU LIPID BOND 2025</v>
      </c>
      <c r="E2223" s="40">
        <v>689000</v>
      </c>
    </row>
    <row r="2224">
      <c r="A2224" s="40">
        <v>247</v>
      </c>
      <c r="B2224" s="40" t="str">
        <v>1371 Phạm Văn Thuận</v>
      </c>
      <c r="C2224" s="40">
        <v>952</v>
      </c>
      <c r="D2224" s="40" t="str">
        <v>Uốn định hình nếp tóc cao cấp (K-Perm Collection)</v>
      </c>
      <c r="E2224" s="40">
        <v>478000</v>
      </c>
    </row>
    <row r="2225">
      <c r="A2225" s="40">
        <v>247</v>
      </c>
      <c r="B2225" s="40" t="str">
        <v>1371 Phạm Văn Thuận</v>
      </c>
      <c r="C2225" s="40">
        <v>635</v>
      </c>
      <c r="D2225" s="40" t="str">
        <v>[DV] Detox tẩy da chết da đầu</v>
      </c>
      <c r="E2225" s="40">
        <v>45000</v>
      </c>
    </row>
    <row r="2226">
      <c r="A2226" s="40">
        <v>247</v>
      </c>
      <c r="B2226" s="40" t="str">
        <v>1371 Phạm Văn Thuận</v>
      </c>
      <c r="C2226" s="40">
        <v>912</v>
      </c>
      <c r="D2226" s="40" t="str">
        <v>[DV] Nhuộm đen phủ bạc R&amp;B thảo dược</v>
      </c>
      <c r="E2226" s="40">
        <v>289000</v>
      </c>
    </row>
    <row r="2227">
      <c r="A2227" s="40">
        <v>247</v>
      </c>
      <c r="B2227" s="40" t="str">
        <v>1371 Phạm Văn Thuận</v>
      </c>
      <c r="C2227" s="40">
        <v>513</v>
      </c>
      <c r="D2227" s="40" t="str">
        <v>[DV] ShineCombo 10 bước Ultra Care 2023</v>
      </c>
      <c r="E2227" s="40">
        <v>120000</v>
      </c>
    </row>
    <row r="2228">
      <c r="A2228" s="40">
        <v>247</v>
      </c>
      <c r="B2228" s="40" t="str">
        <v>1371 Phạm Văn Thuận</v>
      </c>
      <c r="C2228" s="40">
        <v>513</v>
      </c>
      <c r="D2228" s="40" t="str">
        <v>[DV] ShineCombo 10 bước Ultra Care 2023</v>
      </c>
      <c r="E2228" s="40">
        <v>122000</v>
      </c>
    </row>
    <row r="2229">
      <c r="A2229" s="40">
        <v>247</v>
      </c>
      <c r="B2229" s="40" t="str">
        <v>1371 Phạm Văn Thuận</v>
      </c>
      <c r="C2229" s="40">
        <v>674</v>
      </c>
      <c r="D2229" s="40" t="str">
        <v>[DV] Uốn Texture con sâu/Uốn Ruffled</v>
      </c>
      <c r="E2229" s="40">
        <v>520000</v>
      </c>
    </row>
    <row r="2230">
      <c r="A2230" s="40">
        <v>247</v>
      </c>
      <c r="B2230" s="40" t="str">
        <v>1371 Phạm Văn Thuận</v>
      </c>
      <c r="C2230" s="40">
        <v>941</v>
      </c>
      <c r="D2230" s="40" t="str">
        <v>[DV] Vuốt sáp - sấy tạo kiểu 10k</v>
      </c>
      <c r="E2230" s="40">
        <v>10000</v>
      </c>
    </row>
    <row r="2231">
      <c r="A2231" s="40">
        <v>247</v>
      </c>
      <c r="B2231" s="40" t="str">
        <v>1371 Phạm Văn Thuận</v>
      </c>
      <c r="C2231" s="40">
        <v>902</v>
      </c>
      <c r="D2231" s="40" t="str">
        <v>[DV] Ép side hai bên</v>
      </c>
      <c r="E2231" s="40">
        <v>198000</v>
      </c>
    </row>
    <row r="2232">
      <c r="A2232" s="40">
        <v>247</v>
      </c>
      <c r="B2232" s="40" t="str">
        <v>1371 Phạm Văn Thuận</v>
      </c>
      <c r="C2232" s="40">
        <v>940</v>
      </c>
      <c r="D2232" s="40" t="str">
        <v>[NEW] Gội dưỡng sinh</v>
      </c>
      <c r="E2232" s="40">
        <v>59000</v>
      </c>
    </row>
    <row r="2233">
      <c r="A2233" s="40">
        <v>247</v>
      </c>
      <c r="B2233" s="40" t="str">
        <v>1371 Phạm Văn Thuận</v>
      </c>
      <c r="C2233" s="40">
        <v>603</v>
      </c>
      <c r="D2233" s="40" t="str">
        <v>Đánh bay mụn cám lột mụn (Full Face)</v>
      </c>
      <c r="E2233" s="40">
        <v>49000</v>
      </c>
    </row>
    <row r="2234">
      <c r="A2234" s="40">
        <v>249</v>
      </c>
      <c r="B2234" s="40" t="str">
        <v>1146 Kha Vạn Cân</v>
      </c>
      <c r="C2234" s="40">
        <v>610</v>
      </c>
      <c r="D2234" s="40" t="str">
        <v>(2022T) ATS Control Buffer - Khử mùi tạo thơm cho tóc uốn nhuộm 40k</v>
      </c>
      <c r="E2234" s="40">
        <v>40000</v>
      </c>
    </row>
    <row r="2235">
      <c r="A2235" s="40">
        <v>249</v>
      </c>
      <c r="B2235" s="40" t="str">
        <v>1146 Kha Vạn Cân</v>
      </c>
      <c r="C2235" s="40">
        <v>960</v>
      </c>
      <c r="D2235" s="40" t="str">
        <v>(NEW) Nhuộm màu thời trang Milano</v>
      </c>
      <c r="E2235" s="40">
        <v>346000</v>
      </c>
    </row>
    <row r="2236">
      <c r="A2236" s="40">
        <v>249</v>
      </c>
      <c r="B2236" s="40" t="str">
        <v>1146 Kha Vạn Cân</v>
      </c>
      <c r="C2236" s="40">
        <v>967</v>
      </c>
      <c r="D2236" s="40" t="str">
        <v>(NEW) Nhuộm phủ bạc tiêu chuẩn 199K</v>
      </c>
      <c r="E2236" s="40">
        <v>199000</v>
      </c>
    </row>
    <row r="2237">
      <c r="A2237" s="40">
        <v>249</v>
      </c>
      <c r="B2237" s="40" t="str">
        <v>1146 Kha Vạn Cân</v>
      </c>
      <c r="C2237" s="40">
        <v>1009</v>
      </c>
      <c r="D2237" s="40" t="str">
        <v>(NEW) Uốn/Duỗi/Định hình full đầu tạo form vào nếp tự nhiên</v>
      </c>
      <c r="E2237" s="40">
        <v>386000</v>
      </c>
    </row>
    <row r="2238">
      <c r="A2238" s="40">
        <v>249</v>
      </c>
      <c r="B2238" s="40" t="str">
        <v>1146 Kha Vạn Cân</v>
      </c>
      <c r="C2238" s="40">
        <v>1048</v>
      </c>
      <c r="D2238" s="40" t="str">
        <v>Combo 4</v>
      </c>
      <c r="E2238" s="40">
        <v>389000</v>
      </c>
    </row>
    <row r="2239">
      <c r="A2239" s="40">
        <v>249</v>
      </c>
      <c r="B2239" s="40" t="str">
        <v>1146 Kha Vạn Cân</v>
      </c>
      <c r="C2239" s="40">
        <v>1150</v>
      </c>
      <c r="D2239" s="40" t="str">
        <v>Combo cắt gội đỉnh cao thư giãn vip</v>
      </c>
      <c r="E2239" s="40">
        <v>500000</v>
      </c>
    </row>
    <row r="2240">
      <c r="A2240" s="40">
        <v>249</v>
      </c>
      <c r="B2240" s="40" t="str">
        <v>1146 Kha Vạn Cân</v>
      </c>
      <c r="C2240" s="40">
        <v>1047</v>
      </c>
      <c r="D2240" s="40" t="str">
        <v>Cắt Gội Combo 3 - Chăm da</v>
      </c>
      <c r="E2240" s="40">
        <v>299000</v>
      </c>
    </row>
    <row r="2241">
      <c r="A2241" s="40">
        <v>249</v>
      </c>
      <c r="B2241" s="40" t="str">
        <v>1146 Kha Vạn Cân</v>
      </c>
      <c r="C2241" s="40">
        <v>891</v>
      </c>
      <c r="D2241" s="40" t="str">
        <v>Cắt xả tạo kiểu</v>
      </c>
      <c r="E2241" s="40">
        <v>90000</v>
      </c>
    </row>
    <row r="2242">
      <c r="A2242" s="40">
        <v>249</v>
      </c>
      <c r="B2242" s="40" t="str">
        <v>1146 Kha Vạn Cân</v>
      </c>
      <c r="C2242" s="40">
        <v>891</v>
      </c>
      <c r="D2242" s="40" t="str">
        <v>Cắt xả tạo kiểu</v>
      </c>
      <c r="E2242" s="40">
        <v>94000</v>
      </c>
    </row>
    <row r="2243">
      <c r="A2243" s="40">
        <v>249</v>
      </c>
      <c r="B2243" s="40" t="str">
        <v>1146 Kha Vạn Cân</v>
      </c>
      <c r="C2243" s="40">
        <v>1058</v>
      </c>
      <c r="D2243" s="40" t="str" xml:space="preserve">
        <v>Gội Combo 2 </v>
      </c>
      <c r="E2243" s="40">
        <v>159000</v>
      </c>
    </row>
    <row r="2244">
      <c r="A2244" s="40">
        <v>249</v>
      </c>
      <c r="B2244" s="40" t="str">
        <v>1146 Kha Vạn Cân</v>
      </c>
      <c r="C2244" s="40">
        <v>1059</v>
      </c>
      <c r="D2244" s="40" t="str">
        <v>Gội Combo 3 - Chăm da</v>
      </c>
      <c r="E2244" s="40">
        <v>239000</v>
      </c>
    </row>
    <row r="2245">
      <c r="A2245" s="40">
        <v>249</v>
      </c>
      <c r="B2245" s="40" t="str">
        <v>1146 Kha Vạn Cân</v>
      </c>
      <c r="C2245" s="40">
        <v>1060</v>
      </c>
      <c r="D2245" s="40" t="str">
        <v>Gội Combo 4</v>
      </c>
      <c r="E2245" s="40">
        <v>289000</v>
      </c>
    </row>
    <row r="2246">
      <c r="A2246" s="40">
        <v>249</v>
      </c>
      <c r="B2246" s="40" t="str">
        <v>1146 Kha Vạn Cân</v>
      </c>
      <c r="C2246" s="40">
        <v>1060</v>
      </c>
      <c r="D2246" s="40" t="str">
        <v>Gội Combo 4</v>
      </c>
      <c r="E2246" s="40">
        <v>319000</v>
      </c>
    </row>
    <row r="2247">
      <c r="A2247" s="40">
        <v>249</v>
      </c>
      <c r="B2247" s="40" t="str">
        <v>1146 Kha Vạn Cân</v>
      </c>
      <c r="C2247" s="40">
        <v>867</v>
      </c>
      <c r="D2247" s="40" t="str">
        <v>Gội dưỡng sinh cổ vai gáy</v>
      </c>
      <c r="E2247" s="40">
        <v>95000</v>
      </c>
    </row>
    <row r="2248">
      <c r="A2248" s="40">
        <v>249</v>
      </c>
      <c r="B2248" s="40" t="str">
        <v>1146 Kha Vạn Cân</v>
      </c>
      <c r="C2248" s="40">
        <v>867</v>
      </c>
      <c r="D2248" s="40" t="str">
        <v>Gội dưỡng sinh cổ vai gáy</v>
      </c>
      <c r="E2248" s="40">
        <v>99000</v>
      </c>
    </row>
    <row r="2249">
      <c r="A2249" s="40">
        <v>249</v>
      </c>
      <c r="B2249" s="40" t="str">
        <v>1146 Kha Vạn Cân</v>
      </c>
      <c r="C2249" s="40">
        <v>1002</v>
      </c>
      <c r="D2249" s="40" t="str">
        <v>Kid Cắt</v>
      </c>
      <c r="E2249" s="40">
        <v>75000</v>
      </c>
    </row>
    <row r="2250">
      <c r="A2250" s="40">
        <v>249</v>
      </c>
      <c r="B2250" s="40" t="str">
        <v>1146 Kha Vạn Cân</v>
      </c>
      <c r="C2250" s="40">
        <v>1101</v>
      </c>
      <c r="D2250" s="40" t="str">
        <v>Phục hồi trẻ hóa Lipid Bond</v>
      </c>
      <c r="E2250" s="40">
        <v>146000</v>
      </c>
    </row>
    <row r="2251">
      <c r="A2251" s="40">
        <v>249</v>
      </c>
      <c r="B2251" s="40" t="str">
        <v>1146 Kha Vạn Cân</v>
      </c>
      <c r="C2251" s="40">
        <v>1046</v>
      </c>
      <c r="D2251" s="40" t="str" xml:space="preserve">
        <v>Shinecombo 2 </v>
      </c>
      <c r="E2251" s="40">
        <v>199000</v>
      </c>
    </row>
    <row r="2252">
      <c r="A2252" s="40">
        <v>249</v>
      </c>
      <c r="B2252" s="40" t="str">
        <v>1146 Kha Vạn Cân</v>
      </c>
      <c r="C2252" s="40">
        <v>1148</v>
      </c>
      <c r="D2252" s="40" t="str">
        <v>UỐN THIẾT KẾ PHỤC HỒI CHUYÊN SÂU LIPID BOND 2025</v>
      </c>
      <c r="E2252" s="40">
        <v>689000</v>
      </c>
    </row>
    <row r="2253">
      <c r="A2253" s="40">
        <v>249</v>
      </c>
      <c r="B2253" s="40" t="str">
        <v>1146 Kha Vạn Cân</v>
      </c>
      <c r="C2253" s="40">
        <v>952</v>
      </c>
      <c r="D2253" s="40" t="str">
        <v>Uốn định hình nếp tóc cao cấp (K-Perm Collection)</v>
      </c>
      <c r="E2253" s="40">
        <v>478000</v>
      </c>
    </row>
    <row r="2254">
      <c r="A2254" s="40">
        <v>249</v>
      </c>
      <c r="B2254" s="40" t="str">
        <v>1146 Kha Vạn Cân</v>
      </c>
      <c r="C2254" s="40">
        <v>635</v>
      </c>
      <c r="D2254" s="40" t="str">
        <v>[DV] Detox tẩy da chết da đầu</v>
      </c>
      <c r="E2254" s="40">
        <v>45000</v>
      </c>
    </row>
    <row r="2255">
      <c r="A2255" s="40">
        <v>249</v>
      </c>
      <c r="B2255" s="40" t="str">
        <v>1146 Kha Vạn Cân</v>
      </c>
      <c r="C2255" s="40">
        <v>636</v>
      </c>
      <c r="D2255" s="40" t="str">
        <v>[DV] Mặt nạ lạnh Hàn Quốc</v>
      </c>
      <c r="E2255" s="40">
        <v>35000</v>
      </c>
    </row>
    <row r="2256">
      <c r="A2256" s="40">
        <v>249</v>
      </c>
      <c r="B2256" s="40" t="str">
        <v>1146 Kha Vạn Cân</v>
      </c>
      <c r="C2256" s="40">
        <v>625</v>
      </c>
      <c r="D2256" s="40" t="str">
        <v>[DV] Mặt nạ tẩy da chết sủi bọt cao cấp</v>
      </c>
      <c r="E2256" s="40">
        <v>55000</v>
      </c>
    </row>
    <row r="2257">
      <c r="A2257" s="40">
        <v>249</v>
      </c>
      <c r="B2257" s="40" t="str">
        <v>1146 Kha Vạn Cân</v>
      </c>
      <c r="C2257" s="40">
        <v>912</v>
      </c>
      <c r="D2257" s="40" t="str">
        <v>[DV] Nhuộm đen phủ bạc R&amp;B thảo dược</v>
      </c>
      <c r="E2257" s="40">
        <v>289000</v>
      </c>
    </row>
    <row r="2258">
      <c r="A2258" s="40">
        <v>249</v>
      </c>
      <c r="B2258" s="40" t="str">
        <v>1146 Kha Vạn Cân</v>
      </c>
      <c r="C2258" s="40">
        <v>513</v>
      </c>
      <c r="D2258" s="40" t="str">
        <v>[DV] ShineCombo 10 bước Ultra Care 2023</v>
      </c>
      <c r="E2258" s="40">
        <v>122000</v>
      </c>
    </row>
    <row r="2259">
      <c r="A2259" s="40">
        <v>249</v>
      </c>
      <c r="B2259" s="40" t="str">
        <v>1146 Kha Vạn Cân</v>
      </c>
      <c r="C2259" s="40">
        <v>513</v>
      </c>
      <c r="D2259" s="40" t="str">
        <v>[DV] ShineCombo 10 bước Ultra Care 2023</v>
      </c>
      <c r="E2259" s="40">
        <v>120000</v>
      </c>
    </row>
    <row r="2260">
      <c r="A2260" s="40">
        <v>249</v>
      </c>
      <c r="B2260" s="40" t="str">
        <v>1146 Kha Vạn Cân</v>
      </c>
      <c r="C2260" s="40">
        <v>462</v>
      </c>
      <c r="D2260" s="40" t="str">
        <v>[DV] Thư giãn cổ, vai, gáy bạc hà cam ngọt - Thư giãn tai sảng khoái 9 tầng mây 45k</v>
      </c>
      <c r="E2260" s="40">
        <v>45000</v>
      </c>
    </row>
    <row r="2261">
      <c r="A2261" s="40">
        <v>249</v>
      </c>
      <c r="B2261" s="40" t="str">
        <v>1146 Kha Vạn Cân</v>
      </c>
      <c r="C2261" s="40">
        <v>634</v>
      </c>
      <c r="D2261" s="40" t="str">
        <v>[DV] Tẩy da chết sủi bọt Hàn Quốc</v>
      </c>
      <c r="E2261" s="40">
        <v>35000</v>
      </c>
    </row>
    <row r="2262">
      <c r="A2262" s="40">
        <v>249</v>
      </c>
      <c r="B2262" s="40" t="str">
        <v>1146 Kha Vạn Cân</v>
      </c>
      <c r="C2262" s="40">
        <v>674</v>
      </c>
      <c r="D2262" s="40" t="str">
        <v>[DV] Uốn Texture con sâu/Uốn Ruffled</v>
      </c>
      <c r="E2262" s="40">
        <v>520000</v>
      </c>
    </row>
    <row r="2263">
      <c r="A2263" s="40">
        <v>249</v>
      </c>
      <c r="B2263" s="40" t="str">
        <v>1146 Kha Vạn Cân</v>
      </c>
      <c r="C2263" s="40">
        <v>940</v>
      </c>
      <c r="D2263" s="40" t="str">
        <v>[NEW] Gội dưỡng sinh</v>
      </c>
      <c r="E2263" s="40">
        <v>59000</v>
      </c>
    </row>
    <row r="2264">
      <c r="A2264" s="40">
        <v>249</v>
      </c>
      <c r="B2264" s="40" t="str">
        <v>1146 Kha Vạn Cân</v>
      </c>
      <c r="C2264" s="40">
        <v>603</v>
      </c>
      <c r="D2264" s="40" t="str">
        <v>Đánh bay mụn cám lột mụn (Full Face)</v>
      </c>
      <c r="E2264" s="40">
        <v>49000</v>
      </c>
    </row>
    <row r="2265">
      <c r="A2265" s="40">
        <v>250</v>
      </c>
      <c r="B2265" s="40" t="str">
        <v>173 Thanh Nhàn</v>
      </c>
      <c r="C2265" s="40">
        <v>610</v>
      </c>
      <c r="D2265" s="40" t="str">
        <v>(2022T) ATS Control Buffer - Khử mùi tạo thơm cho tóc uốn nhuộm 40k</v>
      </c>
      <c r="E2265" s="40">
        <v>40000</v>
      </c>
    </row>
    <row r="2266">
      <c r="A2266" s="40">
        <v>250</v>
      </c>
      <c r="B2266" s="40" t="str">
        <v>173 Thanh Nhàn</v>
      </c>
      <c r="C2266" s="40">
        <v>965</v>
      </c>
      <c r="D2266" s="40" t="str">
        <v>(NEW) Duỗi tạo phồng</v>
      </c>
      <c r="E2266" s="40">
        <v>379000</v>
      </c>
    </row>
    <row r="2267">
      <c r="A2267" s="40">
        <v>250</v>
      </c>
      <c r="B2267" s="40" t="str">
        <v>173 Thanh Nhàn</v>
      </c>
      <c r="C2267" s="40">
        <v>960</v>
      </c>
      <c r="D2267" s="40" t="str">
        <v>(NEW) Nhuộm màu thời trang Milano</v>
      </c>
      <c r="E2267" s="40">
        <v>366000</v>
      </c>
    </row>
    <row r="2268">
      <c r="A2268" s="40">
        <v>250</v>
      </c>
      <c r="B2268" s="40" t="str">
        <v>173 Thanh Nhàn</v>
      </c>
      <c r="C2268" s="40">
        <v>967</v>
      </c>
      <c r="D2268" s="40" t="str">
        <v>(NEW) Nhuộm phủ bạc tiêu chuẩn 199K</v>
      </c>
      <c r="E2268" s="40">
        <v>199000</v>
      </c>
    </row>
    <row r="2269">
      <c r="A2269" s="40">
        <v>250</v>
      </c>
      <c r="B2269" s="40" t="str">
        <v>173 Thanh Nhàn</v>
      </c>
      <c r="C2269" s="40">
        <v>1009</v>
      </c>
      <c r="D2269" s="40" t="str">
        <v>(NEW) Uốn/Duỗi/Định hình full đầu tạo form vào nếp tự nhiên</v>
      </c>
      <c r="E2269" s="40">
        <v>386000</v>
      </c>
    </row>
    <row r="2270">
      <c r="A2270" s="40">
        <v>250</v>
      </c>
      <c r="B2270" s="40" t="str">
        <v>173 Thanh Nhàn</v>
      </c>
      <c r="C2270" s="40">
        <v>1052</v>
      </c>
      <c r="D2270" s="40" t="str">
        <v>Combo 1 - First Class 1</v>
      </c>
      <c r="E2270" s="40">
        <v>159000</v>
      </c>
    </row>
    <row r="2271">
      <c r="A2271" s="40">
        <v>250</v>
      </c>
      <c r="B2271" s="40" t="str">
        <v>173 Thanh Nhàn</v>
      </c>
      <c r="C2271" s="40">
        <v>1052</v>
      </c>
      <c r="D2271" s="40" t="str">
        <v>Combo 1 - First Class 1</v>
      </c>
      <c r="E2271" s="40">
        <v>139000</v>
      </c>
    </row>
    <row r="2272">
      <c r="A2272" s="40">
        <v>250</v>
      </c>
      <c r="B2272" s="40" t="str">
        <v>173 Thanh Nhàn</v>
      </c>
      <c r="C2272" s="40">
        <v>1053</v>
      </c>
      <c r="D2272" s="40" t="str">
        <v>Combo 2 - First Class 2</v>
      </c>
      <c r="E2272" s="40">
        <v>229000</v>
      </c>
    </row>
    <row r="2273">
      <c r="A2273" s="40">
        <v>250</v>
      </c>
      <c r="B2273" s="40" t="str">
        <v>173 Thanh Nhàn</v>
      </c>
      <c r="C2273" s="40">
        <v>1053</v>
      </c>
      <c r="D2273" s="40" t="str">
        <v>Combo 2 - First Class 2</v>
      </c>
      <c r="E2273" s="40">
        <v>239000</v>
      </c>
    </row>
    <row r="2274">
      <c r="A2274" s="40">
        <v>250</v>
      </c>
      <c r="B2274" s="40" t="str">
        <v>173 Thanh Nhàn</v>
      </c>
      <c r="C2274" s="40">
        <v>1054</v>
      </c>
      <c r="D2274" s="40" t="str">
        <v>Combo 3 - First Class 3</v>
      </c>
      <c r="E2274" s="40">
        <v>299000</v>
      </c>
    </row>
    <row r="2275">
      <c r="A2275" s="40">
        <v>250</v>
      </c>
      <c r="B2275" s="40" t="str">
        <v>173 Thanh Nhàn</v>
      </c>
      <c r="C2275" s="40">
        <v>1048</v>
      </c>
      <c r="D2275" s="40" t="str">
        <v>Combo 4</v>
      </c>
      <c r="E2275" s="40">
        <v>389000</v>
      </c>
    </row>
    <row r="2276">
      <c r="A2276" s="40">
        <v>250</v>
      </c>
      <c r="B2276" s="40" t="str">
        <v>173 Thanh Nhàn</v>
      </c>
      <c r="C2276" s="40">
        <v>1048</v>
      </c>
      <c r="D2276" s="40" t="str">
        <v>Combo 4</v>
      </c>
      <c r="E2276" s="40">
        <v>379000</v>
      </c>
    </row>
    <row r="2277">
      <c r="A2277" s="40">
        <v>250</v>
      </c>
      <c r="B2277" s="40" t="str">
        <v>173 Thanh Nhàn</v>
      </c>
      <c r="C2277" s="40">
        <v>1070</v>
      </c>
      <c r="D2277" s="40" t="str">
        <v>Combo Cắt gội Kid</v>
      </c>
      <c r="E2277" s="40">
        <v>100000</v>
      </c>
    </row>
    <row r="2278">
      <c r="A2278" s="40">
        <v>250</v>
      </c>
      <c r="B2278" s="40" t="str">
        <v>173 Thanh Nhàn</v>
      </c>
      <c r="C2278" s="40">
        <v>1047</v>
      </c>
      <c r="D2278" s="40" t="str">
        <v>Cắt Gội Combo 3 - Chăm da</v>
      </c>
      <c r="E2278" s="40">
        <v>299000</v>
      </c>
    </row>
    <row r="2279">
      <c r="A2279" s="40">
        <v>250</v>
      </c>
      <c r="B2279" s="40" t="str">
        <v>173 Thanh Nhàn</v>
      </c>
      <c r="C2279" s="40">
        <v>891</v>
      </c>
      <c r="D2279" s="40" t="str">
        <v>Cắt xả tạo kiểu</v>
      </c>
      <c r="E2279" s="40">
        <v>90000</v>
      </c>
    </row>
    <row r="2280">
      <c r="A2280" s="40">
        <v>250</v>
      </c>
      <c r="B2280" s="40" t="str">
        <v>173 Thanh Nhàn</v>
      </c>
      <c r="C2280" s="40">
        <v>891</v>
      </c>
      <c r="D2280" s="40" t="str">
        <v>Cắt xả tạo kiểu</v>
      </c>
      <c r="E2280" s="40">
        <v>94000</v>
      </c>
    </row>
    <row r="2281">
      <c r="A2281" s="40">
        <v>250</v>
      </c>
      <c r="B2281" s="40" t="str">
        <v>173 Thanh Nhàn</v>
      </c>
      <c r="C2281" s="40">
        <v>1058</v>
      </c>
      <c r="D2281" s="40" t="str" xml:space="preserve">
        <v>Gội Combo 2 </v>
      </c>
      <c r="E2281" s="40">
        <v>159000</v>
      </c>
    </row>
    <row r="2282">
      <c r="A2282" s="40">
        <v>250</v>
      </c>
      <c r="B2282" s="40" t="str">
        <v>173 Thanh Nhàn</v>
      </c>
      <c r="C2282" s="40">
        <v>1059</v>
      </c>
      <c r="D2282" s="40" t="str">
        <v>Gội Combo 3 - Chăm da</v>
      </c>
      <c r="E2282" s="40">
        <v>219000</v>
      </c>
    </row>
    <row r="2283">
      <c r="A2283" s="40">
        <v>250</v>
      </c>
      <c r="B2283" s="40" t="str">
        <v>173 Thanh Nhàn</v>
      </c>
      <c r="C2283" s="40">
        <v>1059</v>
      </c>
      <c r="D2283" s="40" t="str">
        <v>Gội Combo 3 - Chăm da</v>
      </c>
      <c r="E2283" s="40">
        <v>239000</v>
      </c>
    </row>
    <row r="2284">
      <c r="A2284" s="40">
        <v>250</v>
      </c>
      <c r="B2284" s="40" t="str">
        <v>173 Thanh Nhàn</v>
      </c>
      <c r="C2284" s="40">
        <v>1060</v>
      </c>
      <c r="D2284" s="40" t="str">
        <v>Gội Combo 4</v>
      </c>
      <c r="E2284" s="40">
        <v>289000</v>
      </c>
    </row>
    <row r="2285">
      <c r="A2285" s="40">
        <v>250</v>
      </c>
      <c r="B2285" s="40" t="str">
        <v>173 Thanh Nhàn</v>
      </c>
      <c r="C2285" s="40">
        <v>1060</v>
      </c>
      <c r="D2285" s="40" t="str">
        <v>Gội Combo 4</v>
      </c>
      <c r="E2285" s="40">
        <v>319000</v>
      </c>
    </row>
    <row r="2286">
      <c r="A2286" s="40">
        <v>250</v>
      </c>
      <c r="B2286" s="40" t="str">
        <v>173 Thanh Nhàn</v>
      </c>
      <c r="C2286" s="40">
        <v>934</v>
      </c>
      <c r="D2286" s="40" t="str">
        <v>Gội combo 3 - Dưỡng sinh</v>
      </c>
      <c r="E2286" s="40">
        <v>229000</v>
      </c>
    </row>
    <row r="2287">
      <c r="A2287" s="40">
        <v>250</v>
      </c>
      <c r="B2287" s="40" t="str">
        <v>173 Thanh Nhàn</v>
      </c>
      <c r="C2287" s="40">
        <v>867</v>
      </c>
      <c r="D2287" s="40" t="str">
        <v>Gội dưỡng sinh cổ vai gáy</v>
      </c>
      <c r="E2287" s="40">
        <v>95000</v>
      </c>
    </row>
    <row r="2288">
      <c r="A2288" s="40">
        <v>250</v>
      </c>
      <c r="B2288" s="40" t="str">
        <v>173 Thanh Nhàn</v>
      </c>
      <c r="C2288" s="40">
        <v>867</v>
      </c>
      <c r="D2288" s="40" t="str">
        <v>Gội dưỡng sinh cổ vai gáy</v>
      </c>
      <c r="E2288" s="40">
        <v>99000</v>
      </c>
    </row>
    <row r="2289">
      <c r="A2289" s="40">
        <v>250</v>
      </c>
      <c r="B2289" s="40" t="str">
        <v>173 Thanh Nhàn</v>
      </c>
      <c r="C2289" s="40">
        <v>1068</v>
      </c>
      <c r="D2289" s="40" t="str">
        <v>Gội trải nghiệm 115p</v>
      </c>
      <c r="E2289" s="40">
        <v>999000</v>
      </c>
    </row>
    <row r="2290">
      <c r="A2290" s="40">
        <v>250</v>
      </c>
      <c r="B2290" s="40" t="str">
        <v>173 Thanh Nhàn</v>
      </c>
      <c r="C2290" s="40">
        <v>1066</v>
      </c>
      <c r="D2290" s="40" t="str">
        <v>Gội trải nghiệm 75p</v>
      </c>
      <c r="E2290" s="40">
        <v>589000</v>
      </c>
    </row>
    <row r="2291">
      <c r="A2291" s="40">
        <v>250</v>
      </c>
      <c r="B2291" s="40" t="str">
        <v>173 Thanh Nhàn</v>
      </c>
      <c r="C2291" s="40">
        <v>1067</v>
      </c>
      <c r="D2291" s="40" t="str">
        <v>Gội trải nghiệm 90p</v>
      </c>
      <c r="E2291" s="40">
        <v>789000</v>
      </c>
    </row>
    <row r="2292">
      <c r="A2292" s="40">
        <v>250</v>
      </c>
      <c r="B2292" s="40" t="str">
        <v>173 Thanh Nhàn</v>
      </c>
      <c r="C2292" s="40">
        <v>1002</v>
      </c>
      <c r="D2292" s="40" t="str">
        <v>Kid Cắt</v>
      </c>
      <c r="E2292" s="40">
        <v>75000</v>
      </c>
    </row>
    <row r="2293">
      <c r="A2293" s="40">
        <v>250</v>
      </c>
      <c r="B2293" s="40" t="str">
        <v>173 Thanh Nhàn</v>
      </c>
      <c r="C2293" s="40">
        <v>1149</v>
      </c>
      <c r="D2293" s="40" t="str">
        <v>NHUỘM THIẾT KẾ PHỤC HỒI CHUYÊN SÂU LIPID BOND 2025</v>
      </c>
      <c r="E2293" s="40">
        <v>759000</v>
      </c>
    </row>
    <row r="2294">
      <c r="A2294" s="40">
        <v>250</v>
      </c>
      <c r="B2294" s="40" t="str">
        <v>173 Thanh Nhàn</v>
      </c>
      <c r="C2294" s="40">
        <v>1101</v>
      </c>
      <c r="D2294" s="40" t="str">
        <v>Phục hồi trẻ hóa Lipid Bond</v>
      </c>
      <c r="E2294" s="40">
        <v>146000</v>
      </c>
    </row>
    <row r="2295">
      <c r="A2295" s="40">
        <v>250</v>
      </c>
      <c r="B2295" s="40" t="str">
        <v>173 Thanh Nhàn</v>
      </c>
      <c r="C2295" s="40">
        <v>1046</v>
      </c>
      <c r="D2295" s="40" t="str" xml:space="preserve">
        <v>Shinecombo 2 </v>
      </c>
      <c r="E2295" s="40">
        <v>199000</v>
      </c>
    </row>
    <row r="2296">
      <c r="A2296" s="40">
        <v>250</v>
      </c>
      <c r="B2296" s="40" t="str">
        <v>173 Thanh Nhàn</v>
      </c>
      <c r="C2296" s="40">
        <v>1148</v>
      </c>
      <c r="D2296" s="40" t="str">
        <v>UỐN THIẾT KẾ PHỤC HỒI CHUYÊN SÂU LIPID BOND 2025</v>
      </c>
      <c r="E2296" s="40">
        <v>689000</v>
      </c>
    </row>
    <row r="2297">
      <c r="A2297" s="40">
        <v>250</v>
      </c>
      <c r="B2297" s="40" t="str">
        <v>173 Thanh Nhàn</v>
      </c>
      <c r="C2297" s="40">
        <v>952</v>
      </c>
      <c r="D2297" s="40" t="str">
        <v>Uốn định hình nếp tóc cao cấp (K-Perm Collection)</v>
      </c>
      <c r="E2297" s="40">
        <v>478000</v>
      </c>
    </row>
    <row r="2298">
      <c r="A2298" s="40">
        <v>250</v>
      </c>
      <c r="B2298" s="40" t="str">
        <v>173 Thanh Nhàn</v>
      </c>
      <c r="C2298" s="40">
        <v>635</v>
      </c>
      <c r="D2298" s="40" t="str">
        <v>[DV] Detox tẩy da chết da đầu</v>
      </c>
      <c r="E2298" s="40">
        <v>45000</v>
      </c>
    </row>
    <row r="2299">
      <c r="A2299" s="40">
        <v>250</v>
      </c>
      <c r="B2299" s="40" t="str">
        <v>173 Thanh Nhàn</v>
      </c>
      <c r="C2299" s="40">
        <v>636</v>
      </c>
      <c r="D2299" s="40" t="str">
        <v>[DV] Mặt nạ lạnh Hàn Quốc</v>
      </c>
      <c r="E2299" s="40">
        <v>35000</v>
      </c>
    </row>
    <row r="2300">
      <c r="A2300" s="40">
        <v>250</v>
      </c>
      <c r="B2300" s="40" t="str">
        <v>173 Thanh Nhàn</v>
      </c>
      <c r="C2300" s="40">
        <v>625</v>
      </c>
      <c r="D2300" s="40" t="str">
        <v>[DV] Mặt nạ tẩy da chết sủi bọt cao cấp</v>
      </c>
      <c r="E2300" s="40">
        <v>55000</v>
      </c>
    </row>
    <row r="2301">
      <c r="A2301" s="40">
        <v>250</v>
      </c>
      <c r="B2301" s="40" t="str">
        <v>173 Thanh Nhàn</v>
      </c>
      <c r="C2301" s="40">
        <v>912</v>
      </c>
      <c r="D2301" s="40" t="str">
        <v>[DV] Nhuộm đen phủ bạc R&amp;B thảo dược</v>
      </c>
      <c r="E2301" s="40">
        <v>289000</v>
      </c>
    </row>
    <row r="2302">
      <c r="A2302" s="40">
        <v>250</v>
      </c>
      <c r="B2302" s="40" t="str">
        <v>173 Thanh Nhàn</v>
      </c>
      <c r="C2302" s="40">
        <v>513</v>
      </c>
      <c r="D2302" s="40" t="str">
        <v>[DV] ShineCombo 10 bước Ultra Care 2023</v>
      </c>
      <c r="E2302" s="40">
        <v>120000</v>
      </c>
    </row>
    <row r="2303">
      <c r="A2303" s="40">
        <v>250</v>
      </c>
      <c r="B2303" s="40" t="str">
        <v>173 Thanh Nhàn</v>
      </c>
      <c r="C2303" s="40">
        <v>513</v>
      </c>
      <c r="D2303" s="40" t="str">
        <v>[DV] ShineCombo 10 bước Ultra Care 2023</v>
      </c>
      <c r="E2303" s="40">
        <v>122000</v>
      </c>
    </row>
    <row r="2304">
      <c r="A2304" s="40">
        <v>250</v>
      </c>
      <c r="B2304" s="40" t="str">
        <v>173 Thanh Nhàn</v>
      </c>
      <c r="C2304" s="40">
        <v>634</v>
      </c>
      <c r="D2304" s="40" t="str">
        <v>[DV] Tẩy da chết sủi bọt Hàn Quốc</v>
      </c>
      <c r="E2304" s="40">
        <v>35000</v>
      </c>
    </row>
    <row r="2305">
      <c r="A2305" s="40">
        <v>250</v>
      </c>
      <c r="B2305" s="40" t="str">
        <v>173 Thanh Nhàn</v>
      </c>
      <c r="C2305" s="40">
        <v>915</v>
      </c>
      <c r="D2305" s="40" t="str">
        <v>[DV] Tẩy tóc bật tông Ý (1 lần)</v>
      </c>
      <c r="E2305" s="40">
        <v>252000</v>
      </c>
    </row>
    <row r="2306">
      <c r="A2306" s="40">
        <v>250</v>
      </c>
      <c r="B2306" s="40" t="str">
        <v>173 Thanh Nhàn</v>
      </c>
      <c r="C2306" s="40">
        <v>674</v>
      </c>
      <c r="D2306" s="40" t="str">
        <v>[DV] Uốn Texture con sâu/Uốn Ruffled</v>
      </c>
      <c r="E2306" s="40">
        <v>550000</v>
      </c>
    </row>
    <row r="2307">
      <c r="A2307" s="40">
        <v>250</v>
      </c>
      <c r="B2307" s="40" t="str">
        <v>173 Thanh Nhàn</v>
      </c>
      <c r="C2307" s="40">
        <v>902</v>
      </c>
      <c r="D2307" s="40" t="str">
        <v>[DV] Ép side hai bên</v>
      </c>
      <c r="E2307" s="40">
        <v>216000</v>
      </c>
    </row>
    <row r="2308">
      <c r="A2308" s="40">
        <v>250</v>
      </c>
      <c r="B2308" s="40" t="str">
        <v>173 Thanh Nhàn</v>
      </c>
      <c r="C2308" s="40">
        <v>940</v>
      </c>
      <c r="D2308" s="40" t="str">
        <v>[NEW] Gội dưỡng sinh</v>
      </c>
      <c r="E2308" s="40">
        <v>59000</v>
      </c>
    </row>
    <row r="2309">
      <c r="A2309" s="40">
        <v>250</v>
      </c>
      <c r="B2309" s="40" t="str">
        <v>173 Thanh Nhàn</v>
      </c>
      <c r="C2309" s="40">
        <v>603</v>
      </c>
      <c r="D2309" s="40" t="str">
        <v>Đánh bay mụn cám lột mụn (Full Face)</v>
      </c>
      <c r="E2309" s="40">
        <v>49000</v>
      </c>
    </row>
    <row r="2310">
      <c r="A2310" s="40">
        <v>274</v>
      </c>
      <c r="B2310" s="40" t="str">
        <v>32 Nguyễn Ảnh Thủ</v>
      </c>
      <c r="C2310" s="40">
        <v>610</v>
      </c>
      <c r="D2310" s="40" t="str">
        <v>(2022T) ATS Control Buffer - Khử mùi tạo thơm cho tóc uốn nhuộm 40k</v>
      </c>
      <c r="E2310" s="40">
        <v>40000</v>
      </c>
    </row>
    <row r="2311">
      <c r="A2311" s="40">
        <v>274</v>
      </c>
      <c r="B2311" s="40" t="str">
        <v>32 Nguyễn Ảnh Thủ</v>
      </c>
      <c r="C2311" s="40">
        <v>965</v>
      </c>
      <c r="D2311" s="40" t="str">
        <v>(NEW) Duỗi tạo phồng</v>
      </c>
      <c r="E2311" s="40">
        <v>399000</v>
      </c>
    </row>
    <row r="2312">
      <c r="A2312" s="40">
        <v>274</v>
      </c>
      <c r="B2312" s="40" t="str">
        <v>32 Nguyễn Ảnh Thủ</v>
      </c>
      <c r="C2312" s="40">
        <v>960</v>
      </c>
      <c r="D2312" s="40" t="str">
        <v>(NEW) Nhuộm màu thời trang Milano</v>
      </c>
      <c r="E2312" s="40">
        <v>332000</v>
      </c>
    </row>
    <row r="2313">
      <c r="A2313" s="40">
        <v>274</v>
      </c>
      <c r="B2313" s="40" t="str">
        <v>32 Nguyễn Ảnh Thủ</v>
      </c>
      <c r="C2313" s="40">
        <v>1009</v>
      </c>
      <c r="D2313" s="40" t="str">
        <v>(NEW) Uốn/Duỗi/Định hình full đầu tạo form vào nếp tự nhiên</v>
      </c>
      <c r="E2313" s="40">
        <v>386000</v>
      </c>
    </row>
    <row r="2314">
      <c r="A2314" s="40">
        <v>274</v>
      </c>
      <c r="B2314" s="40" t="str">
        <v>32 Nguyễn Ảnh Thủ</v>
      </c>
      <c r="C2314" s="40">
        <v>1048</v>
      </c>
      <c r="D2314" s="40" t="str">
        <v>Combo 4</v>
      </c>
      <c r="E2314" s="40">
        <v>379000</v>
      </c>
    </row>
    <row r="2315">
      <c r="A2315" s="40">
        <v>274</v>
      </c>
      <c r="B2315" s="40" t="str">
        <v>32 Nguyễn Ảnh Thủ</v>
      </c>
      <c r="C2315" s="40">
        <v>1048</v>
      </c>
      <c r="D2315" s="40" t="str">
        <v>Combo 4</v>
      </c>
      <c r="E2315" s="40">
        <v>389000</v>
      </c>
    </row>
    <row r="2316">
      <c r="A2316" s="40">
        <v>274</v>
      </c>
      <c r="B2316" s="40" t="str">
        <v>32 Nguyễn Ảnh Thủ</v>
      </c>
      <c r="C2316" s="40">
        <v>1070</v>
      </c>
      <c r="D2316" s="40" t="str">
        <v>Combo Cắt gội Kid</v>
      </c>
      <c r="E2316" s="40">
        <v>100000</v>
      </c>
    </row>
    <row r="2317">
      <c r="A2317" s="40">
        <v>274</v>
      </c>
      <c r="B2317" s="40" t="str">
        <v>32 Nguyễn Ảnh Thủ</v>
      </c>
      <c r="C2317" s="40">
        <v>1047</v>
      </c>
      <c r="D2317" s="40" t="str">
        <v>Cắt Gội Combo 3 - Chăm da</v>
      </c>
      <c r="E2317" s="40">
        <v>299000</v>
      </c>
    </row>
    <row r="2318">
      <c r="A2318" s="40">
        <v>274</v>
      </c>
      <c r="B2318" s="40" t="str">
        <v>32 Nguyễn Ảnh Thủ</v>
      </c>
      <c r="C2318" s="40">
        <v>1065</v>
      </c>
      <c r="D2318" s="40" t="str">
        <v>Cắt Gội Combo 3 - Dưỡng sinh</v>
      </c>
      <c r="E2318" s="40">
        <v>299000</v>
      </c>
    </row>
    <row r="2319">
      <c r="A2319" s="40">
        <v>274</v>
      </c>
      <c r="B2319" s="40" t="str">
        <v>32 Nguyễn Ảnh Thủ</v>
      </c>
      <c r="C2319" s="40">
        <v>891</v>
      </c>
      <c r="D2319" s="40" t="str">
        <v>Cắt xả tạo kiểu</v>
      </c>
      <c r="E2319" s="40">
        <v>94000</v>
      </c>
    </row>
    <row r="2320">
      <c r="A2320" s="40">
        <v>274</v>
      </c>
      <c r="B2320" s="40" t="str">
        <v>32 Nguyễn Ảnh Thủ</v>
      </c>
      <c r="C2320" s="40">
        <v>891</v>
      </c>
      <c r="D2320" s="40" t="str">
        <v>Cắt xả tạo kiểu</v>
      </c>
      <c r="E2320" s="40">
        <v>90000</v>
      </c>
    </row>
    <row r="2321">
      <c r="A2321" s="40">
        <v>274</v>
      </c>
      <c r="B2321" s="40" t="str">
        <v>32 Nguyễn Ảnh Thủ</v>
      </c>
      <c r="C2321" s="40">
        <v>1104</v>
      </c>
      <c r="D2321" s="40" t="str">
        <v>Dual Vip Combo 60p</v>
      </c>
      <c r="E2321" s="40">
        <v>349500</v>
      </c>
    </row>
    <row r="2322">
      <c r="A2322" s="40">
        <v>274</v>
      </c>
      <c r="B2322" s="40" t="str">
        <v>32 Nguyễn Ảnh Thủ</v>
      </c>
      <c r="C2322" s="40">
        <v>1058</v>
      </c>
      <c r="D2322" s="40" t="str" xml:space="preserve">
        <v>Gội Combo 2 </v>
      </c>
      <c r="E2322" s="40">
        <v>159000</v>
      </c>
    </row>
    <row r="2323">
      <c r="A2323" s="40">
        <v>274</v>
      </c>
      <c r="B2323" s="40" t="str">
        <v>32 Nguyễn Ảnh Thủ</v>
      </c>
      <c r="C2323" s="40">
        <v>1059</v>
      </c>
      <c r="D2323" s="40" t="str">
        <v>Gội Combo 3 - Chăm da</v>
      </c>
      <c r="E2323" s="40">
        <v>239000</v>
      </c>
    </row>
    <row r="2324">
      <c r="A2324" s="40">
        <v>274</v>
      </c>
      <c r="B2324" s="40" t="str">
        <v>32 Nguyễn Ảnh Thủ</v>
      </c>
      <c r="C2324" s="40">
        <v>1060</v>
      </c>
      <c r="D2324" s="40" t="str">
        <v>Gội Combo 4</v>
      </c>
      <c r="E2324" s="40">
        <v>289000</v>
      </c>
    </row>
    <row r="2325">
      <c r="A2325" s="40">
        <v>274</v>
      </c>
      <c r="B2325" s="40" t="str">
        <v>32 Nguyễn Ảnh Thủ</v>
      </c>
      <c r="C2325" s="40">
        <v>934</v>
      </c>
      <c r="D2325" s="40" t="str">
        <v>Gội combo 3 - Dưỡng sinh</v>
      </c>
      <c r="E2325" s="40">
        <v>229000</v>
      </c>
    </row>
    <row r="2326">
      <c r="A2326" s="40">
        <v>274</v>
      </c>
      <c r="B2326" s="40" t="str">
        <v>32 Nguyễn Ảnh Thủ</v>
      </c>
      <c r="C2326" s="40">
        <v>867</v>
      </c>
      <c r="D2326" s="40" t="str">
        <v>Gội dưỡng sinh cổ vai gáy</v>
      </c>
      <c r="E2326" s="40">
        <v>99000</v>
      </c>
    </row>
    <row r="2327">
      <c r="A2327" s="40">
        <v>274</v>
      </c>
      <c r="B2327" s="40" t="str">
        <v>32 Nguyễn Ảnh Thủ</v>
      </c>
      <c r="C2327" s="40">
        <v>1066</v>
      </c>
      <c r="D2327" s="40" t="str">
        <v>Gội trải nghiệm 75p</v>
      </c>
      <c r="E2327" s="40">
        <v>589000</v>
      </c>
    </row>
    <row r="2328">
      <c r="A2328" s="40">
        <v>274</v>
      </c>
      <c r="B2328" s="40" t="str">
        <v>32 Nguyễn Ảnh Thủ</v>
      </c>
      <c r="C2328" s="40">
        <v>1002</v>
      </c>
      <c r="D2328" s="40" t="str">
        <v>Kid Cắt</v>
      </c>
      <c r="E2328" s="40">
        <v>75000</v>
      </c>
    </row>
    <row r="2329">
      <c r="A2329" s="40">
        <v>274</v>
      </c>
      <c r="B2329" s="40" t="str">
        <v>32 Nguyễn Ảnh Thủ</v>
      </c>
      <c r="C2329" s="40">
        <v>1149</v>
      </c>
      <c r="D2329" s="40" t="str">
        <v>NHUỘM THIẾT KẾ PHỤC HỒI CHUYÊN SÂU LIPID BOND 2025</v>
      </c>
      <c r="E2329" s="40">
        <v>689000</v>
      </c>
    </row>
    <row r="2330">
      <c r="A2330" s="40">
        <v>274</v>
      </c>
      <c r="B2330" s="40" t="str">
        <v>32 Nguyễn Ảnh Thủ</v>
      </c>
      <c r="C2330" s="40">
        <v>615</v>
      </c>
      <c r="D2330" s="40" t="str">
        <v>Nhổ tóc bạc buổi trưa</v>
      </c>
      <c r="E2330" s="40">
        <v>150000</v>
      </c>
    </row>
    <row r="2331">
      <c r="A2331" s="40">
        <v>274</v>
      </c>
      <c r="B2331" s="40" t="str">
        <v>32 Nguyễn Ảnh Thủ</v>
      </c>
      <c r="C2331" s="40">
        <v>1101</v>
      </c>
      <c r="D2331" s="40" t="str">
        <v>Phục hồi trẻ hóa Lipid Bond</v>
      </c>
      <c r="E2331" s="40">
        <v>146000</v>
      </c>
    </row>
    <row r="2332">
      <c r="A2332" s="40">
        <v>274</v>
      </c>
      <c r="B2332" s="40" t="str">
        <v>32 Nguyễn Ảnh Thủ</v>
      </c>
      <c r="C2332" s="40">
        <v>1046</v>
      </c>
      <c r="D2332" s="40" t="str" xml:space="preserve">
        <v>Shinecombo 2 </v>
      </c>
      <c r="E2332" s="40">
        <v>199000</v>
      </c>
    </row>
    <row r="2333">
      <c r="A2333" s="40">
        <v>274</v>
      </c>
      <c r="B2333" s="40" t="str">
        <v>32 Nguyễn Ảnh Thủ</v>
      </c>
      <c r="C2333" s="40">
        <v>1148</v>
      </c>
      <c r="D2333" s="40" t="str">
        <v>UỐN THIẾT KẾ PHỤC HỒI CHUYÊN SÂU LIPID BOND 2025</v>
      </c>
      <c r="E2333" s="40">
        <v>689000</v>
      </c>
    </row>
    <row r="2334">
      <c r="A2334" s="40">
        <v>274</v>
      </c>
      <c r="B2334" s="40" t="str">
        <v>32 Nguyễn Ảnh Thủ</v>
      </c>
      <c r="C2334" s="40">
        <v>952</v>
      </c>
      <c r="D2334" s="40" t="str">
        <v>Uốn định hình nếp tóc cao cấp (K-Perm Collection)</v>
      </c>
      <c r="E2334" s="40">
        <v>478000</v>
      </c>
    </row>
    <row r="2335">
      <c r="A2335" s="40">
        <v>274</v>
      </c>
      <c r="B2335" s="40" t="str">
        <v>32 Nguyễn Ảnh Thủ</v>
      </c>
      <c r="C2335" s="40">
        <v>635</v>
      </c>
      <c r="D2335" s="40" t="str">
        <v>[DV] Detox tẩy da chết da đầu</v>
      </c>
      <c r="E2335" s="40">
        <v>45000</v>
      </c>
    </row>
    <row r="2336">
      <c r="A2336" s="40">
        <v>274</v>
      </c>
      <c r="B2336" s="40" t="str">
        <v>32 Nguyễn Ảnh Thủ</v>
      </c>
      <c r="C2336" s="40">
        <v>636</v>
      </c>
      <c r="D2336" s="40" t="str">
        <v>[DV] Mặt nạ lạnh Hàn Quốc</v>
      </c>
      <c r="E2336" s="40">
        <v>35000</v>
      </c>
    </row>
    <row r="2337">
      <c r="A2337" s="40">
        <v>274</v>
      </c>
      <c r="B2337" s="40" t="str">
        <v>32 Nguyễn Ảnh Thủ</v>
      </c>
      <c r="C2337" s="40">
        <v>625</v>
      </c>
      <c r="D2337" s="40" t="str">
        <v>[DV] Mặt nạ tẩy da chết sủi bọt cao cấp</v>
      </c>
      <c r="E2337" s="40">
        <v>55000</v>
      </c>
    </row>
    <row r="2338">
      <c r="A2338" s="40">
        <v>274</v>
      </c>
      <c r="B2338" s="40" t="str">
        <v>32 Nguyễn Ảnh Thủ</v>
      </c>
      <c r="C2338" s="40">
        <v>912</v>
      </c>
      <c r="D2338" s="40" t="str">
        <v>[DV] Nhuộm đen phủ bạc R&amp;B thảo dược</v>
      </c>
      <c r="E2338" s="40">
        <v>289000</v>
      </c>
    </row>
    <row r="2339">
      <c r="A2339" s="40">
        <v>274</v>
      </c>
      <c r="B2339" s="40" t="str">
        <v>32 Nguyễn Ảnh Thủ</v>
      </c>
      <c r="C2339" s="40">
        <v>513</v>
      </c>
      <c r="D2339" s="40" t="str">
        <v>[DV] ShineCombo 10 bước Ultra Care 2023</v>
      </c>
      <c r="E2339" s="40">
        <v>120000</v>
      </c>
    </row>
    <row r="2340">
      <c r="A2340" s="40">
        <v>274</v>
      </c>
      <c r="B2340" s="40" t="str">
        <v>32 Nguyễn Ảnh Thủ</v>
      </c>
      <c r="C2340" s="40">
        <v>513</v>
      </c>
      <c r="D2340" s="40" t="str">
        <v>[DV] ShineCombo 10 bước Ultra Care 2023</v>
      </c>
      <c r="E2340" s="40">
        <v>122000</v>
      </c>
    </row>
    <row r="2341">
      <c r="A2341" s="40">
        <v>274</v>
      </c>
      <c r="B2341" s="40" t="str">
        <v>32 Nguyễn Ảnh Thủ</v>
      </c>
      <c r="C2341" s="40">
        <v>462</v>
      </c>
      <c r="D2341" s="40" t="str">
        <v>[DV] Thư giãn cổ, vai, gáy bạc hà cam ngọt - Thư giãn tai sảng khoái 9 tầng mây 45k</v>
      </c>
      <c r="E2341" s="40">
        <v>45000</v>
      </c>
    </row>
    <row r="2342">
      <c r="A2342" s="40">
        <v>274</v>
      </c>
      <c r="B2342" s="40" t="str">
        <v>32 Nguyễn Ảnh Thủ</v>
      </c>
      <c r="C2342" s="40">
        <v>634</v>
      </c>
      <c r="D2342" s="40" t="str">
        <v>[DV] Tẩy da chết sủi bọt Hàn Quốc</v>
      </c>
      <c r="E2342" s="40">
        <v>35000</v>
      </c>
    </row>
    <row r="2343">
      <c r="A2343" s="40">
        <v>274</v>
      </c>
      <c r="B2343" s="40" t="str">
        <v>32 Nguyễn Ảnh Thủ</v>
      </c>
      <c r="C2343" s="40">
        <v>915</v>
      </c>
      <c r="D2343" s="40" t="str">
        <v>[DV] Tẩy tóc bật tông Ý (1 lần)</v>
      </c>
      <c r="E2343" s="40">
        <v>252000</v>
      </c>
    </row>
    <row r="2344">
      <c r="A2344" s="40">
        <v>274</v>
      </c>
      <c r="B2344" s="40" t="str">
        <v>32 Nguyễn Ảnh Thủ</v>
      </c>
      <c r="C2344" s="40">
        <v>916</v>
      </c>
      <c r="D2344" s="40" t="str">
        <v>[DV] Tẩy tóc bật tông Ý (2 lần) 500k</v>
      </c>
      <c r="E2344" s="40">
        <v>500000</v>
      </c>
    </row>
    <row r="2345">
      <c r="A2345" s="40">
        <v>274</v>
      </c>
      <c r="B2345" s="40" t="str">
        <v>32 Nguyễn Ảnh Thủ</v>
      </c>
      <c r="C2345" s="40">
        <v>674</v>
      </c>
      <c r="D2345" s="40" t="str">
        <v>[DV] Uốn Texture con sâu/Uốn Ruffled</v>
      </c>
      <c r="E2345" s="40">
        <v>499000</v>
      </c>
    </row>
    <row r="2346">
      <c r="A2346" s="40">
        <v>274</v>
      </c>
      <c r="B2346" s="40" t="str">
        <v>32 Nguyễn Ảnh Thủ</v>
      </c>
      <c r="C2346" s="40">
        <v>941</v>
      </c>
      <c r="D2346" s="40" t="str">
        <v>[DV] Vuốt sáp - sấy tạo kiểu 10k</v>
      </c>
      <c r="E2346" s="40">
        <v>10000</v>
      </c>
    </row>
    <row r="2347">
      <c r="A2347" s="40">
        <v>274</v>
      </c>
      <c r="B2347" s="40" t="str">
        <v>32 Nguyễn Ảnh Thủ</v>
      </c>
      <c r="C2347" s="40">
        <v>902</v>
      </c>
      <c r="D2347" s="40" t="str">
        <v>[DV] Ép side hai bên</v>
      </c>
      <c r="E2347" s="40">
        <v>189000</v>
      </c>
    </row>
    <row r="2348">
      <c r="A2348" s="40">
        <v>274</v>
      </c>
      <c r="B2348" s="40" t="str">
        <v>32 Nguyễn Ảnh Thủ</v>
      </c>
      <c r="C2348" s="40">
        <v>940</v>
      </c>
      <c r="D2348" s="40" t="str">
        <v>[NEW] Gội dưỡng sinh</v>
      </c>
      <c r="E2348" s="40">
        <v>59000</v>
      </c>
    </row>
    <row r="2349">
      <c r="A2349" s="40">
        <v>274</v>
      </c>
      <c r="B2349" s="40" t="str">
        <v>32 Nguyễn Ảnh Thủ</v>
      </c>
      <c r="C2349" s="40">
        <v>603</v>
      </c>
      <c r="D2349" s="40" t="str">
        <v>Đánh bay mụn cám lột mụn (Full Face)</v>
      </c>
      <c r="E2349" s="40">
        <v>49000</v>
      </c>
    </row>
    <row r="2350">
      <c r="A2350" s="40">
        <v>302</v>
      </c>
      <c r="B2350" s="40" t="str">
        <v>362 Ngô Gia Tự</v>
      </c>
      <c r="C2350" s="40">
        <v>610</v>
      </c>
      <c r="D2350" s="40" t="str">
        <v>(2022T) ATS Control Buffer - Khử mùi tạo thơm cho tóc uốn nhuộm 40k</v>
      </c>
      <c r="E2350" s="40">
        <v>40000</v>
      </c>
    </row>
    <row r="2351">
      <c r="A2351" s="40">
        <v>302</v>
      </c>
      <c r="B2351" s="40" t="str">
        <v>362 Ngô Gia Tự</v>
      </c>
      <c r="C2351" s="40">
        <v>960</v>
      </c>
      <c r="D2351" s="40" t="str">
        <v>(NEW) Nhuộm màu thời trang Milano</v>
      </c>
      <c r="E2351" s="40">
        <v>366000</v>
      </c>
    </row>
    <row r="2352">
      <c r="A2352" s="40">
        <v>302</v>
      </c>
      <c r="B2352" s="40" t="str">
        <v>362 Ngô Gia Tự</v>
      </c>
      <c r="C2352" s="40">
        <v>967</v>
      </c>
      <c r="D2352" s="40" t="str">
        <v>(NEW) Nhuộm phủ bạc tiêu chuẩn 199K</v>
      </c>
      <c r="E2352" s="40">
        <v>227000</v>
      </c>
    </row>
    <row r="2353">
      <c r="A2353" s="40">
        <v>302</v>
      </c>
      <c r="B2353" s="40" t="str">
        <v>362 Ngô Gia Tự</v>
      </c>
      <c r="C2353" s="40">
        <v>1009</v>
      </c>
      <c r="D2353" s="40" t="str">
        <v>(NEW) Uốn/Duỗi/Định hình full đầu tạo form vào nếp tự nhiên</v>
      </c>
      <c r="E2353" s="40">
        <v>386000</v>
      </c>
    </row>
    <row r="2354">
      <c r="A2354" s="40">
        <v>302</v>
      </c>
      <c r="B2354" s="40" t="str">
        <v>362 Ngô Gia Tự</v>
      </c>
      <c r="C2354" s="40">
        <v>1054</v>
      </c>
      <c r="D2354" s="40" t="str">
        <v>Combo 3 - First Class 3</v>
      </c>
      <c r="E2354" s="40">
        <v>299000</v>
      </c>
    </row>
    <row r="2355">
      <c r="A2355" s="40">
        <v>302</v>
      </c>
      <c r="B2355" s="40" t="str">
        <v>362 Ngô Gia Tự</v>
      </c>
      <c r="C2355" s="40">
        <v>1048</v>
      </c>
      <c r="D2355" s="40" t="str">
        <v>Combo 4</v>
      </c>
      <c r="E2355" s="40">
        <v>379000</v>
      </c>
    </row>
    <row r="2356">
      <c r="A2356" s="40">
        <v>302</v>
      </c>
      <c r="B2356" s="40" t="str">
        <v>362 Ngô Gia Tự</v>
      </c>
      <c r="C2356" s="40">
        <v>1048</v>
      </c>
      <c r="D2356" s="40" t="str">
        <v>Combo 4</v>
      </c>
      <c r="E2356" s="40">
        <v>389000</v>
      </c>
    </row>
    <row r="2357">
      <c r="A2357" s="40">
        <v>302</v>
      </c>
      <c r="B2357" s="40" t="str">
        <v>362 Ngô Gia Tự</v>
      </c>
      <c r="C2357" s="40">
        <v>1070</v>
      </c>
      <c r="D2357" s="40" t="str">
        <v>Combo Cắt gội Kid</v>
      </c>
      <c r="E2357" s="40">
        <v>100000</v>
      </c>
    </row>
    <row r="2358">
      <c r="A2358" s="40">
        <v>302</v>
      </c>
      <c r="B2358" s="40" t="str">
        <v>362 Ngô Gia Tự</v>
      </c>
      <c r="C2358" s="40">
        <v>1047</v>
      </c>
      <c r="D2358" s="40" t="str">
        <v>Cắt Gội Combo 3 - Chăm da</v>
      </c>
      <c r="E2358" s="40">
        <v>299000</v>
      </c>
    </row>
    <row r="2359">
      <c r="A2359" s="40">
        <v>302</v>
      </c>
      <c r="B2359" s="40" t="str">
        <v>362 Ngô Gia Tự</v>
      </c>
      <c r="C2359" s="40">
        <v>891</v>
      </c>
      <c r="D2359" s="40" t="str">
        <v>Cắt xả tạo kiểu</v>
      </c>
      <c r="E2359" s="40">
        <v>90000</v>
      </c>
    </row>
    <row r="2360">
      <c r="A2360" s="40">
        <v>302</v>
      </c>
      <c r="B2360" s="40" t="str">
        <v>362 Ngô Gia Tự</v>
      </c>
      <c r="C2360" s="40">
        <v>891</v>
      </c>
      <c r="D2360" s="40" t="str">
        <v>Cắt xả tạo kiểu</v>
      </c>
      <c r="E2360" s="40">
        <v>94000</v>
      </c>
    </row>
    <row r="2361">
      <c r="A2361" s="40">
        <v>302</v>
      </c>
      <c r="B2361" s="40" t="str">
        <v>362 Ngô Gia Tự</v>
      </c>
      <c r="C2361" s="40">
        <v>1058</v>
      </c>
      <c r="D2361" s="40" t="str" xml:space="preserve">
        <v>Gội Combo 2 </v>
      </c>
      <c r="E2361" s="40">
        <v>159000</v>
      </c>
    </row>
    <row r="2362">
      <c r="A2362" s="40">
        <v>302</v>
      </c>
      <c r="B2362" s="40" t="str">
        <v>362 Ngô Gia Tự</v>
      </c>
      <c r="C2362" s="40">
        <v>1059</v>
      </c>
      <c r="D2362" s="40" t="str">
        <v>Gội Combo 3 - Chăm da</v>
      </c>
      <c r="E2362" s="40">
        <v>219000</v>
      </c>
    </row>
    <row r="2363">
      <c r="A2363" s="40">
        <v>302</v>
      </c>
      <c r="B2363" s="40" t="str">
        <v>362 Ngô Gia Tự</v>
      </c>
      <c r="C2363" s="40">
        <v>1059</v>
      </c>
      <c r="D2363" s="40" t="str">
        <v>Gội Combo 3 - Chăm da</v>
      </c>
      <c r="E2363" s="40">
        <v>239000</v>
      </c>
    </row>
    <row r="2364">
      <c r="A2364" s="40">
        <v>302</v>
      </c>
      <c r="B2364" s="40" t="str">
        <v>362 Ngô Gia Tự</v>
      </c>
      <c r="C2364" s="40">
        <v>1060</v>
      </c>
      <c r="D2364" s="40" t="str">
        <v>Gội Combo 4</v>
      </c>
      <c r="E2364" s="40">
        <v>289000</v>
      </c>
    </row>
    <row r="2365">
      <c r="A2365" s="40">
        <v>302</v>
      </c>
      <c r="B2365" s="40" t="str">
        <v>362 Ngô Gia Tự</v>
      </c>
      <c r="C2365" s="40">
        <v>1060</v>
      </c>
      <c r="D2365" s="40" t="str">
        <v>Gội Combo 4</v>
      </c>
      <c r="E2365" s="40">
        <v>319000</v>
      </c>
    </row>
    <row r="2366">
      <c r="A2366" s="40">
        <v>302</v>
      </c>
      <c r="B2366" s="40" t="str">
        <v>362 Ngô Gia Tự</v>
      </c>
      <c r="C2366" s="40">
        <v>934</v>
      </c>
      <c r="D2366" s="40" t="str">
        <v>Gội combo 3 - Dưỡng sinh</v>
      </c>
      <c r="E2366" s="40">
        <v>229000</v>
      </c>
    </row>
    <row r="2367">
      <c r="A2367" s="40">
        <v>302</v>
      </c>
      <c r="B2367" s="40" t="str">
        <v>362 Ngô Gia Tự</v>
      </c>
      <c r="C2367" s="40">
        <v>867</v>
      </c>
      <c r="D2367" s="40" t="str">
        <v>Gội dưỡng sinh cổ vai gáy</v>
      </c>
      <c r="E2367" s="40">
        <v>99000</v>
      </c>
    </row>
    <row r="2368">
      <c r="A2368" s="40">
        <v>302</v>
      </c>
      <c r="B2368" s="40" t="str">
        <v>362 Ngô Gia Tự</v>
      </c>
      <c r="C2368" s="40">
        <v>867</v>
      </c>
      <c r="D2368" s="40" t="str">
        <v>Gội dưỡng sinh cổ vai gáy</v>
      </c>
      <c r="E2368" s="40">
        <v>95000</v>
      </c>
    </row>
    <row r="2369">
      <c r="A2369" s="40">
        <v>302</v>
      </c>
      <c r="B2369" s="40" t="str">
        <v>362 Ngô Gia Tự</v>
      </c>
      <c r="C2369" s="40">
        <v>1068</v>
      </c>
      <c r="D2369" s="40" t="str">
        <v>Gội trải nghiệm 115p</v>
      </c>
      <c r="E2369" s="40">
        <v>999000</v>
      </c>
    </row>
    <row r="2370">
      <c r="A2370" s="40">
        <v>302</v>
      </c>
      <c r="B2370" s="40" t="str">
        <v>362 Ngô Gia Tự</v>
      </c>
      <c r="C2370" s="40">
        <v>1066</v>
      </c>
      <c r="D2370" s="40" t="str">
        <v>Gội trải nghiệm 75p</v>
      </c>
      <c r="E2370" s="40">
        <v>589000</v>
      </c>
    </row>
    <row r="2371">
      <c r="A2371" s="40">
        <v>302</v>
      </c>
      <c r="B2371" s="40" t="str">
        <v>362 Ngô Gia Tự</v>
      </c>
      <c r="C2371" s="40">
        <v>1067</v>
      </c>
      <c r="D2371" s="40" t="str">
        <v>Gội trải nghiệm 90p</v>
      </c>
      <c r="E2371" s="40">
        <v>789000</v>
      </c>
    </row>
    <row r="2372">
      <c r="A2372" s="40">
        <v>302</v>
      </c>
      <c r="B2372" s="40" t="str">
        <v>362 Ngô Gia Tự</v>
      </c>
      <c r="C2372" s="40">
        <v>1002</v>
      </c>
      <c r="D2372" s="40" t="str">
        <v>Kid Cắt</v>
      </c>
      <c r="E2372" s="40">
        <v>75000</v>
      </c>
    </row>
    <row r="2373">
      <c r="A2373" s="40">
        <v>302</v>
      </c>
      <c r="B2373" s="40" t="str">
        <v>362 Ngô Gia Tự</v>
      </c>
      <c r="C2373" s="40">
        <v>1101</v>
      </c>
      <c r="D2373" s="40" t="str">
        <v>Phục hồi trẻ hóa Lipid Bond</v>
      </c>
      <c r="E2373" s="40">
        <v>146000</v>
      </c>
    </row>
    <row r="2374">
      <c r="A2374" s="40">
        <v>302</v>
      </c>
      <c r="B2374" s="40" t="str">
        <v>362 Ngô Gia Tự</v>
      </c>
      <c r="C2374" s="40">
        <v>1046</v>
      </c>
      <c r="D2374" s="40" t="str" xml:space="preserve">
        <v>Shinecombo 2 </v>
      </c>
      <c r="E2374" s="40">
        <v>199000</v>
      </c>
    </row>
    <row r="2375">
      <c r="A2375" s="40">
        <v>302</v>
      </c>
      <c r="B2375" s="40" t="str">
        <v>362 Ngô Gia Tự</v>
      </c>
      <c r="C2375" s="40">
        <v>1148</v>
      </c>
      <c r="D2375" s="40" t="str">
        <v>UỐN THIẾT KẾ PHỤC HỒI CHUYÊN SÂU LIPID BOND 2025</v>
      </c>
      <c r="E2375" s="40">
        <v>689000</v>
      </c>
    </row>
    <row r="2376">
      <c r="A2376" s="40">
        <v>302</v>
      </c>
      <c r="B2376" s="40" t="str">
        <v>362 Ngô Gia Tự</v>
      </c>
      <c r="C2376" s="40">
        <v>952</v>
      </c>
      <c r="D2376" s="40" t="str">
        <v>Uốn định hình nếp tóc cao cấp (K-Perm Collection)</v>
      </c>
      <c r="E2376" s="40">
        <v>478000</v>
      </c>
    </row>
    <row r="2377">
      <c r="A2377" s="40">
        <v>302</v>
      </c>
      <c r="B2377" s="40" t="str">
        <v>362 Ngô Gia Tự</v>
      </c>
      <c r="C2377" s="40">
        <v>635</v>
      </c>
      <c r="D2377" s="40" t="str">
        <v>[DV] Detox tẩy da chết da đầu</v>
      </c>
      <c r="E2377" s="40">
        <v>45000</v>
      </c>
    </row>
    <row r="2378">
      <c r="A2378" s="40">
        <v>302</v>
      </c>
      <c r="B2378" s="40" t="str">
        <v>362 Ngô Gia Tự</v>
      </c>
      <c r="C2378" s="40">
        <v>636</v>
      </c>
      <c r="D2378" s="40" t="str">
        <v>[DV] Mặt nạ lạnh Hàn Quốc</v>
      </c>
      <c r="E2378" s="40">
        <v>35000</v>
      </c>
    </row>
    <row r="2379">
      <c r="A2379" s="40">
        <v>302</v>
      </c>
      <c r="B2379" s="40" t="str">
        <v>362 Ngô Gia Tự</v>
      </c>
      <c r="C2379" s="40">
        <v>625</v>
      </c>
      <c r="D2379" s="40" t="str">
        <v>[DV] Mặt nạ tẩy da chết sủi bọt cao cấp</v>
      </c>
      <c r="E2379" s="40">
        <v>55000</v>
      </c>
    </row>
    <row r="2380">
      <c r="A2380" s="40">
        <v>302</v>
      </c>
      <c r="B2380" s="40" t="str">
        <v>362 Ngô Gia Tự</v>
      </c>
      <c r="C2380" s="40">
        <v>912</v>
      </c>
      <c r="D2380" s="40" t="str">
        <v>[DV] Nhuộm đen phủ bạc R&amp;B thảo dược</v>
      </c>
      <c r="E2380" s="40">
        <v>329000</v>
      </c>
    </row>
    <row r="2381">
      <c r="A2381" s="40">
        <v>302</v>
      </c>
      <c r="B2381" s="40" t="str">
        <v>362 Ngô Gia Tự</v>
      </c>
      <c r="C2381" s="40">
        <v>513</v>
      </c>
      <c r="D2381" s="40" t="str">
        <v>[DV] ShineCombo 10 bước Ultra Care 2023</v>
      </c>
      <c r="E2381" s="40">
        <v>122000</v>
      </c>
    </row>
    <row r="2382">
      <c r="A2382" s="40">
        <v>302</v>
      </c>
      <c r="B2382" s="40" t="str">
        <v>362 Ngô Gia Tự</v>
      </c>
      <c r="C2382" s="40">
        <v>513</v>
      </c>
      <c r="D2382" s="40" t="str">
        <v>[DV] ShineCombo 10 bước Ultra Care 2023</v>
      </c>
      <c r="E2382" s="40">
        <v>120000</v>
      </c>
    </row>
    <row r="2383">
      <c r="A2383" s="40">
        <v>302</v>
      </c>
      <c r="B2383" s="40" t="str">
        <v>362 Ngô Gia Tự</v>
      </c>
      <c r="C2383" s="40">
        <v>462</v>
      </c>
      <c r="D2383" s="40" t="str">
        <v>[DV] Thư giãn cổ, vai, gáy bạc hà cam ngọt - Thư giãn tai sảng khoái 9 tầng mây 45k</v>
      </c>
      <c r="E2383" s="40">
        <v>45000</v>
      </c>
    </row>
    <row r="2384">
      <c r="A2384" s="40">
        <v>302</v>
      </c>
      <c r="B2384" s="40" t="str">
        <v>362 Ngô Gia Tự</v>
      </c>
      <c r="C2384" s="40">
        <v>634</v>
      </c>
      <c r="D2384" s="40" t="str">
        <v>[DV] Tẩy da chết sủi bọt Hàn Quốc</v>
      </c>
      <c r="E2384" s="40">
        <v>35000</v>
      </c>
    </row>
    <row r="2385">
      <c r="A2385" s="40">
        <v>302</v>
      </c>
      <c r="B2385" s="40" t="str">
        <v>362 Ngô Gia Tự</v>
      </c>
      <c r="C2385" s="40">
        <v>916</v>
      </c>
      <c r="D2385" s="40" t="str">
        <v>[DV] Tẩy tóc bật tông Ý (2 lần) 500k</v>
      </c>
      <c r="E2385" s="40">
        <v>514000</v>
      </c>
    </row>
    <row r="2386">
      <c r="A2386" s="40">
        <v>302</v>
      </c>
      <c r="B2386" s="40" t="str">
        <v>362 Ngô Gia Tự</v>
      </c>
      <c r="C2386" s="40">
        <v>674</v>
      </c>
      <c r="D2386" s="40" t="str">
        <v>[DV] Uốn Texture con sâu/Uốn Ruffled</v>
      </c>
      <c r="E2386" s="40">
        <v>550000</v>
      </c>
    </row>
    <row r="2387">
      <c r="A2387" s="40">
        <v>302</v>
      </c>
      <c r="B2387" s="40" t="str">
        <v>362 Ngô Gia Tự</v>
      </c>
      <c r="C2387" s="40">
        <v>902</v>
      </c>
      <c r="D2387" s="40" t="str">
        <v>[DV] Ép side hai bên</v>
      </c>
      <c r="E2387" s="40">
        <v>216000</v>
      </c>
    </row>
    <row r="2388">
      <c r="A2388" s="40">
        <v>302</v>
      </c>
      <c r="B2388" s="40" t="str">
        <v>362 Ngô Gia Tự</v>
      </c>
      <c r="C2388" s="40">
        <v>940</v>
      </c>
      <c r="D2388" s="40" t="str">
        <v>[NEW] Gội dưỡng sinh</v>
      </c>
      <c r="E2388" s="40">
        <v>59000</v>
      </c>
    </row>
    <row r="2389">
      <c r="A2389" s="40">
        <v>302</v>
      </c>
      <c r="B2389" s="40" t="str">
        <v>362 Ngô Gia Tự</v>
      </c>
      <c r="C2389" s="40">
        <v>603</v>
      </c>
      <c r="D2389" s="40" t="str">
        <v>Đánh bay mụn cám lột mụn (Full Face)</v>
      </c>
      <c r="E2389" s="40">
        <v>49000</v>
      </c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7"/>
    <col collapsed="false" customWidth="true" hidden="false" max="4" min="4" style="0" width="37"/>
    <col collapsed="false" customWidth="true" hidden="false" max="5" min="5" style="0" width="30"/>
  </cols>
  <sheetData>
    <row r="1">
      <c r="A1" s="43" t="s">
        <v>26</v>
      </c>
      <c r="B1" s="43" t="s">
        <v>27</v>
      </c>
      <c r="C1" s="43" t="s">
        <v>28</v>
      </c>
      <c r="D1" s="44" t="str">
        <v>Category</v>
      </c>
      <c r="E1" s="43" t="s">
        <v>25</v>
      </c>
    </row>
    <row r="2">
      <c r="A2" s="41">
        <v>60</v>
      </c>
      <c r="B2" s="41" t="s">
        <v>37</v>
      </c>
      <c r="C2" s="41">
        <v>1193</v>
      </c>
      <c r="D2" s="42" t="str">
        <v>Combo UND</v>
      </c>
      <c r="E2" s="41" t="s">
        <v>38</v>
      </c>
    </row>
    <row r="3">
      <c r="A3" s="42">
        <v>55</v>
      </c>
      <c r="B3" s="42" t="s">
        <v>48</v>
      </c>
      <c r="C3" s="42">
        <v>1114</v>
      </c>
      <c r="D3" s="42" t="str">
        <v>DV Chăm sóc</v>
      </c>
      <c r="E3" s="42" t="s">
        <v>47</v>
      </c>
    </row>
    <row r="4">
      <c r="A4" s="42">
        <v>65</v>
      </c>
      <c r="B4" s="42" t="s">
        <v>58</v>
      </c>
      <c r="C4" s="42">
        <v>1258</v>
      </c>
      <c r="D4" s="42" t="str">
        <v>DV Chăm sóc</v>
      </c>
      <c r="E4" s="42" t="s">
        <v>57</v>
      </c>
    </row>
    <row r="5">
      <c r="A5" s="41">
        <v>66</v>
      </c>
      <c r="B5" s="41" t="s">
        <v>65</v>
      </c>
      <c r="C5" s="41">
        <v>1259</v>
      </c>
      <c r="D5" s="42" t="str">
        <v>DV Chăm sóc</v>
      </c>
      <c r="E5" s="41" t="s">
        <v>64</v>
      </c>
    </row>
    <row r="6">
      <c r="A6" s="41">
        <v>88</v>
      </c>
      <c r="B6" s="41" t="s">
        <v>72</v>
      </c>
      <c r="C6" s="41">
        <v>603</v>
      </c>
      <c r="D6" s="42" t="str">
        <v>DV Chăm sóc</v>
      </c>
      <c r="E6" s="41" t="s">
        <v>73</v>
      </c>
    </row>
    <row r="7">
      <c r="A7" s="42">
        <v>7</v>
      </c>
      <c r="B7" s="42" t="s">
        <v>79</v>
      </c>
      <c r="C7" s="42">
        <v>1053</v>
      </c>
      <c r="D7" s="42" t="str">
        <v>DV Cắt gội chăm sóc S-VIP</v>
      </c>
      <c r="E7" s="42" t="s">
        <v>80</v>
      </c>
    </row>
    <row r="8">
      <c r="A8" s="41">
        <v>8</v>
      </c>
      <c r="B8" s="41" t="s">
        <v>87</v>
      </c>
      <c r="C8" s="41">
        <v>1054</v>
      </c>
      <c r="D8" s="42" t="str">
        <v>DV Cắt gội chăm sóc S-VIP</v>
      </c>
      <c r="E8" s="41" t="s">
        <v>86</v>
      </c>
    </row>
    <row r="9">
      <c r="A9" s="42">
        <v>9</v>
      </c>
      <c r="B9" s="42" t="s">
        <v>99</v>
      </c>
      <c r="C9" s="42">
        <v>1048</v>
      </c>
      <c r="D9" s="42" t="str">
        <v>DV Cắt gội chăm sóc S-VIP</v>
      </c>
      <c r="E9" s="42" t="s">
        <v>100</v>
      </c>
    </row>
    <row r="10">
      <c r="A10" s="41">
        <v>10</v>
      </c>
      <c r="B10" s="41" t="s">
        <v>106</v>
      </c>
      <c r="C10" s="41">
        <v>1055</v>
      </c>
      <c r="D10" s="42" t="str">
        <v>DV Cắt gội chăm sóc S-VIP</v>
      </c>
      <c r="E10" s="41" t="s">
        <v>107</v>
      </c>
    </row>
    <row r="11">
      <c r="A11" s="42">
        <v>11</v>
      </c>
      <c r="B11" s="42" t="s">
        <v>115</v>
      </c>
      <c r="C11" s="42">
        <v>1194</v>
      </c>
      <c r="D11" s="42" t="str">
        <v>DV Cắt gội chăm sóc S-VIP</v>
      </c>
      <c r="E11" s="42" t="s">
        <v>29</v>
      </c>
    </row>
    <row r="12">
      <c r="A12" s="41">
        <v>14</v>
      </c>
      <c r="B12" s="41" t="s">
        <v>116</v>
      </c>
      <c r="C12" s="41">
        <v>1047</v>
      </c>
      <c r="D12" s="42" t="str">
        <v>DV Cắt gội chăm sóc S-VIP</v>
      </c>
      <c r="E12" s="41" t="s">
        <v>117</v>
      </c>
    </row>
    <row r="13">
      <c r="A13" s="42">
        <v>15</v>
      </c>
      <c r="B13" s="42" t="s">
        <v>122</v>
      </c>
      <c r="C13" s="42">
        <v>1065</v>
      </c>
      <c r="D13" s="42" t="str">
        <v>DV Cắt gội chăm sóc S-VIP</v>
      </c>
      <c r="E13" s="42" t="s">
        <v>29</v>
      </c>
    </row>
    <row r="14">
      <c r="A14" s="41">
        <v>16</v>
      </c>
      <c r="B14" s="41" t="s">
        <v>129</v>
      </c>
      <c r="C14" s="41">
        <v>1049</v>
      </c>
      <c r="D14" s="42" t="str">
        <v>DV Cắt gội chăm sóc S-VIP</v>
      </c>
      <c r="E14" s="41" t="s">
        <v>11</v>
      </c>
    </row>
    <row r="15">
      <c r="A15" s="42">
        <v>17</v>
      </c>
      <c r="B15" s="42" t="s">
        <v>137</v>
      </c>
      <c r="C15" s="42">
        <v>1064</v>
      </c>
      <c r="D15" s="42" t="str">
        <v>DV Cắt gội chăm sóc S-VIP</v>
      </c>
      <c r="E15" s="42" t="s">
        <v>136</v>
      </c>
    </row>
    <row r="16">
      <c r="A16" s="41">
        <v>62</v>
      </c>
      <c r="B16" s="41" t="s">
        <v>13</v>
      </c>
      <c r="C16" s="41">
        <v>1255</v>
      </c>
      <c r="D16" s="42" t="str">
        <v>DV Cắt gội chăm sóc S-VIP</v>
      </c>
      <c r="E16" s="41" t="s">
        <v>14</v>
      </c>
    </row>
    <row r="17">
      <c r="A17" s="42">
        <v>63</v>
      </c>
      <c r="B17" s="42" t="s">
        <v>30</v>
      </c>
      <c r="C17" s="42">
        <v>1256</v>
      </c>
      <c r="D17" s="42" t="str">
        <v>DV Cắt gội chăm sóc S-VIP</v>
      </c>
      <c r="E17" s="42" t="s">
        <v>29</v>
      </c>
    </row>
    <row r="18">
      <c r="A18" s="41">
        <v>64</v>
      </c>
      <c r="B18" s="41" t="s">
        <v>40</v>
      </c>
      <c r="C18" s="41">
        <v>1257</v>
      </c>
      <c r="D18" s="42" t="str">
        <v>DV Cắt gội chăm sóc S-VIP</v>
      </c>
      <c r="E18" s="41" t="s">
        <v>39</v>
      </c>
    </row>
    <row r="19">
      <c r="A19" s="41">
        <v>6</v>
      </c>
      <c r="B19" s="41" t="s">
        <v>49</v>
      </c>
      <c r="C19" s="41">
        <v>1052</v>
      </c>
      <c r="D19" s="42" t="str">
        <v>DV Cắt gội massage (SC)</v>
      </c>
      <c r="E19" s="41" t="s">
        <v>50</v>
      </c>
    </row>
    <row r="20">
      <c r="A20" s="42">
        <v>23</v>
      </c>
      <c r="B20" s="42" t="s">
        <v>60</v>
      </c>
      <c r="C20" s="42">
        <v>1246</v>
      </c>
      <c r="D20" s="42" t="str">
        <v>DV Cắt gội massage (SC)</v>
      </c>
      <c r="E20" s="42" t="s">
        <v>59</v>
      </c>
    </row>
    <row r="21">
      <c r="A21" s="41">
        <v>24</v>
      </c>
      <c r="B21" s="41" t="s">
        <v>66</v>
      </c>
      <c r="C21" s="41">
        <v>1245</v>
      </c>
      <c r="D21" s="42" t="str">
        <v>DV Cắt gội massage (SC)</v>
      </c>
      <c r="E21" s="41" t="s">
        <v>67</v>
      </c>
    </row>
    <row r="22">
      <c r="A22" s="42">
        <v>43</v>
      </c>
      <c r="B22" s="42" t="s">
        <v>74</v>
      </c>
      <c r="C22" s="42">
        <v>1214</v>
      </c>
      <c r="D22" s="42" t="str">
        <v>DV Cắt gội massage (SC)</v>
      </c>
      <c r="E22" s="42" t="s">
        <v>75</v>
      </c>
    </row>
    <row r="23">
      <c r="A23" s="41">
        <v>44</v>
      </c>
      <c r="B23" s="45" t="str">
        <v>Shinecombo 2</v>
      </c>
      <c r="C23" s="41">
        <v>1046</v>
      </c>
      <c r="D23" s="42" t="str">
        <v>DV Cắt gội massage (SC)</v>
      </c>
      <c r="E23" s="41" t="s">
        <v>81</v>
      </c>
    </row>
    <row r="24">
      <c r="A24" s="42">
        <v>45</v>
      </c>
      <c r="B24" s="42" t="s">
        <v>88</v>
      </c>
      <c r="C24" s="42">
        <v>1215</v>
      </c>
      <c r="D24" s="42" t="str">
        <v>DV Cắt gội massage (SC)</v>
      </c>
      <c r="E24" s="42" t="s">
        <v>67</v>
      </c>
    </row>
    <row r="25">
      <c r="A25" s="42">
        <v>71</v>
      </c>
      <c r="B25" s="42" t="s">
        <v>91</v>
      </c>
      <c r="C25" s="42">
        <v>513</v>
      </c>
      <c r="D25" s="42" t="str">
        <v>DV Cắt gội massage (SC)</v>
      </c>
      <c r="E25" s="42" t="s">
        <v>92</v>
      </c>
    </row>
    <row r="26">
      <c r="A26" s="42">
        <v>87</v>
      </c>
      <c r="B26" s="42" t="s">
        <v>101</v>
      </c>
      <c r="C26" s="42">
        <v>1242</v>
      </c>
      <c r="D26" s="42" t="str">
        <v>DV Cắt gội massage (SC)</v>
      </c>
      <c r="E26" s="42" t="s">
        <v>57</v>
      </c>
    </row>
    <row r="27">
      <c r="A27" s="42">
        <v>13</v>
      </c>
      <c r="B27" s="42" t="s">
        <v>109</v>
      </c>
      <c r="C27" s="42">
        <v>1150</v>
      </c>
      <c r="D27" s="42" t="str">
        <v>DV Cắt gội VIP Paradise</v>
      </c>
      <c r="E27" s="42" t="s">
        <v>108</v>
      </c>
    </row>
    <row r="28">
      <c r="A28" s="41">
        <v>12</v>
      </c>
      <c r="B28" s="41" t="s">
        <v>110</v>
      </c>
      <c r="C28" s="41">
        <v>1070</v>
      </c>
      <c r="D28" s="42" t="str">
        <v>DV Cắt KID</v>
      </c>
      <c r="E28" s="41" t="s">
        <v>111</v>
      </c>
    </row>
    <row r="29">
      <c r="A29" s="42">
        <v>39</v>
      </c>
      <c r="B29" s="42" t="s">
        <v>124</v>
      </c>
      <c r="C29" s="42">
        <v>1002</v>
      </c>
      <c r="D29" s="42" t="str">
        <v>DV Cắt KID</v>
      </c>
      <c r="E29" s="42" t="s">
        <v>123</v>
      </c>
    </row>
    <row r="30">
      <c r="A30" s="42">
        <v>19</v>
      </c>
      <c r="B30" s="42" t="s">
        <v>131</v>
      </c>
      <c r="C30" s="42">
        <v>891</v>
      </c>
      <c r="D30" s="42" t="str">
        <v>DV Cắt xả (không gội massage)</v>
      </c>
      <c r="E30" s="42" t="s">
        <v>130</v>
      </c>
    </row>
    <row r="31">
      <c r="A31" s="42">
        <v>77</v>
      </c>
      <c r="B31" s="42" t="s">
        <v>138</v>
      </c>
      <c r="C31" s="42">
        <v>941</v>
      </c>
      <c r="D31" s="42" t="str">
        <v>DV Cắt xả (không gội massage)</v>
      </c>
      <c r="E31" s="42" t="s">
        <v>139</v>
      </c>
    </row>
    <row r="32">
      <c r="A32" s="41">
        <v>2</v>
      </c>
      <c r="B32" s="41" t="s">
        <v>16</v>
      </c>
      <c r="C32" s="41">
        <v>965</v>
      </c>
      <c r="D32" s="42" t="str">
        <v>DV Duỗi Ép</v>
      </c>
      <c r="E32" s="41" t="s">
        <v>15</v>
      </c>
    </row>
    <row r="33">
      <c r="A33" s="41">
        <v>78</v>
      </c>
      <c r="B33" s="41" t="s">
        <v>31</v>
      </c>
      <c r="C33" s="41">
        <v>902</v>
      </c>
      <c r="D33" s="42" t="str">
        <v>DV Duỗi Ép</v>
      </c>
      <c r="E33" s="41" t="s">
        <v>32</v>
      </c>
    </row>
    <row r="34">
      <c r="A34" s="42">
        <v>1</v>
      </c>
      <c r="B34" s="42" t="s">
        <v>41</v>
      </c>
      <c r="C34" s="42">
        <v>610</v>
      </c>
      <c r="D34" s="42" t="str">
        <v>DV Dưỡng</v>
      </c>
      <c r="E34" s="42" t="s">
        <v>42</v>
      </c>
    </row>
    <row r="35">
      <c r="A35" s="41">
        <v>42</v>
      </c>
      <c r="B35" s="41" t="s">
        <v>51</v>
      </c>
      <c r="C35" s="41">
        <v>1101</v>
      </c>
      <c r="D35" s="42" t="str">
        <v>DV Dưỡng</v>
      </c>
      <c r="E35" s="41" t="s">
        <v>52</v>
      </c>
    </row>
    <row r="36">
      <c r="A36" s="42">
        <v>25</v>
      </c>
      <c r="B36" s="42" t="s">
        <v>61</v>
      </c>
      <c r="C36" s="42">
        <v>1058</v>
      </c>
      <c r="D36" s="42" t="str">
        <v>DV Gội</v>
      </c>
      <c r="E36" s="42" t="s">
        <v>50</v>
      </c>
    </row>
    <row r="37">
      <c r="A37" s="41">
        <v>26</v>
      </c>
      <c r="B37" s="41" t="s">
        <v>68</v>
      </c>
      <c r="C37" s="41">
        <v>1059</v>
      </c>
      <c r="D37" s="42" t="str">
        <v>DV Gội</v>
      </c>
      <c r="E37" s="41" t="s">
        <v>69</v>
      </c>
    </row>
    <row r="38">
      <c r="A38" s="42">
        <v>27</v>
      </c>
      <c r="B38" s="42" t="s">
        <v>76</v>
      </c>
      <c r="C38" s="42">
        <v>1060</v>
      </c>
      <c r="D38" s="42" t="str">
        <v>DV Gội</v>
      </c>
      <c r="E38" s="42" t="s">
        <v>34</v>
      </c>
    </row>
    <row r="39">
      <c r="A39" s="41">
        <v>28</v>
      </c>
      <c r="B39" s="41" t="s">
        <v>82</v>
      </c>
      <c r="C39" s="41">
        <v>1061</v>
      </c>
      <c r="D39" s="42" t="str">
        <v>DV Gội</v>
      </c>
      <c r="E39" s="41" t="s">
        <v>83</v>
      </c>
    </row>
    <row r="40">
      <c r="A40" s="42">
        <v>29</v>
      </c>
      <c r="B40" s="42" t="s">
        <v>93</v>
      </c>
      <c r="C40" s="42">
        <v>1240</v>
      </c>
      <c r="D40" s="42" t="str">
        <v>DV Gội</v>
      </c>
      <c r="E40" s="42" t="s">
        <v>94</v>
      </c>
    </row>
    <row r="41">
      <c r="A41" s="41">
        <v>32</v>
      </c>
      <c r="B41" s="41" t="s">
        <v>96</v>
      </c>
      <c r="C41" s="41">
        <v>867</v>
      </c>
      <c r="D41" s="42" t="str">
        <v>DV Gội</v>
      </c>
      <c r="E41" s="41" t="s">
        <v>95</v>
      </c>
    </row>
    <row r="42">
      <c r="A42" s="42">
        <v>33</v>
      </c>
      <c r="B42" s="42" t="s">
        <v>102</v>
      </c>
      <c r="C42" s="42">
        <v>1243</v>
      </c>
      <c r="D42" s="42" t="str">
        <v>DV Gội</v>
      </c>
      <c r="E42" s="42" t="s">
        <v>103</v>
      </c>
    </row>
    <row r="43">
      <c r="A43" s="41">
        <v>82</v>
      </c>
      <c r="B43" s="41" t="s">
        <v>112</v>
      </c>
      <c r="C43" s="41">
        <v>940</v>
      </c>
      <c r="D43" s="42" t="str">
        <v>DV Gội</v>
      </c>
      <c r="E43" s="41" t="s">
        <v>113</v>
      </c>
    </row>
    <row r="44">
      <c r="A44" s="42">
        <v>83</v>
      </c>
      <c r="B44" s="42" t="s">
        <v>119</v>
      </c>
      <c r="C44" s="42">
        <v>930</v>
      </c>
      <c r="D44" s="42" t="str">
        <v>DV Gội</v>
      </c>
      <c r="E44" s="42" t="s">
        <v>118</v>
      </c>
    </row>
    <row r="45">
      <c r="A45" s="41">
        <v>84</v>
      </c>
      <c r="B45" s="41" t="s">
        <v>125</v>
      </c>
      <c r="C45" s="41">
        <v>931</v>
      </c>
      <c r="D45" s="42" t="str">
        <v>DV Gội</v>
      </c>
      <c r="E45" s="41" t="s">
        <v>126</v>
      </c>
    </row>
    <row r="46">
      <c r="A46" s="42">
        <v>3</v>
      </c>
      <c r="B46" s="42" t="s">
        <v>133</v>
      </c>
      <c r="C46" s="42">
        <v>960</v>
      </c>
      <c r="D46" s="42" t="str">
        <v>DV Nhuộm cao cấp (&gt;300k)</v>
      </c>
      <c r="E46" s="42" t="s">
        <v>132</v>
      </c>
    </row>
    <row r="47">
      <c r="A47" s="41">
        <v>40</v>
      </c>
      <c r="B47" s="41" t="s">
        <v>9</v>
      </c>
      <c r="C47" s="41">
        <v>1149</v>
      </c>
      <c r="D47" s="42" t="str">
        <v>DV Nhuộm cao cấp (&gt;300k)</v>
      </c>
      <c r="E47" s="41" t="s">
        <v>10</v>
      </c>
    </row>
    <row r="48">
      <c r="A48" s="41">
        <v>4</v>
      </c>
      <c r="B48" s="41" t="s">
        <v>17</v>
      </c>
      <c r="C48" s="41">
        <v>967</v>
      </c>
      <c r="D48" s="42" t="str">
        <v>DV Nhuộm tiêu chuẩn (&lt;300k)</v>
      </c>
      <c r="E48" s="41" t="s">
        <v>18</v>
      </c>
    </row>
    <row r="49">
      <c r="A49" s="41">
        <v>70</v>
      </c>
      <c r="B49" s="41" t="s">
        <v>33</v>
      </c>
      <c r="C49" s="41">
        <v>912</v>
      </c>
      <c r="D49" s="42" t="str">
        <v>DV Nhuộm tiêu chuẩn (&lt;300k)</v>
      </c>
      <c r="E49" s="41" t="s">
        <v>34</v>
      </c>
    </row>
    <row r="50">
      <c r="A50" s="41">
        <v>74</v>
      </c>
      <c r="B50" s="41" t="s">
        <v>44</v>
      </c>
      <c r="C50" s="41">
        <v>915</v>
      </c>
      <c r="D50" s="42" t="str">
        <v>DV Nhuộm tiêu chuẩn (&lt;300k)</v>
      </c>
      <c r="E50" s="41" t="s">
        <v>43</v>
      </c>
    </row>
    <row r="51">
      <c r="A51" s="42">
        <v>75</v>
      </c>
      <c r="B51" s="42" t="s">
        <v>54</v>
      </c>
      <c r="C51" s="42">
        <v>916</v>
      </c>
      <c r="D51" s="42" t="str">
        <v>DV Nhuộm tiêu chuẩn (&lt;300k)</v>
      </c>
      <c r="E51" s="42" t="s">
        <v>53</v>
      </c>
    </row>
    <row r="52">
      <c r="A52" s="41">
        <v>58</v>
      </c>
      <c r="B52" s="41" t="s">
        <v>62</v>
      </c>
      <c r="C52" s="41">
        <v>1148</v>
      </c>
      <c r="D52" s="42" t="str">
        <v>DV Uốn cao cấp (&gt;340k)</v>
      </c>
      <c r="E52" s="41" t="s">
        <v>63</v>
      </c>
    </row>
    <row r="53">
      <c r="A53" s="42">
        <v>59</v>
      </c>
      <c r="B53" s="42" t="s">
        <v>70</v>
      </c>
      <c r="C53" s="42">
        <v>952</v>
      </c>
      <c r="D53" s="42" t="str">
        <v>DV Uốn cao cấp (&gt;340k)</v>
      </c>
      <c r="E53" s="42" t="s">
        <v>71</v>
      </c>
    </row>
    <row r="54">
      <c r="A54" s="41">
        <v>76</v>
      </c>
      <c r="B54" s="41" t="s">
        <v>78</v>
      </c>
      <c r="C54" s="41">
        <v>674</v>
      </c>
      <c r="D54" s="42" t="str">
        <v>DV Uốn cao cấp (&gt;340k)</v>
      </c>
      <c r="E54" s="41" t="s">
        <v>77</v>
      </c>
    </row>
    <row r="55">
      <c r="A55" s="42">
        <v>5</v>
      </c>
      <c r="B55" s="42" t="s">
        <v>84</v>
      </c>
      <c r="C55" s="42">
        <v>1009</v>
      </c>
      <c r="D55" s="42" t="str">
        <v>DV Uốn tiêu chuẩn (&lt;340k)</v>
      </c>
      <c r="E55" s="42" t="s">
        <v>85</v>
      </c>
    </row>
    <row r="56">
      <c r="A56" s="41">
        <v>30</v>
      </c>
      <c r="B56" s="41" t="s">
        <v>90</v>
      </c>
      <c r="C56" s="41">
        <v>934</v>
      </c>
      <c r="D56" s="42" t="str">
        <v>Gội VIP - Paradise</v>
      </c>
      <c r="E56" s="41" t="s">
        <v>89</v>
      </c>
    </row>
    <row r="57">
      <c r="A57" s="42">
        <v>31</v>
      </c>
      <c r="B57" s="42" t="s">
        <v>98</v>
      </c>
      <c r="C57" s="42">
        <v>932</v>
      </c>
      <c r="D57" s="42" t="str">
        <v>Gội VIP - Paradise</v>
      </c>
      <c r="E57" s="42" t="s">
        <v>97</v>
      </c>
    </row>
    <row r="58">
      <c r="A58" s="41">
        <v>34</v>
      </c>
      <c r="B58" s="41" t="s">
        <v>104</v>
      </c>
      <c r="C58" s="41">
        <v>1068</v>
      </c>
      <c r="D58" s="42" t="str">
        <v>Gội VIP - Paradise</v>
      </c>
      <c r="E58" s="41" t="s">
        <v>105</v>
      </c>
    </row>
    <row r="59">
      <c r="A59" s="42">
        <v>35</v>
      </c>
      <c r="B59" s="42" t="s">
        <v>114</v>
      </c>
      <c r="C59" s="42">
        <v>1069</v>
      </c>
      <c r="D59" s="42" t="str">
        <v>Gội VIP - Paradise</v>
      </c>
      <c r="E59" s="42" t="s">
        <v>38</v>
      </c>
    </row>
    <row r="60">
      <c r="A60" s="41">
        <v>36</v>
      </c>
      <c r="B60" s="41" t="s">
        <v>120</v>
      </c>
      <c r="C60" s="41">
        <v>1066</v>
      </c>
      <c r="D60" s="42" t="str">
        <v>Gội VIP - Paradise</v>
      </c>
      <c r="E60" s="41" t="s">
        <v>121</v>
      </c>
    </row>
    <row r="61">
      <c r="A61" s="42">
        <v>37</v>
      </c>
      <c r="B61" s="42" t="s">
        <v>127</v>
      </c>
      <c r="C61" s="42">
        <v>1067</v>
      </c>
      <c r="D61" s="42" t="str">
        <v>Gội VIP - Paradise</v>
      </c>
      <c r="E61" s="42" t="s">
        <v>128</v>
      </c>
    </row>
    <row r="62">
      <c r="A62" s="41">
        <v>46</v>
      </c>
      <c r="B62" s="41" t="s">
        <v>134</v>
      </c>
      <c r="C62" s="41">
        <v>1196</v>
      </c>
      <c r="D62" s="42" t="str">
        <v>Gội VIP - Paradise</v>
      </c>
      <c r="E62" s="41" t="s">
        <v>135</v>
      </c>
    </row>
    <row r="63">
      <c r="A63" s="42">
        <v>61</v>
      </c>
      <c r="B63" s="42" t="s">
        <v>12</v>
      </c>
      <c r="C63" s="42">
        <v>1260</v>
      </c>
      <c r="D63" s="42" t="str">
        <v>Gội VIP - Paradise</v>
      </c>
      <c r="E63" s="42" t="s">
        <v>11</v>
      </c>
    </row>
    <row r="64">
      <c r="A64" s="41">
        <v>68</v>
      </c>
      <c r="B64" s="41" t="s">
        <v>20</v>
      </c>
      <c r="C64" s="41">
        <v>636</v>
      </c>
      <c r="D64" s="42" t="str">
        <v>Nhóm Da cơ bản (Ngành CS)</v>
      </c>
      <c r="E64" s="41" t="s">
        <v>19</v>
      </c>
    </row>
    <row r="65">
      <c r="A65" s="42">
        <v>69</v>
      </c>
      <c r="B65" s="42" t="s">
        <v>21</v>
      </c>
      <c r="C65" s="42">
        <v>625</v>
      </c>
      <c r="D65" s="42" t="str">
        <v>Nhóm Da cơ bản (Ngành CS)</v>
      </c>
      <c r="E65" s="42" t="s">
        <v>22</v>
      </c>
    </row>
    <row r="66">
      <c r="A66" s="42">
        <v>73</v>
      </c>
      <c r="B66" s="42" t="s">
        <v>24</v>
      </c>
      <c r="C66" s="42">
        <v>634</v>
      </c>
      <c r="D66" s="42" t="str">
        <v>Nhóm Da cơ bản (Ngành CS)</v>
      </c>
      <c r="E66" s="42" t="s">
        <v>23</v>
      </c>
    </row>
    <row r="67">
      <c r="A67" s="42">
        <v>41</v>
      </c>
      <c r="B67" s="42" t="s">
        <v>36</v>
      </c>
      <c r="C67" s="42">
        <v>615</v>
      </c>
      <c r="D67" s="42" t="str">
        <v>Nhóm da đầu (Ngành CS)</v>
      </c>
      <c r="E67" s="42" t="s">
        <v>35</v>
      </c>
    </row>
    <row r="68">
      <c r="A68" s="42">
        <v>67</v>
      </c>
      <c r="B68" s="42" t="s">
        <v>46</v>
      </c>
      <c r="C68" s="42">
        <v>635</v>
      </c>
      <c r="D68" s="42" t="str">
        <v>Nhóm da đầu (Ngành CS)</v>
      </c>
      <c r="E68" s="42" t="s">
        <v>45</v>
      </c>
    </row>
    <row r="69">
      <c r="A69" s="41">
        <v>72</v>
      </c>
      <c r="B69" s="41" t="s">
        <v>56</v>
      </c>
      <c r="C69" s="41">
        <v>462</v>
      </c>
      <c r="D69" s="42" t="str">
        <v>Nhóm Massage (ngành CS)</v>
      </c>
      <c r="E69" s="41" t="s">
        <v>55</v>
      </c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29" t="str">
        <v>GIÁ DỊCH VỤ CẮT XẢ VÀ CÁC DỊCH VỤ RELAX CÓ CẮT</v>
      </c>
      <c r="B1" s="29"/>
      <c r="C1" s="29"/>
      <c r="D1" s="29"/>
      <c r="E1" s="30"/>
      <c r="F1" s="30"/>
    </row>
    <row r="2">
      <c r="A2" s="29" t="str">
        <v>Salon_name</v>
      </c>
      <c r="B2" s="29" t="str">
        <v>P_Category_name</v>
      </c>
      <c r="C2" s="29" t="str">
        <v>service_id</v>
      </c>
      <c r="D2" s="29" t="str">
        <v>service_name</v>
      </c>
      <c r="E2" s="30" t="str">
        <v>Giá hiện tại</v>
      </c>
      <c r="F2" s="30" t="str">
        <v>Giá mới sắp triển khai</v>
      </c>
    </row>
    <row r="3">
      <c r="A3" s="25" t="str">
        <v>145 THT</v>
      </c>
      <c r="B3" s="25" t="str">
        <v>DV_Cắt</v>
      </c>
      <c r="C3" s="25">
        <v>513</v>
      </c>
      <c r="D3" s="25" t="str">
        <v>[DV] ShineCombo 10 bước Ultra Care 2023</v>
      </c>
      <c r="E3" s="27">
        <v>122000</v>
      </c>
      <c r="F3" s="27">
        <v>122000</v>
      </c>
      <c r="G3">
        <f>VLOOKUP(A3,'Sheet10'!$A:$C,3,0)</f>
      </c>
    </row>
    <row r="4">
      <c r="A4" s="25" t="str">
        <v>145 THT</v>
      </c>
      <c r="B4" s="25" t="str">
        <v>DV_Cắt</v>
      </c>
      <c r="C4" s="25">
        <v>891</v>
      </c>
      <c r="D4" s="25" t="str">
        <v>Cắt xả tạo kiểu</v>
      </c>
      <c r="E4" s="27">
        <v>94000</v>
      </c>
      <c r="F4" s="27">
        <v>94000</v>
      </c>
      <c r="G4">
        <f>VLOOKUP(A4,'Sheet10'!$A:$C,3,0)</f>
      </c>
    </row>
    <row r="5">
      <c r="A5" s="25" t="str">
        <v>145 THT</v>
      </c>
      <c r="B5" s="25" t="str">
        <v>DV_Cắt</v>
      </c>
      <c r="C5" s="25">
        <v>1052</v>
      </c>
      <c r="D5" s="25" t="str">
        <v>Combo 1 - First Class 1</v>
      </c>
      <c r="E5" s="27">
        <v>159000</v>
      </c>
      <c r="F5" s="27">
        <v>159000</v>
      </c>
      <c r="G5">
        <f>VLOOKUP(A5,'Sheet10'!$A:$C,3,0)</f>
      </c>
    </row>
    <row r="6">
      <c r="A6" s="25" t="str">
        <v>145 THT</v>
      </c>
      <c r="B6" s="25" t="str">
        <v>DV_Cắt</v>
      </c>
      <c r="C6" s="25">
        <v>1070</v>
      </c>
      <c r="D6" s="25" t="str">
        <v>Combo Cắt gội Kid</v>
      </c>
      <c r="E6" s="27">
        <v>100000</v>
      </c>
      <c r="F6" s="27">
        <v>100000</v>
      </c>
      <c r="G6">
        <f>VLOOKUP(A6,'Sheet10'!$A:$C,3,0)</f>
      </c>
    </row>
    <row r="7">
      <c r="A7" s="25" t="str">
        <v>145 THT</v>
      </c>
      <c r="B7" s="25" t="str">
        <v>DV_Cắt</v>
      </c>
      <c r="C7" s="25">
        <v>1002</v>
      </c>
      <c r="D7" s="25" t="str">
        <v>Kid Cắt</v>
      </c>
      <c r="E7" s="27">
        <v>75000</v>
      </c>
      <c r="F7" s="27">
        <v>75000</v>
      </c>
      <c r="G7">
        <f>VLOOKUP(A7,'Sheet10'!$A:$C,3,0)</f>
      </c>
    </row>
    <row r="8">
      <c r="A8" s="25" t="str">
        <v>145 THT</v>
      </c>
      <c r="B8" s="25" t="str">
        <v>DV_Cắt_Vip</v>
      </c>
      <c r="C8" s="25">
        <v>1047</v>
      </c>
      <c r="D8" s="25" t="str">
        <v>Cắt Gội Combo 3 - Chăm da</v>
      </c>
      <c r="E8" s="27">
        <v>299000</v>
      </c>
      <c r="F8" s="27">
        <v>299000</v>
      </c>
      <c r="G8">
        <f>VLOOKUP(A8,'Sheet10'!$A:$C,3,0)</f>
      </c>
    </row>
    <row r="9">
      <c r="A9" s="25" t="str">
        <v>145 THT</v>
      </c>
      <c r="B9" s="25" t="str">
        <v>DV_Cắt_Vip</v>
      </c>
      <c r="C9" s="25">
        <v>1065</v>
      </c>
      <c r="D9" s="25" t="str">
        <v>Cắt Gội Combo 3 - Dưỡng sinh</v>
      </c>
      <c r="E9" s="27">
        <v>299000</v>
      </c>
      <c r="F9" s="27">
        <v>299000</v>
      </c>
      <c r="G9">
        <f>VLOOKUP(A9,'Sheet10'!$A:$C,3,0)</f>
      </c>
    </row>
    <row r="10">
      <c r="A10" s="25" t="str">
        <v>145 THT</v>
      </c>
      <c r="B10" s="25" t="str">
        <v>DV_Cắt_Vip</v>
      </c>
      <c r="C10" s="25">
        <v>1049</v>
      </c>
      <c r="D10" s="25" t="str">
        <v>Cắt Gội Combo 5 - Chăm da</v>
      </c>
      <c r="E10" s="27">
        <v>399000</v>
      </c>
      <c r="F10" s="27">
        <v>399000</v>
      </c>
      <c r="G10">
        <f>VLOOKUP(A10,'Sheet10'!$A:$C,3,0)</f>
      </c>
    </row>
    <row r="11">
      <c r="A11" s="25" t="str">
        <v>145 THT</v>
      </c>
      <c r="B11" s="25" t="str">
        <v>DV_Cắt_Vip</v>
      </c>
      <c r="C11" s="25">
        <v>1064</v>
      </c>
      <c r="D11" s="25" t="str">
        <v>Cắt Gội Combo 5 - Dưỡng sinh</v>
      </c>
      <c r="E11" s="27">
        <v>459000</v>
      </c>
      <c r="F11" s="27">
        <v>459000</v>
      </c>
      <c r="G11">
        <f>VLOOKUP(A11,'Sheet10'!$A:$C,3,0)</f>
      </c>
    </row>
    <row r="12">
      <c r="A12" s="25" t="str">
        <v>145 THT</v>
      </c>
      <c r="B12" s="25" t="str">
        <v>DV_Cắt_Vip</v>
      </c>
      <c r="C12" s="25">
        <v>1054</v>
      </c>
      <c r="D12" s="25" t="str">
        <v>Combo 3 - First Class 3</v>
      </c>
      <c r="E12" s="27">
        <v>299000</v>
      </c>
      <c r="F12" s="27">
        <v>299000</v>
      </c>
      <c r="G12">
        <f>VLOOKUP(A12,'Sheet10'!$A:$C,3,0)</f>
      </c>
    </row>
    <row r="13">
      <c r="A13" s="25" t="str">
        <v>145 THT</v>
      </c>
      <c r="B13" s="25" t="str">
        <v>DV_Cắt_Vip</v>
      </c>
      <c r="C13" s="25">
        <v>1048</v>
      </c>
      <c r="D13" s="25" t="str">
        <v>Combo 4</v>
      </c>
      <c r="E13" s="27">
        <v>389000</v>
      </c>
      <c r="F13" s="27">
        <v>389000</v>
      </c>
      <c r="G13">
        <f>VLOOKUP(A13,'Sheet10'!$A:$C,3,0)</f>
      </c>
    </row>
    <row r="14">
      <c r="A14" s="25" t="str">
        <v>145 THT</v>
      </c>
      <c r="B14" s="25" t="str">
        <v>DV_Cắt_Vip</v>
      </c>
      <c r="C14" s="25">
        <v>1046</v>
      </c>
      <c r="D14" s="25" t="str">
        <v>Shinecombo 2</v>
      </c>
      <c r="E14" s="27">
        <v>199000</v>
      </c>
      <c r="F14" s="27">
        <v>199000</v>
      </c>
      <c r="G14">
        <f>VLOOKUP(A14,'Sheet10'!$A:$C,3,0)</f>
      </c>
    </row>
    <row r="15">
      <c r="A15" s="25" t="str">
        <v>190 HB</v>
      </c>
      <c r="B15" s="25" t="str">
        <v>DV_Cắt</v>
      </c>
      <c r="C15" s="25">
        <v>513</v>
      </c>
      <c r="D15" s="25" t="str">
        <v>[DV] ShineCombo 10 bước Ultra Care 2023</v>
      </c>
      <c r="E15" s="27">
        <v>122000</v>
      </c>
      <c r="F15" s="27">
        <v>122000</v>
      </c>
      <c r="G15">
        <f>VLOOKUP(A15,'Sheet10'!$A:$C,3,0)</f>
      </c>
    </row>
    <row r="16">
      <c r="A16" s="25" t="str">
        <v>190 HB</v>
      </c>
      <c r="B16" s="25" t="str">
        <v>DV_Cắt</v>
      </c>
      <c r="C16" s="25">
        <v>1070</v>
      </c>
      <c r="D16" s="25" t="str">
        <v>Combo Cắt gội Kid</v>
      </c>
      <c r="E16" s="27">
        <v>100000</v>
      </c>
      <c r="F16" s="27">
        <v>100000</v>
      </c>
      <c r="G16">
        <f>VLOOKUP(A16,'Sheet10'!$A:$C,3,0)</f>
      </c>
    </row>
    <row r="17">
      <c r="A17" s="25" t="str">
        <v>190 HB</v>
      </c>
      <c r="B17" s="25" t="str">
        <v>DV_Cắt</v>
      </c>
      <c r="C17" s="25">
        <v>891</v>
      </c>
      <c r="D17" s="25" t="str">
        <v>Cắt xả tạo kiểu</v>
      </c>
      <c r="E17" s="27">
        <v>94000</v>
      </c>
      <c r="F17" s="46">
        <v>100000</v>
      </c>
      <c r="G17">
        <f>VLOOKUP(A17,'Sheet10'!$A:$C,3,0)</f>
      </c>
    </row>
    <row r="18">
      <c r="A18" s="25" t="str">
        <v>190 HB</v>
      </c>
      <c r="B18" s="25" t="str">
        <v>DV_Cắt</v>
      </c>
      <c r="C18" s="25">
        <v>1002</v>
      </c>
      <c r="D18" s="25" t="str">
        <v>Kid Cắt</v>
      </c>
      <c r="E18" s="27">
        <v>75000</v>
      </c>
      <c r="F18" s="46">
        <v>81000</v>
      </c>
      <c r="G18">
        <f>VLOOKUP(A18,'Sheet10'!$A:$C,3,0)</f>
      </c>
    </row>
    <row r="19">
      <c r="A19" s="25" t="str">
        <v>190 HB</v>
      </c>
      <c r="B19" s="25" t="str">
        <v>DV_Cắt_Vip</v>
      </c>
      <c r="C19" s="25">
        <v>1047</v>
      </c>
      <c r="D19" s="25" t="str">
        <v>Cắt Gội Combo 3 - Chăm da</v>
      </c>
      <c r="E19" s="27">
        <v>299000</v>
      </c>
      <c r="F19" s="46">
        <v>305000</v>
      </c>
      <c r="G19">
        <f>VLOOKUP(A19,'Sheet10'!$A:$C,3,0)</f>
      </c>
    </row>
    <row r="20">
      <c r="A20" s="25" t="str">
        <v>190 HB</v>
      </c>
      <c r="B20" s="25" t="str">
        <v>DV_Cắt_Vip</v>
      </c>
      <c r="C20" s="25">
        <v>1048</v>
      </c>
      <c r="D20" s="25" t="str">
        <v>Combo 4</v>
      </c>
      <c r="E20" s="27">
        <v>389000</v>
      </c>
      <c r="F20" s="46">
        <v>395000</v>
      </c>
      <c r="G20">
        <f>VLOOKUP(A20,'Sheet10'!$A:$C,3,0)</f>
      </c>
    </row>
    <row r="21">
      <c r="A21" s="25" t="str">
        <v>190 HB</v>
      </c>
      <c r="B21" s="25" t="str">
        <v>DV_Cắt_Vip</v>
      </c>
      <c r="C21" s="25">
        <v>1194</v>
      </c>
      <c r="D21" s="25" t="str">
        <v>Combo Best choice</v>
      </c>
      <c r="E21" s="27">
        <v>299000</v>
      </c>
      <c r="F21" s="46">
        <v>305000</v>
      </c>
      <c r="G21">
        <f>VLOOKUP(A21,'Sheet10'!$A:$C,3,0)</f>
      </c>
    </row>
    <row r="22">
      <c r="A22" s="25" t="str">
        <v>190 HB</v>
      </c>
      <c r="B22" s="25" t="str">
        <v>DV_Cắt_Vip</v>
      </c>
      <c r="C22" s="25">
        <v>1046</v>
      </c>
      <c r="D22" s="25" t="str">
        <v>Shinecombo 2</v>
      </c>
      <c r="E22" s="27">
        <v>199000</v>
      </c>
      <c r="F22" s="46">
        <v>205000</v>
      </c>
      <c r="G22">
        <f>VLOOKUP(A22,'Sheet10'!$A:$C,3,0)</f>
      </c>
    </row>
    <row r="23">
      <c r="A23" s="25" t="str">
        <v>312 LVS</v>
      </c>
      <c r="B23" s="25" t="str">
        <v>DV_Cắt</v>
      </c>
      <c r="C23" s="25">
        <v>513</v>
      </c>
      <c r="D23" s="25" t="str">
        <v>[DV] ShineCombo 10 bước Ultra Care 2023</v>
      </c>
      <c r="E23" s="27">
        <v>122000</v>
      </c>
      <c r="F23" s="27">
        <v>122000</v>
      </c>
      <c r="G23">
        <f>VLOOKUP(A23,'Sheet10'!$A:$C,3,0)</f>
      </c>
    </row>
    <row r="24">
      <c r="A24" s="25" t="str">
        <v>312 LVS</v>
      </c>
      <c r="B24" s="25" t="str">
        <v>DV_Cắt</v>
      </c>
      <c r="C24" s="25">
        <v>1070</v>
      </c>
      <c r="D24" s="25" t="str">
        <v>Combo Cắt gội Kid</v>
      </c>
      <c r="E24" s="27">
        <v>100000</v>
      </c>
      <c r="F24" s="27">
        <v>100000</v>
      </c>
      <c r="G24">
        <f>VLOOKUP(A24,'Sheet10'!$A:$C,3,0)</f>
      </c>
    </row>
    <row r="25">
      <c r="A25" s="25" t="str">
        <v>312 LVS</v>
      </c>
      <c r="B25" s="25" t="str">
        <v>DV_Cắt</v>
      </c>
      <c r="C25" s="25">
        <v>891</v>
      </c>
      <c r="D25" s="25" t="str">
        <v>Cắt xả tạo kiểu</v>
      </c>
      <c r="E25" s="27">
        <v>94000</v>
      </c>
      <c r="F25" s="46">
        <v>97000</v>
      </c>
      <c r="G25">
        <f>VLOOKUP(A25,'Sheet10'!$A:$C,3,0)</f>
      </c>
    </row>
    <row r="26">
      <c r="A26" s="25" t="str">
        <v>312 LVS</v>
      </c>
      <c r="B26" s="25" t="str">
        <v>DV_Cắt</v>
      </c>
      <c r="C26" s="25">
        <v>1052</v>
      </c>
      <c r="D26" s="25" t="str">
        <v>Combo 1 - First Class 1</v>
      </c>
      <c r="E26" s="27">
        <v>159000</v>
      </c>
      <c r="F26" s="27">
        <v>159000</v>
      </c>
      <c r="G26">
        <f>VLOOKUP(A26,'Sheet10'!$A:$C,3,0)</f>
      </c>
    </row>
    <row r="27">
      <c r="A27" s="25" t="str">
        <v>312 LVS</v>
      </c>
      <c r="B27" s="25" t="str">
        <v>DV_Cắt</v>
      </c>
      <c r="C27" s="25">
        <v>1002</v>
      </c>
      <c r="D27" s="25" t="str">
        <v>Kid Cắt</v>
      </c>
      <c r="E27" s="27">
        <v>75000</v>
      </c>
      <c r="F27" s="46">
        <v>78000</v>
      </c>
      <c r="G27">
        <f>VLOOKUP(A27,'Sheet10'!$A:$C,3,0)</f>
      </c>
    </row>
    <row r="28">
      <c r="A28" s="25" t="str">
        <v>312 LVS</v>
      </c>
      <c r="B28" s="25" t="str">
        <v>DV_Cắt_Vip</v>
      </c>
      <c r="C28" s="25">
        <v>1047</v>
      </c>
      <c r="D28" s="25" t="str">
        <v>Cắt Gội Combo 3 - Chăm da</v>
      </c>
      <c r="E28" s="27">
        <v>299000</v>
      </c>
      <c r="F28" s="46">
        <v>302000</v>
      </c>
      <c r="G28">
        <f>VLOOKUP(A28,'Sheet10'!$A:$C,3,0)</f>
      </c>
    </row>
    <row r="29">
      <c r="A29" s="25" t="str">
        <v>312 LVS</v>
      </c>
      <c r="B29" s="25" t="str">
        <v>DV_Cắt_Vip</v>
      </c>
      <c r="C29" s="25">
        <v>1065</v>
      </c>
      <c r="D29" s="25" t="str">
        <v>Cắt Gội Combo 3 - Dưỡng sinh</v>
      </c>
      <c r="E29" s="27">
        <v>299000</v>
      </c>
      <c r="F29" s="46">
        <v>302000</v>
      </c>
      <c r="G29">
        <f>VLOOKUP(A29,'Sheet10'!$A:$C,3,0)</f>
      </c>
    </row>
    <row r="30">
      <c r="A30" s="25" t="str">
        <v>312 LVS</v>
      </c>
      <c r="B30" s="25" t="str">
        <v>DV_Cắt_Vip</v>
      </c>
      <c r="C30" s="25">
        <v>1064</v>
      </c>
      <c r="D30" s="25" t="str">
        <v>Cắt Gội Combo 5 - Dưỡng sinh</v>
      </c>
      <c r="E30" s="27">
        <v>459000</v>
      </c>
      <c r="F30" s="46">
        <v>462000</v>
      </c>
      <c r="G30">
        <f>VLOOKUP(A30,'Sheet10'!$A:$C,3,0)</f>
      </c>
    </row>
    <row r="31">
      <c r="A31" s="25" t="str">
        <v>312 LVS</v>
      </c>
      <c r="B31" s="25" t="str">
        <v>DV_Cắt_Vip</v>
      </c>
      <c r="C31" s="25">
        <v>1048</v>
      </c>
      <c r="D31" s="25" t="str">
        <v>Combo 4</v>
      </c>
      <c r="E31" s="27">
        <v>389000</v>
      </c>
      <c r="F31" s="46">
        <v>392000</v>
      </c>
      <c r="G31">
        <f>VLOOKUP(A31,'Sheet10'!$A:$C,3,0)</f>
      </c>
    </row>
    <row r="32">
      <c r="A32" s="25" t="str">
        <v>312 LVS</v>
      </c>
      <c r="B32" s="25" t="str">
        <v>DV_Cắt_Vip</v>
      </c>
      <c r="C32" s="25">
        <v>1046</v>
      </c>
      <c r="D32" s="25" t="str">
        <v>Shinecombo 2</v>
      </c>
      <c r="E32" s="27">
        <v>199000</v>
      </c>
      <c r="F32" s="46">
        <v>202000</v>
      </c>
      <c r="G32">
        <f>VLOOKUP(A32,'Sheet10'!$A:$C,3,0)</f>
      </c>
    </row>
    <row r="33">
      <c r="A33" s="25" t="str">
        <v>575 AC</v>
      </c>
      <c r="B33" s="25" t="str">
        <v>DV_Cắt</v>
      </c>
      <c r="C33" s="25">
        <v>513</v>
      </c>
      <c r="D33" s="25" t="str">
        <v>[DV] ShineCombo 10 bước Ultra Care 2023</v>
      </c>
      <c r="E33" s="27">
        <v>122000</v>
      </c>
      <c r="F33" s="27">
        <v>122000</v>
      </c>
      <c r="G33">
        <f>VLOOKUP(A33,'Sheet10'!$A:$C,3,0)</f>
      </c>
    </row>
    <row r="34">
      <c r="A34" s="25" t="str">
        <v>575 AC</v>
      </c>
      <c r="B34" s="25" t="str">
        <v>DV_Cắt</v>
      </c>
      <c r="C34" s="25">
        <v>1070</v>
      </c>
      <c r="D34" s="25" t="str">
        <v>Combo Cắt gội Kid</v>
      </c>
      <c r="E34" s="27">
        <v>100000</v>
      </c>
      <c r="F34" s="27">
        <v>100000</v>
      </c>
      <c r="G34">
        <f>VLOOKUP(A34,'Sheet10'!$A:$C,3,0)</f>
      </c>
    </row>
    <row r="35">
      <c r="A35" s="25" t="str">
        <v>575 AC</v>
      </c>
      <c r="B35" s="25" t="str">
        <v>DV_Cắt</v>
      </c>
      <c r="C35" s="25">
        <v>891</v>
      </c>
      <c r="D35" s="25" t="str">
        <v>Cắt xả tạo kiểu</v>
      </c>
      <c r="E35" s="27">
        <v>94000</v>
      </c>
      <c r="F35" s="46">
        <v>100000</v>
      </c>
      <c r="G35">
        <f>VLOOKUP(A35,'Sheet10'!$A:$C,3,0)</f>
      </c>
    </row>
    <row r="36">
      <c r="A36" s="25" t="str">
        <v>575 AC</v>
      </c>
      <c r="B36" s="25" t="str">
        <v>DV_Cắt</v>
      </c>
      <c r="C36" s="25">
        <v>1002</v>
      </c>
      <c r="D36" s="25" t="str">
        <v>Kid Cắt</v>
      </c>
      <c r="E36" s="27">
        <v>75000</v>
      </c>
      <c r="F36" s="46">
        <v>81000</v>
      </c>
      <c r="G36">
        <f>VLOOKUP(A36,'Sheet10'!$A:$C,3,0)</f>
      </c>
    </row>
    <row r="37">
      <c r="A37" s="25" t="str">
        <v>575 AC</v>
      </c>
      <c r="B37" s="25" t="str">
        <v>DV_Cắt_Vip</v>
      </c>
      <c r="C37" s="25">
        <v>1047</v>
      </c>
      <c r="D37" s="25" t="str">
        <v>Cắt Gội Combo 3 - Chăm da</v>
      </c>
      <c r="E37" s="27">
        <v>299000</v>
      </c>
      <c r="F37" s="46">
        <v>305000</v>
      </c>
      <c r="G37">
        <f>VLOOKUP(A37,'Sheet10'!$A:$C,3,0)</f>
      </c>
    </row>
    <row r="38">
      <c r="A38" s="25" t="str">
        <v>575 AC</v>
      </c>
      <c r="B38" s="25" t="str">
        <v>DV_Cắt_Vip</v>
      </c>
      <c r="C38" s="25">
        <v>1065</v>
      </c>
      <c r="D38" s="25" t="str">
        <v>Cắt Gội Combo 3 - Dưỡng sinh</v>
      </c>
      <c r="E38" s="27">
        <v>299000</v>
      </c>
      <c r="F38" s="46">
        <v>305000</v>
      </c>
      <c r="G38">
        <f>VLOOKUP(A38,'Sheet10'!$A:$C,3,0)</f>
      </c>
    </row>
    <row r="39">
      <c r="A39" s="25" t="str">
        <v>575 AC</v>
      </c>
      <c r="B39" s="25" t="str">
        <v>DV_Cắt_Vip</v>
      </c>
      <c r="C39" s="25">
        <v>1064</v>
      </c>
      <c r="D39" s="25" t="str">
        <v>Cắt Gội Combo 5 - Dưỡng sinh</v>
      </c>
      <c r="E39" s="27">
        <v>459000</v>
      </c>
      <c r="F39" s="46">
        <v>465000</v>
      </c>
      <c r="G39">
        <f>VLOOKUP(A39,'Sheet10'!$A:$C,3,0)</f>
      </c>
    </row>
    <row r="40">
      <c r="A40" s="25" t="str">
        <v>575 AC</v>
      </c>
      <c r="B40" s="25" t="str">
        <v>DV_Cắt_Vip</v>
      </c>
      <c r="C40" s="25">
        <v>1053</v>
      </c>
      <c r="D40" s="25" t="str">
        <v>Combo 2 - First Class 2</v>
      </c>
      <c r="E40" s="27">
        <v>239000</v>
      </c>
      <c r="F40" s="46">
        <v>245000</v>
      </c>
      <c r="G40">
        <f>VLOOKUP(A40,'Sheet10'!$A:$C,3,0)</f>
      </c>
    </row>
    <row r="41">
      <c r="A41" s="25" t="str">
        <v>575 AC</v>
      </c>
      <c r="B41" s="25" t="str">
        <v>DV_Cắt_Vip</v>
      </c>
      <c r="C41" s="25">
        <v>1054</v>
      </c>
      <c r="D41" s="25" t="str">
        <v>Combo 3 - First Class 3</v>
      </c>
      <c r="E41" s="27">
        <v>299000</v>
      </c>
      <c r="F41" s="46">
        <v>305000</v>
      </c>
      <c r="G41">
        <f>VLOOKUP(A41,'Sheet10'!$A:$C,3,0)</f>
      </c>
    </row>
    <row r="42">
      <c r="A42" s="25" t="str">
        <v>575 AC</v>
      </c>
      <c r="B42" s="25" t="str">
        <v>DV_Cắt_Vip</v>
      </c>
      <c r="C42" s="25">
        <v>1048</v>
      </c>
      <c r="D42" s="25" t="str">
        <v>Combo 4</v>
      </c>
      <c r="E42" s="27">
        <v>389000</v>
      </c>
      <c r="F42" s="46">
        <v>395000</v>
      </c>
      <c r="G42">
        <f>VLOOKUP(A42,'Sheet10'!$A:$C,3,0)</f>
      </c>
    </row>
    <row r="43">
      <c r="A43" s="25" t="str">
        <v>575 AC</v>
      </c>
      <c r="B43" s="25" t="str">
        <v>DV_Cắt_Vip</v>
      </c>
      <c r="C43" s="25">
        <v>1194</v>
      </c>
      <c r="D43" s="25" t="str">
        <v>Combo Best choice</v>
      </c>
      <c r="E43" s="27">
        <v>299000</v>
      </c>
      <c r="F43" s="46">
        <v>305000</v>
      </c>
      <c r="G43">
        <f>VLOOKUP(A43,'Sheet10'!$A:$C,3,0)</f>
      </c>
    </row>
    <row r="44">
      <c r="A44" s="25" t="str">
        <v>575 AC</v>
      </c>
      <c r="B44" s="25" t="str">
        <v>DV_Cắt_Vip</v>
      </c>
      <c r="C44" s="25">
        <v>1046</v>
      </c>
      <c r="D44" s="25" t="str">
        <v>Shinecombo 2</v>
      </c>
      <c r="E44" s="27">
        <v>199000</v>
      </c>
      <c r="F44" s="46">
        <v>205000</v>
      </c>
      <c r="G44">
        <f>VLOOKUP(A44,'Sheet10'!$A:$C,3,0)</f>
      </c>
    </row>
    <row r="45">
      <c r="A45" s="25" t="str">
        <v>708 LTT</v>
      </c>
      <c r="B45" s="25" t="str">
        <v>DV_Cắt</v>
      </c>
      <c r="C45" s="25">
        <v>513</v>
      </c>
      <c r="D45" s="25" t="str">
        <v>[DV] ShineCombo 10 bước Ultra Care 2023</v>
      </c>
      <c r="E45" s="27">
        <v>122000</v>
      </c>
      <c r="F45" s="27">
        <v>122000</v>
      </c>
      <c r="G45">
        <f>VLOOKUP(A45,'Sheet10'!$A:$C,3,0)</f>
      </c>
    </row>
    <row r="46">
      <c r="A46" s="25" t="str">
        <v>708 LTT</v>
      </c>
      <c r="B46" s="25" t="str">
        <v>DV_Cắt</v>
      </c>
      <c r="C46" s="25">
        <v>1070</v>
      </c>
      <c r="D46" s="25" t="str">
        <v>Combo Cắt gội Kid</v>
      </c>
      <c r="E46" s="27">
        <v>100000</v>
      </c>
      <c r="F46" s="27">
        <v>100000</v>
      </c>
      <c r="G46">
        <f>VLOOKUP(A46,'Sheet10'!$A:$C,3,0)</f>
      </c>
    </row>
    <row r="47">
      <c r="A47" s="25" t="str">
        <v>708 LTT</v>
      </c>
      <c r="B47" s="25" t="str">
        <v>DV_Cắt</v>
      </c>
      <c r="C47" s="25">
        <v>891</v>
      </c>
      <c r="D47" s="25" t="str">
        <v>Cắt xả tạo kiểu</v>
      </c>
      <c r="E47" s="27">
        <v>94000</v>
      </c>
      <c r="F47" s="46">
        <v>103000</v>
      </c>
      <c r="G47">
        <f>VLOOKUP(A47,'Sheet10'!$A:$C,3,0)</f>
      </c>
    </row>
    <row r="48">
      <c r="A48" s="25" t="str">
        <v>708 LTT</v>
      </c>
      <c r="B48" s="25" t="str">
        <v>DV_Cắt</v>
      </c>
      <c r="C48" s="25">
        <v>1002</v>
      </c>
      <c r="D48" s="25" t="str">
        <v>Kid Cắt</v>
      </c>
      <c r="E48" s="27">
        <v>75000</v>
      </c>
      <c r="F48" s="46">
        <v>84000</v>
      </c>
      <c r="G48">
        <f>VLOOKUP(A48,'Sheet10'!$A:$C,3,0)</f>
      </c>
    </row>
    <row r="49">
      <c r="A49" s="25" t="str">
        <v>708 LTT</v>
      </c>
      <c r="B49" s="25" t="str">
        <v>DV_Cắt_Vip</v>
      </c>
      <c r="C49" s="25">
        <v>1047</v>
      </c>
      <c r="D49" s="25" t="str">
        <v>Cắt Gội Combo 3 - Chăm da</v>
      </c>
      <c r="E49" s="27">
        <v>299000</v>
      </c>
      <c r="F49" s="46">
        <v>308000</v>
      </c>
      <c r="G49">
        <f>VLOOKUP(A49,'Sheet10'!$A:$C,3,0)</f>
      </c>
    </row>
    <row r="50">
      <c r="A50" s="25" t="str">
        <v>708 LTT</v>
      </c>
      <c r="B50" s="25" t="str">
        <v>DV_Cắt_Vip</v>
      </c>
      <c r="C50" s="25">
        <v>1065</v>
      </c>
      <c r="D50" s="25" t="str">
        <v>Cắt Gội Combo 3 - Dưỡng sinh</v>
      </c>
      <c r="E50" s="27">
        <v>299000</v>
      </c>
      <c r="F50" s="46">
        <v>308000</v>
      </c>
      <c r="G50">
        <f>VLOOKUP(A50,'Sheet10'!$A:$C,3,0)</f>
      </c>
    </row>
    <row r="51">
      <c r="A51" s="25" t="str">
        <v>708 LTT</v>
      </c>
      <c r="B51" s="25" t="str">
        <v>DV_Cắt_Vip</v>
      </c>
      <c r="C51" s="25">
        <v>1048</v>
      </c>
      <c r="D51" s="25" t="str">
        <v>Combo 4</v>
      </c>
      <c r="E51" s="27">
        <v>389000</v>
      </c>
      <c r="F51" s="46">
        <v>398000</v>
      </c>
      <c r="G51">
        <f>VLOOKUP(A51,'Sheet10'!$A:$C,3,0)</f>
      </c>
    </row>
    <row r="52">
      <c r="A52" s="25" t="str">
        <v>708 LTT</v>
      </c>
      <c r="B52" s="25" t="str">
        <v>DV_Cắt_Vip</v>
      </c>
      <c r="C52" s="25">
        <v>1194</v>
      </c>
      <c r="D52" s="25" t="str">
        <v>Combo Best choice</v>
      </c>
      <c r="E52" s="27">
        <v>299000</v>
      </c>
      <c r="F52" s="46">
        <v>308000</v>
      </c>
      <c r="G52">
        <f>VLOOKUP(A52,'Sheet10'!$A:$C,3,0)</f>
      </c>
    </row>
    <row r="53">
      <c r="A53" s="25" t="str">
        <v>708 LTT</v>
      </c>
      <c r="B53" s="25" t="str">
        <v>DV_Cắt_Vip</v>
      </c>
      <c r="C53" s="25">
        <v>1046</v>
      </c>
      <c r="D53" s="25" t="str">
        <v>Shinecombo 2</v>
      </c>
      <c r="E53" s="27">
        <v>199000</v>
      </c>
      <c r="F53" s="46">
        <v>208000</v>
      </c>
      <c r="G53">
        <f>VLOOKUP(A53,'Sheet10'!$A:$C,3,0)</f>
      </c>
    </row>
    <row r="54">
      <c r="A54" s="25" t="str">
        <v>730 TL10</v>
      </c>
      <c r="B54" s="25" t="str">
        <v>DV_Cắt</v>
      </c>
      <c r="C54" s="25">
        <v>513</v>
      </c>
      <c r="D54" s="25" t="str">
        <v>[DV] ShineCombo 10 bước Ultra Care 2023</v>
      </c>
      <c r="E54" s="27">
        <v>122000</v>
      </c>
      <c r="F54" s="27">
        <v>122000</v>
      </c>
      <c r="G54">
        <f>VLOOKUP(A54,'Sheet10'!$A:$C,3,0)</f>
      </c>
    </row>
    <row r="55">
      <c r="A55" s="25" t="str">
        <v>730 TL10</v>
      </c>
      <c r="B55" s="25" t="str">
        <v>DV_Cắt</v>
      </c>
      <c r="C55" s="25">
        <v>891</v>
      </c>
      <c r="D55" s="25" t="str">
        <v>Cắt xả tạo kiểu</v>
      </c>
      <c r="E55" s="27">
        <v>94000</v>
      </c>
      <c r="F55" s="46">
        <v>100000</v>
      </c>
      <c r="G55">
        <f>VLOOKUP(A55,'Sheet10'!$A:$C,3,0)</f>
      </c>
    </row>
    <row r="56">
      <c r="A56" s="25" t="str">
        <v>730 TL10</v>
      </c>
      <c r="B56" s="25" t="str">
        <v>DV_Cắt</v>
      </c>
      <c r="C56" s="25">
        <v>1052</v>
      </c>
      <c r="D56" s="25" t="str">
        <v>Combo 1 - First Class 1</v>
      </c>
      <c r="E56" s="27">
        <v>159000</v>
      </c>
      <c r="F56" s="27">
        <v>159000</v>
      </c>
      <c r="G56">
        <f>VLOOKUP(A56,'Sheet10'!$A:$C,3,0)</f>
      </c>
    </row>
    <row r="57">
      <c r="A57" s="25" t="str">
        <v>730 TL10</v>
      </c>
      <c r="B57" s="25" t="str">
        <v>DV_Cắt</v>
      </c>
      <c r="C57" s="25">
        <v>1002</v>
      </c>
      <c r="D57" s="25" t="str">
        <v>Kid Cắt</v>
      </c>
      <c r="E57" s="27">
        <v>75000</v>
      </c>
      <c r="F57" s="46">
        <v>81000</v>
      </c>
      <c r="G57">
        <f>VLOOKUP(A57,'Sheet10'!$A:$C,3,0)</f>
      </c>
    </row>
    <row r="58">
      <c r="A58" s="25" t="str">
        <v>730 TL10</v>
      </c>
      <c r="B58" s="25" t="str">
        <v>DV_Cắt_Vip</v>
      </c>
      <c r="C58" s="25">
        <v>1047</v>
      </c>
      <c r="D58" s="25" t="str">
        <v>Cắt Gội Combo 3 - Chăm da</v>
      </c>
      <c r="E58" s="27">
        <v>299000</v>
      </c>
      <c r="F58" s="46">
        <v>305000</v>
      </c>
      <c r="G58">
        <f>VLOOKUP(A58,'Sheet10'!$A:$C,3,0)</f>
      </c>
    </row>
    <row r="59">
      <c r="A59" s="25" t="str">
        <v>730 TL10</v>
      </c>
      <c r="B59" s="25" t="str">
        <v>DV_Cắt_Vip</v>
      </c>
      <c r="C59" s="25">
        <v>1065</v>
      </c>
      <c r="D59" s="25" t="str">
        <v>Cắt Gội Combo 3 - Dưỡng sinh</v>
      </c>
      <c r="E59" s="27">
        <v>299000</v>
      </c>
      <c r="F59" s="46">
        <v>305000</v>
      </c>
      <c r="G59">
        <f>VLOOKUP(A59,'Sheet10'!$A:$C,3,0)</f>
      </c>
    </row>
    <row r="60">
      <c r="A60" s="25" t="str">
        <v>730 TL10</v>
      </c>
      <c r="B60" s="25" t="str">
        <v>DV_Cắt_Vip</v>
      </c>
      <c r="C60" s="25">
        <v>1064</v>
      </c>
      <c r="D60" s="25" t="str">
        <v>Cắt Gội Combo 5 - Dưỡng sinh</v>
      </c>
      <c r="E60" s="27">
        <v>459000</v>
      </c>
      <c r="F60" s="46">
        <v>465000</v>
      </c>
      <c r="G60">
        <f>VLOOKUP(A60,'Sheet10'!$A:$C,3,0)</f>
      </c>
    </row>
    <row r="61">
      <c r="A61" s="25" t="str">
        <v>730 TL10</v>
      </c>
      <c r="B61" s="25" t="str">
        <v>DV_Cắt_Vip</v>
      </c>
      <c r="C61" s="25">
        <v>1048</v>
      </c>
      <c r="D61" s="25" t="str">
        <v>Combo 4</v>
      </c>
      <c r="E61" s="27">
        <v>389000</v>
      </c>
      <c r="F61" s="46">
        <v>395000</v>
      </c>
      <c r="G61">
        <f>VLOOKUP(A61,'Sheet10'!$A:$C,3,0)</f>
      </c>
    </row>
    <row r="62">
      <c r="A62" s="25" t="str">
        <v>730 TL10</v>
      </c>
      <c r="B62" s="25" t="str">
        <v>DV_Cắt</v>
      </c>
      <c r="C62" s="25">
        <v>1070</v>
      </c>
      <c r="D62" s="25" t="str">
        <v>Combo Cắt gội Kid</v>
      </c>
      <c r="E62" s="27">
        <v>100000</v>
      </c>
      <c r="F62" s="27">
        <v>100000</v>
      </c>
      <c r="G62">
        <f>VLOOKUP(A62,'Sheet10'!$A:$C,3,0)</f>
      </c>
    </row>
    <row r="63">
      <c r="A63" s="25" t="str">
        <v>730 TL10</v>
      </c>
      <c r="B63" s="25" t="str">
        <v>DV_Cắt_Vip</v>
      </c>
      <c r="C63" s="25">
        <v>1194</v>
      </c>
      <c r="D63" s="25" t="str">
        <v>Combo Best choice</v>
      </c>
      <c r="E63" s="27">
        <v>299000</v>
      </c>
      <c r="F63" s="46">
        <v>305000</v>
      </c>
      <c r="G63">
        <f>VLOOKUP(A63,'Sheet10'!$A:$C,3,0)</f>
      </c>
    </row>
    <row r="64">
      <c r="A64" s="25" t="str">
        <v>730 TL10</v>
      </c>
      <c r="B64" s="25" t="str">
        <v>DV_Cắt_Vip</v>
      </c>
      <c r="C64" s="25">
        <v>1046</v>
      </c>
      <c r="D64" s="25" t="str">
        <v>Shinecombo 2</v>
      </c>
      <c r="E64" s="27">
        <v>199000</v>
      </c>
      <c r="F64" s="46">
        <v>205000</v>
      </c>
      <c r="G64">
        <f>VLOOKUP(A64,'Sheet10'!$A:$C,3,0)</f>
      </c>
    </row>
    <row r="65">
      <c r="A65" s="25" t="str">
        <v>8 CVL</v>
      </c>
      <c r="B65" s="25" t="str">
        <v>DV_Cắt</v>
      </c>
      <c r="C65" s="25">
        <v>513</v>
      </c>
      <c r="D65" s="25" t="str">
        <v>[DV] ShineCombo 10 bước Ultra Care 2023</v>
      </c>
      <c r="E65" s="27">
        <v>122000</v>
      </c>
      <c r="F65" s="27">
        <v>122000</v>
      </c>
      <c r="G65">
        <f>VLOOKUP(A65,'Sheet10'!$A:$C,3,0)</f>
      </c>
    </row>
    <row r="66">
      <c r="A66" s="25" t="str">
        <v>8 CVL</v>
      </c>
      <c r="B66" s="25" t="str">
        <v>DV_Cắt</v>
      </c>
      <c r="C66" s="25">
        <v>891</v>
      </c>
      <c r="D66" s="25" t="str">
        <v>Cắt xả tạo kiểu</v>
      </c>
      <c r="E66" s="27">
        <v>94000</v>
      </c>
      <c r="F66" s="46">
        <v>100000</v>
      </c>
      <c r="G66">
        <f>VLOOKUP(A66,'Sheet10'!$A:$C,3,0)</f>
      </c>
    </row>
    <row r="67">
      <c r="A67" s="25" t="str">
        <v>8 CVL</v>
      </c>
      <c r="B67" s="25" t="str">
        <v>DV_Cắt</v>
      </c>
      <c r="C67" s="25">
        <v>1052</v>
      </c>
      <c r="D67" s="25" t="str">
        <v>Combo 1 - First Class 1</v>
      </c>
      <c r="E67" s="27">
        <v>159000</v>
      </c>
      <c r="F67" s="27">
        <v>159000</v>
      </c>
      <c r="G67">
        <f>VLOOKUP(A67,'Sheet10'!$A:$C,3,0)</f>
      </c>
    </row>
    <row r="68">
      <c r="A68" s="25" t="str">
        <v>8 CVL</v>
      </c>
      <c r="B68" s="25" t="str">
        <v>DV_Cắt</v>
      </c>
      <c r="C68" s="25">
        <v>1002</v>
      </c>
      <c r="D68" s="25" t="str">
        <v>Kid Cắt</v>
      </c>
      <c r="E68" s="27">
        <v>75000</v>
      </c>
      <c r="F68" s="46">
        <v>81000</v>
      </c>
      <c r="G68">
        <f>VLOOKUP(A68,'Sheet10'!$A:$C,3,0)</f>
      </c>
    </row>
    <row r="69">
      <c r="A69" s="25" t="str">
        <v>8 CVL</v>
      </c>
      <c r="B69" s="25" t="str">
        <v>DV_Cắt_Vip</v>
      </c>
      <c r="C69" s="25">
        <v>1047</v>
      </c>
      <c r="D69" s="25" t="str">
        <v>Cắt Gội Combo 3 - Chăm da</v>
      </c>
      <c r="E69" s="27">
        <v>287000</v>
      </c>
      <c r="F69" s="46">
        <v>293000</v>
      </c>
      <c r="G69">
        <f>VLOOKUP(A69,'Sheet10'!$A:$C,3,0)</f>
      </c>
    </row>
    <row r="70">
      <c r="A70" s="25" t="str">
        <v>8 CVL</v>
      </c>
      <c r="B70" s="25" t="str">
        <v>DV_Cắt_Vip</v>
      </c>
      <c r="C70" s="25">
        <v>1065</v>
      </c>
      <c r="D70" s="25" t="str">
        <v>Cắt Gội Combo 3 - Dưỡng sinh</v>
      </c>
      <c r="E70" s="27">
        <v>299000</v>
      </c>
      <c r="F70" s="46">
        <v>305000</v>
      </c>
      <c r="G70">
        <f>VLOOKUP(A70,'Sheet10'!$A:$C,3,0)</f>
      </c>
    </row>
    <row r="71">
      <c r="A71" s="25" t="str">
        <v>8 CVL</v>
      </c>
      <c r="B71" s="25" t="str">
        <v>DV_Cắt_Vip</v>
      </c>
      <c r="C71" s="25">
        <v>1064</v>
      </c>
      <c r="D71" s="25" t="str">
        <v>Cắt Gội Combo 5 - Dưỡng sinh</v>
      </c>
      <c r="E71" s="27">
        <v>459000</v>
      </c>
      <c r="F71" s="46">
        <v>465000</v>
      </c>
      <c r="G71">
        <f>VLOOKUP(A71,'Sheet10'!$A:$C,3,0)</f>
      </c>
    </row>
    <row r="72">
      <c r="A72" s="25" t="str">
        <v>8 CVL</v>
      </c>
      <c r="B72" s="25" t="str">
        <v>DV_Cắt_Vip</v>
      </c>
      <c r="C72" s="25">
        <v>1054</v>
      </c>
      <c r="D72" s="25" t="str">
        <v>Combo 3 - First Class 3</v>
      </c>
      <c r="E72" s="27">
        <v>299000</v>
      </c>
      <c r="F72" s="46">
        <v>305000</v>
      </c>
      <c r="G72">
        <f>VLOOKUP(A72,'Sheet10'!$A:$C,3,0)</f>
      </c>
    </row>
    <row r="73">
      <c r="A73" s="25" t="str">
        <v>8 CVL</v>
      </c>
      <c r="B73" s="25" t="str">
        <v>DV_Cắt_Vip</v>
      </c>
      <c r="C73" s="25">
        <v>1048</v>
      </c>
      <c r="D73" s="25" t="str">
        <v>Combo 4</v>
      </c>
      <c r="E73" s="27">
        <v>389000</v>
      </c>
      <c r="F73" s="46">
        <v>395000</v>
      </c>
      <c r="G73">
        <f>VLOOKUP(A73,'Sheet10'!$A:$C,3,0)</f>
      </c>
    </row>
    <row r="74">
      <c r="A74" s="25" t="str">
        <v>8 CVL</v>
      </c>
      <c r="B74" s="25" t="str">
        <v>DV_Cắt_Vip</v>
      </c>
      <c r="C74" s="25">
        <v>1194</v>
      </c>
      <c r="D74" s="25" t="str">
        <v>Combo Best choice</v>
      </c>
      <c r="E74" s="27">
        <v>299000</v>
      </c>
      <c r="F74" s="46">
        <v>305000</v>
      </c>
      <c r="G74">
        <f>VLOOKUP(A74,'Sheet10'!$A:$C,3,0)</f>
      </c>
    </row>
    <row r="75">
      <c r="A75" s="25" t="str">
        <v>8 CVL</v>
      </c>
      <c r="B75" s="25" t="str">
        <v>DV_Cắt_Vip</v>
      </c>
      <c r="C75" s="25">
        <v>1046</v>
      </c>
      <c r="D75" s="25" t="str">
        <v>Shinecombo 2</v>
      </c>
      <c r="E75" s="27">
        <v>199000</v>
      </c>
      <c r="F75" s="46">
        <v>205000</v>
      </c>
      <c r="G75">
        <f>VLOOKUP(A75,'Sheet10'!$A:$C,3,0)</f>
      </c>
    </row>
    <row r="76">
      <c r="A76" s="25" t="str">
        <v>927 HG</v>
      </c>
      <c r="B76" s="25" t="str">
        <v>DV_Cắt</v>
      </c>
      <c r="C76" s="25">
        <v>513</v>
      </c>
      <c r="D76" s="25" t="str">
        <v>[DV] ShineCombo 10 bước Ultra Care 2023</v>
      </c>
      <c r="E76" s="27">
        <v>122000</v>
      </c>
      <c r="F76" s="27">
        <v>122000</v>
      </c>
      <c r="G76">
        <f>VLOOKUP(A76,'Sheet10'!$A:$C,3,0)</f>
      </c>
    </row>
    <row r="77">
      <c r="A77" s="25" t="str">
        <v>927 HG</v>
      </c>
      <c r="B77" s="25" t="str">
        <v>DV_Cắt</v>
      </c>
      <c r="C77" s="25">
        <v>891</v>
      </c>
      <c r="D77" s="25" t="str">
        <v>Cắt xả tạo kiểu</v>
      </c>
      <c r="E77" s="27">
        <v>94000</v>
      </c>
      <c r="F77" s="46">
        <v>100000</v>
      </c>
      <c r="G77">
        <f>VLOOKUP(A77,'Sheet10'!$A:$C,3,0)</f>
      </c>
    </row>
    <row r="78">
      <c r="A78" s="25" t="str">
        <v>927 HG</v>
      </c>
      <c r="B78" s="25" t="str">
        <v>DV_Cắt</v>
      </c>
      <c r="C78" s="25">
        <v>1052</v>
      </c>
      <c r="D78" s="25" t="str">
        <v>Combo 1 - First Class 1</v>
      </c>
      <c r="E78" s="27">
        <v>139000</v>
      </c>
      <c r="F78" s="27">
        <v>139000</v>
      </c>
      <c r="G78">
        <f>VLOOKUP(A78,'Sheet10'!$A:$C,3,0)</f>
      </c>
    </row>
    <row r="79">
      <c r="A79" s="25" t="str">
        <v>927 HG</v>
      </c>
      <c r="B79" s="25" t="str">
        <v>DV_Cắt</v>
      </c>
      <c r="C79" s="25">
        <v>1002</v>
      </c>
      <c r="D79" s="25" t="str">
        <v>Kid Cắt</v>
      </c>
      <c r="E79" s="27">
        <v>75000</v>
      </c>
      <c r="F79" s="46">
        <v>81000</v>
      </c>
      <c r="G79">
        <f>VLOOKUP(A79,'Sheet10'!$A:$C,3,0)</f>
      </c>
    </row>
    <row r="80">
      <c r="A80" s="25" t="str">
        <v>927 HG</v>
      </c>
      <c r="B80" s="25" t="str">
        <v>DV_Cắt_Vip</v>
      </c>
      <c r="C80" s="25">
        <v>1047</v>
      </c>
      <c r="D80" s="25" t="str">
        <v>Cắt Gội Combo 3 - Chăm da</v>
      </c>
      <c r="E80" s="27">
        <v>299000</v>
      </c>
      <c r="F80" s="46">
        <v>305000</v>
      </c>
      <c r="G80">
        <f>VLOOKUP(A80,'Sheet10'!$A:$C,3,0)</f>
      </c>
    </row>
    <row r="81">
      <c r="A81" s="25" t="str">
        <v>927 HG</v>
      </c>
      <c r="B81" s="25" t="str">
        <v>DV_Cắt_Vip</v>
      </c>
      <c r="C81" s="25">
        <v>1053</v>
      </c>
      <c r="D81" s="25" t="str">
        <v>Combo 2 - First Class 2</v>
      </c>
      <c r="E81" s="27">
        <v>239000</v>
      </c>
      <c r="F81" s="46">
        <v>245000</v>
      </c>
      <c r="G81">
        <f>VLOOKUP(A81,'Sheet10'!$A:$C,3,0)</f>
      </c>
    </row>
    <row r="82">
      <c r="A82" s="25" t="str">
        <v>927 HG</v>
      </c>
      <c r="B82" s="25" t="str">
        <v>DV_Cắt_Vip</v>
      </c>
      <c r="C82" s="25">
        <v>1054</v>
      </c>
      <c r="D82" s="25" t="str">
        <v>Combo 3 - First Class 3</v>
      </c>
      <c r="E82" s="27">
        <v>309000</v>
      </c>
      <c r="F82" s="46">
        <v>315000</v>
      </c>
      <c r="G82">
        <f>VLOOKUP(A82,'Sheet10'!$A:$C,3,0)</f>
      </c>
    </row>
    <row r="83">
      <c r="A83" s="25" t="str">
        <v>927 HG</v>
      </c>
      <c r="B83" s="25" t="str">
        <v>DV_Cắt_Vip</v>
      </c>
      <c r="C83" s="25">
        <v>1048</v>
      </c>
      <c r="D83" s="25" t="str">
        <v>Combo 4</v>
      </c>
      <c r="E83" s="27">
        <v>389000</v>
      </c>
      <c r="F83" s="46">
        <v>395000</v>
      </c>
      <c r="G83">
        <f>VLOOKUP(A83,'Sheet10'!$A:$C,3,0)</f>
      </c>
    </row>
    <row r="84">
      <c r="A84" s="25" t="str">
        <v>927 HG</v>
      </c>
      <c r="B84" s="25" t="str">
        <v>DV_Cắt_Vip</v>
      </c>
      <c r="C84" s="25">
        <v>1055</v>
      </c>
      <c r="D84" s="25" t="str">
        <v>Combo 4- First Class 4</v>
      </c>
      <c r="E84" s="27">
        <v>409000</v>
      </c>
      <c r="F84" s="46">
        <v>415000</v>
      </c>
      <c r="G84">
        <f>VLOOKUP(A84,'Sheet10'!$A:$C,3,0)</f>
      </c>
    </row>
    <row r="85">
      <c r="A85" s="25" t="str">
        <v>927 HG</v>
      </c>
      <c r="B85" s="25" t="str">
        <v>DV_Cắt_Vip</v>
      </c>
      <c r="C85" s="25">
        <v>1046</v>
      </c>
      <c r="D85" s="25" t="str">
        <v>Shinecombo 2</v>
      </c>
      <c r="E85" s="27">
        <v>199000</v>
      </c>
      <c r="F85" s="46">
        <v>205000</v>
      </c>
      <c r="G85">
        <f>VLOOKUP(A85,'Sheet10'!$A:$C,3,0)</f>
      </c>
    </row>
    <row r="86">
      <c r="A86" s="25" t="str">
        <v>927 HG</v>
      </c>
      <c r="B86" s="25" t="str">
        <v>DV_Cắt</v>
      </c>
      <c r="C86" s="25">
        <v>1070</v>
      </c>
      <c r="D86" s="25" t="str">
        <v>Combo Cắt gội Kid</v>
      </c>
      <c r="E86" s="27">
        <v>100000</v>
      </c>
      <c r="F86" s="27">
        <v>100000</v>
      </c>
      <c r="G86">
        <f>VLOOKUP(A86,'Sheet10'!$A:$C,3,0)</f>
      </c>
    </row>
    <row r="87">
      <c r="A87" s="25" t="str">
        <v>99 TSN</v>
      </c>
      <c r="B87" s="25" t="str">
        <v>DV_Cắt</v>
      </c>
      <c r="C87" s="25">
        <v>513</v>
      </c>
      <c r="D87" s="25" t="str">
        <v>[DV] ShineCombo 10 bước Ultra Care 2023</v>
      </c>
      <c r="E87" s="27">
        <v>122000</v>
      </c>
      <c r="F87" s="27">
        <v>122000</v>
      </c>
      <c r="G87">
        <f>VLOOKUP(A87,'Sheet10'!$A:$C,3,0)</f>
      </c>
    </row>
    <row r="88">
      <c r="A88" s="25" t="str">
        <v>99 TSN</v>
      </c>
      <c r="B88" s="25" t="str">
        <v>DV_Cắt</v>
      </c>
      <c r="C88" s="25">
        <v>891</v>
      </c>
      <c r="D88" s="25" t="str">
        <v>Cắt xả tạo kiểu</v>
      </c>
      <c r="E88" s="27">
        <v>94000</v>
      </c>
      <c r="F88" s="46">
        <v>100000</v>
      </c>
      <c r="G88">
        <f>VLOOKUP(A88,'Sheet10'!$A:$C,3,0)</f>
      </c>
    </row>
    <row r="89">
      <c r="A89" s="25" t="str">
        <v>99 TSN</v>
      </c>
      <c r="B89" s="25" t="str">
        <v>DV_Cắt</v>
      </c>
      <c r="C89" s="25">
        <v>1002</v>
      </c>
      <c r="D89" s="25" t="str">
        <v>Kid Cắt</v>
      </c>
      <c r="E89" s="27">
        <v>75000</v>
      </c>
      <c r="F89" s="46">
        <v>81000</v>
      </c>
      <c r="G89">
        <f>VLOOKUP(A89,'Sheet10'!$A:$C,3,0)</f>
      </c>
    </row>
    <row r="90">
      <c r="A90" s="25" t="str">
        <v>99 TSN</v>
      </c>
      <c r="B90" s="25" t="str">
        <v>DV_Cắt_Vip</v>
      </c>
      <c r="C90" s="25">
        <v>1047</v>
      </c>
      <c r="D90" s="25" t="str">
        <v>Cắt Gội Combo 3 - Chăm da</v>
      </c>
      <c r="E90" s="27">
        <v>299000</v>
      </c>
      <c r="F90" s="46">
        <v>305000</v>
      </c>
      <c r="G90">
        <f>VLOOKUP(A90,'Sheet10'!$A:$C,3,0)</f>
      </c>
    </row>
    <row r="91">
      <c r="A91" s="25" t="str">
        <v>99 TSN</v>
      </c>
      <c r="B91" s="25" t="str">
        <v>DV_Cắt_Vip</v>
      </c>
      <c r="C91" s="25">
        <v>1065</v>
      </c>
      <c r="D91" s="25" t="str">
        <v>Cắt Gội Combo 3 - Dưỡng sinh</v>
      </c>
      <c r="E91" s="27">
        <v>299000</v>
      </c>
      <c r="F91" s="46">
        <v>305000</v>
      </c>
      <c r="G91">
        <f>VLOOKUP(A91,'Sheet10'!$A:$C,3,0)</f>
      </c>
    </row>
    <row r="92">
      <c r="A92" s="25" t="str">
        <v>99 TSN</v>
      </c>
      <c r="B92" s="25" t="str">
        <v>DV_Cắt_Vip</v>
      </c>
      <c r="C92" s="25">
        <v>1064</v>
      </c>
      <c r="D92" s="25" t="str">
        <v>Cắt Gội Combo 5 - Dưỡng sinh</v>
      </c>
      <c r="E92" s="27">
        <v>459000</v>
      </c>
      <c r="F92" s="46">
        <v>465000</v>
      </c>
      <c r="G92">
        <f>VLOOKUP(A92,'Sheet10'!$A:$C,3,0)</f>
      </c>
    </row>
    <row r="93">
      <c r="A93" s="25" t="str">
        <v>99 TSN</v>
      </c>
      <c r="B93" s="25" t="str">
        <v>DV_Cắt_Vip</v>
      </c>
      <c r="C93" s="25">
        <v>1053</v>
      </c>
      <c r="D93" s="25" t="str">
        <v>Combo 2 - First Class 2</v>
      </c>
      <c r="E93" s="27">
        <v>229000</v>
      </c>
      <c r="F93" s="46">
        <v>235000</v>
      </c>
      <c r="G93">
        <f>VLOOKUP(A93,'Sheet10'!$A:$C,3,0)</f>
      </c>
    </row>
    <row r="94">
      <c r="A94" s="25" t="str">
        <v>99 TSN</v>
      </c>
      <c r="B94" s="25" t="str">
        <v>DV_Cắt_Vip</v>
      </c>
      <c r="C94" s="25">
        <v>1048</v>
      </c>
      <c r="D94" s="25" t="str">
        <v>Combo 4</v>
      </c>
      <c r="E94" s="27">
        <v>389000</v>
      </c>
      <c r="F94" s="46">
        <v>395000</v>
      </c>
      <c r="G94">
        <f>VLOOKUP(A94,'Sheet10'!$A:$C,3,0)</f>
      </c>
    </row>
    <row r="95">
      <c r="A95" s="25" t="str">
        <v>99 TSN</v>
      </c>
      <c r="B95" s="25" t="str">
        <v>DV_Cắt_Vip</v>
      </c>
      <c r="C95" s="25">
        <v>1046</v>
      </c>
      <c r="D95" s="25" t="str">
        <v>Shinecombo 2</v>
      </c>
      <c r="E95" s="27">
        <v>199000</v>
      </c>
      <c r="F95" s="46">
        <v>205000</v>
      </c>
      <c r="G95">
        <f>VLOOKUP(A95,'Sheet10'!$A:$C,3,0)</f>
      </c>
    </row>
    <row r="96">
      <c r="A96" s="25" t="str">
        <v>99 TSN</v>
      </c>
      <c r="B96" s="25" t="str">
        <v>DV_Cắt</v>
      </c>
      <c r="C96" s="25">
        <v>1070</v>
      </c>
      <c r="D96" s="25" t="str">
        <v>Combo Cắt gội Kid</v>
      </c>
      <c r="E96" s="27">
        <v>100000</v>
      </c>
      <c r="F96" s="27">
        <v>100000</v>
      </c>
      <c r="G96">
        <f>VLOOKUP(A96,'Sheet10'!$A:$C,3,0)</f>
      </c>
    </row>
    <row r="97">
      <c r="A97" s="25" t="str">
        <v>1180 QT</v>
      </c>
      <c r="B97" s="25" t="str">
        <v>DV_Cắt</v>
      </c>
      <c r="C97" s="25">
        <v>513</v>
      </c>
      <c r="D97" s="25" t="str">
        <v>[DV] ShineCombo 10 bước Ultra Care 2023</v>
      </c>
      <c r="E97" s="27">
        <v>122000</v>
      </c>
      <c r="F97" s="27">
        <v>122000</v>
      </c>
      <c r="G97">
        <f>VLOOKUP(A97,'Sheet10'!$A:$C,3,0)</f>
      </c>
    </row>
    <row r="98">
      <c r="A98" s="25" t="str">
        <v>1180 QT</v>
      </c>
      <c r="B98" s="25" t="str">
        <v>DV_Cắt</v>
      </c>
      <c r="C98" s="25">
        <v>891</v>
      </c>
      <c r="D98" s="25" t="str">
        <v>Cắt xả tạo kiểu</v>
      </c>
      <c r="E98" s="27">
        <v>94000</v>
      </c>
      <c r="F98" s="46">
        <v>103000</v>
      </c>
      <c r="G98">
        <f>VLOOKUP(A98,'Sheet10'!$A:$C,3,0)</f>
      </c>
    </row>
    <row r="99">
      <c r="A99" s="25" t="str">
        <v>1180 QT</v>
      </c>
      <c r="B99" s="25" t="str">
        <v>DV_Cắt</v>
      </c>
      <c r="C99" s="25">
        <v>1052</v>
      </c>
      <c r="D99" s="25" t="str">
        <v>Combo 1 - First Class 1</v>
      </c>
      <c r="E99" s="27">
        <v>139000</v>
      </c>
      <c r="F99" s="27">
        <v>139000</v>
      </c>
      <c r="G99">
        <f>VLOOKUP(A99,'Sheet10'!$A:$C,3,0)</f>
      </c>
    </row>
    <row r="100">
      <c r="A100" s="25" t="str">
        <v>1180 QT</v>
      </c>
      <c r="B100" s="25" t="str">
        <v>DV_Cắt</v>
      </c>
      <c r="C100" s="25">
        <v>1002</v>
      </c>
      <c r="D100" s="25" t="str">
        <v>Kid Cắt</v>
      </c>
      <c r="E100" s="27">
        <v>75000</v>
      </c>
      <c r="F100" s="46">
        <v>84000</v>
      </c>
      <c r="G100">
        <f>VLOOKUP(A100,'Sheet10'!$A:$C,3,0)</f>
      </c>
    </row>
    <row r="101">
      <c r="A101" s="25" t="str">
        <v>1180 QT</v>
      </c>
      <c r="B101" s="25" t="str">
        <v>DV_Cắt_Vip</v>
      </c>
      <c r="C101" s="25">
        <v>1064</v>
      </c>
      <c r="D101" s="25" t="str">
        <v>Cắt Gội Combo 5 - Dưỡng sinh</v>
      </c>
      <c r="E101" s="27">
        <v>459000</v>
      </c>
      <c r="F101" s="46">
        <v>468000</v>
      </c>
      <c r="G101">
        <f>VLOOKUP(A101,'Sheet10'!$A:$C,3,0)</f>
      </c>
    </row>
    <row r="102">
      <c r="A102" s="25" t="str">
        <v>1180 QT</v>
      </c>
      <c r="B102" s="25" t="str">
        <v>DV_Cắt_Vip</v>
      </c>
      <c r="C102" s="25">
        <v>1053</v>
      </c>
      <c r="D102" s="25" t="str">
        <v>Combo 2 - First Class 2</v>
      </c>
      <c r="E102" s="27">
        <v>239000</v>
      </c>
      <c r="F102" s="46">
        <v>248000</v>
      </c>
      <c r="G102">
        <f>VLOOKUP(A102,'Sheet10'!$A:$C,3,0)</f>
      </c>
    </row>
    <row r="103">
      <c r="A103" s="25" t="str">
        <v>1180 QT</v>
      </c>
      <c r="B103" s="25" t="str">
        <v>DV_Cắt_Vip</v>
      </c>
      <c r="C103" s="25">
        <v>1054</v>
      </c>
      <c r="D103" s="25" t="str">
        <v>Combo 3 - First Class 3</v>
      </c>
      <c r="E103" s="27">
        <v>309000</v>
      </c>
      <c r="F103" s="46">
        <v>318000</v>
      </c>
      <c r="G103">
        <f>VLOOKUP(A103,'Sheet10'!$A:$C,3,0)</f>
      </c>
    </row>
    <row r="104">
      <c r="A104" s="25" t="str">
        <v>1180 QT</v>
      </c>
      <c r="B104" s="25" t="str">
        <v>DV_Cắt_Vip</v>
      </c>
      <c r="C104" s="25">
        <v>1048</v>
      </c>
      <c r="D104" s="25" t="str">
        <v>Combo 4</v>
      </c>
      <c r="E104" s="27">
        <v>389000</v>
      </c>
      <c r="F104" s="46">
        <v>398000</v>
      </c>
      <c r="G104">
        <f>VLOOKUP(A104,'Sheet10'!$A:$C,3,0)</f>
      </c>
    </row>
    <row r="105">
      <c r="A105" s="25" t="str">
        <v>1180 QT</v>
      </c>
      <c r="B105" s="25" t="str">
        <v>DV_Cắt_Vip</v>
      </c>
      <c r="C105" s="25">
        <v>1055</v>
      </c>
      <c r="D105" s="25" t="str">
        <v>Combo 4- First Class 4</v>
      </c>
      <c r="E105" s="27">
        <v>409000</v>
      </c>
      <c r="F105" s="46">
        <v>418000</v>
      </c>
      <c r="G105">
        <f>VLOOKUP(A105,'Sheet10'!$A:$C,3,0)</f>
      </c>
    </row>
    <row r="106">
      <c r="A106" s="25" t="str">
        <v>1180 QT</v>
      </c>
      <c r="B106" s="25" t="str">
        <v>DV_Cắt_Vip</v>
      </c>
      <c r="C106" s="25">
        <v>1046</v>
      </c>
      <c r="D106" s="25" t="str">
        <v>Shinecombo 2</v>
      </c>
      <c r="E106" s="27">
        <v>199000</v>
      </c>
      <c r="F106" s="46">
        <v>208000</v>
      </c>
      <c r="G106">
        <f>VLOOKUP(A106,'Sheet10'!$A:$C,3,0)</f>
      </c>
    </row>
    <row r="107">
      <c r="A107" s="25" t="str">
        <v>12 LDT</v>
      </c>
      <c r="B107" s="25" t="str">
        <v>DV_Cắt</v>
      </c>
      <c r="C107" s="25">
        <v>513</v>
      </c>
      <c r="D107" s="25" t="str">
        <v>[DV] ShineCombo 10 bước Ultra Care 2023</v>
      </c>
      <c r="E107" s="27">
        <v>122000</v>
      </c>
      <c r="F107" s="27">
        <v>122000</v>
      </c>
      <c r="G107">
        <f>VLOOKUP(A107,'Sheet10'!$A:$C,3,0)</f>
      </c>
    </row>
    <row r="108">
      <c r="A108" s="25" t="str">
        <v>12 LDT</v>
      </c>
      <c r="B108" s="25" t="str">
        <v>DV_Cắt</v>
      </c>
      <c r="C108" s="25">
        <v>1070</v>
      </c>
      <c r="D108" s="25" t="str">
        <v>Combo Cắt gội Kid</v>
      </c>
      <c r="E108" s="27">
        <v>100000</v>
      </c>
      <c r="F108" s="27">
        <v>100000</v>
      </c>
      <c r="G108">
        <f>VLOOKUP(A108,'Sheet10'!$A:$C,3,0)</f>
      </c>
    </row>
    <row r="109">
      <c r="A109" s="25" t="str">
        <v>12 LDT</v>
      </c>
      <c r="B109" s="25" t="str">
        <v>DV_Cắt</v>
      </c>
      <c r="C109" s="25">
        <v>891</v>
      </c>
      <c r="D109" s="25" t="str">
        <v>Cắt xả tạo kiểu</v>
      </c>
      <c r="E109" s="27">
        <v>94000</v>
      </c>
      <c r="F109" s="46">
        <v>103000</v>
      </c>
      <c r="G109">
        <f>VLOOKUP(A109,'Sheet10'!$A:$C,3,0)</f>
      </c>
    </row>
    <row r="110">
      <c r="A110" s="25" t="str">
        <v>12 LDT</v>
      </c>
      <c r="B110" s="25" t="str">
        <v>DV_Cắt</v>
      </c>
      <c r="C110" s="25">
        <v>1052</v>
      </c>
      <c r="D110" s="25" t="str">
        <v>Combo 1 - First Class 1</v>
      </c>
      <c r="E110" s="27">
        <v>139000</v>
      </c>
      <c r="F110" s="27">
        <v>139000</v>
      </c>
      <c r="G110">
        <f>VLOOKUP(A110,'Sheet10'!$A:$C,3,0)</f>
      </c>
    </row>
    <row r="111">
      <c r="A111" s="25" t="str">
        <v>12 LDT</v>
      </c>
      <c r="B111" s="25" t="str">
        <v>DV_Cắt</v>
      </c>
      <c r="C111" s="25">
        <v>1002</v>
      </c>
      <c r="D111" s="25" t="str">
        <v>Kid Cắt</v>
      </c>
      <c r="E111" s="27">
        <v>75000</v>
      </c>
      <c r="F111" s="46">
        <v>84000</v>
      </c>
      <c r="G111">
        <f>VLOOKUP(A111,'Sheet10'!$A:$C,3,0)</f>
      </c>
    </row>
    <row r="112">
      <c r="A112" s="25" t="str">
        <v>12 LDT</v>
      </c>
      <c r="B112" s="25" t="str">
        <v>DV_Cắt_Vip</v>
      </c>
      <c r="C112" s="25">
        <v>1047</v>
      </c>
      <c r="D112" s="25" t="str">
        <v>Cắt Gội Combo 3 - Chăm da</v>
      </c>
      <c r="E112" s="27">
        <v>299000</v>
      </c>
      <c r="F112" s="46">
        <v>308000</v>
      </c>
      <c r="G112">
        <f>VLOOKUP(A112,'Sheet10'!$A:$C,3,0)</f>
      </c>
    </row>
    <row r="113">
      <c r="A113" s="25" t="str">
        <v>12 LDT</v>
      </c>
      <c r="B113" s="25" t="str">
        <v>DV_Cắt_Vip</v>
      </c>
      <c r="C113" s="25">
        <v>1064</v>
      </c>
      <c r="D113" s="25" t="str">
        <v>Cắt Gội Combo 5 - Dưỡng sinh</v>
      </c>
      <c r="E113" s="27">
        <v>459000</v>
      </c>
      <c r="F113" s="46">
        <v>468000</v>
      </c>
      <c r="G113">
        <f>VLOOKUP(A113,'Sheet10'!$A:$C,3,0)</f>
      </c>
    </row>
    <row r="114">
      <c r="A114" s="25" t="str">
        <v>12 LDT</v>
      </c>
      <c r="B114" s="25" t="str">
        <v>DV_Cắt_Vip</v>
      </c>
      <c r="C114" s="25">
        <v>1053</v>
      </c>
      <c r="D114" s="25" t="str">
        <v>Combo 2 - First Class 2</v>
      </c>
      <c r="E114" s="27">
        <v>239000</v>
      </c>
      <c r="F114" s="46">
        <v>248000</v>
      </c>
      <c r="G114">
        <f>VLOOKUP(A114,'Sheet10'!$A:$C,3,0)</f>
      </c>
    </row>
    <row r="115">
      <c r="A115" s="25" t="str">
        <v>12 LDT</v>
      </c>
      <c r="B115" s="25" t="str">
        <v>DV_Cắt_Vip</v>
      </c>
      <c r="C115" s="25">
        <v>1054</v>
      </c>
      <c r="D115" s="25" t="str">
        <v>Combo 3 - First Class 3</v>
      </c>
      <c r="E115" s="27">
        <v>309000</v>
      </c>
      <c r="F115" s="46">
        <v>318000</v>
      </c>
      <c r="G115">
        <f>VLOOKUP(A115,'Sheet10'!$A:$C,3,0)</f>
      </c>
    </row>
    <row r="116">
      <c r="A116" s="25" t="str">
        <v>12 LDT</v>
      </c>
      <c r="B116" s="25" t="str">
        <v>DV_Cắt_Vip</v>
      </c>
      <c r="C116" s="25">
        <v>1048</v>
      </c>
      <c r="D116" s="25" t="str">
        <v>Combo 4</v>
      </c>
      <c r="E116" s="27">
        <v>389000</v>
      </c>
      <c r="F116" s="46">
        <v>398000</v>
      </c>
      <c r="G116">
        <f>VLOOKUP(A116,'Sheet10'!$A:$C,3,0)</f>
      </c>
    </row>
    <row r="117">
      <c r="A117" s="25" t="str">
        <v>12 LDT</v>
      </c>
      <c r="B117" s="25" t="str">
        <v>DV_Cắt_Vip</v>
      </c>
      <c r="C117" s="25">
        <v>1055</v>
      </c>
      <c r="D117" s="25" t="str">
        <v>Combo 4- First Class 4</v>
      </c>
      <c r="E117" s="27">
        <v>409000</v>
      </c>
      <c r="F117" s="46">
        <v>418000</v>
      </c>
      <c r="G117">
        <f>VLOOKUP(A117,'Sheet10'!$A:$C,3,0)</f>
      </c>
    </row>
    <row r="118">
      <c r="A118" s="25" t="str">
        <v>12 LDT</v>
      </c>
      <c r="B118" s="25" t="str">
        <v>DV_Cắt_Vip</v>
      </c>
      <c r="C118" s="25">
        <v>1046</v>
      </c>
      <c r="D118" s="25" t="str">
        <v>Shinecombo 2</v>
      </c>
      <c r="E118" s="27">
        <v>199000</v>
      </c>
      <c r="F118" s="46">
        <v>208000</v>
      </c>
      <c r="G118">
        <f>VLOOKUP(A118,'Sheet10'!$A:$C,3,0)</f>
      </c>
    </row>
    <row r="119">
      <c r="A119" s="25" t="str">
        <v>32 NAT</v>
      </c>
      <c r="B119" s="25" t="str">
        <v>DV_Cắt</v>
      </c>
      <c r="C119" s="25">
        <v>513</v>
      </c>
      <c r="D119" s="25" t="str">
        <v>[DV] ShineCombo 10 bước Ultra Care 2023</v>
      </c>
      <c r="E119" s="27">
        <v>122000</v>
      </c>
      <c r="F119" s="27">
        <v>122000</v>
      </c>
      <c r="G119">
        <f>VLOOKUP(A119,'Sheet10'!$A:$C,3,0)</f>
      </c>
    </row>
    <row r="120">
      <c r="A120" s="25" t="str">
        <v>32 NAT</v>
      </c>
      <c r="B120" s="25" t="str">
        <v>DV_Cắt</v>
      </c>
      <c r="C120" s="25">
        <v>1070</v>
      </c>
      <c r="D120" s="25" t="str">
        <v>Combo Cắt gội Kid</v>
      </c>
      <c r="E120" s="27">
        <v>100000</v>
      </c>
      <c r="F120" s="27">
        <v>100000</v>
      </c>
      <c r="G120">
        <f>VLOOKUP(A120,'Sheet10'!$A:$C,3,0)</f>
      </c>
    </row>
    <row r="121">
      <c r="A121" s="25" t="str">
        <v>32 NAT</v>
      </c>
      <c r="B121" s="25" t="str">
        <v>DV_Cắt</v>
      </c>
      <c r="C121" s="25">
        <v>891</v>
      </c>
      <c r="D121" s="25" t="str">
        <v>Cắt xả tạo kiểu</v>
      </c>
      <c r="E121" s="27">
        <v>94000</v>
      </c>
      <c r="F121" s="46">
        <v>103000</v>
      </c>
      <c r="G121">
        <f>VLOOKUP(A121,'Sheet10'!$A:$C,3,0)</f>
      </c>
    </row>
    <row r="122">
      <c r="A122" s="25" t="str">
        <v>32 NAT</v>
      </c>
      <c r="B122" s="25" t="str">
        <v>DV_Cắt</v>
      </c>
      <c r="C122" s="25">
        <v>1002</v>
      </c>
      <c r="D122" s="25" t="str">
        <v>Kid Cắt</v>
      </c>
      <c r="E122" s="27">
        <v>75000</v>
      </c>
      <c r="F122" s="46">
        <v>84000</v>
      </c>
      <c r="G122">
        <f>VLOOKUP(A122,'Sheet10'!$A:$C,3,0)</f>
      </c>
    </row>
    <row r="123">
      <c r="A123" s="25" t="str">
        <v>32 NAT</v>
      </c>
      <c r="B123" s="25" t="str">
        <v>DV_Cắt_Vip</v>
      </c>
      <c r="C123" s="25">
        <v>1047</v>
      </c>
      <c r="D123" s="25" t="str">
        <v>Cắt Gội Combo 3 - Chăm da</v>
      </c>
      <c r="E123" s="27">
        <v>299000</v>
      </c>
      <c r="F123" s="46">
        <v>308000</v>
      </c>
      <c r="G123">
        <f>VLOOKUP(A123,'Sheet10'!$A:$C,3,0)</f>
      </c>
    </row>
    <row r="124">
      <c r="A124" s="25" t="str">
        <v>32 NAT</v>
      </c>
      <c r="B124" s="25" t="str">
        <v>DV_Cắt_Vip</v>
      </c>
      <c r="C124" s="25">
        <v>1065</v>
      </c>
      <c r="D124" s="25" t="str">
        <v>Cắt Gội Combo 3 - Dưỡng sinh</v>
      </c>
      <c r="E124" s="27">
        <v>299000</v>
      </c>
      <c r="F124" s="46">
        <v>308000</v>
      </c>
      <c r="G124">
        <f>VLOOKUP(A124,'Sheet10'!$A:$C,3,0)</f>
      </c>
    </row>
    <row r="125">
      <c r="A125" s="25" t="str">
        <v>32 NAT</v>
      </c>
      <c r="B125" s="25" t="str">
        <v>DV_Cắt_Vip</v>
      </c>
      <c r="C125" s="25">
        <v>1048</v>
      </c>
      <c r="D125" s="25" t="str">
        <v>Combo 4</v>
      </c>
      <c r="E125" s="27">
        <v>389000</v>
      </c>
      <c r="F125" s="46">
        <v>398000</v>
      </c>
      <c r="G125">
        <f>VLOOKUP(A125,'Sheet10'!$A:$C,3,0)</f>
      </c>
    </row>
    <row r="126">
      <c r="A126" s="25" t="str">
        <v>32 NAT</v>
      </c>
      <c r="B126" s="25" t="str">
        <v>DV_Cắt_Vip</v>
      </c>
      <c r="C126" s="25">
        <v>1046</v>
      </c>
      <c r="D126" s="25" t="str">
        <v>Shinecombo 2</v>
      </c>
      <c r="E126" s="27">
        <v>199000</v>
      </c>
      <c r="F126" s="46">
        <v>208000</v>
      </c>
      <c r="G126">
        <f>VLOOKUP(A126,'Sheet10'!$A:$C,3,0)</f>
      </c>
    </row>
    <row r="127">
      <c r="A127" s="25" t="str">
        <v>483 TN</v>
      </c>
      <c r="B127" s="25" t="str">
        <v>DV_Cắt</v>
      </c>
      <c r="C127" s="25">
        <v>513</v>
      </c>
      <c r="D127" s="25" t="str">
        <v>[DV] ShineCombo 10 bước Ultra Care 2023</v>
      </c>
      <c r="E127" s="27">
        <v>122000</v>
      </c>
      <c r="F127" s="27">
        <v>122000</v>
      </c>
      <c r="G127">
        <f>VLOOKUP(A127,'Sheet10'!$A:$C,3,0)</f>
      </c>
    </row>
    <row r="128">
      <c r="A128" s="25" t="str">
        <v>483 TN</v>
      </c>
      <c r="B128" s="25" t="str">
        <v>DV_Cắt</v>
      </c>
      <c r="C128" s="25">
        <v>1070</v>
      </c>
      <c r="D128" s="25" t="str">
        <v>Combo Cắt gội Kid</v>
      </c>
      <c r="E128" s="27">
        <v>100000</v>
      </c>
      <c r="F128" s="27">
        <v>100000</v>
      </c>
      <c r="G128">
        <f>VLOOKUP(A128,'Sheet10'!$A:$C,3,0)</f>
      </c>
    </row>
    <row r="129">
      <c r="A129" s="25" t="str">
        <v>483 TN</v>
      </c>
      <c r="B129" s="25" t="str">
        <v>DV_Cắt</v>
      </c>
      <c r="C129" s="25">
        <v>891</v>
      </c>
      <c r="D129" s="25" t="str">
        <v>Cắt xả tạo kiểu</v>
      </c>
      <c r="E129" s="27">
        <v>94000</v>
      </c>
      <c r="F129" s="46">
        <v>100000</v>
      </c>
      <c r="G129">
        <f>VLOOKUP(A129,'Sheet10'!$A:$C,3,0)</f>
      </c>
    </row>
    <row r="130">
      <c r="A130" s="25" t="str">
        <v>483 TN</v>
      </c>
      <c r="B130" s="25" t="str">
        <v>DV_Cắt</v>
      </c>
      <c r="C130" s="25">
        <v>1002</v>
      </c>
      <c r="D130" s="25" t="str">
        <v>Kid Cắt</v>
      </c>
      <c r="E130" s="27">
        <v>75000</v>
      </c>
      <c r="F130" s="46">
        <v>81000</v>
      </c>
      <c r="G130">
        <f>VLOOKUP(A130,'Sheet10'!$A:$C,3,0)</f>
      </c>
    </row>
    <row r="131">
      <c r="A131" s="25" t="str">
        <v>483 TN</v>
      </c>
      <c r="B131" s="25" t="str">
        <v>DV_Cắt_Vip</v>
      </c>
      <c r="C131" s="25">
        <v>1047</v>
      </c>
      <c r="D131" s="25" t="str">
        <v>Cắt Gội Combo 3 - Chăm da</v>
      </c>
      <c r="E131" s="27">
        <v>299000</v>
      </c>
      <c r="F131" s="46">
        <v>305000</v>
      </c>
      <c r="G131">
        <f>VLOOKUP(A131,'Sheet10'!$A:$C,3,0)</f>
      </c>
    </row>
    <row r="132">
      <c r="A132" s="25" t="str">
        <v>483 TN</v>
      </c>
      <c r="B132" s="25" t="str">
        <v>DV_Cắt_Vip</v>
      </c>
      <c r="C132" s="25">
        <v>1064</v>
      </c>
      <c r="D132" s="25" t="str">
        <v>Cắt Gội Combo 5 - Dưỡng sinh</v>
      </c>
      <c r="E132" s="27">
        <v>459000</v>
      </c>
      <c r="F132" s="46">
        <v>465000</v>
      </c>
      <c r="G132">
        <f>VLOOKUP(A132,'Sheet10'!$A:$C,3,0)</f>
      </c>
    </row>
    <row r="133">
      <c r="A133" s="25" t="str">
        <v>483 TN</v>
      </c>
      <c r="B133" s="25" t="str">
        <v>DV_Cắt_Vip</v>
      </c>
      <c r="C133" s="25">
        <v>1053</v>
      </c>
      <c r="D133" s="25" t="str">
        <v>Combo 2 - First Class 2</v>
      </c>
      <c r="E133" s="27">
        <v>229000</v>
      </c>
      <c r="F133" s="46">
        <v>235000</v>
      </c>
      <c r="G133">
        <f>VLOOKUP(A133,'Sheet10'!$A:$C,3,0)</f>
      </c>
    </row>
    <row r="134">
      <c r="A134" s="25" t="str">
        <v>483 TN</v>
      </c>
      <c r="B134" s="25" t="str">
        <v>DV_Cắt_Vip</v>
      </c>
      <c r="C134" s="25">
        <v>1054</v>
      </c>
      <c r="D134" s="25" t="str">
        <v>Combo 3 - First Class 3</v>
      </c>
      <c r="E134" s="27">
        <v>299000</v>
      </c>
      <c r="F134" s="46">
        <v>305000</v>
      </c>
      <c r="G134">
        <f>VLOOKUP(A134,'Sheet10'!$A:$C,3,0)</f>
      </c>
    </row>
    <row r="135">
      <c r="A135" s="25" t="str">
        <v>483 TN</v>
      </c>
      <c r="B135" s="25" t="str">
        <v>DV_Cắt_Vip</v>
      </c>
      <c r="C135" s="25">
        <v>1048</v>
      </c>
      <c r="D135" s="25" t="str">
        <v>Combo 4</v>
      </c>
      <c r="E135" s="27">
        <v>389000</v>
      </c>
      <c r="F135" s="46">
        <v>395000</v>
      </c>
      <c r="G135">
        <f>VLOOKUP(A135,'Sheet10'!$A:$C,3,0)</f>
      </c>
    </row>
    <row r="136">
      <c r="A136" s="25" t="str">
        <v>483 TN</v>
      </c>
      <c r="B136" s="25" t="str">
        <v>DV_Cắt_Vip</v>
      </c>
      <c r="C136" s="25">
        <v>1046</v>
      </c>
      <c r="D136" s="25" t="str">
        <v>Shinecombo 2</v>
      </c>
      <c r="E136" s="27">
        <v>199000</v>
      </c>
      <c r="F136" s="46">
        <v>205000</v>
      </c>
      <c r="G136">
        <f>VLOOKUP(A136,'Sheet10'!$A:$C,3,0)</f>
      </c>
    </row>
    <row r="137">
      <c r="A137" s="25" t="str">
        <v>76 PVH</v>
      </c>
      <c r="B137" s="25" t="str">
        <v>DV_Cắt</v>
      </c>
      <c r="C137" s="25">
        <v>513</v>
      </c>
      <c r="D137" s="25" t="str">
        <v>[DV] ShineCombo 10 bước Ultra Care 2023</v>
      </c>
      <c r="E137" s="27">
        <v>122000</v>
      </c>
      <c r="F137" s="27">
        <v>122000</v>
      </c>
      <c r="G137">
        <f>VLOOKUP(A137,'Sheet10'!$A:$C,3,0)</f>
      </c>
    </row>
    <row r="138">
      <c r="A138" s="25" t="str">
        <v>76 PVH</v>
      </c>
      <c r="B138" s="25" t="str">
        <v>DV_Cắt</v>
      </c>
      <c r="C138" s="25">
        <v>891</v>
      </c>
      <c r="D138" s="25" t="str">
        <v>Cắt xả tạo kiểu</v>
      </c>
      <c r="E138" s="27">
        <v>94000</v>
      </c>
      <c r="F138" s="46">
        <v>103000</v>
      </c>
      <c r="G138">
        <f>VLOOKUP(A138,'Sheet10'!$A:$C,3,0)</f>
      </c>
    </row>
    <row r="139">
      <c r="A139" s="25" t="str">
        <v>76 PVH</v>
      </c>
      <c r="B139" s="25" t="str">
        <v>DV_Cắt</v>
      </c>
      <c r="C139" s="25">
        <v>1002</v>
      </c>
      <c r="D139" s="25" t="str">
        <v>Kid Cắt</v>
      </c>
      <c r="E139" s="27">
        <v>75000</v>
      </c>
      <c r="F139" s="46">
        <v>84000</v>
      </c>
      <c r="G139">
        <f>VLOOKUP(A139,'Sheet10'!$A:$C,3,0)</f>
      </c>
    </row>
    <row r="140">
      <c r="A140" s="25" t="str">
        <v>76 PVH</v>
      </c>
      <c r="B140" s="25" t="str">
        <v>DV_Cắt_Vip</v>
      </c>
      <c r="C140" s="25">
        <v>1047</v>
      </c>
      <c r="D140" s="25" t="str">
        <v>Cắt Gội Combo 3 - Chăm da</v>
      </c>
      <c r="E140" s="27">
        <v>299000</v>
      </c>
      <c r="F140" s="46">
        <v>308000</v>
      </c>
      <c r="G140">
        <f>VLOOKUP(A140,'Sheet10'!$A:$C,3,0)</f>
      </c>
    </row>
    <row r="141">
      <c r="A141" s="25" t="str">
        <v>76 PVH</v>
      </c>
      <c r="B141" s="25" t="str">
        <v>DV_Cắt_Vip</v>
      </c>
      <c r="C141" s="25">
        <v>1065</v>
      </c>
      <c r="D141" s="25" t="str">
        <v>Cắt Gội Combo 3 - Dưỡng sinh</v>
      </c>
      <c r="E141" s="27">
        <v>299000</v>
      </c>
      <c r="F141" s="46">
        <v>308000</v>
      </c>
      <c r="G141">
        <f>VLOOKUP(A141,'Sheet10'!$A:$C,3,0)</f>
      </c>
    </row>
    <row r="142">
      <c r="A142" s="25" t="str">
        <v>76 PVH</v>
      </c>
      <c r="B142" s="25" t="str">
        <v>DV_Cắt_Vip</v>
      </c>
      <c r="C142" s="25">
        <v>1064</v>
      </c>
      <c r="D142" s="25" t="str">
        <v>Cắt Gội Combo 5 - Dưỡng sinh</v>
      </c>
      <c r="E142" s="27">
        <v>459000</v>
      </c>
      <c r="F142" s="46">
        <v>468000</v>
      </c>
      <c r="G142">
        <f>VLOOKUP(A142,'Sheet10'!$A:$C,3,0)</f>
      </c>
    </row>
    <row r="143">
      <c r="A143" s="25" t="str">
        <v>76 PVH</v>
      </c>
      <c r="B143" s="25" t="str">
        <v>DV_Cắt_Vip</v>
      </c>
      <c r="C143" s="25">
        <v>1048</v>
      </c>
      <c r="D143" s="25" t="str">
        <v>Combo 4</v>
      </c>
      <c r="E143" s="27">
        <v>389000</v>
      </c>
      <c r="F143" s="46">
        <v>398000</v>
      </c>
      <c r="G143">
        <f>VLOOKUP(A143,'Sheet10'!$A:$C,3,0)</f>
      </c>
    </row>
    <row r="144">
      <c r="A144" s="25" t="str">
        <v>76 PVH</v>
      </c>
      <c r="B144" s="25" t="str">
        <v>DV_Cắt_Vip</v>
      </c>
      <c r="C144" s="25">
        <v>1194</v>
      </c>
      <c r="D144" s="25" t="str">
        <v>Combo Best choice</v>
      </c>
      <c r="E144" s="27">
        <v>299000</v>
      </c>
      <c r="F144" s="46">
        <v>308000</v>
      </c>
      <c r="G144">
        <f>VLOOKUP(A144,'Sheet10'!$A:$C,3,0)</f>
      </c>
    </row>
    <row r="145">
      <c r="A145" s="25" t="str">
        <v>76 PVH</v>
      </c>
      <c r="B145" s="25" t="str">
        <v>DV_Cắt_Vip</v>
      </c>
      <c r="C145" s="25">
        <v>1046</v>
      </c>
      <c r="D145" s="25" t="str">
        <v>Shinecombo 2</v>
      </c>
      <c r="E145" s="27">
        <v>199000</v>
      </c>
      <c r="F145" s="46">
        <v>208000</v>
      </c>
      <c r="G145">
        <f>VLOOKUP(A145,'Sheet10'!$A:$C,3,0)</f>
      </c>
    </row>
    <row r="146">
      <c r="A146" s="25" t="str">
        <v>186 DTH</v>
      </c>
      <c r="B146" s="25" t="str">
        <v>DV_Cắt</v>
      </c>
      <c r="C146" s="25">
        <v>513</v>
      </c>
      <c r="D146" s="25" t="str">
        <v>[DV] ShineCombo 10 bước Ultra Care 2023</v>
      </c>
      <c r="E146" s="27">
        <v>122000</v>
      </c>
      <c r="F146" s="27">
        <v>122000</v>
      </c>
      <c r="G146">
        <f>VLOOKUP(A146,'Sheet10'!$A:$C,3,0)</f>
      </c>
    </row>
    <row r="147">
      <c r="A147" s="25" t="str">
        <v>186 DTH</v>
      </c>
      <c r="B147" s="25" t="str">
        <v>DV_Cắt</v>
      </c>
      <c r="C147" s="25">
        <v>891</v>
      </c>
      <c r="D147" s="25" t="str">
        <v>Cắt xả tạo kiểu</v>
      </c>
      <c r="E147" s="27">
        <v>94000</v>
      </c>
      <c r="F147" s="27">
        <v>94000</v>
      </c>
      <c r="G147">
        <f>VLOOKUP(A147,'Sheet10'!$A:$C,3,0)</f>
      </c>
    </row>
    <row r="148">
      <c r="A148" s="25" t="str">
        <v>186 DTH</v>
      </c>
      <c r="B148" s="25" t="str">
        <v>DV_Cắt</v>
      </c>
      <c r="C148" s="25">
        <v>1052</v>
      </c>
      <c r="D148" s="25" t="str">
        <v>Combo 1 - First Class 1</v>
      </c>
      <c r="E148" s="27">
        <v>139000</v>
      </c>
      <c r="F148" s="27">
        <v>139000</v>
      </c>
      <c r="G148">
        <f>VLOOKUP(A148,'Sheet10'!$A:$C,3,0)</f>
      </c>
    </row>
    <row r="149">
      <c r="A149" s="25" t="str">
        <v>186 DTH</v>
      </c>
      <c r="B149" s="25" t="str">
        <v>DV_Cắt</v>
      </c>
      <c r="C149" s="25">
        <v>1070</v>
      </c>
      <c r="D149" s="25" t="str">
        <v>Combo Cắt gội Kid</v>
      </c>
      <c r="E149" s="27">
        <v>100000</v>
      </c>
      <c r="F149" s="27">
        <v>100000</v>
      </c>
      <c r="G149">
        <f>VLOOKUP(A149,'Sheet10'!$A:$C,3,0)</f>
      </c>
    </row>
    <row r="150">
      <c r="A150" s="25" t="str">
        <v>186 DTH</v>
      </c>
      <c r="B150" s="25" t="str">
        <v>DV_Cắt</v>
      </c>
      <c r="C150" s="25">
        <v>1242</v>
      </c>
      <c r="D150" s="25" t="str">
        <v>combo cắt gội tiện lợi</v>
      </c>
      <c r="E150" s="27">
        <v>199000</v>
      </c>
      <c r="F150" s="27">
        <v>199000</v>
      </c>
      <c r="G150">
        <f>VLOOKUP(A150,'Sheet10'!$A:$C,3,0)</f>
      </c>
    </row>
    <row r="151">
      <c r="A151" s="25" t="str">
        <v>186 DTH</v>
      </c>
      <c r="B151" s="25" t="str">
        <v>DV_Cắt</v>
      </c>
      <c r="C151" s="25">
        <v>1002</v>
      </c>
      <c r="D151" s="25" t="str">
        <v>Kid Cắt</v>
      </c>
      <c r="E151" s="27">
        <v>75000</v>
      </c>
      <c r="F151" s="27">
        <v>75000</v>
      </c>
      <c r="G151">
        <f>VLOOKUP(A151,'Sheet10'!$A:$C,3,0)</f>
      </c>
    </row>
    <row r="152">
      <c r="A152" s="25" t="str">
        <v>186 DTH</v>
      </c>
      <c r="B152" s="25" t="str">
        <v>DV_Cắt_Vip</v>
      </c>
      <c r="C152" s="25">
        <v>1047</v>
      </c>
      <c r="D152" s="25" t="str">
        <v>Cắt Gội Combo 3 - Chăm da</v>
      </c>
      <c r="E152" s="27">
        <v>299000</v>
      </c>
      <c r="F152" s="27">
        <v>299000</v>
      </c>
      <c r="G152">
        <f>VLOOKUP(A152,'Sheet10'!$A:$C,3,0)</f>
      </c>
    </row>
    <row r="153">
      <c r="A153" s="25" t="str">
        <v>186 DTH</v>
      </c>
      <c r="B153" s="25" t="str">
        <v>DV_Cắt_Vip</v>
      </c>
      <c r="C153" s="25">
        <v>1048</v>
      </c>
      <c r="D153" s="25" t="str">
        <v>Combo 4</v>
      </c>
      <c r="E153" s="27">
        <v>389000</v>
      </c>
      <c r="F153" s="27">
        <v>389000</v>
      </c>
      <c r="G153">
        <f>VLOOKUP(A153,'Sheet10'!$A:$C,3,0)</f>
      </c>
    </row>
    <row r="154">
      <c r="A154" s="25" t="str">
        <v>186 DTH</v>
      </c>
      <c r="B154" s="25" t="str">
        <v>DV_Cắt_Vip</v>
      </c>
      <c r="C154" s="25">
        <v>1046</v>
      </c>
      <c r="D154" s="25" t="str">
        <v>Shinecombo 2</v>
      </c>
      <c r="E154" s="27">
        <v>199000</v>
      </c>
      <c r="F154" s="27">
        <v>199000</v>
      </c>
      <c r="G154">
        <f>VLOOKUP(A154,'Sheet10'!$A:$C,3,0)</f>
      </c>
    </row>
    <row r="155">
      <c r="A155" s="25" t="str">
        <v>236 DBT</v>
      </c>
      <c r="B155" s="25" t="str">
        <v>DV_Cắt</v>
      </c>
      <c r="C155" s="25">
        <v>513</v>
      </c>
      <c r="D155" s="25" t="str">
        <v>[DV] ShineCombo 10 bước Ultra Care 2023</v>
      </c>
      <c r="E155" s="27">
        <v>122000</v>
      </c>
      <c r="F155" s="27">
        <v>122000</v>
      </c>
      <c r="G155">
        <f>VLOOKUP(A155,'Sheet10'!$A:$C,3,0)</f>
      </c>
    </row>
    <row r="156">
      <c r="A156" s="25" t="str">
        <v>236 DBT</v>
      </c>
      <c r="B156" s="25" t="str">
        <v>DV_Cắt</v>
      </c>
      <c r="C156" s="25">
        <v>1070</v>
      </c>
      <c r="D156" s="25" t="str">
        <v>Combo Cắt gội Kid</v>
      </c>
      <c r="E156" s="27">
        <v>100000</v>
      </c>
      <c r="F156" s="27">
        <v>100000</v>
      </c>
      <c r="G156">
        <f>VLOOKUP(A156,'Sheet10'!$A:$C,3,0)</f>
      </c>
    </row>
    <row r="157">
      <c r="A157" s="25" t="str">
        <v>236 DBT</v>
      </c>
      <c r="B157" s="25" t="str">
        <v>DV_Cắt</v>
      </c>
      <c r="C157" s="25">
        <v>891</v>
      </c>
      <c r="D157" s="25" t="str">
        <v>Cắt xả tạo kiểu</v>
      </c>
      <c r="E157" s="27">
        <v>94000</v>
      </c>
      <c r="F157" s="46">
        <v>101000</v>
      </c>
      <c r="G157">
        <f>VLOOKUP(A157,'Sheet10'!$A:$C,3,0)</f>
      </c>
    </row>
    <row r="158">
      <c r="A158" s="25" t="str">
        <v>236 DBT</v>
      </c>
      <c r="B158" s="25" t="str">
        <v>DV_Cắt</v>
      </c>
      <c r="C158" s="25">
        <v>1052</v>
      </c>
      <c r="D158" s="25" t="str">
        <v>Combo 1 - First Class 1</v>
      </c>
      <c r="E158" s="27">
        <v>159000</v>
      </c>
      <c r="F158" s="27">
        <v>159000</v>
      </c>
      <c r="G158">
        <f>VLOOKUP(A158,'Sheet10'!$A:$C,3,0)</f>
      </c>
    </row>
    <row r="159">
      <c r="A159" s="25" t="str">
        <v>236 DBT</v>
      </c>
      <c r="B159" s="25" t="str">
        <v>DV_Cắt</v>
      </c>
      <c r="C159" s="25">
        <v>1002</v>
      </c>
      <c r="D159" s="25" t="str">
        <v>Kid Cắt</v>
      </c>
      <c r="E159" s="27">
        <v>75000</v>
      </c>
      <c r="F159" s="46">
        <v>82000</v>
      </c>
      <c r="G159">
        <f>VLOOKUP(A159,'Sheet10'!$A:$C,3,0)</f>
      </c>
    </row>
    <row r="160">
      <c r="A160" s="25" t="str">
        <v>236 DBT</v>
      </c>
      <c r="B160" s="25" t="str">
        <v>DV_Cắt_Vip</v>
      </c>
      <c r="C160" s="25">
        <v>1047</v>
      </c>
      <c r="D160" s="25" t="str">
        <v>Cắt Gội Combo 3 - Chăm da</v>
      </c>
      <c r="E160" s="27">
        <v>299000</v>
      </c>
      <c r="F160" s="46">
        <v>306000</v>
      </c>
      <c r="G160">
        <f>VLOOKUP(A160,'Sheet10'!$A:$C,3,0)</f>
      </c>
    </row>
    <row r="161">
      <c r="A161" s="25" t="str">
        <v>236 DBT</v>
      </c>
      <c r="B161" s="25" t="str">
        <v>DV_Cắt_Vip</v>
      </c>
      <c r="C161" s="25">
        <v>1065</v>
      </c>
      <c r="D161" s="25" t="str">
        <v>Cắt Gội Combo 3 - Dưỡng sinh</v>
      </c>
      <c r="E161" s="27">
        <v>299000</v>
      </c>
      <c r="F161" s="46">
        <v>306000</v>
      </c>
      <c r="G161">
        <f>VLOOKUP(A161,'Sheet10'!$A:$C,3,0)</f>
      </c>
    </row>
    <row r="162">
      <c r="A162" s="25" t="str">
        <v>236 DBT</v>
      </c>
      <c r="B162" s="25" t="str">
        <v>DV_Cắt_Vip</v>
      </c>
      <c r="C162" s="25">
        <v>1064</v>
      </c>
      <c r="D162" s="25" t="str">
        <v>Cắt Gội Combo 5 - Dưỡng sinh</v>
      </c>
      <c r="E162" s="27">
        <v>459000</v>
      </c>
      <c r="F162" s="46">
        <v>466000</v>
      </c>
      <c r="G162">
        <f>VLOOKUP(A162,'Sheet10'!$A:$C,3,0)</f>
      </c>
    </row>
    <row r="163">
      <c r="A163" s="25" t="str">
        <v>236 DBT</v>
      </c>
      <c r="B163" s="25" t="str">
        <v>DV_Cắt_Vip</v>
      </c>
      <c r="C163" s="25">
        <v>1053</v>
      </c>
      <c r="D163" s="25" t="str">
        <v>Combo 2 - First Class 2</v>
      </c>
      <c r="E163" s="27">
        <v>229000</v>
      </c>
      <c r="F163" s="46">
        <v>236000</v>
      </c>
      <c r="G163">
        <f>VLOOKUP(A163,'Sheet10'!$A:$C,3,0)</f>
      </c>
    </row>
    <row r="164">
      <c r="A164" s="25" t="str">
        <v>236 DBT</v>
      </c>
      <c r="B164" s="25" t="str">
        <v>DV_Cắt_Vip</v>
      </c>
      <c r="C164" s="25">
        <v>1054</v>
      </c>
      <c r="D164" s="25" t="str">
        <v>Combo 3 - First Class 3</v>
      </c>
      <c r="E164" s="27">
        <v>299000</v>
      </c>
      <c r="F164" s="46">
        <v>306000</v>
      </c>
      <c r="G164">
        <f>VLOOKUP(A164,'Sheet10'!$A:$C,3,0)</f>
      </c>
    </row>
    <row r="165">
      <c r="A165" s="25" t="str">
        <v>236 DBT</v>
      </c>
      <c r="B165" s="25" t="str">
        <v>DV_Cắt_Vip</v>
      </c>
      <c r="C165" s="25">
        <v>1048</v>
      </c>
      <c r="D165" s="25" t="str">
        <v>Combo 4</v>
      </c>
      <c r="E165" s="27">
        <v>389000</v>
      </c>
      <c r="F165" s="46">
        <v>396000</v>
      </c>
      <c r="G165">
        <f>VLOOKUP(A165,'Sheet10'!$A:$C,3,0)</f>
      </c>
    </row>
    <row r="166">
      <c r="A166" s="25" t="str">
        <v>236 DBT</v>
      </c>
      <c r="B166" s="25" t="str">
        <v>DV_Cắt_Vip</v>
      </c>
      <c r="C166" s="25">
        <v>1046</v>
      </c>
      <c r="D166" s="25" t="str">
        <v>Shinecombo 2</v>
      </c>
      <c r="E166" s="27">
        <v>199000</v>
      </c>
      <c r="F166" s="46">
        <v>206000</v>
      </c>
      <c r="G166">
        <f>VLOOKUP(A166,'Sheet10'!$A:$C,3,0)</f>
      </c>
    </row>
    <row r="167">
      <c r="A167" s="25" t="str">
        <v>237 NTT</v>
      </c>
      <c r="B167" s="25" t="str">
        <v>DV_Cắt</v>
      </c>
      <c r="C167" s="25">
        <v>513</v>
      </c>
      <c r="D167" s="25" t="str">
        <v>[DV] ShineCombo 10 bước Ultra Care 2023</v>
      </c>
      <c r="E167" s="27">
        <v>122000</v>
      </c>
      <c r="F167" s="27">
        <v>122000</v>
      </c>
      <c r="G167">
        <f>VLOOKUP(A167,'Sheet10'!$A:$C,3,0)</f>
      </c>
    </row>
    <row r="168">
      <c r="A168" s="25" t="str">
        <v>237 NTT</v>
      </c>
      <c r="B168" s="25" t="str">
        <v>DV_Cắt</v>
      </c>
      <c r="C168" s="25">
        <v>891</v>
      </c>
      <c r="D168" s="25" t="str">
        <v>Cắt xả tạo kiểu</v>
      </c>
      <c r="E168" s="27">
        <v>94000</v>
      </c>
      <c r="F168" s="27">
        <v>94000</v>
      </c>
      <c r="G168">
        <f>VLOOKUP(A168,'Sheet10'!$A:$C,3,0)</f>
      </c>
    </row>
    <row r="169">
      <c r="A169" s="25" t="str">
        <v>237 NTT</v>
      </c>
      <c r="B169" s="25" t="str">
        <v>DV_Cắt</v>
      </c>
      <c r="C169" s="25">
        <v>1052</v>
      </c>
      <c r="D169" s="25" t="str">
        <v>Combo 1 - First Class 1</v>
      </c>
      <c r="E169" s="27">
        <v>139000</v>
      </c>
      <c r="F169" s="27">
        <v>139000</v>
      </c>
      <c r="G169">
        <f>VLOOKUP(A169,'Sheet10'!$A:$C,3,0)</f>
      </c>
    </row>
    <row r="170">
      <c r="A170" s="25" t="str">
        <v>237 NTT</v>
      </c>
      <c r="B170" s="25" t="str">
        <v>DV_Cắt</v>
      </c>
      <c r="C170" s="25">
        <v>1002</v>
      </c>
      <c r="D170" s="25" t="str">
        <v>Kid Cắt</v>
      </c>
      <c r="E170" s="27">
        <v>75000</v>
      </c>
      <c r="F170" s="27">
        <v>75000</v>
      </c>
      <c r="G170">
        <f>VLOOKUP(A170,'Sheet10'!$A:$C,3,0)</f>
      </c>
    </row>
    <row r="171">
      <c r="A171" s="25" t="str">
        <v>237 NTT</v>
      </c>
      <c r="B171" s="25" t="str">
        <v>DV_Cắt_Vip</v>
      </c>
      <c r="C171" s="25">
        <v>1047</v>
      </c>
      <c r="D171" s="25" t="str">
        <v>Cắt Gội Combo 3 - Chăm da</v>
      </c>
      <c r="E171" s="27">
        <v>299000</v>
      </c>
      <c r="F171" s="27">
        <v>299000</v>
      </c>
      <c r="G171">
        <f>VLOOKUP(A171,'Sheet10'!$A:$C,3,0)</f>
      </c>
    </row>
    <row r="172">
      <c r="A172" s="25" t="str">
        <v>237 NTT</v>
      </c>
      <c r="B172" s="25" t="str">
        <v>DV_Cắt_Vip</v>
      </c>
      <c r="C172" s="25">
        <v>1065</v>
      </c>
      <c r="D172" s="25" t="str">
        <v>Cắt Gội Combo 3 - Dưỡng sinh</v>
      </c>
      <c r="E172" s="27">
        <v>299000</v>
      </c>
      <c r="F172" s="27">
        <v>299000</v>
      </c>
      <c r="G172">
        <f>VLOOKUP(A172,'Sheet10'!$A:$C,3,0)</f>
      </c>
    </row>
    <row r="173">
      <c r="A173" s="25" t="str">
        <v>237 NTT</v>
      </c>
      <c r="B173" s="25" t="str">
        <v>DV_Cắt_Vip</v>
      </c>
      <c r="C173" s="25">
        <v>1053</v>
      </c>
      <c r="D173" s="25" t="str">
        <v>Combo 2 - First Class 2</v>
      </c>
      <c r="E173" s="27">
        <v>239000</v>
      </c>
      <c r="F173" s="27">
        <v>239000</v>
      </c>
      <c r="G173">
        <f>VLOOKUP(A173,'Sheet10'!$A:$C,3,0)</f>
      </c>
    </row>
    <row r="174">
      <c r="A174" s="25" t="str">
        <v>237 NTT</v>
      </c>
      <c r="B174" s="25" t="str">
        <v>DV_Cắt_Vip</v>
      </c>
      <c r="C174" s="25">
        <v>1054</v>
      </c>
      <c r="D174" s="25" t="str">
        <v>Combo 3 - First Class 3</v>
      </c>
      <c r="E174" s="27">
        <v>309000</v>
      </c>
      <c r="F174" s="27">
        <v>309000</v>
      </c>
      <c r="G174">
        <f>VLOOKUP(A174,'Sheet10'!$A:$C,3,0)</f>
      </c>
    </row>
    <row r="175">
      <c r="A175" s="25" t="str">
        <v>237 NTT</v>
      </c>
      <c r="B175" s="25" t="str">
        <v>DV_Cắt_Vip</v>
      </c>
      <c r="C175" s="25">
        <v>1055</v>
      </c>
      <c r="D175" s="25" t="str">
        <v>Combo 4- First Class 4</v>
      </c>
      <c r="E175" s="27">
        <v>409000</v>
      </c>
      <c r="F175" s="27">
        <v>409000</v>
      </c>
      <c r="G175">
        <f>VLOOKUP(A175,'Sheet10'!$A:$C,3,0)</f>
      </c>
    </row>
    <row r="176">
      <c r="A176" s="25" t="str">
        <v>237 NTT</v>
      </c>
      <c r="B176" s="25" t="str">
        <v>DV_Cắt_Vip</v>
      </c>
      <c r="C176" s="25">
        <v>1046</v>
      </c>
      <c r="D176" s="25" t="str">
        <v>Shinecombo 2</v>
      </c>
      <c r="E176" s="27">
        <v>199000</v>
      </c>
      <c r="F176" s="27">
        <v>199000</v>
      </c>
      <c r="G176">
        <f>VLOOKUP(A176,'Sheet10'!$A:$C,3,0)</f>
      </c>
    </row>
    <row r="177">
      <c r="A177" s="25" t="str">
        <v>25 TD</v>
      </c>
      <c r="B177" s="25" t="str">
        <v>DV_Cắt</v>
      </c>
      <c r="C177" s="25">
        <v>513</v>
      </c>
      <c r="D177" s="25" t="str">
        <v>[DV] ShineCombo 10 bước Ultra Care 2023</v>
      </c>
      <c r="E177" s="27">
        <v>122000</v>
      </c>
      <c r="F177" s="27">
        <v>122000</v>
      </c>
      <c r="G177">
        <f>VLOOKUP(A177,'Sheet10'!$A:$C,3,0)</f>
      </c>
    </row>
    <row r="178">
      <c r="A178" s="25" t="str">
        <v>25 TD</v>
      </c>
      <c r="B178" s="25" t="str">
        <v>DV_Cắt</v>
      </c>
      <c r="C178" s="25">
        <v>1070</v>
      </c>
      <c r="D178" s="25" t="str">
        <v>Combo Cắt gội Kid</v>
      </c>
      <c r="E178" s="27">
        <v>100000</v>
      </c>
      <c r="F178" s="27">
        <v>100000</v>
      </c>
      <c r="G178">
        <f>VLOOKUP(A178,'Sheet10'!$A:$C,3,0)</f>
      </c>
    </row>
    <row r="179">
      <c r="A179" s="25" t="str">
        <v>25 TD</v>
      </c>
      <c r="B179" s="25" t="str">
        <v>DV_Cắt</v>
      </c>
      <c r="C179" s="25">
        <v>891</v>
      </c>
      <c r="D179" s="25" t="str">
        <v>Cắt xả tạo kiểu</v>
      </c>
      <c r="E179" s="27">
        <v>94000</v>
      </c>
      <c r="F179" s="46">
        <v>95000</v>
      </c>
      <c r="G179">
        <f>VLOOKUP(A179,'Sheet10'!$A:$C,3,0)</f>
      </c>
    </row>
    <row r="180">
      <c r="A180" s="25" t="str">
        <v>25 TD</v>
      </c>
      <c r="B180" s="25" t="str">
        <v>DV_Cắt</v>
      </c>
      <c r="C180" s="25">
        <v>1052</v>
      </c>
      <c r="D180" s="25" t="str">
        <v>Combo 1 - First Class 1</v>
      </c>
      <c r="E180" s="27">
        <v>139000</v>
      </c>
      <c r="F180" s="27">
        <v>139000</v>
      </c>
      <c r="G180">
        <f>VLOOKUP(A180,'Sheet10'!$A:$C,3,0)</f>
      </c>
    </row>
    <row r="181">
      <c r="A181" s="25" t="str">
        <v>25 TD</v>
      </c>
      <c r="B181" s="25" t="str">
        <v>DV_Cắt</v>
      </c>
      <c r="C181" s="25">
        <v>1002</v>
      </c>
      <c r="D181" s="25" t="str">
        <v>Kid Cắt</v>
      </c>
      <c r="E181" s="27">
        <v>75000</v>
      </c>
      <c r="F181" s="46">
        <v>76000</v>
      </c>
      <c r="G181">
        <f>VLOOKUP(A181,'Sheet10'!$A:$C,3,0)</f>
      </c>
    </row>
    <row r="182">
      <c r="A182" s="25" t="str">
        <v>25 TD</v>
      </c>
      <c r="B182" s="25" t="str">
        <v>DV_Cắt_Vip</v>
      </c>
      <c r="C182" s="25">
        <v>1047</v>
      </c>
      <c r="D182" s="25" t="str">
        <v>Cắt Gội Combo 3 - Chăm da</v>
      </c>
      <c r="E182" s="27">
        <v>299000</v>
      </c>
      <c r="F182" s="46">
        <v>300000</v>
      </c>
      <c r="G182">
        <f>VLOOKUP(A182,'Sheet10'!$A:$C,3,0)</f>
      </c>
    </row>
    <row r="183">
      <c r="A183" s="25" t="str">
        <v>25 TD</v>
      </c>
      <c r="B183" s="25" t="str">
        <v>DV_Cắt_Vip</v>
      </c>
      <c r="C183" s="25">
        <v>1053</v>
      </c>
      <c r="D183" s="25" t="str">
        <v>Combo 2 - First Class 2</v>
      </c>
      <c r="E183" s="27">
        <v>239000</v>
      </c>
      <c r="F183" s="46">
        <v>240000</v>
      </c>
      <c r="G183">
        <f>VLOOKUP(A183,'Sheet10'!$A:$C,3,0)</f>
      </c>
    </row>
    <row r="184">
      <c r="A184" s="25" t="str">
        <v>25 TD</v>
      </c>
      <c r="B184" s="25" t="str">
        <v>DV_Cắt_Vip</v>
      </c>
      <c r="C184" s="25">
        <v>1054</v>
      </c>
      <c r="D184" s="25" t="str">
        <v>Combo 3 - First Class 3</v>
      </c>
      <c r="E184" s="27">
        <v>309000</v>
      </c>
      <c r="F184" s="46">
        <v>310000</v>
      </c>
      <c r="G184">
        <f>VLOOKUP(A184,'Sheet10'!$A:$C,3,0)</f>
      </c>
    </row>
    <row r="185">
      <c r="A185" s="25" t="str">
        <v>25 TD</v>
      </c>
      <c r="B185" s="25" t="str">
        <v>DV_Cắt_Vip</v>
      </c>
      <c r="C185" s="25">
        <v>1048</v>
      </c>
      <c r="D185" s="25" t="str">
        <v>Combo 4</v>
      </c>
      <c r="E185" s="27">
        <v>389000</v>
      </c>
      <c r="F185" s="46">
        <v>390000</v>
      </c>
      <c r="G185">
        <f>VLOOKUP(A185,'Sheet10'!$A:$C,3,0)</f>
      </c>
    </row>
    <row r="186">
      <c r="A186" s="25" t="str">
        <v>25 TD</v>
      </c>
      <c r="B186" s="25" t="str">
        <v>DV_Cắt_Vip</v>
      </c>
      <c r="C186" s="25">
        <v>1055</v>
      </c>
      <c r="D186" s="25" t="str">
        <v>Combo 4- First Class 4</v>
      </c>
      <c r="E186" s="27">
        <v>409000</v>
      </c>
      <c r="F186" s="46">
        <v>410000</v>
      </c>
      <c r="G186">
        <f>VLOOKUP(A186,'Sheet10'!$A:$C,3,0)</f>
      </c>
    </row>
    <row r="187">
      <c r="A187" s="25" t="str">
        <v>25 TD</v>
      </c>
      <c r="B187" s="25" t="str">
        <v>DV_Cắt_Vip</v>
      </c>
      <c r="C187" s="25">
        <v>1046</v>
      </c>
      <c r="D187" s="25" t="str">
        <v>Shinecombo 2</v>
      </c>
      <c r="E187" s="27">
        <v>199000</v>
      </c>
      <c r="F187" s="46">
        <v>200000</v>
      </c>
      <c r="G187">
        <f>VLOOKUP(A187,'Sheet10'!$A:$C,3,0)</f>
      </c>
    </row>
    <row r="188">
      <c r="A188" s="25" t="str">
        <v>341 XVNT</v>
      </c>
      <c r="B188" s="25" t="str">
        <v>DV_Cắt</v>
      </c>
      <c r="C188" s="25">
        <v>513</v>
      </c>
      <c r="D188" s="25" t="str">
        <v>[DV] ShineCombo 10 bước Ultra Care 2023</v>
      </c>
      <c r="E188" s="27">
        <v>122000</v>
      </c>
      <c r="F188" s="27">
        <v>122000</v>
      </c>
      <c r="G188">
        <f>VLOOKUP(A188,'Sheet10'!$A:$C,3,0)</f>
      </c>
    </row>
    <row r="189">
      <c r="A189" s="25" t="str">
        <v>341 XVNT</v>
      </c>
      <c r="B189" s="25" t="str">
        <v>DV_Cắt</v>
      </c>
      <c r="C189" s="25">
        <v>891</v>
      </c>
      <c r="D189" s="25" t="str">
        <v>Cắt xả tạo kiểu</v>
      </c>
      <c r="E189" s="27">
        <v>94000</v>
      </c>
      <c r="F189" s="46">
        <v>95000</v>
      </c>
      <c r="G189">
        <f>VLOOKUP(A189,'Sheet10'!$A:$C,3,0)</f>
      </c>
    </row>
    <row r="190">
      <c r="A190" s="25" t="str">
        <v>341 XVNT</v>
      </c>
      <c r="B190" s="25" t="str">
        <v>DV_Cắt</v>
      </c>
      <c r="C190" s="25">
        <v>1052</v>
      </c>
      <c r="D190" s="25" t="str">
        <v>Combo 1 - First Class 1</v>
      </c>
      <c r="E190" s="27">
        <v>159000</v>
      </c>
      <c r="F190" s="27">
        <v>159000</v>
      </c>
      <c r="G190">
        <f>VLOOKUP(A190,'Sheet10'!$A:$C,3,0)</f>
      </c>
    </row>
    <row r="191">
      <c r="A191" s="25" t="str">
        <v>341 XVNT</v>
      </c>
      <c r="B191" s="25" t="str">
        <v>DV_Cắt</v>
      </c>
      <c r="C191" s="25">
        <v>1002</v>
      </c>
      <c r="D191" s="25" t="str">
        <v>Kid Cắt</v>
      </c>
      <c r="E191" s="27">
        <v>75000</v>
      </c>
      <c r="F191" s="46">
        <v>76000</v>
      </c>
      <c r="G191">
        <f>VLOOKUP(A191,'Sheet10'!$A:$C,3,0)</f>
      </c>
    </row>
    <row r="192">
      <c r="A192" s="25" t="str">
        <v>341 XVNT</v>
      </c>
      <c r="B192" s="25" t="str">
        <v>DV_Cắt_Vip</v>
      </c>
      <c r="C192" s="25">
        <v>1047</v>
      </c>
      <c r="D192" s="25" t="str">
        <v>Cắt Gội Combo 3 - Chăm da</v>
      </c>
      <c r="E192" s="27">
        <v>299000</v>
      </c>
      <c r="F192" s="46">
        <v>300000</v>
      </c>
      <c r="G192">
        <f>VLOOKUP(A192,'Sheet10'!$A:$C,3,0)</f>
      </c>
    </row>
    <row r="193">
      <c r="A193" s="25" t="str">
        <v>341 XVNT</v>
      </c>
      <c r="B193" s="25" t="str">
        <v>DV_Cắt_Vip</v>
      </c>
      <c r="C193" s="25">
        <v>1054</v>
      </c>
      <c r="D193" s="25" t="str">
        <v>Combo 3 - First Class 3</v>
      </c>
      <c r="E193" s="27">
        <v>299000</v>
      </c>
      <c r="F193" s="46">
        <v>300000</v>
      </c>
      <c r="G193">
        <f>VLOOKUP(A193,'Sheet10'!$A:$C,3,0)</f>
      </c>
    </row>
    <row r="194">
      <c r="A194" s="25" t="str">
        <v>341 XVNT</v>
      </c>
      <c r="B194" s="25" t="str">
        <v>DV_Cắt_Vip</v>
      </c>
      <c r="C194" s="25">
        <v>1048</v>
      </c>
      <c r="D194" s="25" t="str">
        <v>Combo 4</v>
      </c>
      <c r="E194" s="27">
        <v>389000</v>
      </c>
      <c r="F194" s="46">
        <v>390000</v>
      </c>
      <c r="G194">
        <f>VLOOKUP(A194,'Sheet10'!$A:$C,3,0)</f>
      </c>
    </row>
    <row r="195">
      <c r="A195" s="25" t="str">
        <v>341 XVNT</v>
      </c>
      <c r="B195" s="25" t="str">
        <v>DV_Cắt_Vip</v>
      </c>
      <c r="C195" s="25">
        <v>1046</v>
      </c>
      <c r="D195" s="25" t="str">
        <v>Shinecombo 2</v>
      </c>
      <c r="E195" s="27">
        <v>199000</v>
      </c>
      <c r="F195" s="46">
        <v>200000</v>
      </c>
      <c r="G195">
        <f>VLOOKUP(A195,'Sheet10'!$A:$C,3,0)</f>
      </c>
    </row>
    <row r="196">
      <c r="A196" s="25" t="str">
        <v>420 HTP</v>
      </c>
      <c r="B196" s="25" t="str">
        <v>DV_Cắt</v>
      </c>
      <c r="C196" s="25">
        <v>513</v>
      </c>
      <c r="D196" s="25" t="str">
        <v>[DV] ShineCombo 10 bước Ultra Care 2023</v>
      </c>
      <c r="E196" s="27">
        <v>122000</v>
      </c>
      <c r="F196" s="27">
        <v>122000</v>
      </c>
      <c r="G196">
        <f>VLOOKUP(A196,'Sheet10'!$A:$C,3,0)</f>
      </c>
    </row>
    <row r="197">
      <c r="A197" s="25" t="str">
        <v>420 HTP</v>
      </c>
      <c r="B197" s="25" t="str">
        <v>DV_Cắt</v>
      </c>
      <c r="C197" s="25">
        <v>891</v>
      </c>
      <c r="D197" s="25" t="str">
        <v>Cắt xả tạo kiểu</v>
      </c>
      <c r="E197" s="27">
        <v>94000</v>
      </c>
      <c r="F197" s="27">
        <v>94000</v>
      </c>
      <c r="G197">
        <f>VLOOKUP(A197,'Sheet10'!$A:$C,3,0)</f>
      </c>
    </row>
    <row r="198">
      <c r="A198" s="25" t="str">
        <v>420 HTP</v>
      </c>
      <c r="B198" s="25" t="str">
        <v>DV_Cắt</v>
      </c>
      <c r="C198" s="25">
        <v>1052</v>
      </c>
      <c r="D198" s="25" t="str">
        <v>Combo 1 - First Class 1</v>
      </c>
      <c r="E198" s="27">
        <v>159000</v>
      </c>
      <c r="F198" s="27">
        <v>159000</v>
      </c>
      <c r="G198">
        <f>VLOOKUP(A198,'Sheet10'!$A:$C,3,0)</f>
      </c>
    </row>
    <row r="199">
      <c r="A199" s="25" t="str">
        <v>420 HTP</v>
      </c>
      <c r="B199" s="25" t="str">
        <v>DV_Cắt</v>
      </c>
      <c r="C199" s="25">
        <v>1070</v>
      </c>
      <c r="D199" s="25" t="str">
        <v>Combo Cắt gội Kid</v>
      </c>
      <c r="E199" s="27">
        <v>100000</v>
      </c>
      <c r="F199" s="27">
        <v>100000</v>
      </c>
      <c r="G199">
        <f>VLOOKUP(A199,'Sheet10'!$A:$C,3,0)</f>
      </c>
    </row>
    <row r="200">
      <c r="A200" s="25" t="str">
        <v>420 HTP</v>
      </c>
      <c r="B200" s="25" t="str">
        <v>DV_Cắt</v>
      </c>
      <c r="C200" s="25">
        <v>1002</v>
      </c>
      <c r="D200" s="25" t="str">
        <v>Kid Cắt</v>
      </c>
      <c r="E200" s="27">
        <v>75000</v>
      </c>
      <c r="F200" s="27">
        <v>75000</v>
      </c>
      <c r="G200">
        <f>VLOOKUP(A200,'Sheet10'!$A:$C,3,0)</f>
      </c>
    </row>
    <row r="201">
      <c r="A201" s="25" t="str">
        <v>420 HTP</v>
      </c>
      <c r="B201" s="25" t="str">
        <v>DV_Cắt_Vip</v>
      </c>
      <c r="C201" s="25">
        <v>1047</v>
      </c>
      <c r="D201" s="25" t="str">
        <v>Cắt Gội Combo 3 - Chăm da</v>
      </c>
      <c r="E201" s="27">
        <v>299000</v>
      </c>
      <c r="F201" s="27">
        <v>299000</v>
      </c>
      <c r="G201">
        <f>VLOOKUP(A201,'Sheet10'!$A:$C,3,0)</f>
      </c>
    </row>
    <row r="202">
      <c r="A202" s="25" t="str">
        <v>420 HTP</v>
      </c>
      <c r="B202" s="25" t="str">
        <v>DV_Cắt_Vip</v>
      </c>
      <c r="C202" s="25">
        <v>1048</v>
      </c>
      <c r="D202" s="25" t="str">
        <v>Combo 4</v>
      </c>
      <c r="E202" s="27">
        <v>389000</v>
      </c>
      <c r="F202" s="27">
        <v>389000</v>
      </c>
      <c r="G202">
        <f>VLOOKUP(A202,'Sheet10'!$A:$C,3,0)</f>
      </c>
    </row>
    <row r="203">
      <c r="A203" s="25" t="str">
        <v>420 HTP</v>
      </c>
      <c r="B203" s="25" t="str">
        <v>DV_Cắt_Vip</v>
      </c>
      <c r="C203" s="25">
        <v>1055</v>
      </c>
      <c r="D203" s="25" t="str">
        <v>Combo 4- First Class 4</v>
      </c>
      <c r="E203" s="27">
        <v>399000</v>
      </c>
      <c r="F203" s="27">
        <v>399000</v>
      </c>
      <c r="G203">
        <f>VLOOKUP(A203,'Sheet10'!$A:$C,3,0)</f>
      </c>
    </row>
    <row r="204">
      <c r="A204" s="25" t="str">
        <v>420 HTP</v>
      </c>
      <c r="B204" s="25" t="str">
        <v>DV_Cắt_Vip</v>
      </c>
      <c r="C204" s="25">
        <v>1046</v>
      </c>
      <c r="D204" s="25" t="str">
        <v>Shinecombo 2</v>
      </c>
      <c r="E204" s="27">
        <v>199000</v>
      </c>
      <c r="F204" s="27">
        <v>199000</v>
      </c>
      <c r="G204">
        <f>VLOOKUP(A204,'Sheet10'!$A:$C,3,0)</f>
      </c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25" t="str">
        <v>GIÁ DỊCH VỤ CẮT XẢ VÀ CÁC DỊCH VỤ RELAX CÓ CẮT</v>
      </c>
      <c r="B1" s="29"/>
      <c r="C1" s="29"/>
      <c r="D1" s="29"/>
      <c r="E1" s="30"/>
      <c r="F1" s="49"/>
    </row>
    <row r="2">
      <c r="A2" s="29" t="str">
        <v>Salon_name</v>
      </c>
      <c r="B2" s="29" t="str">
        <v>P_Category_name</v>
      </c>
      <c r="C2" s="29" t="str">
        <v>service_id</v>
      </c>
      <c r="D2" s="29" t="str">
        <v>service_name</v>
      </c>
      <c r="E2" s="30" t="str">
        <v>Giá hiện tại</v>
      </c>
      <c r="F2" s="49" t="str">
        <v>Giá mới sắp triển khai</v>
      </c>
    </row>
    <row r="3">
      <c r="A3" s="25" t="str">
        <v>255 NAN</v>
      </c>
      <c r="B3" s="25"/>
      <c r="C3" s="25"/>
      <c r="D3" s="25"/>
      <c r="E3" s="27"/>
      <c r="F3" s="47"/>
      <c r="G3">
        <f>VLOOKUP(A3,'Sheet10'!$A:$C,3,0)</f>
      </c>
    </row>
    <row r="4">
      <c r="A4" s="25" t="str">
        <v>255 NAN</v>
      </c>
      <c r="B4" s="25"/>
      <c r="C4" s="25"/>
      <c r="D4" s="25"/>
      <c r="E4" s="27"/>
      <c r="F4" s="47"/>
      <c r="G4">
        <f>VLOOKUP(A4,'Sheet10'!$A:$C,3,0)</f>
      </c>
    </row>
    <row r="5">
      <c r="A5" s="25" t="str">
        <v>255 NAN</v>
      </c>
      <c r="B5" s="25"/>
      <c r="C5" s="25"/>
      <c r="D5" s="25"/>
      <c r="E5" s="27"/>
      <c r="F5" s="47"/>
      <c r="G5">
        <f>VLOOKUP(A5,'Sheet10'!$A:$C,3,0)</f>
      </c>
    </row>
    <row r="6">
      <c r="A6" s="25" t="str">
        <v>255 NAN</v>
      </c>
      <c r="B6" s="25"/>
      <c r="C6" s="25"/>
      <c r="D6" s="25"/>
      <c r="E6" s="27"/>
      <c r="F6" s="47"/>
      <c r="G6">
        <f>VLOOKUP(A6,'Sheet10'!$A:$C,3,0)</f>
      </c>
    </row>
    <row r="7">
      <c r="A7" s="25" t="str">
        <v>255 NAN</v>
      </c>
      <c r="B7" s="25"/>
      <c r="C7" s="25"/>
      <c r="D7" s="25"/>
      <c r="E7" s="27"/>
      <c r="F7" s="47"/>
      <c r="G7">
        <f>VLOOKUP(A7,'Sheet10'!$A:$C,3,0)</f>
      </c>
    </row>
    <row r="8">
      <c r="A8" s="25" t="str">
        <v>255 NAN</v>
      </c>
      <c r="B8" s="25"/>
      <c r="C8" s="25"/>
      <c r="D8" s="25"/>
      <c r="E8" s="27"/>
      <c r="F8" s="47"/>
      <c r="G8">
        <f>VLOOKUP(A8,'Sheet10'!$A:$C,3,0)</f>
      </c>
    </row>
    <row r="9">
      <c r="A9" s="25" t="str">
        <v>255 NAN</v>
      </c>
      <c r="B9" s="25"/>
      <c r="C9" s="25"/>
      <c r="D9" s="25"/>
      <c r="E9" s="27"/>
      <c r="F9" s="47"/>
      <c r="G9">
        <f>VLOOKUP(A9,'Sheet10'!$A:$C,3,0)</f>
      </c>
    </row>
    <row r="10">
      <c r="A10" s="25" t="str">
        <v>290 QT TH</v>
      </c>
      <c r="B10" s="25"/>
      <c r="C10" s="25"/>
      <c r="D10" s="25"/>
      <c r="E10" s="27"/>
      <c r="F10" s="47"/>
      <c r="G10">
        <f>VLOOKUP(A10,'Sheet10'!$A:$C,3,0)</f>
      </c>
    </row>
    <row r="11">
      <c r="A11" s="25" t="str">
        <v>290 QT TH</v>
      </c>
      <c r="B11" s="25"/>
      <c r="C11" s="25"/>
      <c r="D11" s="25"/>
      <c r="E11" s="27"/>
      <c r="F11" s="47"/>
      <c r="G11">
        <f>VLOOKUP(A11,'Sheet10'!$A:$C,3,0)</f>
      </c>
    </row>
    <row r="12">
      <c r="A12" s="25" t="str">
        <v>290 QT TH</v>
      </c>
      <c r="B12" s="25"/>
      <c r="C12" s="25"/>
      <c r="D12" s="25"/>
      <c r="E12" s="27"/>
      <c r="F12" s="47"/>
      <c r="G12">
        <f>VLOOKUP(A12,'Sheet10'!$A:$C,3,0)</f>
      </c>
    </row>
    <row r="13">
      <c r="A13" s="25" t="str">
        <v>290 QT TH</v>
      </c>
      <c r="B13" s="25"/>
      <c r="C13" s="25"/>
      <c r="D13" s="25"/>
      <c r="E13" s="27"/>
      <c r="F13" s="47"/>
      <c r="G13">
        <f>VLOOKUP(A13,'Sheet10'!$A:$C,3,0)</f>
      </c>
    </row>
    <row r="14">
      <c r="A14" s="25" t="str">
        <v>290 QT TH</v>
      </c>
      <c r="B14" s="25"/>
      <c r="C14" s="25"/>
      <c r="D14" s="25"/>
      <c r="E14" s="27"/>
      <c r="F14" s="47"/>
      <c r="G14">
        <f>VLOOKUP(A14,'Sheet10'!$A:$C,3,0)</f>
      </c>
    </row>
    <row r="15">
      <c r="A15" s="25" t="str">
        <v>290 QT TH</v>
      </c>
      <c r="B15" s="25"/>
      <c r="C15" s="25"/>
      <c r="D15" s="25"/>
      <c r="E15" s="27"/>
      <c r="F15" s="47"/>
      <c r="G15">
        <f>VLOOKUP(A15,'Sheet10'!$A:$C,3,0)</f>
      </c>
    </row>
    <row r="16">
      <c r="A16" s="25" t="str">
        <v>290 QT TH</v>
      </c>
      <c r="B16" s="25"/>
      <c r="C16" s="25"/>
      <c r="D16" s="25"/>
      <c r="E16" s="27"/>
      <c r="F16" s="47"/>
      <c r="G16">
        <f>VLOOKUP(A16,'Sheet10'!$A:$C,3,0)</f>
      </c>
    </row>
    <row r="17">
      <c r="A17" s="25" t="str">
        <v>290 QT TH</v>
      </c>
      <c r="B17" s="25"/>
      <c r="C17" s="25"/>
      <c r="D17" s="25"/>
      <c r="E17" s="27"/>
      <c r="F17" s="47"/>
      <c r="G17">
        <f>VLOOKUP(A17,'Sheet10'!$A:$C,3,0)</f>
      </c>
    </row>
    <row r="18">
      <c r="A18" s="25" t="str">
        <v>290 QT TH</v>
      </c>
      <c r="B18" s="25"/>
      <c r="C18" s="25"/>
      <c r="D18" s="25"/>
      <c r="E18" s="27"/>
      <c r="F18" s="47"/>
      <c r="G18">
        <f>VLOOKUP(A18,'Sheet10'!$A:$C,3,0)</f>
      </c>
    </row>
    <row r="19">
      <c r="A19" s="25" t="str">
        <v>304 NT TH</v>
      </c>
      <c r="B19" s="25"/>
      <c r="C19" s="25"/>
      <c r="D19" s="25"/>
      <c r="E19" s="27"/>
      <c r="F19" s="47"/>
      <c r="G19">
        <f>VLOOKUP(A19,'Sheet10'!$A:$C,3,0)</f>
      </c>
    </row>
    <row r="20">
      <c r="A20" s="25" t="str">
        <v>304 NT TH</v>
      </c>
      <c r="B20" s="25"/>
      <c r="C20" s="25"/>
      <c r="D20" s="25"/>
      <c r="E20" s="27"/>
      <c r="F20" s="47"/>
      <c r="G20">
        <f>VLOOKUP(A20,'Sheet10'!$A:$C,3,0)</f>
      </c>
    </row>
    <row r="21">
      <c r="A21" s="25" t="str">
        <v>304 NT TH</v>
      </c>
      <c r="B21" s="25"/>
      <c r="C21" s="25"/>
      <c r="D21" s="25"/>
      <c r="E21" s="27"/>
      <c r="F21" s="48"/>
      <c r="G21">
        <f>VLOOKUP(A21,'Sheet10'!$A:$C,3,0)</f>
      </c>
    </row>
    <row r="22">
      <c r="A22" s="25" t="str">
        <v>304 NT TH</v>
      </c>
      <c r="B22" s="25"/>
      <c r="C22" s="25"/>
      <c r="D22" s="25"/>
      <c r="E22" s="27"/>
      <c r="F22" s="47"/>
      <c r="G22">
        <f>VLOOKUP(A22,'Sheet10'!$A:$C,3,0)</f>
      </c>
    </row>
    <row r="23">
      <c r="A23" s="25" t="str">
        <v>304 NT TH</v>
      </c>
      <c r="B23" s="25"/>
      <c r="C23" s="25"/>
      <c r="D23" s="25"/>
      <c r="E23" s="27"/>
      <c r="F23" s="48"/>
      <c r="G23">
        <f>VLOOKUP(A23,'Sheet10'!$A:$C,3,0)</f>
      </c>
    </row>
    <row r="24">
      <c r="A24" s="25" t="str">
        <v>304 NT TH</v>
      </c>
      <c r="B24" s="25"/>
      <c r="C24" s="25"/>
      <c r="D24" s="25"/>
      <c r="E24" s="27"/>
      <c r="F24" s="48"/>
      <c r="G24">
        <f>VLOOKUP(A24,'Sheet10'!$A:$C,3,0)</f>
      </c>
    </row>
    <row r="25">
      <c r="A25" s="25" t="str">
        <v>304 NT TH</v>
      </c>
      <c r="B25" s="25"/>
      <c r="C25" s="25"/>
      <c r="D25" s="25"/>
      <c r="E25" s="27"/>
      <c r="F25" s="48"/>
      <c r="G25">
        <f>VLOOKUP(A25,'Sheet10'!$A:$C,3,0)</f>
      </c>
    </row>
    <row r="26">
      <c r="A26" s="25" t="str">
        <v>304 NT TH</v>
      </c>
      <c r="B26" s="25"/>
      <c r="C26" s="25"/>
      <c r="D26" s="25"/>
      <c r="E26" s="27"/>
      <c r="F26" s="48"/>
      <c r="G26">
        <f>VLOOKUP(A26,'Sheet10'!$A:$C,3,0)</f>
      </c>
    </row>
    <row r="27">
      <c r="A27" s="25" t="str">
        <v>304 NT TH</v>
      </c>
      <c r="B27" s="25"/>
      <c r="C27" s="25"/>
      <c r="D27" s="25"/>
      <c r="E27" s="27"/>
      <c r="F27" s="48"/>
      <c r="G27">
        <f>VLOOKUP(A27,'Sheet10'!$A:$C,3,0)</f>
      </c>
    </row>
    <row r="28">
      <c r="A28" s="25" t="str">
        <v>304 NT TH</v>
      </c>
      <c r="B28" s="25"/>
      <c r="C28" s="25"/>
      <c r="D28" s="25"/>
      <c r="E28" s="27"/>
      <c r="F28" s="48"/>
      <c r="G28">
        <f>VLOOKUP(A28,'Sheet10'!$A:$C,3,0)</f>
      </c>
    </row>
    <row r="29">
      <c r="A29" s="25" t="str">
        <v>595 BT TH</v>
      </c>
      <c r="B29" s="25"/>
      <c r="C29" s="25"/>
      <c r="D29" s="25"/>
      <c r="E29" s="27"/>
      <c r="F29" s="48"/>
      <c r="G29">
        <f>VLOOKUP(A29,'Sheet10'!$A:$C,3,0)</f>
      </c>
    </row>
    <row r="30">
      <c r="A30" s="25" t="str">
        <v>595 BT TH</v>
      </c>
      <c r="B30" s="25"/>
      <c r="C30" s="25"/>
      <c r="D30" s="25"/>
      <c r="E30" s="27"/>
      <c r="F30" s="47"/>
      <c r="G30">
        <f>VLOOKUP(A30,'Sheet10'!$A:$C,3,0)</f>
      </c>
    </row>
    <row r="31">
      <c r="A31" s="25" t="str">
        <v>595 BT TH</v>
      </c>
      <c r="B31" s="25"/>
      <c r="C31" s="25"/>
      <c r="D31" s="25"/>
      <c r="E31" s="27"/>
      <c r="F31" s="47"/>
      <c r="G31">
        <f>VLOOKUP(A31,'Sheet10'!$A:$C,3,0)</f>
      </c>
    </row>
    <row r="32">
      <c r="A32" s="25" t="str">
        <v>595 BT TH</v>
      </c>
      <c r="B32" s="25"/>
      <c r="C32" s="25"/>
      <c r="D32" s="25"/>
      <c r="E32" s="27"/>
      <c r="F32" s="47"/>
      <c r="G32">
        <f>VLOOKUP(A32,'Sheet10'!$A:$C,3,0)</f>
      </c>
    </row>
    <row r="33">
      <c r="A33" s="25" t="str">
        <v>595 BT TH</v>
      </c>
      <c r="B33" s="25"/>
      <c r="C33" s="25"/>
      <c r="D33" s="25"/>
      <c r="E33" s="27"/>
      <c r="F33" s="47"/>
      <c r="G33">
        <f>VLOOKUP(A33,'Sheet10'!$A:$C,3,0)</f>
      </c>
    </row>
    <row r="34">
      <c r="A34" s="25" t="str">
        <v>595 BT TH</v>
      </c>
      <c r="B34" s="25"/>
      <c r="C34" s="25"/>
      <c r="D34" s="25"/>
      <c r="E34" s="27"/>
      <c r="F34" s="47"/>
      <c r="G34">
        <f>VLOOKUP(A34,'Sheet10'!$A:$C,3,0)</f>
      </c>
    </row>
    <row r="35">
      <c r="A35" s="25" t="str">
        <v>595 BT TH</v>
      </c>
      <c r="B35" s="25"/>
      <c r="C35" s="25"/>
      <c r="D35" s="25"/>
      <c r="E35" s="27"/>
      <c r="F35" s="47"/>
      <c r="G35">
        <f>VLOOKUP(A35,'Sheet10'!$A:$C,3,0)</f>
      </c>
    </row>
    <row r="36">
      <c r="A36" s="25" t="str">
        <v>595 BT TH</v>
      </c>
      <c r="B36" s="25"/>
      <c r="C36" s="25"/>
      <c r="D36" s="25"/>
      <c r="E36" s="27"/>
      <c r="F36" s="47"/>
      <c r="G36">
        <f>VLOOKUP(A36,'Sheet10'!$A:$C,3,0)</f>
      </c>
    </row>
    <row r="37">
      <c r="A37" s="25" t="str">
        <v>68 LN NA</v>
      </c>
      <c r="B37" s="25"/>
      <c r="C37" s="25"/>
      <c r="D37" s="25"/>
      <c r="E37" s="27"/>
      <c r="F37" s="47"/>
      <c r="G37">
        <f>VLOOKUP(A37,'Sheet10'!$A:$C,3,0)</f>
      </c>
    </row>
    <row r="38">
      <c r="A38" s="25" t="str">
        <v>68 LN NA</v>
      </c>
      <c r="B38" s="25"/>
      <c r="C38" s="25"/>
      <c r="D38" s="25"/>
      <c r="E38" s="27"/>
      <c r="F38" s="47"/>
      <c r="G38">
        <f>VLOOKUP(A38,'Sheet10'!$A:$C,3,0)</f>
      </c>
    </row>
    <row r="39">
      <c r="A39" s="25" t="str">
        <v>68 LN NA</v>
      </c>
      <c r="B39" s="25"/>
      <c r="C39" s="25"/>
      <c r="D39" s="25"/>
      <c r="E39" s="27"/>
      <c r="F39" s="47"/>
      <c r="G39">
        <f>VLOOKUP(A39,'Sheet10'!$A:$C,3,0)</f>
      </c>
    </row>
    <row r="40">
      <c r="A40" s="25" t="str">
        <v>68 LN NA</v>
      </c>
      <c r="B40" s="25"/>
      <c r="C40" s="25"/>
      <c r="D40" s="25"/>
      <c r="E40" s="27"/>
      <c r="F40" s="47"/>
      <c r="G40">
        <f>VLOOKUP(A40,'Sheet10'!$A:$C,3,0)</f>
      </c>
    </row>
    <row r="41">
      <c r="A41" s="25" t="str">
        <v>68 LN NA</v>
      </c>
      <c r="B41" s="25"/>
      <c r="C41" s="25"/>
      <c r="D41" s="25"/>
      <c r="E41" s="27"/>
      <c r="F41" s="47"/>
      <c r="G41">
        <f>VLOOKUP(A41,'Sheet10'!$A:$C,3,0)</f>
      </c>
    </row>
    <row r="42">
      <c r="A42" s="25" t="str">
        <v>68 LN NA</v>
      </c>
      <c r="B42" s="25"/>
      <c r="C42" s="25"/>
      <c r="D42" s="25"/>
      <c r="E42" s="27"/>
      <c r="F42" s="47"/>
      <c r="G42">
        <f>VLOOKUP(A42,'Sheet10'!$A:$C,3,0)</f>
      </c>
    </row>
    <row r="43">
      <c r="A43" s="25" t="str">
        <v>68 LN NA</v>
      </c>
      <c r="B43" s="25"/>
      <c r="C43" s="25"/>
      <c r="D43" s="25"/>
      <c r="E43" s="27"/>
      <c r="F43" s="48"/>
      <c r="G43">
        <f>VLOOKUP(A43,'Sheet10'!$A:$C,3,0)</f>
      </c>
    </row>
    <row r="44">
      <c r="A44" s="25" t="str">
        <v>80 TP TH</v>
      </c>
      <c r="B44" s="25"/>
      <c r="C44" s="25"/>
      <c r="D44" s="25"/>
      <c r="E44" s="27"/>
      <c r="F44" s="47"/>
      <c r="G44">
        <f>VLOOKUP(A44,'Sheet10'!$A:$C,3,0)</f>
      </c>
    </row>
    <row r="45">
      <c r="A45" s="25" t="str">
        <v>80 TP TH</v>
      </c>
      <c r="B45" s="25"/>
      <c r="C45" s="25"/>
      <c r="D45" s="25"/>
      <c r="E45" s="27"/>
      <c r="F45" s="48"/>
      <c r="G45">
        <f>VLOOKUP(A45,'Sheet10'!$A:$C,3,0)</f>
      </c>
    </row>
    <row r="46">
      <c r="A46" s="25" t="str">
        <v>80 TP TH</v>
      </c>
      <c r="B46" s="25"/>
      <c r="C46" s="25"/>
      <c r="D46" s="25"/>
      <c r="E46" s="27"/>
      <c r="F46" s="48"/>
      <c r="G46">
        <f>VLOOKUP(A46,'Sheet10'!$A:$C,3,0)</f>
      </c>
    </row>
    <row r="47">
      <c r="A47" s="25" t="str">
        <v>80 TP TH</v>
      </c>
      <c r="B47" s="25"/>
      <c r="C47" s="25"/>
      <c r="D47" s="25"/>
      <c r="E47" s="27"/>
      <c r="F47" s="48"/>
      <c r="G47">
        <f>VLOOKUP(A47,'Sheet10'!$A:$C,3,0)</f>
      </c>
    </row>
    <row r="48">
      <c r="A48" s="25" t="str">
        <v>80 TP TH</v>
      </c>
      <c r="B48" s="25"/>
      <c r="C48" s="25"/>
      <c r="D48" s="25"/>
      <c r="E48" s="27"/>
      <c r="F48" s="48"/>
      <c r="G48">
        <f>VLOOKUP(A48,'Sheet10'!$A:$C,3,0)</f>
      </c>
    </row>
    <row r="49">
      <c r="A49" s="25" t="str">
        <v>80 TP TH</v>
      </c>
      <c r="B49" s="25"/>
      <c r="C49" s="25"/>
      <c r="D49" s="25"/>
      <c r="E49" s="27"/>
      <c r="F49" s="48"/>
      <c r="G49">
        <f>VLOOKUP(A49,'Sheet10'!$A:$C,3,0)</f>
      </c>
    </row>
    <row r="50">
      <c r="A50" s="25" t="str">
        <v>80 TP TH</v>
      </c>
      <c r="B50" s="25"/>
      <c r="C50" s="25"/>
      <c r="D50" s="25"/>
      <c r="E50" s="27"/>
      <c r="F50" s="48"/>
      <c r="G50">
        <f>VLOOKUP(A50,'Sheet10'!$A:$C,3,0)</f>
      </c>
    </row>
    <row r="51">
      <c r="A51" s="25" t="str">
        <v>80 TP TH</v>
      </c>
      <c r="B51" s="25"/>
      <c r="C51" s="25"/>
      <c r="D51" s="25"/>
      <c r="E51" s="27"/>
      <c r="F51" s="47"/>
      <c r="G51">
        <f>VLOOKUP(A51,'Sheet10'!$A:$C,3,0)</f>
      </c>
    </row>
    <row r="52">
      <c r="A52" s="25" t="str">
        <v>80 TP TH</v>
      </c>
      <c r="B52" s="25"/>
      <c r="C52" s="25"/>
      <c r="D52" s="25"/>
      <c r="E52" s="27"/>
      <c r="F52" s="47"/>
      <c r="G52">
        <f>VLOOKUP(A52,'Sheet10'!$A:$C,3,0)</f>
      </c>
    </row>
    <row r="53">
      <c r="A53" s="25" t="str">
        <v>363 LNQ TN</v>
      </c>
      <c r="B53" s="25"/>
      <c r="C53" s="25"/>
      <c r="D53" s="25"/>
      <c r="E53" s="27"/>
      <c r="F53" s="47"/>
      <c r="G53">
        <f>VLOOKUP(A53,'Sheet10'!$A:$C,3,0)</f>
      </c>
    </row>
    <row r="54">
      <c r="A54" s="25" t="str">
        <v>363 LNQ TN</v>
      </c>
      <c r="B54" s="25"/>
      <c r="C54" s="25"/>
      <c r="D54" s="25"/>
      <c r="E54" s="27"/>
      <c r="F54" s="47"/>
      <c r="G54">
        <f>VLOOKUP(A54,'Sheet10'!$A:$C,3,0)</f>
      </c>
    </row>
    <row r="55">
      <c r="A55" s="25" t="str">
        <v>363 LNQ TN</v>
      </c>
      <c r="B55" s="25"/>
      <c r="C55" s="25"/>
      <c r="D55" s="25"/>
      <c r="E55" s="27"/>
      <c r="F55" s="47"/>
      <c r="G55">
        <f>VLOOKUP(A55,'Sheet10'!$A:$C,3,0)</f>
      </c>
    </row>
    <row r="56">
      <c r="A56" s="25" t="str">
        <v>363 LNQ TN</v>
      </c>
      <c r="B56" s="25"/>
      <c r="C56" s="25"/>
      <c r="D56" s="25"/>
      <c r="E56" s="27"/>
      <c r="F56" s="47"/>
      <c r="G56">
        <f>VLOOKUP(A56,'Sheet10'!$A:$C,3,0)</f>
      </c>
    </row>
    <row r="57">
      <c r="A57" s="25" t="str">
        <v>363 LNQ TN</v>
      </c>
      <c r="B57" s="25"/>
      <c r="C57" s="25"/>
      <c r="D57" s="25"/>
      <c r="E57" s="27"/>
      <c r="F57" s="47"/>
      <c r="G57">
        <f>VLOOKUP(A57,'Sheet10'!$A:$C,3,0)</f>
      </c>
    </row>
    <row r="58">
      <c r="A58" s="25" t="str">
        <v>363 LNQ TN</v>
      </c>
      <c r="B58" s="25"/>
      <c r="C58" s="25"/>
      <c r="D58" s="25"/>
      <c r="E58" s="27"/>
      <c r="F58" s="47"/>
      <c r="G58">
        <f>VLOOKUP(A58,'Sheet10'!$A:$C,3,0)</f>
      </c>
    </row>
    <row r="59">
      <c r="A59" s="25" t="str">
        <v>1371 PVT</v>
      </c>
      <c r="B59" s="25"/>
      <c r="C59" s="25"/>
      <c r="D59" s="25"/>
      <c r="E59" s="27"/>
      <c r="F59" s="47"/>
      <c r="G59">
        <f>VLOOKUP(A59,'Sheet10'!$A:$C,3,0)</f>
      </c>
    </row>
    <row r="60">
      <c r="A60" s="25" t="str">
        <v>1371 PVT</v>
      </c>
      <c r="B60" s="25"/>
      <c r="C60" s="25"/>
      <c r="D60" s="25"/>
      <c r="E60" s="27"/>
      <c r="F60" s="48"/>
      <c r="G60">
        <f>VLOOKUP(A60,'Sheet10'!$A:$C,3,0)</f>
      </c>
    </row>
    <row r="61">
      <c r="A61" s="25" t="str">
        <v>1371 PVT</v>
      </c>
      <c r="B61" s="25"/>
      <c r="C61" s="25"/>
      <c r="D61" s="25"/>
      <c r="E61" s="27"/>
      <c r="F61" s="47"/>
      <c r="G61">
        <f>VLOOKUP(A61,'Sheet10'!$A:$C,3,0)</f>
      </c>
    </row>
    <row r="62">
      <c r="A62" s="25" t="str">
        <v>1371 PVT</v>
      </c>
      <c r="B62" s="25"/>
      <c r="C62" s="25"/>
      <c r="D62" s="25"/>
      <c r="E62" s="27"/>
      <c r="F62" s="48"/>
      <c r="G62">
        <f>VLOOKUP(A62,'Sheet10'!$A:$C,3,0)</f>
      </c>
    </row>
    <row r="63">
      <c r="A63" s="25" t="str">
        <v>1371 PVT</v>
      </c>
      <c r="B63" s="25"/>
      <c r="C63" s="25"/>
      <c r="D63" s="25"/>
      <c r="E63" s="27"/>
      <c r="F63" s="48"/>
      <c r="G63">
        <f>VLOOKUP(A63,'Sheet10'!$A:$C,3,0)</f>
      </c>
    </row>
    <row r="64">
      <c r="A64" s="25" t="str">
        <v>1371 PVT</v>
      </c>
      <c r="B64" s="25"/>
      <c r="C64" s="25"/>
      <c r="D64" s="25"/>
      <c r="E64" s="27"/>
      <c r="F64" s="48"/>
      <c r="G64">
        <f>VLOOKUP(A64,'Sheet10'!$A:$C,3,0)</f>
      </c>
    </row>
    <row r="65">
      <c r="A65" s="25" t="str">
        <v>451 PVT</v>
      </c>
      <c r="B65" s="25"/>
      <c r="C65" s="25"/>
      <c r="D65" s="25"/>
      <c r="E65" s="27"/>
      <c r="F65" s="48"/>
      <c r="G65">
        <f>VLOOKUP(A65,'Sheet10'!$A:$C,3,0)</f>
      </c>
    </row>
    <row r="66">
      <c r="A66" s="25" t="str">
        <v>451 PVT</v>
      </c>
      <c r="B66" s="25"/>
      <c r="C66" s="25"/>
      <c r="D66" s="25"/>
      <c r="E66" s="27"/>
      <c r="F66" s="48"/>
      <c r="G66">
        <f>VLOOKUP(A66,'Sheet10'!$A:$C,3,0)</f>
      </c>
    </row>
    <row r="67">
      <c r="A67" s="25" t="str">
        <v>451 PVT</v>
      </c>
      <c r="B67" s="25"/>
      <c r="C67" s="25"/>
      <c r="D67" s="25"/>
      <c r="E67" s="27"/>
      <c r="F67" s="48"/>
      <c r="G67">
        <f>VLOOKUP(A67,'Sheet10'!$A:$C,3,0)</f>
      </c>
    </row>
    <row r="68">
      <c r="A68" s="25" t="str">
        <v>451 PVT</v>
      </c>
      <c r="B68" s="25"/>
      <c r="C68" s="25"/>
      <c r="D68" s="25"/>
      <c r="E68" s="27"/>
      <c r="F68" s="48"/>
      <c r="G68">
        <f>VLOOKUP(A68,'Sheet10'!$A:$C,3,0)</f>
      </c>
    </row>
    <row r="69">
      <c r="A69" s="25" t="str">
        <v>451 PVT</v>
      </c>
      <c r="B69" s="25"/>
      <c r="C69" s="25"/>
      <c r="D69" s="25"/>
      <c r="E69" s="27"/>
      <c r="F69" s="48"/>
      <c r="G69">
        <f>VLOOKUP(A69,'Sheet10'!$A:$C,3,0)</f>
      </c>
    </row>
    <row r="70">
      <c r="A70" s="25" t="str">
        <v>451 PVT</v>
      </c>
      <c r="B70" s="25"/>
      <c r="C70" s="25"/>
      <c r="D70" s="25"/>
      <c r="E70" s="27"/>
      <c r="F70" s="47"/>
      <c r="G70">
        <f>VLOOKUP(A70,'Sheet10'!$A:$C,3,0)</f>
      </c>
    </row>
    <row r="71">
      <c r="A71" s="25" t="str">
        <v>451 PVT</v>
      </c>
      <c r="B71" s="25"/>
      <c r="C71" s="25"/>
      <c r="D71" s="25"/>
      <c r="E71" s="27"/>
      <c r="F71" s="47"/>
      <c r="G71">
        <f>VLOOKUP(A71,'Sheet10'!$A:$C,3,0)</f>
      </c>
    </row>
    <row r="72">
      <c r="A72" s="25" t="str">
        <v>451 PVT</v>
      </c>
      <c r="B72" s="25"/>
      <c r="C72" s="25"/>
      <c r="D72" s="25"/>
      <c r="E72" s="27"/>
      <c r="F72" s="48"/>
      <c r="G72">
        <f>VLOOKUP(A72,'Sheet10'!$A:$C,3,0)</f>
      </c>
    </row>
    <row r="73">
      <c r="A73" s="25"/>
      <c r="B73" s="25"/>
      <c r="C73" s="25"/>
      <c r="D73" s="25"/>
      <c r="E73" s="27"/>
      <c r="F73" s="47"/>
      <c r="G73">
        <f>VLOOKUP(A73,'Sheet10'!$A:$C,3,0)</f>
      </c>
    </row>
    <row r="74">
      <c r="A74" s="25"/>
      <c r="B74" s="25"/>
      <c r="C74" s="25"/>
      <c r="D74" s="25"/>
      <c r="E74" s="27"/>
      <c r="F74" s="48"/>
      <c r="G74">
        <f>VLOOKUP(A74,'Sheet10'!$A:$C,3,0)</f>
      </c>
    </row>
    <row r="75">
      <c r="A75" s="25"/>
      <c r="B75" s="25"/>
      <c r="C75" s="25"/>
      <c r="D75" s="25"/>
      <c r="E75" s="27"/>
      <c r="F75" s="48"/>
      <c r="G75">
        <f>VLOOKUP(A75,'Sheet10'!$A:$C,3,0)</f>
      </c>
    </row>
    <row r="76">
      <c r="A76" s="25"/>
      <c r="B76" s="25"/>
      <c r="C76" s="25"/>
      <c r="D76" s="25"/>
      <c r="E76" s="27"/>
      <c r="F76" s="48"/>
      <c r="G76">
        <f>VLOOKUP(A76,'Sheet10'!$A:$C,3,0)</f>
      </c>
    </row>
    <row r="77">
      <c r="A77" s="25"/>
      <c r="B77" s="25"/>
      <c r="C77" s="25"/>
      <c r="D77" s="25"/>
      <c r="E77" s="27"/>
      <c r="F77" s="48"/>
      <c r="G77">
        <f>VLOOKUP(A77,'Sheet10'!$A:$C,3,0)</f>
      </c>
    </row>
    <row r="78">
      <c r="A78" s="25"/>
      <c r="B78" s="25"/>
      <c r="C78" s="25"/>
      <c r="D78" s="25"/>
      <c r="E78" s="27"/>
      <c r="F78" s="48"/>
      <c r="G78">
        <f>VLOOKUP(A78,'Sheet10'!$A:$C,3,0)</f>
      </c>
    </row>
    <row r="79">
      <c r="A79" s="25"/>
      <c r="B79" s="25"/>
      <c r="C79" s="25"/>
      <c r="D79" s="25"/>
      <c r="E79" s="27"/>
      <c r="F79" s="48"/>
      <c r="G79">
        <f>VLOOKUP(A79,'Sheet10'!$A:$C,3,0)</f>
      </c>
    </row>
    <row r="80">
      <c r="A80" s="25"/>
      <c r="B80" s="25"/>
      <c r="C80" s="25"/>
      <c r="D80" s="25"/>
      <c r="E80" s="27"/>
      <c r="F80" s="47"/>
      <c r="G80">
        <f>VLOOKUP(A80,'Sheet10'!$A:$C,3,0)</f>
      </c>
    </row>
    <row r="81">
      <c r="A81" s="25"/>
      <c r="B81" s="25"/>
      <c r="C81" s="25"/>
      <c r="D81" s="25"/>
      <c r="E81" s="27"/>
      <c r="F81" s="47"/>
      <c r="G81">
        <f>VLOOKUP(A81,'Sheet10'!$A:$C,3,0)</f>
      </c>
    </row>
    <row r="82">
      <c r="A82" s="25"/>
      <c r="B82" s="25"/>
      <c r="C82" s="25"/>
      <c r="D82" s="25"/>
      <c r="E82" s="27"/>
      <c r="F82" s="48"/>
      <c r="G82">
        <f>VLOOKUP(A82,'Sheet10'!$A:$C,3,0)</f>
      </c>
    </row>
    <row r="83">
      <c r="A83" s="25"/>
      <c r="B83" s="25"/>
      <c r="C83" s="25"/>
      <c r="D83" s="25"/>
      <c r="E83" s="27"/>
      <c r="F83" s="48"/>
      <c r="G83">
        <f>VLOOKUP(A83,'Sheet10'!$A:$C,3,0)</f>
      </c>
    </row>
    <row r="84">
      <c r="A84" s="25"/>
      <c r="B84" s="25"/>
      <c r="C84" s="25"/>
      <c r="D84" s="25"/>
      <c r="E84" s="27"/>
      <c r="F84" s="48"/>
      <c r="G84">
        <f>VLOOKUP(A84,'Sheet10'!$A:$C,3,0)</f>
      </c>
    </row>
    <row r="85">
      <c r="A85" s="25"/>
      <c r="B85" s="25"/>
      <c r="C85" s="25"/>
      <c r="D85" s="25"/>
      <c r="E85" s="27"/>
      <c r="F85" s="48"/>
      <c r="G85">
        <f>VLOOKUP(A85,'Sheet10'!$A:$C,3,0)</f>
      </c>
    </row>
    <row r="86">
      <c r="A86" s="25"/>
      <c r="B86" s="25"/>
      <c r="C86" s="25"/>
      <c r="D86" s="25"/>
      <c r="E86" s="27"/>
      <c r="F86" s="48"/>
      <c r="G86">
        <f>VLOOKUP(A86,'Sheet10'!$A:$C,3,0)</f>
      </c>
    </row>
    <row r="87">
      <c r="A87" s="25"/>
      <c r="B87" s="25"/>
      <c r="C87" s="25"/>
      <c r="D87" s="25"/>
      <c r="E87" s="27"/>
      <c r="F87" s="48"/>
      <c r="G87">
        <f>VLOOKUP(A87,'Sheet10'!$A:$C,3,0)</f>
      </c>
    </row>
    <row r="88">
      <c r="A88" s="25"/>
      <c r="B88" s="25"/>
      <c r="C88" s="25"/>
      <c r="D88" s="25"/>
      <c r="E88" s="27"/>
      <c r="F88" s="47"/>
      <c r="G88">
        <f>VLOOKUP(A88,'Sheet10'!$A:$C,3,0)</f>
      </c>
    </row>
    <row r="89">
      <c r="A89" s="25"/>
      <c r="B89" s="25"/>
      <c r="C89" s="25"/>
      <c r="D89" s="25"/>
      <c r="E89" s="27"/>
      <c r="F89" s="47"/>
      <c r="G89">
        <f>VLOOKUP(A89,'Sheet10'!$A:$C,3,0)</f>
      </c>
    </row>
    <row r="90">
      <c r="A90" s="25"/>
      <c r="B90" s="25"/>
      <c r="C90" s="25"/>
      <c r="D90" s="25"/>
      <c r="E90" s="27"/>
      <c r="F90" s="48"/>
      <c r="G90">
        <f>VLOOKUP(A90,'Sheet10'!$A:$C,3,0)</f>
      </c>
    </row>
    <row r="91">
      <c r="A91" s="25"/>
      <c r="B91" s="25"/>
      <c r="C91" s="25"/>
      <c r="D91" s="25"/>
      <c r="E91" s="27"/>
      <c r="F91" s="48"/>
      <c r="G91">
        <f>VLOOKUP(A91,'Sheet10'!$A:$C,3,0)</f>
      </c>
    </row>
    <row r="92">
      <c r="A92" s="25"/>
      <c r="B92" s="25"/>
      <c r="C92" s="25"/>
      <c r="D92" s="25"/>
      <c r="E92" s="27"/>
      <c r="F92" s="48"/>
      <c r="G92">
        <f>VLOOKUP(A92,'Sheet10'!$A:$C,3,0)</f>
      </c>
    </row>
    <row r="93">
      <c r="A93" s="25"/>
      <c r="B93" s="25"/>
      <c r="C93" s="25"/>
      <c r="D93" s="25"/>
      <c r="E93" s="27"/>
      <c r="F93" s="48"/>
      <c r="G93">
        <f>VLOOKUP(A93,'Sheet10'!$A:$C,3,0)</f>
      </c>
    </row>
    <row r="94">
      <c r="A94" s="25"/>
      <c r="B94" s="25"/>
      <c r="C94" s="25"/>
      <c r="D94" s="25"/>
      <c r="E94" s="27"/>
      <c r="F94" s="48"/>
      <c r="G94">
        <f>VLOOKUP(A94,'Sheet10'!$A:$C,3,0)</f>
      </c>
    </row>
    <row r="95">
      <c r="A95" s="25"/>
      <c r="B95" s="25"/>
      <c r="C95" s="25"/>
      <c r="D95" s="25"/>
      <c r="E95" s="27"/>
      <c r="F95" s="48"/>
      <c r="G95">
        <f>VLOOKUP(A95,'Sheet10'!$A:$C,3,0)</f>
      </c>
    </row>
    <row r="96">
      <c r="A96" s="25"/>
      <c r="B96" s="25"/>
      <c r="C96" s="25"/>
      <c r="D96" s="25"/>
      <c r="E96" s="27"/>
      <c r="F96" s="47"/>
      <c r="G96">
        <f>VLOOKUP(A96,'Sheet10'!$A:$C,3,0)</f>
      </c>
    </row>
    <row r="97">
      <c r="A97" s="25"/>
      <c r="B97" s="25"/>
      <c r="C97" s="25"/>
      <c r="D97" s="25"/>
      <c r="E97" s="27"/>
      <c r="F97" s="47"/>
      <c r="G97">
        <f>VLOOKUP(A97,'Sheet10'!$A:$C,3,0)</f>
      </c>
    </row>
    <row r="98">
      <c r="A98" s="25"/>
      <c r="B98" s="25"/>
      <c r="C98" s="25"/>
      <c r="D98" s="25"/>
      <c r="E98" s="27"/>
      <c r="F98" s="48"/>
      <c r="G98">
        <f>VLOOKUP(A98,'Sheet10'!$A:$C,3,0)</f>
      </c>
    </row>
    <row r="99">
      <c r="A99" s="25"/>
      <c r="B99" s="25"/>
      <c r="C99" s="25"/>
      <c r="D99" s="25"/>
      <c r="E99" s="27"/>
      <c r="F99" s="48"/>
      <c r="G99">
        <f>VLOOKUP(A99,'Sheet10'!$A:$C,3,0)</f>
      </c>
    </row>
    <row r="100">
      <c r="A100" s="25"/>
      <c r="B100" s="25"/>
      <c r="C100" s="25"/>
      <c r="D100" s="25"/>
      <c r="E100" s="27"/>
      <c r="F100" s="48"/>
      <c r="G100">
        <f>VLOOKUP(A100,'Sheet10'!$A:$C,3,0)</f>
      </c>
    </row>
    <row r="101">
      <c r="A101" s="25"/>
      <c r="B101" s="25"/>
      <c r="C101" s="25"/>
      <c r="D101" s="25"/>
      <c r="E101" s="27"/>
      <c r="F101" s="48"/>
      <c r="G101">
        <f>VLOOKUP(A101,'Sheet10'!$A:$C,3,0)</f>
      </c>
    </row>
    <row r="102">
      <c r="A102" s="25"/>
      <c r="B102" s="25"/>
      <c r="C102" s="25"/>
      <c r="D102" s="25"/>
      <c r="E102" s="27"/>
      <c r="F102" s="48"/>
      <c r="G102">
        <f>VLOOKUP(A102,'Sheet10'!$A:$C,3,0)</f>
      </c>
    </row>
    <row r="103">
      <c r="A103" s="25"/>
      <c r="B103" s="25"/>
      <c r="C103" s="25"/>
      <c r="D103" s="25"/>
      <c r="E103" s="27"/>
      <c r="F103" s="48"/>
      <c r="G103">
        <f>VLOOKUP(A103,'Sheet10'!$A:$C,3,0)</f>
      </c>
    </row>
    <row r="104">
      <c r="A104" s="25"/>
      <c r="B104" s="25"/>
      <c r="C104" s="25"/>
      <c r="D104" s="25"/>
      <c r="E104" s="27"/>
      <c r="F104" s="47"/>
      <c r="G104">
        <f>VLOOKUP(A104,'Sheet10'!$A:$C,3,0)</f>
      </c>
    </row>
    <row r="105">
      <c r="A105" s="25"/>
      <c r="B105" s="25"/>
      <c r="C105" s="25"/>
      <c r="D105" s="25"/>
      <c r="E105" s="27"/>
      <c r="F105" s="47"/>
      <c r="G105">
        <f>VLOOKUP(A105,'Sheet10'!$A:$C,3,0)</f>
      </c>
    </row>
    <row r="106">
      <c r="A106" s="25"/>
      <c r="B106" s="25"/>
      <c r="C106" s="25"/>
      <c r="D106" s="25"/>
      <c r="E106" s="27"/>
      <c r="F106" s="48"/>
      <c r="G106">
        <f>VLOOKUP(A106,'Sheet10'!$A:$C,3,0)</f>
      </c>
    </row>
    <row r="107">
      <c r="A107" s="25"/>
      <c r="B107" s="25"/>
      <c r="C107" s="25"/>
      <c r="D107" s="25"/>
      <c r="E107" s="27"/>
      <c r="F107" s="47"/>
      <c r="G107">
        <f>VLOOKUP(A107,'Sheet10'!$A:$C,3,0)</f>
      </c>
    </row>
    <row r="108">
      <c r="A108" s="25"/>
      <c r="B108" s="25"/>
      <c r="C108" s="25"/>
      <c r="D108" s="25"/>
      <c r="E108" s="27"/>
      <c r="F108" s="48"/>
      <c r="G108">
        <f>VLOOKUP(A108,'Sheet10'!$A:$C,3,0)</f>
      </c>
    </row>
    <row r="109">
      <c r="A109" s="25"/>
      <c r="B109" s="25"/>
      <c r="C109" s="25"/>
      <c r="D109" s="25"/>
      <c r="E109" s="27"/>
      <c r="F109" s="48"/>
      <c r="G109">
        <f>VLOOKUP(A109,'Sheet10'!$A:$C,3,0)</f>
      </c>
    </row>
    <row r="110">
      <c r="A110" s="25"/>
      <c r="B110" s="25"/>
      <c r="C110" s="25"/>
      <c r="D110" s="25"/>
      <c r="E110" s="27"/>
      <c r="F110" s="48"/>
      <c r="G110">
        <f>VLOOKUP(A110,'Sheet10'!$A:$C,3,0)</f>
      </c>
    </row>
    <row r="111">
      <c r="A111" s="25"/>
      <c r="B111" s="25"/>
      <c r="C111" s="25"/>
      <c r="D111" s="25"/>
      <c r="E111" s="27"/>
      <c r="F111" s="48"/>
      <c r="G111">
        <f>VLOOKUP(A111,'Sheet10'!$A:$C,3,0)</f>
      </c>
    </row>
    <row r="112">
      <c r="A112" s="25"/>
      <c r="B112" s="25"/>
      <c r="C112" s="25"/>
      <c r="D112" s="25"/>
      <c r="E112" s="27"/>
      <c r="F112" s="48"/>
      <c r="G112">
        <f>VLOOKUP(A112,'Sheet10'!$A:$C,3,0)</f>
      </c>
    </row>
    <row r="113">
      <c r="A113" s="25"/>
      <c r="B113" s="25"/>
      <c r="C113" s="25"/>
      <c r="D113" s="25"/>
      <c r="E113" s="27"/>
      <c r="F113" s="48"/>
      <c r="G113">
        <f>VLOOKUP(A113,'Sheet10'!$A:$C,3,0)</f>
      </c>
    </row>
    <row r="114">
      <c r="A114" s="25"/>
      <c r="B114" s="25"/>
      <c r="C114" s="25"/>
      <c r="D114" s="25"/>
      <c r="E114" s="27"/>
      <c r="F114" s="47"/>
      <c r="G114">
        <f>VLOOKUP(A114,'Sheet10'!$A:$C,3,0)</f>
      </c>
    </row>
    <row r="115">
      <c r="A115" s="25"/>
      <c r="B115" s="25"/>
      <c r="C115" s="25"/>
      <c r="D115" s="25"/>
      <c r="E115" s="27"/>
      <c r="F115" s="47"/>
      <c r="G115">
        <f>VLOOKUP(A115,'Sheet10'!$A:$C,3,0)</f>
      </c>
    </row>
    <row r="116">
      <c r="A116" s="25"/>
      <c r="B116" s="25"/>
      <c r="C116" s="25"/>
      <c r="D116" s="25"/>
      <c r="E116" s="27"/>
      <c r="F116" s="48"/>
      <c r="G116">
        <f>VLOOKUP(A116,'Sheet10'!$A:$C,3,0)</f>
      </c>
    </row>
    <row r="117">
      <c r="A117" s="25"/>
      <c r="B117" s="25"/>
      <c r="C117" s="25"/>
      <c r="D117" s="25"/>
      <c r="E117" s="27"/>
      <c r="F117" s="47"/>
      <c r="G117">
        <f>VLOOKUP(A117,'Sheet10'!$A:$C,3,0)</f>
      </c>
    </row>
    <row r="118">
      <c r="A118" s="25"/>
      <c r="B118" s="25"/>
      <c r="C118" s="25"/>
      <c r="D118" s="25"/>
      <c r="E118" s="27"/>
      <c r="F118" s="48"/>
      <c r="G118">
        <f>VLOOKUP(A118,'Sheet10'!$A:$C,3,0)</f>
      </c>
    </row>
    <row r="119">
      <c r="A119" s="25"/>
      <c r="B119" s="25"/>
      <c r="C119" s="25"/>
      <c r="D119" s="25"/>
      <c r="E119" s="27"/>
      <c r="F119" s="48"/>
      <c r="G119">
        <f>VLOOKUP(A119,'Sheet10'!$A:$C,3,0)</f>
      </c>
    </row>
    <row r="120">
      <c r="A120" s="25"/>
      <c r="B120" s="25"/>
      <c r="C120" s="25"/>
      <c r="D120" s="25"/>
      <c r="E120" s="27"/>
      <c r="F120" s="48"/>
      <c r="G120">
        <f>VLOOKUP(A120,'Sheet10'!$A:$C,3,0)</f>
      </c>
    </row>
    <row r="121">
      <c r="A121" s="25"/>
      <c r="B121" s="25"/>
      <c r="C121" s="25"/>
      <c r="D121" s="25"/>
      <c r="E121" s="27"/>
      <c r="F121" s="48"/>
      <c r="G121">
        <f>VLOOKUP(A121,'Sheet10'!$A:$C,3,0)</f>
      </c>
    </row>
    <row r="122">
      <c r="A122" s="25"/>
      <c r="B122" s="25"/>
      <c r="C122" s="25"/>
      <c r="D122" s="25"/>
      <c r="E122" s="27"/>
      <c r="F122" s="48"/>
      <c r="G122">
        <f>VLOOKUP(A122,'Sheet10'!$A:$C,3,0)</f>
      </c>
    </row>
    <row r="123">
      <c r="A123" s="25"/>
      <c r="B123" s="25"/>
      <c r="C123" s="25"/>
      <c r="D123" s="25"/>
      <c r="E123" s="27"/>
      <c r="F123" s="48"/>
      <c r="G123">
        <f>VLOOKUP(A123,'Sheet10'!$A:$C,3,0)</f>
      </c>
    </row>
    <row r="124">
      <c r="A124" s="25"/>
      <c r="B124" s="25"/>
      <c r="C124" s="25"/>
      <c r="D124" s="25"/>
      <c r="E124" s="27"/>
      <c r="F124" s="48"/>
      <c r="G124">
        <f>VLOOKUP(A124,'Sheet10'!$A:$C,3,0)</f>
      </c>
    </row>
    <row r="125">
      <c r="A125" s="25"/>
      <c r="B125" s="25"/>
      <c r="C125" s="25"/>
      <c r="D125" s="25"/>
      <c r="E125" s="27"/>
      <c r="F125" s="47"/>
      <c r="G125">
        <f>VLOOKUP(A125,'Sheet10'!$A:$C,3,0)</f>
      </c>
    </row>
    <row r="126">
      <c r="A126" s="25"/>
      <c r="B126" s="25"/>
      <c r="C126" s="25"/>
      <c r="D126" s="25"/>
      <c r="E126" s="27"/>
      <c r="F126" s="47"/>
      <c r="G126">
        <f>VLOOKUP(A126,'Sheet10'!$A:$C,3,0)</f>
      </c>
    </row>
    <row r="127">
      <c r="A127" s="25"/>
      <c r="B127" s="25"/>
      <c r="C127" s="25"/>
      <c r="D127" s="25"/>
      <c r="E127" s="27"/>
      <c r="F127" s="48"/>
      <c r="G127">
        <f>VLOOKUP(A127,'Sheet10'!$A:$C,3,0)</f>
      </c>
    </row>
    <row r="128">
      <c r="A128" s="25"/>
      <c r="B128" s="25"/>
      <c r="C128" s="25"/>
      <c r="D128" s="25"/>
      <c r="E128" s="27"/>
      <c r="F128" s="48"/>
      <c r="G128">
        <f>VLOOKUP(A128,'Sheet10'!$A:$C,3,0)</f>
      </c>
    </row>
    <row r="129">
      <c r="A129" s="25"/>
      <c r="B129" s="25"/>
      <c r="C129" s="25"/>
      <c r="D129" s="25"/>
      <c r="E129" s="27"/>
      <c r="F129" s="48"/>
      <c r="G129">
        <f>VLOOKUP(A129,'Sheet10'!$A:$C,3,0)</f>
      </c>
    </row>
    <row r="130">
      <c r="A130" s="25"/>
      <c r="B130" s="25"/>
      <c r="C130" s="25"/>
      <c r="D130" s="25"/>
      <c r="E130" s="27"/>
      <c r="F130" s="48"/>
      <c r="G130">
        <f>VLOOKUP(A130,'Sheet10'!$A:$C,3,0)</f>
      </c>
    </row>
    <row r="131">
      <c r="A131" s="25"/>
      <c r="B131" s="25"/>
      <c r="C131" s="25"/>
      <c r="D131" s="25"/>
      <c r="E131" s="27"/>
      <c r="F131" s="48"/>
      <c r="G131">
        <f>VLOOKUP(A131,'Sheet10'!$A:$C,3,0)</f>
      </c>
    </row>
    <row r="132">
      <c r="A132" s="25"/>
      <c r="B132" s="25"/>
      <c r="C132" s="25"/>
      <c r="D132" s="25"/>
      <c r="E132" s="27"/>
      <c r="F132" s="48"/>
      <c r="G132">
        <f>VLOOKUP(A132,'Sheet10'!$A:$C,3,0)</f>
      </c>
    </row>
    <row r="133">
      <c r="A133" s="25"/>
      <c r="B133" s="25"/>
      <c r="C133" s="25"/>
      <c r="D133" s="25"/>
      <c r="E133" s="27"/>
      <c r="F133" s="47"/>
      <c r="G133">
        <f>VLOOKUP(A133,'Sheet10'!$A:$C,3,0)</f>
      </c>
    </row>
    <row r="134">
      <c r="A134" s="25"/>
      <c r="B134" s="25"/>
      <c r="C134" s="25"/>
      <c r="D134" s="25"/>
      <c r="E134" s="27"/>
      <c r="F134" s="47"/>
      <c r="G134">
        <f>VLOOKUP(A134,'Sheet10'!$A:$C,3,0)</f>
      </c>
    </row>
    <row r="135">
      <c r="A135" s="25"/>
      <c r="B135" s="25"/>
      <c r="C135" s="25"/>
      <c r="D135" s="25"/>
      <c r="E135" s="27"/>
      <c r="F135" s="47"/>
      <c r="G135">
        <f>VLOOKUP(A135,'Sheet10'!$A:$C,3,0)</f>
      </c>
    </row>
    <row r="136">
      <c r="A136" s="25"/>
      <c r="B136" s="25"/>
      <c r="C136" s="25"/>
      <c r="D136" s="25"/>
      <c r="E136" s="27"/>
      <c r="F136" s="47"/>
      <c r="G136">
        <f>VLOOKUP(A136,'Sheet10'!$A:$C,3,0)</f>
      </c>
    </row>
    <row r="137">
      <c r="A137" s="25"/>
      <c r="B137" s="25"/>
      <c r="C137" s="25"/>
      <c r="D137" s="25"/>
      <c r="E137" s="27"/>
      <c r="F137" s="47"/>
      <c r="G137">
        <f>VLOOKUP(A137,'Sheet10'!$A:$C,3,0)</f>
      </c>
    </row>
    <row r="138">
      <c r="A138" s="25"/>
      <c r="B138" s="25"/>
      <c r="C138" s="25"/>
      <c r="D138" s="25"/>
      <c r="E138" s="27"/>
      <c r="F138" s="47"/>
      <c r="G138">
        <f>VLOOKUP(A138,'Sheet10'!$A:$C,3,0)</f>
      </c>
    </row>
    <row r="139">
      <c r="A139" s="25"/>
      <c r="B139" s="25"/>
      <c r="C139" s="25"/>
      <c r="D139" s="25"/>
      <c r="E139" s="27"/>
      <c r="F139" s="47"/>
      <c r="G139">
        <f>VLOOKUP(A139,'Sheet10'!$A:$C,3,0)</f>
      </c>
    </row>
    <row r="140">
      <c r="A140" s="25"/>
      <c r="B140" s="25"/>
      <c r="C140" s="25"/>
      <c r="D140" s="25"/>
      <c r="E140" s="27"/>
      <c r="F140" s="47"/>
      <c r="G140">
        <f>VLOOKUP(A140,'Sheet10'!$A:$C,3,0)</f>
      </c>
    </row>
    <row r="141">
      <c r="A141" s="25"/>
      <c r="B141" s="25"/>
      <c r="C141" s="25"/>
      <c r="D141" s="25"/>
      <c r="E141" s="27"/>
      <c r="F141" s="47"/>
      <c r="G141">
        <f>VLOOKUP(A141,'Sheet10'!$A:$C,3,0)</f>
      </c>
    </row>
    <row r="142">
      <c r="A142" s="25"/>
      <c r="B142" s="25"/>
      <c r="C142" s="25"/>
      <c r="D142" s="25"/>
      <c r="E142" s="27"/>
      <c r="F142" s="47"/>
      <c r="G142">
        <f>VLOOKUP(A142,'Sheet10'!$A:$C,3,0)</f>
      </c>
    </row>
    <row r="143">
      <c r="A143" s="25"/>
      <c r="B143" s="25"/>
      <c r="C143" s="25"/>
      <c r="D143" s="25"/>
      <c r="E143" s="27"/>
      <c r="F143" s="47"/>
      <c r="G143">
        <f>VLOOKUP(A143,'Sheet10'!$A:$C,3,0)</f>
      </c>
    </row>
    <row r="144">
      <c r="A144" s="25"/>
      <c r="B144" s="25"/>
      <c r="C144" s="25"/>
      <c r="D144" s="25"/>
      <c r="E144" s="27"/>
      <c r="F144" s="47"/>
      <c r="G144">
        <f>VLOOKUP(A144,'Sheet10'!$A:$C,3,0)</f>
      </c>
    </row>
    <row r="145">
      <c r="A145" s="25"/>
      <c r="B145" s="25"/>
      <c r="C145" s="25"/>
      <c r="D145" s="25"/>
      <c r="E145" s="27"/>
      <c r="F145" s="48"/>
      <c r="G145">
        <f>VLOOKUP(A145,'Sheet10'!$A:$C,3,0)</f>
      </c>
    </row>
    <row r="146">
      <c r="A146" s="25"/>
      <c r="B146" s="25"/>
      <c r="C146" s="25"/>
      <c r="D146" s="25"/>
      <c r="E146" s="27"/>
      <c r="F146" s="47"/>
      <c r="G146">
        <f>VLOOKUP(A146,'Sheet10'!$A:$C,3,0)</f>
      </c>
    </row>
    <row r="147">
      <c r="A147" s="25"/>
      <c r="B147" s="25"/>
      <c r="C147" s="25"/>
      <c r="D147" s="25"/>
      <c r="E147" s="27"/>
      <c r="F147" s="48"/>
      <c r="G147">
        <f>VLOOKUP(A147,'Sheet10'!$A:$C,3,0)</f>
      </c>
    </row>
    <row r="148">
      <c r="A148" s="25"/>
      <c r="B148" s="25"/>
      <c r="C148" s="25"/>
      <c r="D148" s="25"/>
      <c r="E148" s="27"/>
      <c r="F148" s="48"/>
      <c r="G148">
        <f>VLOOKUP(A148,'Sheet10'!$A:$C,3,0)</f>
      </c>
    </row>
    <row r="149">
      <c r="A149" s="25"/>
      <c r="B149" s="25"/>
      <c r="C149" s="25"/>
      <c r="D149" s="25"/>
      <c r="E149" s="27"/>
      <c r="F149" s="48"/>
      <c r="G149">
        <f>VLOOKUP(A149,'Sheet10'!$A:$C,3,0)</f>
      </c>
    </row>
    <row r="150">
      <c r="A150" s="25"/>
      <c r="B150" s="25"/>
      <c r="C150" s="25"/>
      <c r="D150" s="25"/>
      <c r="E150" s="27"/>
      <c r="F150" s="48"/>
      <c r="G150">
        <f>VLOOKUP(A150,'Sheet10'!$A:$C,3,0)</f>
      </c>
    </row>
    <row r="151">
      <c r="A151" s="25"/>
      <c r="B151" s="25"/>
      <c r="C151" s="25"/>
      <c r="D151" s="25"/>
      <c r="E151" s="27"/>
      <c r="F151" s="48"/>
      <c r="G151">
        <f>VLOOKUP(A151,'Sheet10'!$A:$C,3,0)</f>
      </c>
    </row>
    <row r="152">
      <c r="A152" s="25"/>
      <c r="B152" s="25"/>
      <c r="C152" s="25"/>
      <c r="D152" s="25"/>
      <c r="E152" s="27"/>
      <c r="F152" s="47"/>
      <c r="G152">
        <f>VLOOKUP(A152,'Sheet10'!$A:$C,3,0)</f>
      </c>
    </row>
    <row r="153">
      <c r="A153" s="25"/>
      <c r="B153" s="25"/>
      <c r="C153" s="25"/>
      <c r="D153" s="25"/>
      <c r="E153" s="27"/>
      <c r="F153" s="47"/>
      <c r="G153">
        <f>VLOOKUP(A153,'Sheet10'!$A:$C,3,0)</f>
      </c>
    </row>
    <row r="154">
      <c r="A154" s="25"/>
      <c r="B154" s="25"/>
      <c r="C154" s="25"/>
      <c r="D154" s="25"/>
      <c r="E154" s="27"/>
      <c r="F154" s="47"/>
      <c r="G154">
        <f>VLOOKUP(A154,'Sheet10'!$A:$C,3,0)</f>
      </c>
    </row>
    <row r="155">
      <c r="A155" s="25"/>
      <c r="B155" s="25"/>
      <c r="C155" s="25"/>
      <c r="D155" s="25"/>
      <c r="E155" s="27"/>
      <c r="F155" s="47"/>
      <c r="G155">
        <f>VLOOKUP(A155,'Sheet10'!$A:$C,3,0)</f>
      </c>
    </row>
    <row r="156">
      <c r="A156" s="25"/>
      <c r="B156" s="25"/>
      <c r="C156" s="25"/>
      <c r="D156" s="25"/>
      <c r="E156" s="27"/>
      <c r="F156" s="47"/>
      <c r="G156">
        <f>VLOOKUP(A156,'Sheet10'!$A:$C,3,0)</f>
      </c>
    </row>
    <row r="157">
      <c r="A157" s="25"/>
      <c r="B157" s="25"/>
      <c r="C157" s="25"/>
      <c r="D157" s="25"/>
      <c r="E157" s="27"/>
      <c r="F157" s="47"/>
      <c r="G157">
        <f>VLOOKUP(A157,'Sheet10'!$A:$C,3,0)</f>
      </c>
    </row>
    <row r="158">
      <c r="A158" s="25"/>
      <c r="B158" s="25"/>
      <c r="C158" s="25"/>
      <c r="D158" s="25"/>
      <c r="E158" s="27"/>
      <c r="F158" s="47"/>
      <c r="G158">
        <f>VLOOKUP(A158,'Sheet10'!$A:$C,3,0)</f>
      </c>
    </row>
    <row r="159">
      <c r="A159" s="25"/>
      <c r="B159" s="25"/>
      <c r="C159" s="25"/>
      <c r="D159" s="25"/>
      <c r="E159" s="27"/>
      <c r="F159" s="47"/>
      <c r="G159">
        <f>VLOOKUP(A159,'Sheet10'!$A:$C,3,0)</f>
      </c>
    </row>
    <row r="160">
      <c r="A160" s="25"/>
      <c r="B160" s="25"/>
      <c r="C160" s="25"/>
      <c r="D160" s="25"/>
      <c r="E160" s="27"/>
      <c r="F160" s="47"/>
      <c r="G160">
        <f>VLOOKUP(A160,'Sheet10'!$A:$C,3,0)</f>
      </c>
    </row>
    <row r="161">
      <c r="A161" s="25"/>
      <c r="B161" s="25"/>
      <c r="C161" s="25"/>
      <c r="D161" s="25"/>
      <c r="E161" s="27"/>
      <c r="F161" s="47"/>
      <c r="G161">
        <f>VLOOKUP(A161,'Sheet10'!$A:$C,3,0)</f>
      </c>
    </row>
    <row r="162">
      <c r="A162" s="25"/>
      <c r="B162" s="25"/>
      <c r="C162" s="25"/>
      <c r="D162" s="25"/>
      <c r="E162" s="27"/>
      <c r="F162" s="47"/>
      <c r="G162">
        <f>VLOOKUP(A162,'Sheet10'!$A:$C,3,0)</f>
      </c>
    </row>
    <row r="163">
      <c r="A163" s="25"/>
      <c r="B163" s="25"/>
      <c r="C163" s="25"/>
      <c r="D163" s="25"/>
      <c r="E163" s="27"/>
      <c r="F163" s="47"/>
      <c r="G163">
        <f>VLOOKUP(A163,'Sheet10'!$A:$C,3,0)</f>
      </c>
    </row>
    <row r="164">
      <c r="A164" s="25"/>
      <c r="B164" s="25"/>
      <c r="C164" s="25"/>
      <c r="D164" s="25"/>
      <c r="E164" s="27"/>
      <c r="F164" s="48"/>
      <c r="G164">
        <f>VLOOKUP(A164,'Sheet10'!$A:$C,3,0)</f>
      </c>
    </row>
    <row r="165">
      <c r="A165" s="25"/>
      <c r="B165" s="25"/>
      <c r="C165" s="25"/>
      <c r="D165" s="25"/>
      <c r="E165" s="27"/>
      <c r="F165" s="48"/>
      <c r="G165">
        <f>VLOOKUP(A165,'Sheet10'!$A:$C,3,0)</f>
      </c>
    </row>
    <row r="166">
      <c r="A166" s="25"/>
      <c r="B166" s="25"/>
      <c r="C166" s="25"/>
      <c r="D166" s="25"/>
      <c r="E166" s="27"/>
      <c r="F166" s="48"/>
      <c r="G166">
        <f>VLOOKUP(A166,'Sheet10'!$A:$C,3,0)</f>
      </c>
    </row>
    <row r="167">
      <c r="A167" s="25"/>
      <c r="B167" s="25"/>
      <c r="C167" s="25"/>
      <c r="D167" s="25"/>
      <c r="E167" s="27"/>
      <c r="F167" s="48"/>
      <c r="G167">
        <f>VLOOKUP(A167,'Sheet10'!$A:$C,3,0)</f>
      </c>
    </row>
    <row r="168">
      <c r="A168" s="25"/>
      <c r="B168" s="25"/>
      <c r="C168" s="25"/>
      <c r="D168" s="25"/>
      <c r="E168" s="27"/>
      <c r="F168" s="48"/>
      <c r="G168">
        <f>VLOOKUP(A168,'Sheet10'!$A:$C,3,0)</f>
      </c>
    </row>
    <row r="169">
      <c r="A169" s="25"/>
      <c r="B169" s="25"/>
      <c r="C169" s="25"/>
      <c r="D169" s="25"/>
      <c r="E169" s="27"/>
      <c r="F169" s="48"/>
      <c r="G169">
        <f>VLOOKUP(A169,'Sheet10'!$A:$C,3,0)</f>
      </c>
    </row>
    <row r="170">
      <c r="A170" s="25"/>
      <c r="B170" s="25"/>
      <c r="C170" s="25"/>
      <c r="D170" s="25"/>
      <c r="E170" s="27"/>
      <c r="F170" s="47"/>
      <c r="G170">
        <f>VLOOKUP(A170,'Sheet10'!$A:$C,3,0)</f>
      </c>
    </row>
    <row r="171">
      <c r="A171" s="25"/>
      <c r="B171" s="25"/>
      <c r="C171" s="25"/>
      <c r="D171" s="25"/>
      <c r="E171" s="27"/>
      <c r="F171" s="48"/>
      <c r="G171">
        <f>VLOOKUP(A171,'Sheet10'!$A:$C,3,0)</f>
      </c>
    </row>
    <row r="172">
      <c r="A172" s="25"/>
      <c r="B172" s="25"/>
      <c r="C172" s="25"/>
      <c r="D172" s="25"/>
      <c r="E172" s="27"/>
      <c r="F172" s="48"/>
      <c r="G172">
        <f>VLOOKUP(A172,'Sheet10'!$A:$C,3,0)</f>
      </c>
    </row>
    <row r="173">
      <c r="A173" s="25"/>
      <c r="B173" s="25"/>
      <c r="C173" s="25"/>
      <c r="D173" s="25"/>
      <c r="E173" s="27"/>
      <c r="F173" s="48"/>
      <c r="G173">
        <f>VLOOKUP(A173,'Sheet10'!$A:$C,3,0)</f>
      </c>
    </row>
    <row r="174">
      <c r="A174" s="25"/>
      <c r="B174" s="25"/>
      <c r="C174" s="25"/>
      <c r="D174" s="25"/>
      <c r="E174" s="27"/>
      <c r="F174" s="48"/>
      <c r="G174">
        <f>VLOOKUP(A174,'Sheet10'!$A:$C,3,0)</f>
      </c>
    </row>
    <row r="175">
      <c r="A175" s="25"/>
      <c r="B175" s="25"/>
      <c r="C175" s="25"/>
      <c r="D175" s="25"/>
      <c r="E175" s="27"/>
      <c r="F175" s="48"/>
      <c r="G175">
        <f>VLOOKUP(A175,'Sheet10'!$A:$C,3,0)</f>
      </c>
    </row>
    <row r="176">
      <c r="A176" s="25"/>
      <c r="B176" s="25"/>
      <c r="C176" s="25"/>
      <c r="D176" s="25"/>
      <c r="E176" s="27"/>
      <c r="F176" s="48"/>
      <c r="G176">
        <f>VLOOKUP(A176,'Sheet10'!$A:$C,3,0)</f>
      </c>
    </row>
    <row r="177">
      <c r="A177" s="25"/>
      <c r="B177" s="25"/>
      <c r="C177" s="25"/>
      <c r="D177" s="25"/>
      <c r="E177" s="27"/>
      <c r="F177" s="48"/>
      <c r="G177">
        <f>VLOOKUP(A177,'Sheet10'!$A:$C,3,0)</f>
      </c>
    </row>
    <row r="178">
      <c r="A178" s="25"/>
      <c r="B178" s="25"/>
      <c r="C178" s="25"/>
      <c r="D178" s="25"/>
      <c r="E178" s="27"/>
      <c r="F178" s="47"/>
    </row>
    <row r="179">
      <c r="A179" s="25"/>
      <c r="B179" s="25"/>
      <c r="C179" s="25"/>
      <c r="D179" s="25"/>
      <c r="E179" s="27"/>
      <c r="F179" s="48"/>
    </row>
    <row r="180">
      <c r="A180" s="25"/>
      <c r="B180" s="25"/>
      <c r="C180" s="25"/>
      <c r="D180" s="25"/>
      <c r="E180" s="27"/>
      <c r="F180" s="47"/>
    </row>
    <row r="181">
      <c r="A181" s="25"/>
      <c r="B181" s="25"/>
      <c r="C181" s="25"/>
      <c r="D181" s="25"/>
      <c r="E181" s="27"/>
      <c r="F181" s="48"/>
    </row>
    <row r="182">
      <c r="A182" s="25"/>
      <c r="B182" s="25"/>
      <c r="C182" s="25"/>
      <c r="D182" s="25"/>
      <c r="E182" s="27"/>
      <c r="F182" s="48"/>
    </row>
    <row r="183">
      <c r="A183" s="25"/>
      <c r="B183" s="25"/>
      <c r="C183" s="25"/>
      <c r="D183" s="25"/>
      <c r="E183" s="27"/>
      <c r="F183" s="48"/>
    </row>
    <row r="184">
      <c r="A184" s="25"/>
      <c r="B184" s="25"/>
      <c r="C184" s="25"/>
      <c r="D184" s="25"/>
      <c r="E184" s="27"/>
      <c r="F184" s="48"/>
    </row>
    <row r="185">
      <c r="A185" s="25"/>
      <c r="B185" s="25"/>
      <c r="C185" s="25"/>
      <c r="D185" s="25"/>
      <c r="E185" s="27"/>
      <c r="F185" s="48"/>
    </row>
    <row r="186">
      <c r="A186" s="25"/>
      <c r="B186" s="25"/>
      <c r="C186" s="25"/>
      <c r="D186" s="25"/>
      <c r="E186" s="27"/>
      <c r="F186" s="48"/>
    </row>
    <row r="187">
      <c r="A187" s="25"/>
      <c r="B187" s="25"/>
      <c r="C187" s="25"/>
      <c r="D187" s="25"/>
      <c r="E187" s="27"/>
      <c r="F187" s="48"/>
    </row>
    <row r="188">
      <c r="A188" s="25"/>
      <c r="B188" s="25"/>
      <c r="C188" s="25"/>
      <c r="D188" s="25"/>
      <c r="E188" s="27"/>
      <c r="F188" s="47"/>
    </row>
    <row r="189">
      <c r="A189" s="25"/>
      <c r="B189" s="25"/>
      <c r="C189" s="25"/>
      <c r="D189" s="25"/>
      <c r="E189" s="27"/>
      <c r="F189" s="48"/>
    </row>
    <row r="190">
      <c r="A190" s="25"/>
      <c r="B190" s="25"/>
      <c r="C190" s="25"/>
      <c r="D190" s="25"/>
      <c r="E190" s="27"/>
      <c r="F190" s="47"/>
    </row>
    <row r="191">
      <c r="A191" s="25"/>
      <c r="B191" s="25"/>
      <c r="C191" s="25"/>
      <c r="D191" s="25"/>
      <c r="E191" s="27"/>
      <c r="F191" s="48"/>
    </row>
    <row r="192">
      <c r="A192" s="25"/>
      <c r="B192" s="25"/>
      <c r="C192" s="25"/>
      <c r="D192" s="25"/>
      <c r="E192" s="27"/>
      <c r="F192" s="48"/>
    </row>
    <row r="193">
      <c r="A193" s="25"/>
      <c r="B193" s="25"/>
      <c r="C193" s="25"/>
      <c r="D193" s="25"/>
      <c r="E193" s="27"/>
      <c r="F193" s="48"/>
    </row>
    <row r="194">
      <c r="A194" s="25"/>
      <c r="B194" s="25"/>
      <c r="C194" s="25"/>
      <c r="D194" s="25"/>
      <c r="E194" s="27"/>
      <c r="F194" s="48"/>
    </row>
    <row r="195">
      <c r="A195" s="25"/>
      <c r="B195" s="25"/>
      <c r="C195" s="25"/>
      <c r="D195" s="25"/>
      <c r="E195" s="27"/>
      <c r="F195" s="48"/>
    </row>
    <row r="196">
      <c r="A196" s="25"/>
      <c r="B196" s="25"/>
      <c r="C196" s="25"/>
      <c r="D196" s="25"/>
      <c r="E196" s="27"/>
      <c r="F196" s="47"/>
    </row>
    <row r="197">
      <c r="A197" s="25"/>
      <c r="B197" s="25"/>
      <c r="C197" s="25"/>
      <c r="D197" s="25"/>
      <c r="E197" s="27"/>
      <c r="F197" s="47"/>
    </row>
    <row r="198">
      <c r="A198" s="25"/>
      <c r="B198" s="25"/>
      <c r="C198" s="25"/>
      <c r="D198" s="25"/>
      <c r="E198" s="27"/>
      <c r="F198" s="47"/>
    </row>
    <row r="199">
      <c r="A199" s="25"/>
      <c r="B199" s="25"/>
      <c r="C199" s="25"/>
      <c r="D199" s="25"/>
      <c r="E199" s="27"/>
      <c r="F199" s="47"/>
    </row>
    <row r="200">
      <c r="A200" s="25"/>
      <c r="B200" s="25"/>
      <c r="C200" s="25"/>
      <c r="D200" s="25"/>
      <c r="E200" s="27"/>
      <c r="F200" s="47"/>
    </row>
    <row r="201">
      <c r="A201" s="25"/>
      <c r="B201" s="25"/>
      <c r="C201" s="25"/>
      <c r="D201" s="25"/>
      <c r="E201" s="27"/>
      <c r="F201" s="47"/>
    </row>
    <row r="202">
      <c r="A202" s="25"/>
      <c r="B202" s="25"/>
      <c r="C202" s="25"/>
      <c r="D202" s="25"/>
      <c r="E202" s="27"/>
      <c r="F202" s="47"/>
    </row>
    <row r="203">
      <c r="A203" s="25"/>
      <c r="B203" s="25"/>
      <c r="C203" s="25"/>
      <c r="D203" s="25"/>
      <c r="E203" s="27"/>
      <c r="F203" s="47"/>
    </row>
    <row r="204">
      <c r="A204" s="25"/>
      <c r="B204" s="25"/>
      <c r="C204" s="25"/>
      <c r="D204" s="25"/>
      <c r="E204" s="27"/>
      <c r="F204" s="47"/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52" t="str">
        <v>Tên Salon</v>
      </c>
      <c r="B1" s="52" t="str">
        <v>Tên Supervisor</v>
      </c>
      <c r="C1" s="52" t="str">
        <v>ID</v>
      </c>
    </row>
    <row r="2">
      <c r="A2" s="50" t="str">
        <v>10 TP</v>
      </c>
      <c r="B2" s="50" t="str">
        <v>Phạm Thị Nga</v>
      </c>
      <c r="C2" s="51">
        <v>143</v>
      </c>
    </row>
    <row r="3">
      <c r="A3" s="50" t="str">
        <v>11 PKT</v>
      </c>
      <c r="B3" s="50" t="str">
        <v>Phạm Thị Nga</v>
      </c>
      <c r="C3" s="51">
        <v>244</v>
      </c>
    </row>
    <row r="4">
      <c r="A4" s="50" t="str">
        <v>148 TD</v>
      </c>
      <c r="B4" s="50" t="str">
        <v>Phạm Thị Nga</v>
      </c>
      <c r="C4" s="51">
        <v>210</v>
      </c>
    </row>
    <row r="5">
      <c r="A5" s="50" t="str">
        <v>168 NVC</v>
      </c>
      <c r="B5" s="50" t="str">
        <v>Phạm Thị Nga</v>
      </c>
      <c r="C5" s="51">
        <v>144</v>
      </c>
    </row>
    <row r="6">
      <c r="A6" s="50" t="str">
        <v>173 TN</v>
      </c>
      <c r="B6" s="50" t="str">
        <v>Phạm Thị Nga</v>
      </c>
      <c r="C6" s="51">
        <v>250</v>
      </c>
    </row>
    <row r="7">
      <c r="A7" s="50" t="str">
        <v>186 QT</v>
      </c>
      <c r="B7" s="50" t="str">
        <v>Phạm Thị Nga</v>
      </c>
      <c r="C7" s="51">
        <v>239</v>
      </c>
    </row>
    <row r="8">
      <c r="A8" s="50" t="str">
        <v>202 DC</v>
      </c>
      <c r="B8" s="50" t="str">
        <v>Phạm Thị Nga</v>
      </c>
      <c r="C8" s="51">
        <v>196</v>
      </c>
    </row>
    <row r="9">
      <c r="A9" s="50" t="str">
        <v>382 NT</v>
      </c>
      <c r="B9" s="50" t="str">
        <v>Phạm Thị Nga</v>
      </c>
      <c r="C9" s="51">
        <v>20</v>
      </c>
    </row>
    <row r="10">
      <c r="A10" s="50" t="str">
        <v>39 HBT</v>
      </c>
      <c r="B10" s="50" t="str">
        <v>Phạm Thị Nga</v>
      </c>
      <c r="C10" s="51">
        <v>200</v>
      </c>
    </row>
    <row r="11">
      <c r="A11" s="50" t="str">
        <v>50BT4 NPC LD</v>
      </c>
      <c r="B11" s="50" t="str">
        <v>Phạm Thị Nga</v>
      </c>
      <c r="C11" s="51">
        <v>179</v>
      </c>
    </row>
    <row r="12">
      <c r="A12" s="50" t="str">
        <v>62 LH</v>
      </c>
      <c r="B12" s="50" t="str">
        <v>Phạm Thị Nga</v>
      </c>
      <c r="C12" s="51">
        <v>228</v>
      </c>
    </row>
    <row r="13">
      <c r="A13" s="50" t="str">
        <v>65 CD</v>
      </c>
      <c r="B13" s="50" t="str">
        <v>Phạm Thị Nga</v>
      </c>
      <c r="C13" s="51">
        <v>197</v>
      </c>
    </row>
    <row r="14">
      <c r="A14" s="50" t="str">
        <v>1146 KVC</v>
      </c>
      <c r="B14" s="50" t="str">
        <v>Nguyễn Thị Thanh Tâm</v>
      </c>
      <c r="C14" s="51">
        <v>249</v>
      </c>
    </row>
    <row r="15">
      <c r="A15" s="50" t="str">
        <v>25 TD</v>
      </c>
      <c r="B15" s="50" t="str">
        <v>Nguyễn Thị Thanh Tâm</v>
      </c>
      <c r="C15" s="51">
        <v>45</v>
      </c>
    </row>
    <row r="16">
      <c r="A16" s="50" t="str">
        <v>255 NAN</v>
      </c>
      <c r="B16" s="50" t="str">
        <v>Nguyễn Thị Thanh Tâm</v>
      </c>
      <c r="C16" s="51">
        <v>65</v>
      </c>
    </row>
    <row r="17">
      <c r="A17" s="50" t="str">
        <v>29 HB</v>
      </c>
      <c r="B17" s="50" t="str">
        <v>Nguyễn Thị Thanh Tâm</v>
      </c>
      <c r="C17" s="51">
        <v>63</v>
      </c>
    </row>
    <row r="18">
      <c r="A18" s="50" t="str">
        <v>312 LVS</v>
      </c>
      <c r="B18" s="50" t="str">
        <v>Nguyễn Thị Thanh Tâm</v>
      </c>
      <c r="C18" s="51">
        <v>69</v>
      </c>
    </row>
    <row r="19">
      <c r="A19" s="50" t="str">
        <v>341 XVNT</v>
      </c>
      <c r="B19" s="50" t="str">
        <v>Nguyễn Thị Thanh Tâm</v>
      </c>
      <c r="C19" s="51">
        <v>205</v>
      </c>
    </row>
    <row r="20">
      <c r="A20" s="50" t="str">
        <v>36 N1 BD</v>
      </c>
      <c r="B20" s="50" t="str">
        <v>Nguyễn Thị Thanh Tâm</v>
      </c>
      <c r="C20" s="51">
        <v>184</v>
      </c>
    </row>
    <row r="21">
      <c r="A21" s="50" t="str">
        <v>401/1 NDT</v>
      </c>
      <c r="B21" s="50" t="str">
        <v>Nguyễn Thị Thanh Tâm</v>
      </c>
      <c r="C21" s="51">
        <v>204</v>
      </c>
    </row>
    <row r="22">
      <c r="A22" s="50" t="str">
        <v>420 HTP</v>
      </c>
      <c r="B22" s="50" t="str">
        <v>Nguyễn Thị Thanh Tâm</v>
      </c>
      <c r="C22" s="51">
        <v>51</v>
      </c>
    </row>
    <row r="23">
      <c r="A23" s="50" t="str">
        <v>80 PL BD</v>
      </c>
      <c r="B23" s="50" t="str">
        <v>Nguyễn Thị Thanh Tâm</v>
      </c>
      <c r="C23" s="51">
        <v>60</v>
      </c>
    </row>
    <row r="24">
      <c r="A24" s="50" t="str">
        <v>109 TQH</v>
      </c>
      <c r="B24" s="50" t="str">
        <v>Nguyễn Thị Phương Anh</v>
      </c>
      <c r="C24" s="51">
        <v>146</v>
      </c>
    </row>
    <row r="25">
      <c r="A25" s="50" t="str">
        <v>116 TK</v>
      </c>
      <c r="B25" s="50" t="str">
        <v>Nguyễn Thị Phương Anh</v>
      </c>
      <c r="C25" s="51">
        <v>187</v>
      </c>
    </row>
    <row r="26">
      <c r="A26" s="50" t="str">
        <v>151 CG</v>
      </c>
      <c r="B26" s="50" t="str">
        <v>Nguyễn Thị Phương Anh</v>
      </c>
      <c r="C26" s="51">
        <v>39</v>
      </c>
    </row>
    <row r="27">
      <c r="A27" s="50" t="str">
        <v>264 LLQ</v>
      </c>
      <c r="B27" s="50" t="str">
        <v>Nguyễn Thị Phương Anh</v>
      </c>
      <c r="C27" s="51">
        <v>192</v>
      </c>
    </row>
    <row r="28">
      <c r="A28" s="50" t="str">
        <v>346 KT</v>
      </c>
      <c r="B28" s="50" t="str">
        <v>Nguyễn Thị Phương Anh</v>
      </c>
      <c r="C28" s="51">
        <v>2</v>
      </c>
    </row>
    <row r="29">
      <c r="A29" s="50" t="str">
        <v>362 NGT BN</v>
      </c>
      <c r="B29" s="50" t="str">
        <v>Nguyễn Thị Phương Anh</v>
      </c>
      <c r="C29" s="51">
        <v>302</v>
      </c>
    </row>
    <row r="30">
      <c r="A30" s="50" t="str">
        <v>55A NVL</v>
      </c>
      <c r="B30" s="50" t="str">
        <v>Nguyễn Thị Phương Anh</v>
      </c>
      <c r="C30" s="51">
        <v>245</v>
      </c>
    </row>
    <row r="31">
      <c r="A31" s="50" t="str">
        <v>90 NH</v>
      </c>
      <c r="B31" s="50" t="str">
        <v>Nguyễn Thị Phương Anh</v>
      </c>
      <c r="C31" s="51">
        <v>194</v>
      </c>
    </row>
    <row r="32">
      <c r="A32" s="50" t="str">
        <v>1180 QT</v>
      </c>
      <c r="B32" s="50" t="str">
        <v>Ngô Thị Mai Loan</v>
      </c>
      <c r="C32" s="51">
        <v>61</v>
      </c>
    </row>
    <row r="33">
      <c r="A33" s="50" t="str">
        <v>12 LDT</v>
      </c>
      <c r="B33" s="50" t="str">
        <v>Ngô Thị Mai Loan</v>
      </c>
      <c r="C33" s="51">
        <v>12</v>
      </c>
    </row>
    <row r="34">
      <c r="A34" s="50" t="str">
        <v>145 THT</v>
      </c>
      <c r="B34" s="50" t="str">
        <v>Ngô Thị Mai Loan</v>
      </c>
      <c r="C34" s="51">
        <v>193</v>
      </c>
    </row>
    <row r="35">
      <c r="A35" s="50" t="str">
        <v>186 DTH</v>
      </c>
      <c r="B35" s="50" t="str">
        <v>Đặng Thị Trúc Phương</v>
      </c>
      <c r="C35" s="51">
        <v>182</v>
      </c>
    </row>
    <row r="36">
      <c r="A36" s="50" t="str">
        <v>190 HB</v>
      </c>
      <c r="B36" s="50" t="str">
        <v>Ngô Thị Mai Loan</v>
      </c>
      <c r="C36" s="51">
        <v>188</v>
      </c>
    </row>
    <row r="37">
      <c r="A37" s="50" t="str">
        <v>483 TN</v>
      </c>
      <c r="B37" s="50" t="str">
        <v>Ngô Thị Mai Loan</v>
      </c>
      <c r="C37" s="51">
        <v>46</v>
      </c>
    </row>
    <row r="38">
      <c r="A38" s="50" t="str">
        <v>575 AC</v>
      </c>
      <c r="B38" s="50" t="str">
        <v>Ngô Thị Mai Loan</v>
      </c>
      <c r="C38" s="51">
        <v>21</v>
      </c>
    </row>
    <row r="39">
      <c r="A39" s="50" t="str">
        <v>76 PVH</v>
      </c>
      <c r="B39" s="50" t="str">
        <v>Ngô Thị Mai Loan</v>
      </c>
      <c r="C39" s="51">
        <v>106</v>
      </c>
    </row>
    <row r="40">
      <c r="A40" s="50" t="str">
        <v>8 CVL</v>
      </c>
      <c r="B40" s="50" t="str">
        <v>Đặng Thị Trúc Phương</v>
      </c>
      <c r="C40" s="51">
        <v>11</v>
      </c>
    </row>
    <row r="41">
      <c r="A41" s="50" t="str">
        <v>927 HG</v>
      </c>
      <c r="B41" s="50" t="str">
        <v>Ngô Thị Mai Loan</v>
      </c>
      <c r="C41" s="51">
        <v>22</v>
      </c>
    </row>
    <row r="42">
      <c r="A42" s="50" t="str">
        <v>99 TSN</v>
      </c>
      <c r="B42" s="50" t="str">
        <v>Ngô Thị Mai Loan</v>
      </c>
      <c r="C42" s="51">
        <v>147</v>
      </c>
    </row>
    <row r="43">
      <c r="A43" s="50" t="str">
        <v>290 QT TH</v>
      </c>
      <c r="B43" s="50" t="str">
        <v>Cụm HN</v>
      </c>
      <c r="C43" s="51">
        <v>230</v>
      </c>
    </row>
    <row r="44">
      <c r="A44" s="50" t="str">
        <v>304 NT TH</v>
      </c>
      <c r="B44" s="50" t="str">
        <v>Cụm HN</v>
      </c>
      <c r="C44" s="51">
        <v>231</v>
      </c>
    </row>
    <row r="45">
      <c r="A45" s="50" t="str">
        <v>363 LNQ TN</v>
      </c>
      <c r="B45" s="50" t="str">
        <v>Cụm HN</v>
      </c>
      <c r="C45" s="51">
        <v>85</v>
      </c>
    </row>
    <row r="46">
      <c r="A46" s="50" t="str">
        <v>4 LQD BN</v>
      </c>
      <c r="B46" s="50" t="str">
        <v>Cụm HN</v>
      </c>
      <c r="C46" s="51">
        <v>201</v>
      </c>
    </row>
    <row r="47">
      <c r="A47" s="50" t="str">
        <v>58 NVC NA</v>
      </c>
      <c r="B47" s="50" t="str">
        <v>Cụm HN</v>
      </c>
      <c r="C47" s="51">
        <v>212</v>
      </c>
    </row>
    <row r="48">
      <c r="A48" s="50" t="str">
        <v>595 BT TH</v>
      </c>
      <c r="B48" s="50" t="str">
        <v>Cụm HN</v>
      </c>
      <c r="C48" s="51">
        <v>233</v>
      </c>
    </row>
    <row r="49">
      <c r="A49" s="50" t="str">
        <v>68 LN NA</v>
      </c>
      <c r="B49" s="50" t="str">
        <v>Cụm HN</v>
      </c>
      <c r="C49" s="51">
        <v>240</v>
      </c>
    </row>
    <row r="50">
      <c r="A50" s="50" t="str">
        <v>80 TP TH</v>
      </c>
      <c r="B50" s="50" t="str">
        <v>Cụm HN</v>
      </c>
      <c r="C50" s="51">
        <v>232</v>
      </c>
    </row>
    <row r="51">
      <c r="A51" s="50" t="str">
        <v>TG 25/4 QN</v>
      </c>
      <c r="B51" s="50" t="str">
        <v>Cụm HN</v>
      </c>
      <c r="C51" s="51">
        <v>217</v>
      </c>
    </row>
    <row r="52">
      <c r="A52" s="50" t="str">
        <v>103 TN</v>
      </c>
      <c r="B52" s="50" t="str">
        <v>Đặng Thị Trúc Phương</v>
      </c>
      <c r="C52" s="51">
        <v>44</v>
      </c>
    </row>
    <row r="53">
      <c r="A53" s="50" t="str">
        <v>113 THD AG</v>
      </c>
      <c r="B53" s="50" t="str">
        <v>Cụm HCM</v>
      </c>
      <c r="C53" s="51">
        <v>72</v>
      </c>
    </row>
    <row r="54">
      <c r="A54" s="50" t="str">
        <v>1371 PVT</v>
      </c>
      <c r="B54" s="50" t="str">
        <v>Cụm HCM</v>
      </c>
      <c r="C54" s="51">
        <v>247</v>
      </c>
    </row>
    <row r="55">
      <c r="A55" s="50" t="str">
        <v>236 DBT</v>
      </c>
      <c r="B55" s="50" t="str">
        <v>Đặng Thị Trúc Phương</v>
      </c>
      <c r="C55" s="51">
        <v>141</v>
      </c>
    </row>
    <row r="56">
      <c r="A56" s="50" t="str">
        <v>237 NTT</v>
      </c>
      <c r="B56" s="50" t="str">
        <v>Đặng Thị Trúc Phương</v>
      </c>
      <c r="C56" s="51">
        <v>145</v>
      </c>
    </row>
    <row r="57">
      <c r="A57" s="50" t="str">
        <v>32 NAT</v>
      </c>
      <c r="B57" s="50" t="str">
        <v>Cụm HCM</v>
      </c>
      <c r="C57" s="51">
        <v>274</v>
      </c>
    </row>
    <row r="58">
      <c r="A58" s="50" t="str">
        <v>451 PVT</v>
      </c>
      <c r="B58" s="50" t="str">
        <v>Cụm HCM</v>
      </c>
      <c r="C58" s="51">
        <v>52</v>
      </c>
    </row>
    <row r="59">
      <c r="A59" s="50" t="str">
        <v>7 DTP LA</v>
      </c>
      <c r="B59" s="50" t="str">
        <v>Cụm HCM</v>
      </c>
      <c r="C59" s="51">
        <v>199</v>
      </c>
    </row>
    <row r="60">
      <c r="A60" s="50" t="str">
        <v>708 LTT</v>
      </c>
      <c r="B60" s="50" t="str">
        <v>Cụm HCM</v>
      </c>
      <c r="C60" s="51">
        <v>47</v>
      </c>
    </row>
    <row r="61">
      <c r="A61" s="50" t="str">
        <v>730 TL10</v>
      </c>
      <c r="B61" s="50" t="str">
        <v>Cụm HCM</v>
      </c>
      <c r="C61" s="51">
        <v>58</v>
      </c>
    </row>
    <row r="62">
      <c r="A62" s="50"/>
      <c r="B62" s="50"/>
      <c r="C62" s="51"/>
    </row>
    <row r="63">
      <c r="A63" s="50"/>
      <c r="B63" s="50"/>
      <c r="C63" s="50"/>
    </row>
    <row r="64">
      <c r="A64" s="50"/>
      <c r="B64" s="50"/>
      <c r="C64" s="50"/>
    </row>
    <row r="65">
      <c r="A65" s="50"/>
      <c r="B65" s="50"/>
      <c r="C65" s="50"/>
    </row>
    <row r="66">
      <c r="A66" s="50"/>
      <c r="B66" s="50"/>
      <c r="C66" s="50"/>
    </row>
    <row r="67">
      <c r="A67" s="50"/>
      <c r="B67" s="50"/>
      <c r="C67" s="50"/>
    </row>
    <row r="68">
      <c r="A68" s="50"/>
      <c r="B68" s="50"/>
      <c r="C68" s="50"/>
    </row>
    <row r="69">
      <c r="A69" s="50"/>
      <c r="B69" s="50"/>
      <c r="C69" s="50"/>
    </row>
    <row r="70">
      <c r="A70" s="50"/>
      <c r="B70" s="50"/>
      <c r="C70" s="50"/>
    </row>
    <row r="71">
      <c r="A71" s="50"/>
      <c r="B71" s="50"/>
      <c r="C71" s="50"/>
    </row>
    <row r="72">
      <c r="A72" s="50"/>
      <c r="B72" s="50"/>
      <c r="C72" s="50"/>
    </row>
    <row r="73">
      <c r="A73" s="50"/>
      <c r="B73" s="50"/>
      <c r="C73" s="50"/>
    </row>
    <row r="74">
      <c r="A74" s="50"/>
      <c r="B74" s="50"/>
      <c r="C74" s="50"/>
    </row>
    <row r="75">
      <c r="A75" s="50"/>
      <c r="B75" s="50"/>
      <c r="C75" s="50"/>
    </row>
    <row r="76">
      <c r="A76" s="50"/>
      <c r="B76" s="50"/>
      <c r="C76" s="50"/>
    </row>
    <row r="77">
      <c r="A77" s="50"/>
      <c r="B77" s="50"/>
      <c r="C77" s="50"/>
    </row>
    <row r="78">
      <c r="A78" s="50"/>
      <c r="B78" s="50"/>
      <c r="C78" s="50"/>
    </row>
    <row r="79">
      <c r="A79" s="50"/>
      <c r="B79" s="50"/>
      <c r="C79" s="50"/>
    </row>
    <row r="80">
      <c r="A80" s="50"/>
      <c r="B80" s="50"/>
      <c r="C80" s="50"/>
    </row>
    <row r="81">
      <c r="A81" s="50"/>
      <c r="B81" s="50"/>
      <c r="C81" s="50"/>
    </row>
    <row r="82">
      <c r="A82" s="50"/>
      <c r="B82" s="50"/>
      <c r="C82" s="50"/>
    </row>
    <row r="83">
      <c r="A83" s="50"/>
      <c r="B83" s="50"/>
      <c r="C83" s="50"/>
    </row>
    <row r="84">
      <c r="A84" s="50"/>
      <c r="B84" s="50"/>
      <c r="C84" s="50"/>
    </row>
    <row r="85">
      <c r="A85" s="50"/>
      <c r="B85" s="50"/>
      <c r="C85" s="50"/>
    </row>
    <row r="86">
      <c r="A86" s="50"/>
      <c r="B86" s="50"/>
      <c r="C86" s="50"/>
    </row>
    <row r="87">
      <c r="A87" s="50"/>
      <c r="B87" s="50"/>
      <c r="C87" s="50"/>
    </row>
    <row r="88">
      <c r="A88" s="50"/>
      <c r="B88" s="50"/>
      <c r="C88" s="50"/>
    </row>
    <row r="89">
      <c r="A89" s="50"/>
      <c r="B89" s="50"/>
      <c r="C89" s="50"/>
    </row>
    <row r="90">
      <c r="A90" s="50"/>
      <c r="B90" s="50"/>
      <c r="C90" s="50"/>
    </row>
    <row r="91">
      <c r="A91" s="50"/>
      <c r="B91" s="50"/>
      <c r="C91" s="50"/>
    </row>
    <row r="92">
      <c r="A92" s="50"/>
      <c r="B92" s="50"/>
      <c r="C92" s="50"/>
    </row>
    <row r="93">
      <c r="A93" s="50"/>
      <c r="B93" s="50"/>
      <c r="C93" s="50"/>
    </row>
    <row r="94">
      <c r="A94" s="50"/>
      <c r="B94" s="50"/>
      <c r="C94" s="50"/>
    </row>
    <row r="95">
      <c r="A95" s="50"/>
      <c r="B95" s="50"/>
      <c r="C95" s="50"/>
    </row>
    <row r="96">
      <c r="A96" s="50"/>
      <c r="B96" s="50"/>
      <c r="C96" s="50"/>
    </row>
    <row r="97">
      <c r="A97" s="50"/>
      <c r="B97" s="50"/>
      <c r="C97" s="50"/>
    </row>
    <row r="98">
      <c r="A98" s="50"/>
      <c r="B98" s="50"/>
      <c r="C98" s="50"/>
    </row>
    <row r="99">
      <c r="A99" s="50"/>
      <c r="B99" s="50"/>
      <c r="C99" s="50"/>
    </row>
    <row r="100">
      <c r="A100" s="50"/>
      <c r="B100" s="50"/>
      <c r="C100" s="50"/>
    </row>
    <row r="101">
      <c r="A101" s="50"/>
      <c r="B101" s="50"/>
      <c r="C101" s="50"/>
    </row>
    <row r="102">
      <c r="A102" s="50"/>
      <c r="B102" s="50"/>
      <c r="C102" s="50"/>
    </row>
    <row r="103">
      <c r="A103" s="50"/>
      <c r="B103" s="50"/>
      <c r="C103" s="50"/>
    </row>
    <row r="104">
      <c r="A104" s="50"/>
      <c r="B104" s="50"/>
      <c r="C104" s="50"/>
    </row>
    <row r="105">
      <c r="A105" s="50"/>
      <c r="B105" s="50"/>
      <c r="C105" s="50"/>
    </row>
    <row r="106">
      <c r="A106" s="50"/>
      <c r="B106" s="50"/>
      <c r="C106" s="50"/>
    </row>
    <row r="107">
      <c r="A107" s="50"/>
      <c r="B107" s="50"/>
      <c r="C107" s="50"/>
    </row>
    <row r="108">
      <c r="A108" s="50"/>
      <c r="B108" s="50"/>
      <c r="C108" s="50"/>
    </row>
    <row r="109">
      <c r="A109" s="50"/>
      <c r="B109" s="50"/>
      <c r="C109" s="50"/>
    </row>
    <row r="110">
      <c r="A110" s="50"/>
      <c r="B110" s="50"/>
      <c r="C110" s="50"/>
    </row>
    <row r="111">
      <c r="A111" s="50"/>
      <c r="B111" s="50"/>
      <c r="C111" s="50"/>
    </row>
    <row r="112">
      <c r="A112" s="50"/>
      <c r="B112" s="50"/>
      <c r="C112" s="50"/>
    </row>
    <row r="113">
      <c r="A113" s="50"/>
      <c r="B113" s="50"/>
      <c r="C113" s="50"/>
    </row>
    <row r="114">
      <c r="A114" s="50"/>
      <c r="B114" s="50"/>
      <c r="C114" s="50"/>
    </row>
    <row r="115">
      <c r="A115" s="50"/>
      <c r="B115" s="50"/>
      <c r="C115" s="50"/>
    </row>
    <row r="116">
      <c r="A116" s="50"/>
      <c r="B116" s="50"/>
      <c r="C116" s="50"/>
    </row>
    <row r="117">
      <c r="A117" s="50"/>
      <c r="B117" s="50"/>
      <c r="C117" s="50"/>
    </row>
    <row r="118">
      <c r="A118" s="50"/>
      <c r="B118" s="50"/>
      <c r="C118" s="50"/>
    </row>
    <row r="119">
      <c r="A119" s="50"/>
      <c r="B119" s="50"/>
      <c r="C119" s="50"/>
    </row>
    <row r="120">
      <c r="A120" s="50"/>
      <c r="B120" s="50"/>
      <c r="C120" s="50"/>
    </row>
    <row r="121">
      <c r="A121" s="50"/>
      <c r="B121" s="50"/>
      <c r="C121" s="50"/>
    </row>
    <row r="122">
      <c r="A122" s="50"/>
      <c r="B122" s="50"/>
      <c r="C122" s="50"/>
    </row>
    <row r="123">
      <c r="A123" s="50"/>
      <c r="B123" s="50"/>
      <c r="C123" s="50"/>
    </row>
    <row r="124">
      <c r="A124" s="50"/>
      <c r="B124" s="50"/>
      <c r="C124" s="50"/>
    </row>
    <row r="125">
      <c r="A125" s="50"/>
      <c r="B125" s="50"/>
      <c r="C125" s="50"/>
    </row>
    <row r="126">
      <c r="A126" s="50"/>
      <c r="B126" s="50"/>
      <c r="C126" s="50"/>
    </row>
    <row r="127">
      <c r="A127" s="50"/>
      <c r="B127" s="50"/>
      <c r="C127" s="50"/>
    </row>
    <row r="128">
      <c r="A128" s="50"/>
      <c r="B128" s="50"/>
      <c r="C128" s="50"/>
    </row>
    <row r="129">
      <c r="A129" s="50"/>
      <c r="B129" s="50"/>
      <c r="C129" s="50"/>
    </row>
    <row r="130">
      <c r="A130" s="50"/>
      <c r="B130" s="50"/>
      <c r="C130" s="50"/>
    </row>
    <row r="131">
      <c r="A131" s="50"/>
      <c r="B131" s="50"/>
      <c r="C131" s="50"/>
    </row>
    <row r="132">
      <c r="A132" s="50"/>
      <c r="B132" s="50"/>
      <c r="C132" s="50"/>
    </row>
    <row r="133">
      <c r="A133" s="50"/>
      <c r="B133" s="50"/>
      <c r="C133" s="50"/>
    </row>
    <row r="134">
      <c r="A134" s="50"/>
      <c r="B134" s="50"/>
      <c r="C134" s="50"/>
    </row>
    <row r="135">
      <c r="A135" s="50"/>
      <c r="B135" s="50"/>
      <c r="C135" s="50"/>
    </row>
    <row r="136">
      <c r="A136" s="50"/>
      <c r="B136" s="50"/>
      <c r="C136" s="50"/>
    </row>
    <row r="137">
      <c r="A137" s="50"/>
      <c r="B137" s="50"/>
      <c r="C137" s="50"/>
    </row>
    <row r="138">
      <c r="A138" s="50"/>
      <c r="B138" s="50"/>
      <c r="C138" s="50"/>
    </row>
    <row r="139">
      <c r="A139" s="50"/>
      <c r="B139" s="50"/>
      <c r="C139" s="50"/>
    </row>
    <row r="140">
      <c r="A140" s="50"/>
      <c r="B140" s="50"/>
      <c r="C140" s="50"/>
    </row>
    <row r="141">
      <c r="A141" s="50"/>
      <c r="B141" s="50"/>
      <c r="C141" s="50"/>
    </row>
    <row r="142">
      <c r="A142" s="50"/>
      <c r="B142" s="50"/>
      <c r="C142" s="50"/>
    </row>
    <row r="143">
      <c r="A143" s="50"/>
      <c r="B143" s="50"/>
      <c r="C143" s="50"/>
    </row>
    <row r="144">
      <c r="A144" s="50"/>
      <c r="B144" s="50"/>
      <c r="C144" s="50"/>
    </row>
    <row r="145">
      <c r="A145" s="50"/>
      <c r="B145" s="50"/>
      <c r="C145" s="50"/>
    </row>
    <row r="146">
      <c r="A146" s="50"/>
      <c r="B146" s="50"/>
      <c r="C146" s="50"/>
    </row>
    <row r="147">
      <c r="A147" s="50"/>
      <c r="B147" s="50"/>
      <c r="C147" s="50"/>
    </row>
    <row r="148">
      <c r="A148" s="50"/>
      <c r="B148" s="50"/>
      <c r="C148" s="50"/>
    </row>
    <row r="149">
      <c r="A149" s="50"/>
      <c r="B149" s="50"/>
      <c r="C149" s="50"/>
    </row>
    <row r="150">
      <c r="A150" s="50"/>
      <c r="B150" s="50"/>
      <c r="C150" s="50"/>
    </row>
    <row r="151">
      <c r="A151" s="50"/>
      <c r="B151" s="50"/>
      <c r="C151" s="50"/>
    </row>
    <row r="152">
      <c r="A152" s="50"/>
      <c r="B152" s="50"/>
      <c r="C152" s="50"/>
    </row>
    <row r="153">
      <c r="A153" s="50"/>
      <c r="B153" s="50"/>
      <c r="C153" s="50"/>
    </row>
    <row r="154">
      <c r="A154" s="50"/>
      <c r="B154" s="50"/>
      <c r="C154" s="50"/>
    </row>
    <row r="155">
      <c r="A155" s="50"/>
      <c r="B155" s="50"/>
      <c r="C155" s="50"/>
    </row>
    <row r="156">
      <c r="A156" s="50"/>
      <c r="B156" s="50"/>
      <c r="C156" s="50"/>
    </row>
    <row r="157">
      <c r="A157" s="50"/>
      <c r="B157" s="50"/>
      <c r="C157" s="50"/>
    </row>
    <row r="158">
      <c r="A158" s="50"/>
      <c r="B158" s="50"/>
      <c r="C158" s="50"/>
    </row>
    <row r="159">
      <c r="A159" s="50"/>
      <c r="B159" s="50"/>
      <c r="C159" s="50"/>
    </row>
    <row r="160">
      <c r="A160" s="50"/>
      <c r="B160" s="50"/>
      <c r="C160" s="50"/>
    </row>
    <row r="161">
      <c r="A161" s="50"/>
      <c r="B161" s="50"/>
      <c r="C161" s="50"/>
    </row>
    <row r="162">
      <c r="A162" s="50"/>
      <c r="B162" s="50"/>
      <c r="C162" s="50"/>
    </row>
    <row r="163">
      <c r="A163" s="50"/>
      <c r="B163" s="50"/>
      <c r="C163" s="50"/>
    </row>
    <row r="164">
      <c r="A164" s="50"/>
      <c r="B164" s="50"/>
      <c r="C164" s="50"/>
    </row>
    <row r="165">
      <c r="A165" s="50"/>
      <c r="B165" s="50"/>
      <c r="C165" s="50"/>
    </row>
    <row r="166">
      <c r="A166" s="50"/>
      <c r="B166" s="50"/>
      <c r="C166" s="50"/>
    </row>
    <row r="167">
      <c r="A167" s="50"/>
      <c r="B167" s="50"/>
      <c r="C167" s="50"/>
    </row>
    <row r="168">
      <c r="A168" s="50"/>
      <c r="B168" s="50"/>
      <c r="C168" s="50"/>
    </row>
    <row r="169">
      <c r="A169" s="50"/>
      <c r="B169" s="50"/>
      <c r="C169" s="50"/>
    </row>
    <row r="170">
      <c r="A170" s="50"/>
      <c r="B170" s="50"/>
      <c r="C170" s="50"/>
    </row>
    <row r="171">
      <c r="A171" s="50"/>
      <c r="B171" s="50"/>
      <c r="C171" s="50"/>
    </row>
    <row r="172">
      <c r="A172" s="50"/>
      <c r="B172" s="50"/>
      <c r="C172" s="50"/>
    </row>
    <row r="173">
      <c r="A173" s="50"/>
      <c r="B173" s="50"/>
      <c r="C173" s="50"/>
    </row>
    <row r="174">
      <c r="A174" s="50"/>
      <c r="B174" s="50"/>
      <c r="C174" s="50"/>
    </row>
    <row r="175">
      <c r="A175" s="50"/>
      <c r="B175" s="50"/>
      <c r="C175" s="50"/>
    </row>
    <row r="176">
      <c r="A176" s="50"/>
      <c r="B176" s="50"/>
      <c r="C176" s="50"/>
    </row>
    <row r="177">
      <c r="A177" s="50"/>
      <c r="B177" s="50"/>
      <c r="C177" s="50"/>
    </row>
    <row r="178">
      <c r="A178" s="50"/>
      <c r="B178" s="50"/>
      <c r="C178" s="50"/>
    </row>
    <row r="179">
      <c r="A179" s="50"/>
      <c r="B179" s="50"/>
      <c r="C179" s="50"/>
    </row>
    <row r="180">
      <c r="A180" s="50"/>
      <c r="B180" s="50"/>
      <c r="C180" s="50"/>
    </row>
    <row r="181">
      <c r="A181" s="50"/>
      <c r="B181" s="50"/>
      <c r="C181" s="50"/>
    </row>
    <row r="182">
      <c r="A182" s="50"/>
      <c r="B182" s="50"/>
      <c r="C182" s="50"/>
    </row>
    <row r="183">
      <c r="A183" s="50"/>
      <c r="B183" s="50"/>
      <c r="C183" s="50"/>
    </row>
    <row r="184">
      <c r="A184" s="50"/>
      <c r="B184" s="50"/>
      <c r="C184" s="50"/>
    </row>
    <row r="185">
      <c r="A185" s="50"/>
      <c r="B185" s="50"/>
      <c r="C185" s="50"/>
    </row>
    <row r="186">
      <c r="A186" s="50"/>
      <c r="B186" s="50"/>
      <c r="C186" s="50"/>
    </row>
    <row r="187">
      <c r="A187" s="50"/>
      <c r="B187" s="50"/>
      <c r="C187" s="50"/>
    </row>
    <row r="188">
      <c r="A188" s="50"/>
      <c r="B188" s="50"/>
      <c r="C188" s="50"/>
    </row>
    <row r="189">
      <c r="A189" s="50"/>
      <c r="B189" s="50"/>
      <c r="C189" s="50"/>
    </row>
    <row r="190">
      <c r="A190" s="50"/>
      <c r="B190" s="50"/>
      <c r="C190" s="50"/>
    </row>
    <row r="191">
      <c r="A191" s="50"/>
      <c r="B191" s="50"/>
      <c r="C191" s="50"/>
    </row>
    <row r="192">
      <c r="A192" s="50"/>
      <c r="B192" s="50"/>
      <c r="C192" s="50"/>
    </row>
    <row r="193">
      <c r="A193" s="50"/>
      <c r="B193" s="50"/>
      <c r="C193" s="50"/>
    </row>
    <row r="194">
      <c r="A194" s="50"/>
      <c r="B194" s="50"/>
      <c r="C194" s="50"/>
    </row>
    <row r="195">
      <c r="A195" s="50"/>
      <c r="B195" s="50"/>
      <c r="C195" s="50"/>
    </row>
    <row r="196">
      <c r="A196" s="50"/>
      <c r="B196" s="50"/>
      <c r="C196" s="50"/>
    </row>
    <row r="197">
      <c r="A197" s="50"/>
      <c r="B197" s="50"/>
      <c r="C197" s="50"/>
    </row>
    <row r="198">
      <c r="A198" s="50"/>
      <c r="B198" s="50"/>
      <c r="C198" s="50"/>
    </row>
    <row r="199">
      <c r="A199" s="50"/>
      <c r="B199" s="50"/>
      <c r="C199" s="50"/>
    </row>
    <row r="200">
      <c r="A200" s="50"/>
      <c r="B200" s="50"/>
      <c r="C200" s="50"/>
    </row>
    <row r="201">
      <c r="A201" s="50"/>
      <c r="B201" s="50"/>
      <c r="C201" s="50"/>
    </row>
    <row r="202">
      <c r="A202" s="50"/>
      <c r="B202" s="50"/>
      <c r="C202" s="50"/>
    </row>
    <row r="203">
      <c r="A203" s="50"/>
      <c r="B203" s="50"/>
      <c r="C203" s="50"/>
    </row>
    <row r="204">
      <c r="A204" s="50"/>
      <c r="B204" s="50"/>
      <c r="C204" s="50"/>
    </row>
    <row r="205">
      <c r="A205" s="50"/>
      <c r="B205" s="50"/>
      <c r="C205" s="50"/>
    </row>
    <row r="206">
      <c r="A206" s="50"/>
      <c r="B206" s="50"/>
      <c r="C206" s="50"/>
    </row>
    <row r="207">
      <c r="A207" s="50"/>
      <c r="B207" s="50"/>
      <c r="C207" s="50"/>
    </row>
    <row r="208">
      <c r="A208" s="50"/>
      <c r="B208" s="50"/>
      <c r="C208" s="50"/>
    </row>
    <row r="209">
      <c r="A209" s="50"/>
      <c r="B209" s="50"/>
      <c r="C209" s="50"/>
    </row>
    <row r="210">
      <c r="A210" s="50"/>
      <c r="B210" s="50"/>
      <c r="C210" s="50"/>
    </row>
    <row r="211">
      <c r="A211" s="50"/>
      <c r="B211" s="50"/>
      <c r="C211" s="50"/>
    </row>
    <row r="212">
      <c r="A212" s="50"/>
      <c r="B212" s="50"/>
      <c r="C212" s="50"/>
    </row>
    <row r="213">
      <c r="A213" s="50"/>
      <c r="B213" s="50"/>
      <c r="C213" s="50"/>
    </row>
    <row r="214">
      <c r="A214" s="50"/>
      <c r="B214" s="50"/>
      <c r="C214" s="50"/>
    </row>
    <row r="215">
      <c r="A215" s="50"/>
      <c r="B215" s="50"/>
      <c r="C215" s="50"/>
    </row>
    <row r="216">
      <c r="A216" s="50"/>
      <c r="B216" s="50"/>
      <c r="C216" s="50"/>
    </row>
    <row r="217">
      <c r="A217" s="50"/>
      <c r="B217" s="50"/>
      <c r="C217" s="50"/>
    </row>
    <row r="218">
      <c r="A218" s="50"/>
      <c r="B218" s="50"/>
      <c r="C218" s="50"/>
    </row>
    <row r="219">
      <c r="A219" s="50"/>
      <c r="B219" s="50"/>
      <c r="C219" s="50"/>
    </row>
    <row r="220">
      <c r="A220" s="50"/>
      <c r="B220" s="50"/>
      <c r="C220" s="50"/>
    </row>
    <row r="221">
      <c r="A221" s="50"/>
      <c r="B221" s="50"/>
      <c r="C221" s="50"/>
    </row>
    <row r="222">
      <c r="A222" s="50"/>
      <c r="B222" s="50"/>
      <c r="C222" s="50"/>
    </row>
    <row r="223">
      <c r="A223" s="50"/>
      <c r="B223" s="50"/>
      <c r="C223" s="50"/>
    </row>
    <row r="224">
      <c r="A224" s="50"/>
      <c r="B224" s="50"/>
      <c r="C224" s="50"/>
    </row>
    <row r="225">
      <c r="A225" s="50"/>
      <c r="B225" s="50"/>
      <c r="C225" s="50"/>
    </row>
    <row r="226">
      <c r="A226" s="50"/>
      <c r="B226" s="50"/>
      <c r="C226" s="50"/>
    </row>
    <row r="227">
      <c r="A227" s="50"/>
      <c r="B227" s="50"/>
      <c r="C227" s="50"/>
    </row>
    <row r="228">
      <c r="A228" s="50"/>
      <c r="B228" s="50"/>
      <c r="C228" s="50"/>
    </row>
    <row r="229">
      <c r="A229" s="50"/>
      <c r="B229" s="50"/>
      <c r="C229" s="50"/>
    </row>
    <row r="230">
      <c r="A230" s="50"/>
      <c r="B230" s="50"/>
      <c r="C230" s="50"/>
    </row>
    <row r="231">
      <c r="A231" s="50"/>
      <c r="B231" s="50"/>
      <c r="C231" s="50"/>
    </row>
    <row r="232">
      <c r="A232" s="50"/>
      <c r="B232" s="50"/>
      <c r="C232" s="50"/>
    </row>
    <row r="233">
      <c r="A233" s="50"/>
      <c r="B233" s="50"/>
      <c r="C233" s="50"/>
    </row>
    <row r="234">
      <c r="A234" s="50"/>
      <c r="B234" s="50"/>
      <c r="C234" s="50"/>
    </row>
    <row r="235">
      <c r="A235" s="50"/>
      <c r="B235" s="50"/>
      <c r="C235" s="50"/>
    </row>
    <row r="236">
      <c r="A236" s="50"/>
      <c r="B236" s="50"/>
      <c r="C236" s="50"/>
    </row>
    <row r="237">
      <c r="A237" s="50"/>
      <c r="B237" s="50"/>
      <c r="C237" s="50"/>
    </row>
    <row r="238">
      <c r="A238" s="50"/>
      <c r="B238" s="50"/>
      <c r="C238" s="50"/>
    </row>
    <row r="239">
      <c r="A239" s="50"/>
      <c r="B239" s="50"/>
      <c r="C239" s="50"/>
    </row>
    <row r="240">
      <c r="A240" s="50"/>
      <c r="B240" s="50"/>
      <c r="C240" s="50"/>
    </row>
    <row r="241">
      <c r="A241" s="50"/>
      <c r="B241" s="50"/>
      <c r="C241" s="50"/>
    </row>
    <row r="242">
      <c r="A242" s="50"/>
      <c r="B242" s="50"/>
      <c r="C242" s="50"/>
    </row>
    <row r="243">
      <c r="A243" s="50"/>
      <c r="B243" s="50"/>
      <c r="C243" s="50"/>
    </row>
    <row r="244">
      <c r="A244" s="50"/>
      <c r="B244" s="50"/>
      <c r="C244" s="50"/>
    </row>
    <row r="245">
      <c r="A245" s="50"/>
      <c r="B245" s="50"/>
      <c r="C245" s="50"/>
    </row>
    <row r="246">
      <c r="A246" s="50"/>
      <c r="B246" s="50"/>
      <c r="C246" s="50"/>
    </row>
    <row r="247">
      <c r="A247" s="50"/>
      <c r="B247" s="50"/>
      <c r="C247" s="50"/>
    </row>
    <row r="248">
      <c r="A248" s="50"/>
      <c r="B248" s="50"/>
      <c r="C248" s="50"/>
    </row>
    <row r="249">
      <c r="A249" s="50"/>
      <c r="B249" s="50"/>
      <c r="C249" s="50"/>
    </row>
    <row r="250">
      <c r="A250" s="50"/>
      <c r="B250" s="50"/>
      <c r="C250" s="50"/>
    </row>
    <row r="251">
      <c r="A251" s="50"/>
      <c r="B251" s="50"/>
      <c r="C251" s="50"/>
    </row>
    <row r="252">
      <c r="A252" s="50"/>
      <c r="B252" s="50"/>
      <c r="C252" s="50"/>
    </row>
    <row r="253">
      <c r="A253" s="50"/>
      <c r="B253" s="50"/>
      <c r="C253" s="50"/>
    </row>
    <row r="254">
      <c r="A254" s="50"/>
      <c r="B254" s="50"/>
      <c r="C254" s="50"/>
    </row>
    <row r="255">
      <c r="A255" s="50"/>
      <c r="B255" s="50"/>
      <c r="C255" s="50"/>
    </row>
    <row r="256">
      <c r="A256" s="50"/>
      <c r="B256" s="50"/>
      <c r="C256" s="50"/>
    </row>
    <row r="257">
      <c r="A257" s="50"/>
      <c r="B257" s="50"/>
      <c r="C257" s="50"/>
    </row>
    <row r="258">
      <c r="A258" s="50"/>
      <c r="B258" s="50"/>
      <c r="C258" s="50"/>
    </row>
    <row r="259">
      <c r="A259" s="50"/>
      <c r="B259" s="50"/>
      <c r="C259" s="50"/>
    </row>
    <row r="260">
      <c r="A260" s="50"/>
      <c r="B260" s="50"/>
      <c r="C260" s="50"/>
    </row>
    <row r="261">
      <c r="A261" s="50"/>
      <c r="B261" s="50"/>
      <c r="C261" s="50"/>
    </row>
    <row r="262">
      <c r="A262" s="50"/>
      <c r="B262" s="50"/>
      <c r="C262" s="50"/>
    </row>
    <row r="263">
      <c r="A263" s="50"/>
      <c r="B263" s="50"/>
      <c r="C263" s="50"/>
    </row>
    <row r="264">
      <c r="A264" s="50"/>
      <c r="B264" s="50"/>
      <c r="C264" s="50"/>
    </row>
    <row r="265">
      <c r="A265" s="50"/>
      <c r="B265" s="50"/>
      <c r="C265" s="50"/>
    </row>
    <row r="266">
      <c r="A266" s="50"/>
      <c r="B266" s="50"/>
      <c r="C266" s="50"/>
    </row>
    <row r="267">
      <c r="A267" s="50"/>
      <c r="B267" s="50"/>
      <c r="C267" s="50"/>
    </row>
    <row r="268">
      <c r="A268" s="50"/>
      <c r="B268" s="50"/>
      <c r="C268" s="50"/>
    </row>
    <row r="269">
      <c r="A269" s="50"/>
      <c r="B269" s="50"/>
      <c r="C269" s="50"/>
    </row>
    <row r="270">
      <c r="A270" s="50"/>
      <c r="B270" s="50"/>
      <c r="C270" s="50"/>
    </row>
    <row r="271">
      <c r="A271" s="50"/>
      <c r="B271" s="50"/>
      <c r="C271" s="50"/>
    </row>
    <row r="272">
      <c r="A272" s="50"/>
      <c r="B272" s="50"/>
      <c r="C272" s="50"/>
    </row>
    <row r="273">
      <c r="A273" s="50"/>
      <c r="B273" s="50"/>
      <c r="C273" s="50"/>
    </row>
    <row r="274">
      <c r="A274" s="50"/>
      <c r="B274" s="50"/>
      <c r="C274" s="50"/>
    </row>
    <row r="275">
      <c r="A275" s="50"/>
      <c r="B275" s="50"/>
      <c r="C275" s="50"/>
    </row>
    <row r="276">
      <c r="A276" s="50"/>
      <c r="B276" s="50"/>
      <c r="C276" s="50"/>
    </row>
    <row r="277">
      <c r="A277" s="50"/>
      <c r="B277" s="50"/>
      <c r="C277" s="50"/>
    </row>
    <row r="278">
      <c r="A278" s="50"/>
      <c r="B278" s="50"/>
      <c r="C278" s="50"/>
    </row>
    <row r="279">
      <c r="A279" s="50"/>
      <c r="B279" s="50"/>
      <c r="C279" s="50"/>
    </row>
    <row r="280">
      <c r="A280" s="50"/>
      <c r="B280" s="50"/>
      <c r="C280" s="50"/>
    </row>
    <row r="281">
      <c r="A281" s="50"/>
      <c r="B281" s="50"/>
      <c r="C281" s="50"/>
    </row>
    <row r="282">
      <c r="A282" s="50"/>
      <c r="B282" s="50"/>
      <c r="C282" s="50"/>
    </row>
    <row r="283">
      <c r="A283" s="50"/>
      <c r="B283" s="50"/>
      <c r="C283" s="50"/>
    </row>
    <row r="284">
      <c r="A284" s="50"/>
      <c r="B284" s="50"/>
      <c r="C284" s="50"/>
    </row>
    <row r="285">
      <c r="A285" s="50"/>
      <c r="B285" s="50"/>
      <c r="C285" s="50"/>
    </row>
    <row r="286">
      <c r="A286" s="50"/>
      <c r="B286" s="50"/>
      <c r="C286" s="50"/>
    </row>
    <row r="287">
      <c r="A287" s="50"/>
      <c r="B287" s="50"/>
      <c r="C287" s="50"/>
    </row>
    <row r="288">
      <c r="A288" s="50"/>
      <c r="B288" s="50"/>
      <c r="C288" s="50"/>
    </row>
    <row r="289">
      <c r="A289" s="50"/>
      <c r="B289" s="50"/>
      <c r="C289" s="50"/>
    </row>
    <row r="290">
      <c r="A290" s="50"/>
      <c r="B290" s="50"/>
      <c r="C290" s="50"/>
    </row>
    <row r="291">
      <c r="A291" s="50"/>
      <c r="B291" s="50"/>
      <c r="C291" s="50"/>
    </row>
    <row r="292">
      <c r="A292" s="50"/>
      <c r="B292" s="50"/>
      <c r="C292" s="50"/>
    </row>
    <row r="293">
      <c r="A293" s="50"/>
      <c r="B293" s="50"/>
      <c r="C293" s="50"/>
    </row>
    <row r="294">
      <c r="A294" s="50"/>
      <c r="B294" s="50"/>
      <c r="C294" s="50"/>
    </row>
    <row r="295">
      <c r="A295" s="50"/>
      <c r="B295" s="50"/>
      <c r="C295" s="50"/>
    </row>
    <row r="296">
      <c r="A296" s="50"/>
      <c r="B296" s="50"/>
      <c r="C296" s="50"/>
    </row>
    <row r="297">
      <c r="A297" s="50"/>
      <c r="B297" s="50"/>
      <c r="C297" s="50"/>
    </row>
    <row r="298">
      <c r="A298" s="50"/>
      <c r="B298" s="50"/>
      <c r="C298" s="50"/>
    </row>
    <row r="299">
      <c r="A299" s="50"/>
      <c r="B299" s="50"/>
      <c r="C299" s="50"/>
    </row>
    <row r="300">
      <c r="A300" s="50"/>
      <c r="B300" s="50"/>
      <c r="C300" s="50"/>
    </row>
    <row r="301">
      <c r="A301" s="50"/>
      <c r="B301" s="50"/>
      <c r="C301" s="50"/>
    </row>
    <row r="302">
      <c r="A302" s="50"/>
      <c r="B302" s="50"/>
      <c r="C302" s="50"/>
    </row>
    <row r="303">
      <c r="A303" s="50"/>
      <c r="B303" s="50"/>
      <c r="C303" s="50"/>
    </row>
    <row r="304">
      <c r="A304" s="50"/>
      <c r="B304" s="50"/>
      <c r="C304" s="50"/>
    </row>
    <row r="305">
      <c r="A305" s="50"/>
      <c r="B305" s="50"/>
      <c r="C305" s="50"/>
    </row>
    <row r="306">
      <c r="A306" s="50"/>
      <c r="B306" s="50"/>
      <c r="C306" s="50"/>
    </row>
    <row r="307">
      <c r="A307" s="50"/>
      <c r="B307" s="50"/>
      <c r="C307" s="50"/>
    </row>
    <row r="308">
      <c r="A308" s="50"/>
      <c r="B308" s="50"/>
      <c r="C308" s="50"/>
    </row>
    <row r="309">
      <c r="A309" s="50"/>
      <c r="B309" s="50"/>
      <c r="C309" s="50"/>
    </row>
    <row r="310">
      <c r="A310" s="50"/>
      <c r="B310" s="50"/>
      <c r="C310" s="50"/>
    </row>
    <row r="311">
      <c r="A311" s="50"/>
      <c r="B311" s="50"/>
      <c r="C311" s="50"/>
    </row>
    <row r="312">
      <c r="A312" s="50"/>
      <c r="B312" s="50"/>
      <c r="C312" s="50"/>
    </row>
    <row r="313">
      <c r="A313" s="50"/>
      <c r="B313" s="50"/>
      <c r="C313" s="50"/>
    </row>
    <row r="314">
      <c r="A314" s="50"/>
      <c r="B314" s="50"/>
      <c r="C314" s="50"/>
    </row>
    <row r="315">
      <c r="A315" s="50"/>
      <c r="B315" s="50"/>
      <c r="C315" s="50"/>
    </row>
    <row r="316">
      <c r="A316" s="50"/>
      <c r="B316" s="50"/>
      <c r="C316" s="50"/>
    </row>
    <row r="317">
      <c r="A317" s="50"/>
      <c r="B317" s="50"/>
      <c r="C317" s="50"/>
    </row>
    <row r="318">
      <c r="A318" s="50"/>
      <c r="B318" s="50"/>
      <c r="C318" s="50"/>
    </row>
    <row r="319">
      <c r="A319" s="50"/>
      <c r="B319" s="50"/>
      <c r="C319" s="50"/>
    </row>
    <row r="320">
      <c r="A320" s="50"/>
      <c r="B320" s="50"/>
      <c r="C320" s="50"/>
    </row>
    <row r="321">
      <c r="A321" s="50"/>
      <c r="B321" s="50"/>
      <c r="C321" s="50"/>
    </row>
    <row r="322">
      <c r="A322" s="50"/>
      <c r="B322" s="50"/>
      <c r="C322" s="50"/>
    </row>
    <row r="323">
      <c r="A323" s="50"/>
      <c r="B323" s="50"/>
      <c r="C323" s="50"/>
    </row>
    <row r="324">
      <c r="A324" s="50"/>
      <c r="B324" s="50"/>
      <c r="C324" s="50"/>
    </row>
    <row r="325">
      <c r="A325" s="50"/>
      <c r="B325" s="50"/>
      <c r="C325" s="50"/>
    </row>
    <row r="326">
      <c r="A326" s="50"/>
      <c r="B326" s="50"/>
      <c r="C326" s="50"/>
    </row>
    <row r="327">
      <c r="A327" s="50"/>
      <c r="B327" s="50"/>
      <c r="C327" s="50"/>
    </row>
    <row r="328">
      <c r="A328" s="50"/>
      <c r="B328" s="50"/>
      <c r="C328" s="50"/>
    </row>
    <row r="329">
      <c r="A329" s="50"/>
      <c r="B329" s="50"/>
      <c r="C329" s="50"/>
    </row>
    <row r="330">
      <c r="A330" s="50"/>
      <c r="B330" s="50"/>
      <c r="C330" s="50"/>
    </row>
    <row r="331">
      <c r="A331" s="50"/>
      <c r="B331" s="50"/>
      <c r="C331" s="50"/>
    </row>
    <row r="332">
      <c r="A332" s="50"/>
      <c r="B332" s="50"/>
      <c r="C332" s="50"/>
    </row>
    <row r="333">
      <c r="A333" s="50"/>
      <c r="B333" s="50"/>
      <c r="C333" s="50"/>
    </row>
    <row r="334">
      <c r="A334" s="50"/>
      <c r="B334" s="50"/>
      <c r="C334" s="50"/>
    </row>
    <row r="335">
      <c r="A335" s="50"/>
      <c r="B335" s="50"/>
      <c r="C335" s="50"/>
    </row>
    <row r="336">
      <c r="A336" s="50"/>
      <c r="B336" s="50"/>
      <c r="C336" s="50"/>
    </row>
    <row r="337">
      <c r="A337" s="50"/>
      <c r="B337" s="50"/>
      <c r="C337" s="50"/>
    </row>
    <row r="338">
      <c r="A338" s="50"/>
      <c r="B338" s="50"/>
      <c r="C338" s="50"/>
    </row>
    <row r="339">
      <c r="A339" s="50"/>
      <c r="B339" s="50"/>
      <c r="C339" s="50"/>
    </row>
    <row r="340">
      <c r="A340" s="50"/>
      <c r="B340" s="50"/>
      <c r="C340" s="50"/>
    </row>
    <row r="341">
      <c r="A341" s="50"/>
      <c r="B341" s="50"/>
      <c r="C341" s="50"/>
    </row>
    <row r="342">
      <c r="A342" s="50"/>
      <c r="B342" s="50"/>
      <c r="C342" s="50"/>
    </row>
    <row r="343">
      <c r="A343" s="50"/>
      <c r="B343" s="50"/>
      <c r="C343" s="50"/>
    </row>
    <row r="344">
      <c r="A344" s="50"/>
      <c r="B344" s="50"/>
      <c r="C344" s="50"/>
    </row>
    <row r="345">
      <c r="A345" s="50"/>
      <c r="B345" s="50"/>
      <c r="C345" s="50"/>
    </row>
    <row r="346">
      <c r="A346" s="50"/>
      <c r="B346" s="50"/>
      <c r="C346" s="50"/>
    </row>
    <row r="347">
      <c r="A347" s="50"/>
      <c r="B347" s="50"/>
      <c r="C347" s="50"/>
    </row>
    <row r="348">
      <c r="A348" s="50"/>
      <c r="B348" s="50"/>
      <c r="C348" s="50"/>
    </row>
    <row r="349">
      <c r="A349" s="50"/>
      <c r="B349" s="50"/>
      <c r="C349" s="50"/>
    </row>
    <row r="350">
      <c r="A350" s="50"/>
      <c r="B350" s="50"/>
      <c r="C350" s="50"/>
    </row>
    <row r="351">
      <c r="A351" s="50"/>
      <c r="B351" s="50"/>
      <c r="C351" s="50"/>
    </row>
    <row r="352">
      <c r="A352" s="50"/>
      <c r="B352" s="50"/>
      <c r="C352" s="50"/>
    </row>
    <row r="353">
      <c r="A353" s="50"/>
      <c r="B353" s="50"/>
      <c r="C353" s="50"/>
    </row>
    <row r="354">
      <c r="A354" s="50"/>
      <c r="B354" s="50"/>
      <c r="C354" s="50"/>
    </row>
    <row r="355">
      <c r="A355" s="50"/>
      <c r="B355" s="50"/>
      <c r="C355" s="50"/>
    </row>
    <row r="356">
      <c r="A356" s="50"/>
      <c r="B356" s="50"/>
      <c r="C356" s="50"/>
    </row>
    <row r="357">
      <c r="A357" s="50"/>
      <c r="B357" s="50"/>
      <c r="C357" s="50"/>
    </row>
    <row r="358">
      <c r="A358" s="50"/>
      <c r="B358" s="50"/>
      <c r="C358" s="50"/>
    </row>
    <row r="359">
      <c r="A359" s="50"/>
      <c r="B359" s="50"/>
      <c r="C359" s="50"/>
    </row>
    <row r="360">
      <c r="A360" s="50"/>
      <c r="B360" s="50"/>
      <c r="C360" s="50"/>
    </row>
    <row r="361">
      <c r="A361" s="50"/>
      <c r="B361" s="50"/>
      <c r="C361" s="50"/>
    </row>
    <row r="362">
      <c r="A362" s="50"/>
      <c r="B362" s="50"/>
      <c r="C362" s="50"/>
    </row>
    <row r="363">
      <c r="A363" s="50"/>
      <c r="B363" s="50"/>
      <c r="C363" s="50"/>
    </row>
    <row r="364">
      <c r="A364" s="50"/>
      <c r="B364" s="50"/>
      <c r="C364" s="50"/>
    </row>
    <row r="365">
      <c r="A365" s="50"/>
      <c r="B365" s="50"/>
      <c r="C365" s="50"/>
    </row>
    <row r="366">
      <c r="A366" s="50"/>
      <c r="B366" s="50"/>
      <c r="C366" s="50"/>
    </row>
    <row r="367">
      <c r="A367" s="50"/>
      <c r="B367" s="50"/>
      <c r="C367" s="50"/>
    </row>
    <row r="368">
      <c r="A368" s="50"/>
      <c r="B368" s="50"/>
      <c r="C368" s="50"/>
    </row>
    <row r="369">
      <c r="A369" s="50"/>
      <c r="B369" s="50"/>
      <c r="C369" s="50"/>
    </row>
    <row r="370">
      <c r="A370" s="50"/>
      <c r="B370" s="50"/>
      <c r="C370" s="50"/>
    </row>
    <row r="371">
      <c r="A371" s="50"/>
      <c r="B371" s="50"/>
      <c r="C371" s="50"/>
    </row>
    <row r="372">
      <c r="A372" s="50"/>
      <c r="B372" s="50"/>
      <c r="C372" s="50"/>
    </row>
    <row r="373">
      <c r="A373" s="50"/>
      <c r="B373" s="50"/>
      <c r="C373" s="50"/>
    </row>
    <row r="374">
      <c r="A374" s="50"/>
      <c r="B374" s="50"/>
      <c r="C374" s="50"/>
    </row>
    <row r="375">
      <c r="A375" s="50"/>
      <c r="B375" s="50"/>
      <c r="C375" s="50"/>
    </row>
    <row r="376">
      <c r="A376" s="50"/>
      <c r="B376" s="50"/>
      <c r="C376" s="50"/>
    </row>
    <row r="377">
      <c r="A377" s="50"/>
      <c r="B377" s="50"/>
      <c r="C377" s="50"/>
    </row>
    <row r="378">
      <c r="A378" s="50"/>
      <c r="B378" s="50"/>
      <c r="C378" s="50"/>
    </row>
    <row r="379">
      <c r="A379" s="50"/>
      <c r="B379" s="50"/>
      <c r="C379" s="50"/>
    </row>
    <row r="380">
      <c r="A380" s="50"/>
      <c r="B380" s="50"/>
      <c r="C380" s="50"/>
    </row>
    <row r="381">
      <c r="A381" s="50"/>
      <c r="B381" s="50"/>
      <c r="C381" s="50"/>
    </row>
    <row r="382">
      <c r="A382" s="50"/>
      <c r="B382" s="50"/>
      <c r="C382" s="50"/>
    </row>
    <row r="383">
      <c r="A383" s="50"/>
      <c r="B383" s="50"/>
      <c r="C383" s="50"/>
    </row>
    <row r="384">
      <c r="A384" s="50"/>
      <c r="B384" s="50"/>
      <c r="C384" s="50"/>
    </row>
    <row r="385">
      <c r="A385" s="50"/>
      <c r="B385" s="50"/>
      <c r="C385" s="50"/>
    </row>
    <row r="386">
      <c r="A386" s="50"/>
      <c r="B386" s="50"/>
      <c r="C386" s="50"/>
    </row>
    <row r="387">
      <c r="A387" s="50"/>
      <c r="B387" s="50"/>
      <c r="C387" s="50"/>
    </row>
    <row r="388">
      <c r="A388" s="50"/>
      <c r="B388" s="50"/>
      <c r="C388" s="50"/>
    </row>
    <row r="389">
      <c r="A389" s="50"/>
      <c r="B389" s="50"/>
      <c r="C389" s="50"/>
    </row>
    <row r="390">
      <c r="A390" s="50"/>
      <c r="B390" s="50"/>
      <c r="C390" s="50"/>
    </row>
    <row r="391">
      <c r="A391" s="50"/>
      <c r="B391" s="50"/>
      <c r="C391" s="50"/>
    </row>
    <row r="392">
      <c r="A392" s="50"/>
      <c r="B392" s="50"/>
      <c r="C392" s="50"/>
    </row>
    <row r="393">
      <c r="A393" s="50"/>
      <c r="B393" s="50"/>
      <c r="C393" s="50"/>
    </row>
    <row r="394">
      <c r="A394" s="50"/>
      <c r="B394" s="50"/>
      <c r="C394" s="50"/>
    </row>
    <row r="395">
      <c r="A395" s="50"/>
      <c r="B395" s="50"/>
      <c r="C395" s="50"/>
    </row>
    <row r="396">
      <c r="A396" s="50"/>
      <c r="B396" s="50"/>
      <c r="C396" s="50"/>
    </row>
    <row r="397">
      <c r="A397" s="50"/>
      <c r="B397" s="50"/>
      <c r="C397" s="50"/>
    </row>
    <row r="398">
      <c r="A398" s="50"/>
      <c r="B398" s="50"/>
      <c r="C398" s="50"/>
    </row>
    <row r="399">
      <c r="A399" s="50"/>
      <c r="B399" s="50"/>
      <c r="C399" s="50"/>
    </row>
    <row r="400">
      <c r="A400" s="50"/>
      <c r="B400" s="50"/>
      <c r="C400" s="50"/>
    </row>
    <row r="401">
      <c r="A401" s="50"/>
      <c r="B401" s="50"/>
      <c r="C401" s="50"/>
    </row>
    <row r="402">
      <c r="A402" s="50"/>
      <c r="B402" s="50"/>
      <c r="C402" s="50"/>
    </row>
    <row r="403">
      <c r="A403" s="50"/>
      <c r="B403" s="50"/>
      <c r="C403" s="50"/>
    </row>
    <row r="404">
      <c r="A404" s="50"/>
      <c r="B404" s="50"/>
      <c r="C404" s="50"/>
    </row>
    <row r="405">
      <c r="A405" s="50"/>
      <c r="B405" s="50"/>
      <c r="C405" s="50"/>
    </row>
    <row r="406">
      <c r="A406" s="50"/>
      <c r="B406" s="50"/>
      <c r="C406" s="50"/>
    </row>
    <row r="407">
      <c r="A407" s="50"/>
      <c r="B407" s="50"/>
      <c r="C407" s="50"/>
    </row>
    <row r="408">
      <c r="A408" s="50"/>
      <c r="B408" s="50"/>
      <c r="C408" s="50"/>
    </row>
    <row r="409">
      <c r="A409" s="50"/>
      <c r="B409" s="50"/>
      <c r="C409" s="50"/>
    </row>
    <row r="410">
      <c r="A410" s="50"/>
      <c r="B410" s="50"/>
      <c r="C410" s="50"/>
    </row>
    <row r="411">
      <c r="A411" s="50"/>
      <c r="B411" s="50"/>
      <c r="C411" s="50"/>
    </row>
    <row r="412">
      <c r="A412" s="50"/>
      <c r="B412" s="50"/>
      <c r="C412" s="50"/>
    </row>
    <row r="413">
      <c r="A413" s="50"/>
      <c r="B413" s="50"/>
      <c r="C413" s="50"/>
    </row>
    <row r="414">
      <c r="A414" s="50"/>
      <c r="B414" s="50"/>
      <c r="C414" s="50"/>
    </row>
    <row r="415">
      <c r="A415" s="50"/>
      <c r="B415" s="50"/>
      <c r="C415" s="50"/>
    </row>
    <row r="416">
      <c r="A416" s="50"/>
      <c r="B416" s="50"/>
      <c r="C416" s="50"/>
    </row>
    <row r="417">
      <c r="A417" s="50"/>
      <c r="B417" s="50"/>
      <c r="C417" s="50"/>
    </row>
    <row r="418">
      <c r="A418" s="50"/>
      <c r="B418" s="50"/>
      <c r="C418" s="50"/>
    </row>
    <row r="419">
      <c r="A419" s="50"/>
      <c r="B419" s="50"/>
      <c r="C419" s="50"/>
    </row>
    <row r="420">
      <c r="A420" s="50"/>
      <c r="B420" s="50"/>
      <c r="C420" s="50"/>
    </row>
    <row r="421">
      <c r="A421" s="50"/>
      <c r="B421" s="50"/>
      <c r="C421" s="50"/>
    </row>
    <row r="422">
      <c r="A422" s="50"/>
      <c r="B422" s="50"/>
      <c r="C422" s="50"/>
    </row>
    <row r="423">
      <c r="A423" s="50"/>
      <c r="B423" s="50"/>
      <c r="C423" s="50"/>
    </row>
    <row r="424">
      <c r="A424" s="50"/>
      <c r="B424" s="50"/>
      <c r="C424" s="50"/>
    </row>
    <row r="425">
      <c r="A425" s="50"/>
      <c r="B425" s="50"/>
      <c r="C425" s="50"/>
    </row>
    <row r="426">
      <c r="A426" s="50"/>
      <c r="B426" s="50"/>
      <c r="C426" s="50"/>
    </row>
    <row r="427">
      <c r="A427" s="50"/>
      <c r="B427" s="50"/>
      <c r="C427" s="50"/>
    </row>
    <row r="428">
      <c r="A428" s="50"/>
      <c r="B428" s="50"/>
      <c r="C428" s="50"/>
    </row>
    <row r="429">
      <c r="A429" s="50"/>
      <c r="B429" s="50"/>
      <c r="C429" s="50"/>
    </row>
    <row r="430">
      <c r="A430" s="50"/>
      <c r="B430" s="50"/>
      <c r="C430" s="50"/>
    </row>
    <row r="431">
      <c r="A431" s="50"/>
      <c r="B431" s="50"/>
      <c r="C431" s="50"/>
    </row>
    <row r="432">
      <c r="A432" s="50"/>
      <c r="B432" s="50"/>
      <c r="C432" s="50"/>
    </row>
    <row r="433">
      <c r="A433" s="50"/>
      <c r="B433" s="50"/>
      <c r="C433" s="50"/>
    </row>
    <row r="434">
      <c r="A434" s="50"/>
      <c r="B434" s="50"/>
      <c r="C434" s="50"/>
    </row>
    <row r="435">
      <c r="A435" s="50"/>
      <c r="B435" s="50"/>
      <c r="C435" s="50"/>
    </row>
    <row r="436">
      <c r="A436" s="50"/>
      <c r="B436" s="50"/>
      <c r="C436" s="50"/>
    </row>
    <row r="437">
      <c r="A437" s="50"/>
      <c r="B437" s="50"/>
      <c r="C437" s="50"/>
    </row>
    <row r="438">
      <c r="A438" s="50"/>
      <c r="B438" s="50"/>
      <c r="C438" s="50"/>
    </row>
    <row r="439">
      <c r="A439" s="50"/>
      <c r="B439" s="50"/>
      <c r="C439" s="50"/>
    </row>
    <row r="440">
      <c r="A440" s="50"/>
      <c r="B440" s="50"/>
      <c r="C440" s="50"/>
    </row>
    <row r="441">
      <c r="A441" s="50"/>
      <c r="B441" s="50"/>
      <c r="C441" s="50"/>
    </row>
    <row r="442">
      <c r="A442" s="50"/>
      <c r="B442" s="50"/>
      <c r="C442" s="50"/>
    </row>
    <row r="443">
      <c r="A443" s="50"/>
      <c r="B443" s="50"/>
      <c r="C443" s="50"/>
    </row>
    <row r="444">
      <c r="A444" s="50"/>
      <c r="B444" s="50"/>
      <c r="C444" s="50"/>
    </row>
    <row r="445">
      <c r="A445" s="50"/>
      <c r="B445" s="50"/>
      <c r="C445" s="50"/>
    </row>
    <row r="446">
      <c r="A446" s="50"/>
      <c r="B446" s="50"/>
      <c r="C446" s="50"/>
    </row>
    <row r="447">
      <c r="A447" s="50"/>
      <c r="B447" s="50"/>
      <c r="C447" s="50"/>
    </row>
    <row r="448">
      <c r="A448" s="50"/>
      <c r="B448" s="50"/>
      <c r="C448" s="50"/>
    </row>
    <row r="449">
      <c r="A449" s="50"/>
      <c r="B449" s="50"/>
      <c r="C449" s="50"/>
    </row>
    <row r="450">
      <c r="A450" s="50"/>
      <c r="B450" s="50"/>
      <c r="C450" s="50"/>
    </row>
    <row r="451">
      <c r="A451" s="50"/>
      <c r="B451" s="50"/>
      <c r="C451" s="50"/>
    </row>
    <row r="452">
      <c r="A452" s="50"/>
      <c r="B452" s="50"/>
      <c r="C452" s="50"/>
    </row>
    <row r="453">
      <c r="A453" s="50"/>
      <c r="B453" s="50"/>
      <c r="C453" s="50"/>
    </row>
    <row r="454">
      <c r="A454" s="50"/>
      <c r="B454" s="50"/>
      <c r="C454" s="50"/>
    </row>
    <row r="455">
      <c r="A455" s="50"/>
      <c r="B455" s="50"/>
      <c r="C455" s="50"/>
    </row>
    <row r="456">
      <c r="A456" s="50"/>
      <c r="B456" s="50"/>
      <c r="C456" s="50"/>
    </row>
    <row r="457">
      <c r="A457" s="50"/>
      <c r="B457" s="50"/>
      <c r="C457" s="50"/>
    </row>
    <row r="458">
      <c r="A458" s="50"/>
      <c r="B458" s="50"/>
      <c r="C458" s="50"/>
    </row>
    <row r="459">
      <c r="A459" s="50"/>
      <c r="B459" s="50"/>
      <c r="C459" s="50"/>
    </row>
    <row r="460">
      <c r="A460" s="50"/>
      <c r="B460" s="50"/>
      <c r="C460" s="50"/>
    </row>
    <row r="461">
      <c r="A461" s="50"/>
      <c r="B461" s="50"/>
      <c r="C461" s="50"/>
    </row>
    <row r="462">
      <c r="A462" s="50"/>
      <c r="B462" s="50"/>
      <c r="C462" s="50"/>
    </row>
    <row r="463">
      <c r="A463" s="50"/>
      <c r="B463" s="50"/>
      <c r="C463" s="50"/>
    </row>
    <row r="464">
      <c r="A464" s="50"/>
      <c r="B464" s="50"/>
      <c r="C464" s="50"/>
    </row>
    <row r="465">
      <c r="A465" s="50"/>
      <c r="B465" s="50"/>
      <c r="C465" s="50"/>
    </row>
    <row r="466">
      <c r="A466" s="50"/>
      <c r="B466" s="50"/>
      <c r="C466" s="50"/>
    </row>
    <row r="467">
      <c r="A467" s="50"/>
      <c r="B467" s="50"/>
      <c r="C467" s="50"/>
    </row>
    <row r="468">
      <c r="A468" s="50"/>
      <c r="B468" s="50"/>
      <c r="C468" s="50"/>
    </row>
    <row r="469">
      <c r="A469" s="50"/>
      <c r="B469" s="50"/>
      <c r="C469" s="50"/>
    </row>
    <row r="470">
      <c r="A470" s="50"/>
      <c r="B470" s="50"/>
      <c r="C470" s="50"/>
    </row>
    <row r="471">
      <c r="A471" s="50"/>
      <c r="B471" s="50"/>
      <c r="C471" s="50"/>
    </row>
    <row r="472">
      <c r="A472" s="50"/>
      <c r="B472" s="50"/>
      <c r="C472" s="50"/>
    </row>
    <row r="473">
      <c r="A473" s="50"/>
      <c r="B473" s="50"/>
      <c r="C473" s="50"/>
    </row>
    <row r="474">
      <c r="A474" s="50"/>
      <c r="B474" s="50"/>
      <c r="C474" s="50"/>
    </row>
    <row r="475">
      <c r="A475" s="50"/>
      <c r="B475" s="50"/>
      <c r="C475" s="50"/>
    </row>
    <row r="476">
      <c r="A476" s="50"/>
      <c r="B476" s="50"/>
      <c r="C476" s="50"/>
    </row>
    <row r="477">
      <c r="A477" s="50"/>
      <c r="B477" s="50"/>
      <c r="C477" s="50"/>
    </row>
    <row r="478">
      <c r="A478" s="50"/>
      <c r="B478" s="50"/>
      <c r="C478" s="50"/>
    </row>
    <row r="479">
      <c r="A479" s="50"/>
      <c r="B479" s="50"/>
      <c r="C479" s="50"/>
    </row>
    <row r="480">
      <c r="A480" s="50"/>
      <c r="B480" s="50"/>
      <c r="C480" s="50"/>
    </row>
    <row r="481">
      <c r="A481" s="50"/>
      <c r="B481" s="50"/>
      <c r="C481" s="50"/>
    </row>
    <row r="482">
      <c r="A482" s="50"/>
      <c r="B482" s="50"/>
      <c r="C482" s="50"/>
    </row>
    <row r="483">
      <c r="A483" s="50"/>
      <c r="B483" s="50"/>
      <c r="C483" s="50"/>
    </row>
    <row r="484">
      <c r="A484" s="50"/>
      <c r="B484" s="50"/>
      <c r="C484" s="50"/>
    </row>
    <row r="485">
      <c r="A485" s="50"/>
      <c r="B485" s="50"/>
      <c r="C485" s="50"/>
    </row>
    <row r="486">
      <c r="A486" s="50"/>
      <c r="B486" s="50"/>
      <c r="C486" s="50"/>
    </row>
    <row r="487">
      <c r="A487" s="50"/>
      <c r="B487" s="50"/>
      <c r="C487" s="50"/>
    </row>
    <row r="488">
      <c r="A488" s="50"/>
      <c r="B488" s="50"/>
      <c r="C488" s="50"/>
    </row>
    <row r="489">
      <c r="A489" s="50"/>
      <c r="B489" s="50"/>
      <c r="C489" s="50"/>
    </row>
    <row r="490">
      <c r="A490" s="50"/>
      <c r="B490" s="50"/>
      <c r="C490" s="50"/>
    </row>
    <row r="491">
      <c r="A491" s="50"/>
      <c r="B491" s="50"/>
      <c r="C491" s="50"/>
    </row>
    <row r="492">
      <c r="A492" s="50"/>
      <c r="B492" s="50"/>
      <c r="C492" s="50"/>
    </row>
    <row r="493">
      <c r="A493" s="50"/>
      <c r="B493" s="50"/>
      <c r="C493" s="50"/>
    </row>
    <row r="494">
      <c r="A494" s="50"/>
      <c r="B494" s="50"/>
      <c r="C494" s="50"/>
    </row>
    <row r="495">
      <c r="A495" s="50"/>
      <c r="B495" s="50"/>
      <c r="C495" s="50"/>
    </row>
    <row r="496">
      <c r="A496" s="50"/>
      <c r="B496" s="50"/>
      <c r="C496" s="50"/>
    </row>
    <row r="497">
      <c r="A497" s="50"/>
      <c r="B497" s="50"/>
      <c r="C497" s="50"/>
    </row>
    <row r="498">
      <c r="A498" s="50"/>
      <c r="B498" s="50"/>
      <c r="C498" s="50"/>
    </row>
    <row r="499">
      <c r="A499" s="50"/>
      <c r="B499" s="50"/>
      <c r="C499" s="50"/>
    </row>
    <row r="500">
      <c r="A500" s="50"/>
      <c r="B500" s="50"/>
      <c r="C500" s="50"/>
    </row>
    <row r="501">
      <c r="A501" s="50"/>
      <c r="B501" s="50"/>
      <c r="C501" s="50"/>
    </row>
    <row r="502">
      <c r="A502" s="50"/>
      <c r="B502" s="50"/>
      <c r="C502" s="50"/>
    </row>
    <row r="503">
      <c r="A503" s="50"/>
      <c r="B503" s="50"/>
      <c r="C503" s="50"/>
    </row>
    <row r="504">
      <c r="A504" s="50"/>
      <c r="B504" s="50"/>
      <c r="C504" s="50"/>
    </row>
    <row r="505">
      <c r="A505" s="50"/>
      <c r="B505" s="50"/>
      <c r="C505" s="50"/>
    </row>
    <row r="506">
      <c r="A506" s="50"/>
      <c r="B506" s="50"/>
      <c r="C506" s="50"/>
    </row>
    <row r="507">
      <c r="A507" s="50"/>
      <c r="B507" s="50"/>
      <c r="C507" s="50"/>
    </row>
    <row r="508">
      <c r="A508" s="50"/>
      <c r="B508" s="50"/>
      <c r="C508" s="50"/>
    </row>
    <row r="509">
      <c r="A509" s="50"/>
      <c r="B509" s="50"/>
      <c r="C509" s="50"/>
    </row>
    <row r="510">
      <c r="A510" s="50"/>
      <c r="B510" s="50"/>
      <c r="C510" s="50"/>
    </row>
    <row r="511">
      <c r="A511" s="50"/>
      <c r="B511" s="50"/>
      <c r="C511" s="50"/>
    </row>
    <row r="512">
      <c r="A512" s="50"/>
      <c r="B512" s="50"/>
      <c r="C512" s="50"/>
    </row>
    <row r="513">
      <c r="A513" s="50"/>
      <c r="B513" s="50"/>
      <c r="C513" s="50"/>
    </row>
    <row r="514">
      <c r="A514" s="50"/>
      <c r="B514" s="50"/>
      <c r="C514" s="50"/>
    </row>
    <row r="515">
      <c r="A515" s="50"/>
      <c r="B515" s="50"/>
      <c r="C515" s="50"/>
    </row>
    <row r="516">
      <c r="A516" s="50"/>
      <c r="B516" s="50"/>
      <c r="C516" s="50"/>
    </row>
    <row r="517">
      <c r="A517" s="50"/>
      <c r="B517" s="50"/>
      <c r="C517" s="50"/>
    </row>
    <row r="518">
      <c r="A518" s="50"/>
      <c r="B518" s="50"/>
      <c r="C518" s="50"/>
    </row>
    <row r="519">
      <c r="A519" s="50"/>
      <c r="B519" s="50"/>
      <c r="C519" s="50"/>
    </row>
    <row r="520">
      <c r="A520" s="50"/>
      <c r="B520" s="50"/>
      <c r="C520" s="50"/>
    </row>
    <row r="521">
      <c r="A521" s="50"/>
      <c r="B521" s="50"/>
      <c r="C521" s="50"/>
    </row>
    <row r="522">
      <c r="A522" s="50"/>
      <c r="B522" s="50"/>
      <c r="C522" s="50"/>
    </row>
    <row r="523">
      <c r="A523" s="50"/>
      <c r="B523" s="50"/>
      <c r="C523" s="50"/>
    </row>
    <row r="524">
      <c r="A524" s="50"/>
      <c r="B524" s="50"/>
      <c r="C524" s="50"/>
    </row>
    <row r="525">
      <c r="A525" s="50"/>
      <c r="B525" s="50"/>
      <c r="C525" s="50"/>
    </row>
    <row r="526">
      <c r="A526" s="50"/>
      <c r="B526" s="50"/>
      <c r="C526" s="50"/>
    </row>
    <row r="527">
      <c r="A527" s="50"/>
      <c r="B527" s="50"/>
      <c r="C527" s="50"/>
    </row>
    <row r="528">
      <c r="A528" s="50"/>
      <c r="B528" s="50"/>
      <c r="C528" s="50"/>
    </row>
    <row r="529">
      <c r="A529" s="50"/>
      <c r="B529" s="50"/>
      <c r="C529" s="50"/>
    </row>
    <row r="530">
      <c r="A530" s="50"/>
      <c r="B530" s="50"/>
      <c r="C530" s="50"/>
    </row>
    <row r="531">
      <c r="A531" s="50"/>
      <c r="B531" s="50"/>
      <c r="C531" s="50"/>
    </row>
    <row r="532">
      <c r="A532" s="50"/>
      <c r="B532" s="50"/>
      <c r="C532" s="50"/>
    </row>
    <row r="533">
      <c r="A533" s="50"/>
      <c r="B533" s="50"/>
      <c r="C533" s="50"/>
    </row>
    <row r="534">
      <c r="A534" s="50"/>
      <c r="B534" s="50"/>
      <c r="C534" s="50"/>
    </row>
    <row r="535">
      <c r="A535" s="50"/>
      <c r="B535" s="50"/>
      <c r="C535" s="50"/>
    </row>
    <row r="536">
      <c r="A536" s="50"/>
      <c r="B536" s="50"/>
      <c r="C536" s="50"/>
    </row>
    <row r="537">
      <c r="A537" s="50"/>
      <c r="B537" s="50"/>
      <c r="C537" s="50"/>
    </row>
    <row r="538">
      <c r="A538" s="50"/>
      <c r="B538" s="50"/>
      <c r="C538" s="50"/>
    </row>
    <row r="539">
      <c r="A539" s="50"/>
      <c r="B539" s="50"/>
      <c r="C539" s="50"/>
    </row>
    <row r="540">
      <c r="A540" s="50"/>
      <c r="B540" s="50"/>
      <c r="C540" s="50"/>
    </row>
    <row r="541">
      <c r="A541" s="50"/>
      <c r="B541" s="50"/>
      <c r="C541" s="50"/>
    </row>
    <row r="542">
      <c r="A542" s="50"/>
      <c r="B542" s="50"/>
      <c r="C542" s="50"/>
    </row>
    <row r="543">
      <c r="A543" s="50"/>
      <c r="B543" s="50"/>
      <c r="C543" s="50"/>
    </row>
    <row r="544">
      <c r="A544" s="50"/>
      <c r="B544" s="50"/>
      <c r="C544" s="50"/>
    </row>
    <row r="545">
      <c r="A545" s="50"/>
      <c r="B545" s="50"/>
      <c r="C545" s="50"/>
    </row>
    <row r="546">
      <c r="A546" s="50"/>
      <c r="B546" s="50"/>
      <c r="C546" s="50"/>
    </row>
    <row r="547">
      <c r="A547" s="50"/>
      <c r="B547" s="50"/>
      <c r="C547" s="50"/>
    </row>
    <row r="548">
      <c r="A548" s="50"/>
      <c r="B548" s="50"/>
      <c r="C548" s="50"/>
    </row>
    <row r="549">
      <c r="A549" s="50"/>
      <c r="B549" s="50"/>
      <c r="C549" s="50"/>
    </row>
    <row r="550">
      <c r="A550" s="50"/>
      <c r="B550" s="50"/>
      <c r="C550" s="50"/>
    </row>
    <row r="551">
      <c r="A551" s="50"/>
      <c r="B551" s="50"/>
      <c r="C551" s="50"/>
    </row>
    <row r="552">
      <c r="A552" s="50"/>
      <c r="B552" s="50"/>
      <c r="C552" s="50"/>
    </row>
    <row r="553">
      <c r="A553" s="50"/>
      <c r="B553" s="50"/>
      <c r="C553" s="50"/>
    </row>
    <row r="554">
      <c r="A554" s="50"/>
      <c r="B554" s="50"/>
      <c r="C554" s="50"/>
    </row>
    <row r="555">
      <c r="A555" s="50"/>
      <c r="B555" s="50"/>
      <c r="C555" s="50"/>
    </row>
    <row r="556">
      <c r="A556" s="50"/>
      <c r="B556" s="50"/>
      <c r="C556" s="50"/>
    </row>
    <row r="557">
      <c r="A557" s="50"/>
      <c r="B557" s="50"/>
      <c r="C557" s="50"/>
    </row>
    <row r="558">
      <c r="A558" s="50"/>
      <c r="B558" s="50"/>
      <c r="C558" s="50"/>
    </row>
    <row r="559">
      <c r="A559" s="50"/>
      <c r="B559" s="50"/>
      <c r="C559" s="50"/>
    </row>
    <row r="560">
      <c r="A560" s="50"/>
      <c r="B560" s="50"/>
      <c r="C560" s="50"/>
    </row>
    <row r="561">
      <c r="A561" s="50"/>
      <c r="B561" s="50"/>
      <c r="C561" s="50"/>
    </row>
    <row r="562">
      <c r="A562" s="50"/>
      <c r="B562" s="50"/>
      <c r="C562" s="50"/>
    </row>
    <row r="563">
      <c r="A563" s="50"/>
      <c r="B563" s="50"/>
      <c r="C563" s="50"/>
    </row>
    <row r="564">
      <c r="A564" s="50"/>
      <c r="B564" s="50"/>
      <c r="C564" s="50"/>
    </row>
    <row r="565">
      <c r="A565" s="50"/>
      <c r="B565" s="50"/>
      <c r="C565" s="50"/>
    </row>
    <row r="566">
      <c r="A566" s="50"/>
      <c r="B566" s="50"/>
      <c r="C566" s="50"/>
    </row>
    <row r="567">
      <c r="A567" s="50"/>
      <c r="B567" s="50"/>
      <c r="C567" s="50"/>
    </row>
    <row r="568">
      <c r="A568" s="50"/>
      <c r="B568" s="50"/>
      <c r="C568" s="50"/>
    </row>
    <row r="569">
      <c r="A569" s="50"/>
      <c r="B569" s="50"/>
      <c r="C569" s="50"/>
    </row>
    <row r="570">
      <c r="A570" s="50"/>
      <c r="B570" s="50"/>
      <c r="C570" s="50"/>
    </row>
    <row r="571">
      <c r="A571" s="50"/>
      <c r="B571" s="50"/>
      <c r="C571" s="50"/>
    </row>
    <row r="572">
      <c r="A572" s="50"/>
      <c r="B572" s="50"/>
      <c r="C572" s="50"/>
    </row>
    <row r="573">
      <c r="A573" s="50"/>
      <c r="B573" s="50"/>
      <c r="C573" s="50"/>
    </row>
    <row r="574">
      <c r="A574" s="50"/>
      <c r="B574" s="50"/>
      <c r="C574" s="50"/>
    </row>
    <row r="575">
      <c r="A575" s="50"/>
      <c r="B575" s="50"/>
      <c r="C575" s="50"/>
    </row>
    <row r="576">
      <c r="A576" s="50"/>
      <c r="B576" s="50"/>
      <c r="C576" s="50"/>
    </row>
    <row r="577">
      <c r="A577" s="50"/>
      <c r="B577" s="50"/>
      <c r="C577" s="50"/>
    </row>
    <row r="578">
      <c r="A578" s="50"/>
      <c r="B578" s="50"/>
      <c r="C578" s="50"/>
    </row>
    <row r="579">
      <c r="A579" s="50"/>
      <c r="B579" s="50"/>
      <c r="C579" s="50"/>
    </row>
    <row r="580">
      <c r="A580" s="50"/>
      <c r="B580" s="50"/>
      <c r="C580" s="50"/>
    </row>
    <row r="581">
      <c r="A581" s="50"/>
      <c r="B581" s="50"/>
      <c r="C581" s="50"/>
    </row>
    <row r="582">
      <c r="A582" s="50"/>
      <c r="B582" s="50"/>
      <c r="C582" s="50"/>
    </row>
    <row r="583">
      <c r="A583" s="50"/>
      <c r="B583" s="50"/>
      <c r="C583" s="50"/>
    </row>
    <row r="584">
      <c r="A584" s="50"/>
      <c r="B584" s="50"/>
      <c r="C584" s="50"/>
    </row>
    <row r="585">
      <c r="A585" s="50"/>
      <c r="B585" s="50"/>
      <c r="C585" s="50"/>
    </row>
    <row r="586">
      <c r="A586" s="50"/>
      <c r="B586" s="50"/>
      <c r="C586" s="50"/>
    </row>
    <row r="587">
      <c r="A587" s="50"/>
      <c r="B587" s="50"/>
      <c r="C587" s="50"/>
    </row>
    <row r="588">
      <c r="A588" s="50"/>
      <c r="B588" s="50"/>
      <c r="C588" s="50"/>
    </row>
    <row r="589">
      <c r="A589" s="50"/>
      <c r="B589" s="50"/>
      <c r="C589" s="50"/>
    </row>
    <row r="590">
      <c r="A590" s="50"/>
      <c r="B590" s="50"/>
      <c r="C590" s="50"/>
    </row>
    <row r="591">
      <c r="A591" s="50"/>
      <c r="B591" s="50"/>
      <c r="C591" s="50"/>
    </row>
    <row r="592">
      <c r="A592" s="50"/>
      <c r="B592" s="50"/>
      <c r="C592" s="50"/>
    </row>
    <row r="593">
      <c r="A593" s="50"/>
      <c r="B593" s="50"/>
      <c r="C593" s="50"/>
    </row>
    <row r="594">
      <c r="A594" s="50"/>
      <c r="B594" s="50"/>
      <c r="C594" s="50"/>
    </row>
    <row r="595">
      <c r="A595" s="50"/>
      <c r="B595" s="50"/>
      <c r="C595" s="50"/>
    </row>
    <row r="596">
      <c r="A596" s="50"/>
      <c r="B596" s="50"/>
      <c r="C596" s="50"/>
    </row>
    <row r="597">
      <c r="A597" s="50"/>
      <c r="B597" s="50"/>
      <c r="C597" s="50"/>
    </row>
    <row r="598">
      <c r="A598" s="50"/>
      <c r="B598" s="50"/>
      <c r="C598" s="50"/>
    </row>
    <row r="599">
      <c r="A599" s="50"/>
      <c r="B599" s="50"/>
      <c r="C599" s="50"/>
    </row>
    <row r="600">
      <c r="A600" s="50"/>
      <c r="B600" s="50"/>
      <c r="C600" s="50"/>
    </row>
    <row r="601">
      <c r="A601" s="50"/>
      <c r="B601" s="50"/>
      <c r="C601" s="50"/>
    </row>
    <row r="602">
      <c r="A602" s="50"/>
      <c r="B602" s="50"/>
      <c r="C602" s="50"/>
    </row>
    <row r="603">
      <c r="A603" s="50"/>
      <c r="B603" s="50"/>
      <c r="C603" s="50"/>
    </row>
    <row r="604">
      <c r="A604" s="50"/>
      <c r="B604" s="50"/>
      <c r="C604" s="50"/>
    </row>
    <row r="605">
      <c r="A605" s="50"/>
      <c r="B605" s="50"/>
      <c r="C605" s="50"/>
    </row>
    <row r="606">
      <c r="A606" s="50"/>
      <c r="B606" s="50"/>
      <c r="C606" s="50"/>
    </row>
    <row r="607">
      <c r="A607" s="50"/>
      <c r="B607" s="50"/>
      <c r="C607" s="50"/>
    </row>
    <row r="608">
      <c r="A608" s="50"/>
      <c r="B608" s="50"/>
      <c r="C608" s="50"/>
    </row>
    <row r="609">
      <c r="A609" s="50"/>
      <c r="B609" s="50"/>
      <c r="C609" s="50"/>
    </row>
    <row r="610">
      <c r="A610" s="50"/>
      <c r="B610" s="50"/>
      <c r="C610" s="50"/>
    </row>
    <row r="611">
      <c r="A611" s="50"/>
      <c r="B611" s="50"/>
      <c r="C611" s="50"/>
    </row>
    <row r="612">
      <c r="A612" s="50"/>
      <c r="B612" s="50"/>
      <c r="C612" s="50"/>
    </row>
    <row r="613">
      <c r="A613" s="50"/>
      <c r="B613" s="50"/>
      <c r="C613" s="50"/>
    </row>
    <row r="614">
      <c r="A614" s="50"/>
      <c r="B614" s="50"/>
      <c r="C614" s="50"/>
    </row>
    <row r="615">
      <c r="A615" s="50"/>
      <c r="B615" s="50"/>
      <c r="C615" s="50"/>
    </row>
    <row r="616">
      <c r="A616" s="50"/>
      <c r="B616" s="50"/>
      <c r="C616" s="50"/>
    </row>
    <row r="617">
      <c r="A617" s="50"/>
      <c r="B617" s="50"/>
      <c r="C617" s="50"/>
    </row>
    <row r="618">
      <c r="A618" s="50"/>
      <c r="B618" s="50"/>
      <c r="C618" s="50"/>
    </row>
    <row r="619">
      <c r="A619" s="50"/>
      <c r="B619" s="50"/>
      <c r="C619" s="50"/>
    </row>
    <row r="620">
      <c r="A620" s="50"/>
      <c r="B620" s="50"/>
      <c r="C620" s="50"/>
    </row>
    <row r="621">
      <c r="A621" s="50"/>
      <c r="B621" s="50"/>
      <c r="C621" s="50"/>
    </row>
    <row r="622">
      <c r="A622" s="50"/>
      <c r="B622" s="50"/>
      <c r="C622" s="50"/>
    </row>
    <row r="623">
      <c r="A623" s="50"/>
      <c r="B623" s="50"/>
      <c r="C623" s="50"/>
    </row>
    <row r="624">
      <c r="A624" s="50"/>
      <c r="B624" s="50"/>
      <c r="C624" s="50"/>
    </row>
    <row r="625">
      <c r="A625" s="50"/>
      <c r="B625" s="50"/>
      <c r="C625" s="50"/>
    </row>
    <row r="626">
      <c r="A626" s="50"/>
      <c r="B626" s="50"/>
      <c r="C626" s="50"/>
    </row>
    <row r="627">
      <c r="A627" s="50"/>
      <c r="B627" s="50"/>
      <c r="C627" s="50"/>
    </row>
    <row r="628">
      <c r="A628" s="50"/>
      <c r="B628" s="50"/>
      <c r="C628" s="50"/>
    </row>
    <row r="629">
      <c r="A629" s="50"/>
      <c r="B629" s="50"/>
      <c r="C629" s="50"/>
    </row>
    <row r="630">
      <c r="A630" s="50"/>
      <c r="B630" s="50"/>
      <c r="C630" s="50"/>
    </row>
    <row r="631">
      <c r="A631" s="50"/>
      <c r="B631" s="50"/>
      <c r="C631" s="50"/>
    </row>
    <row r="632">
      <c r="A632" s="50"/>
      <c r="B632" s="50"/>
      <c r="C632" s="50"/>
    </row>
    <row r="633">
      <c r="A633" s="50"/>
      <c r="B633" s="50"/>
      <c r="C633" s="50"/>
    </row>
    <row r="634">
      <c r="A634" s="50"/>
      <c r="B634" s="50"/>
      <c r="C634" s="50"/>
    </row>
    <row r="635">
      <c r="A635" s="50"/>
      <c r="B635" s="50"/>
      <c r="C635" s="50"/>
    </row>
    <row r="636">
      <c r="A636" s="50"/>
      <c r="B636" s="50"/>
      <c r="C636" s="50"/>
    </row>
    <row r="637">
      <c r="A637" s="50"/>
      <c r="B637" s="50"/>
      <c r="C637" s="50"/>
    </row>
    <row r="638">
      <c r="A638" s="50"/>
      <c r="B638" s="50"/>
      <c r="C638" s="50"/>
    </row>
    <row r="639">
      <c r="A639" s="50"/>
      <c r="B639" s="50"/>
      <c r="C639" s="50"/>
    </row>
    <row r="640">
      <c r="A640" s="50"/>
      <c r="B640" s="50"/>
      <c r="C640" s="50"/>
    </row>
    <row r="641">
      <c r="A641" s="50"/>
      <c r="B641" s="50"/>
      <c r="C641" s="50"/>
    </row>
    <row r="642">
      <c r="A642" s="50"/>
      <c r="B642" s="50"/>
      <c r="C642" s="50"/>
    </row>
    <row r="643">
      <c r="A643" s="50"/>
      <c r="B643" s="50"/>
      <c r="C643" s="50"/>
    </row>
    <row r="644">
      <c r="A644" s="50"/>
      <c r="B644" s="50"/>
      <c r="C644" s="50"/>
    </row>
    <row r="645">
      <c r="A645" s="50"/>
      <c r="B645" s="50"/>
      <c r="C645" s="50"/>
    </row>
    <row r="646">
      <c r="A646" s="50"/>
      <c r="B646" s="50"/>
      <c r="C646" s="50"/>
    </row>
    <row r="647">
      <c r="A647" s="50"/>
      <c r="B647" s="50"/>
      <c r="C647" s="50"/>
    </row>
    <row r="648">
      <c r="A648" s="50"/>
      <c r="B648" s="50"/>
      <c r="C648" s="50"/>
    </row>
    <row r="649">
      <c r="A649" s="50"/>
      <c r="B649" s="50"/>
      <c r="C649" s="50"/>
    </row>
    <row r="650">
      <c r="A650" s="50"/>
      <c r="B650" s="50"/>
      <c r="C650" s="50"/>
    </row>
    <row r="651">
      <c r="A651" s="50"/>
      <c r="B651" s="50"/>
      <c r="C651" s="50"/>
    </row>
    <row r="652">
      <c r="A652" s="50"/>
      <c r="B652" s="50"/>
      <c r="C652" s="50"/>
    </row>
    <row r="653">
      <c r="A653" s="50"/>
      <c r="B653" s="50"/>
      <c r="C653" s="50"/>
    </row>
    <row r="654">
      <c r="A654" s="50"/>
      <c r="B654" s="50"/>
      <c r="C654" s="50"/>
    </row>
    <row r="655">
      <c r="A655" s="50"/>
      <c r="B655" s="50"/>
      <c r="C655" s="50"/>
    </row>
    <row r="656">
      <c r="A656" s="50"/>
      <c r="B656" s="50"/>
      <c r="C656" s="50"/>
    </row>
    <row r="657">
      <c r="A657" s="50"/>
      <c r="B657" s="50"/>
      <c r="C657" s="50"/>
    </row>
    <row r="658">
      <c r="A658" s="50"/>
      <c r="B658" s="50"/>
      <c r="C658" s="50"/>
    </row>
    <row r="659">
      <c r="A659" s="50"/>
      <c r="B659" s="50"/>
      <c r="C659" s="50"/>
    </row>
    <row r="660">
      <c r="A660" s="50"/>
      <c r="B660" s="50"/>
      <c r="C660" s="50"/>
    </row>
    <row r="661">
      <c r="A661" s="50"/>
      <c r="B661" s="50"/>
      <c r="C661" s="50"/>
    </row>
    <row r="662">
      <c r="A662" s="50"/>
      <c r="B662" s="50"/>
      <c r="C662" s="50"/>
    </row>
    <row r="663">
      <c r="A663" s="50"/>
      <c r="B663" s="50"/>
      <c r="C663" s="50"/>
    </row>
    <row r="664">
      <c r="A664" s="50"/>
      <c r="B664" s="50"/>
      <c r="C664" s="50"/>
    </row>
    <row r="665">
      <c r="A665" s="50"/>
      <c r="B665" s="50"/>
      <c r="C665" s="50"/>
    </row>
    <row r="666">
      <c r="A666" s="50"/>
      <c r="B666" s="50"/>
      <c r="C666" s="50"/>
    </row>
    <row r="667">
      <c r="A667" s="50"/>
      <c r="B667" s="50"/>
      <c r="C667" s="50"/>
    </row>
    <row r="668">
      <c r="A668" s="50"/>
      <c r="B668" s="50"/>
      <c r="C668" s="50"/>
    </row>
    <row r="669">
      <c r="A669" s="50"/>
      <c r="B669" s="50"/>
      <c r="C669" s="50"/>
    </row>
    <row r="670">
      <c r="A670" s="50"/>
      <c r="B670" s="50"/>
      <c r="C670" s="50"/>
    </row>
    <row r="671">
      <c r="A671" s="50"/>
      <c r="B671" s="50"/>
      <c r="C671" s="50"/>
    </row>
    <row r="672">
      <c r="A672" s="50"/>
      <c r="B672" s="50"/>
      <c r="C672" s="50"/>
    </row>
    <row r="673">
      <c r="A673" s="50"/>
      <c r="B673" s="50"/>
      <c r="C673" s="50"/>
    </row>
    <row r="674">
      <c r="A674" s="50"/>
      <c r="B674" s="50"/>
      <c r="C674" s="50"/>
    </row>
    <row r="675">
      <c r="A675" s="50"/>
      <c r="B675" s="50"/>
      <c r="C675" s="50"/>
    </row>
    <row r="676">
      <c r="A676" s="50"/>
      <c r="B676" s="50"/>
      <c r="C676" s="50"/>
    </row>
    <row r="677">
      <c r="A677" s="50"/>
      <c r="B677" s="50"/>
      <c r="C677" s="50"/>
    </row>
    <row r="678">
      <c r="A678" s="50"/>
      <c r="B678" s="50"/>
      <c r="C678" s="50"/>
    </row>
    <row r="679">
      <c r="A679" s="50"/>
      <c r="B679" s="50"/>
      <c r="C679" s="50"/>
    </row>
    <row r="680">
      <c r="A680" s="50"/>
      <c r="B680" s="50"/>
      <c r="C680" s="50"/>
    </row>
    <row r="681">
      <c r="A681" s="50"/>
      <c r="B681" s="50"/>
      <c r="C681" s="50"/>
    </row>
    <row r="682">
      <c r="A682" s="50"/>
      <c r="B682" s="50"/>
      <c r="C682" s="50"/>
    </row>
    <row r="683">
      <c r="A683" s="50"/>
      <c r="B683" s="50"/>
      <c r="C683" s="50"/>
    </row>
    <row r="684">
      <c r="A684" s="50"/>
      <c r="B684" s="50"/>
      <c r="C684" s="50"/>
    </row>
    <row r="685">
      <c r="A685" s="50"/>
      <c r="B685" s="50"/>
      <c r="C685" s="50"/>
    </row>
    <row r="686">
      <c r="A686" s="50"/>
      <c r="B686" s="50"/>
      <c r="C686" s="50"/>
    </row>
    <row r="687">
      <c r="A687" s="50"/>
      <c r="B687" s="50"/>
      <c r="C687" s="50"/>
    </row>
    <row r="688">
      <c r="A688" s="50"/>
      <c r="B688" s="50"/>
      <c r="C688" s="50"/>
    </row>
    <row r="689">
      <c r="A689" s="50"/>
      <c r="B689" s="50"/>
      <c r="C689" s="50"/>
    </row>
    <row r="690">
      <c r="A690" s="50"/>
      <c r="B690" s="50"/>
      <c r="C690" s="50"/>
    </row>
    <row r="691">
      <c r="A691" s="50"/>
      <c r="B691" s="50"/>
      <c r="C691" s="50"/>
    </row>
    <row r="692">
      <c r="A692" s="50"/>
      <c r="B692" s="50"/>
      <c r="C692" s="50"/>
    </row>
    <row r="693">
      <c r="A693" s="50"/>
      <c r="B693" s="50"/>
      <c r="C693" s="50"/>
    </row>
    <row r="694">
      <c r="A694" s="50"/>
      <c r="B694" s="50"/>
      <c r="C694" s="50"/>
    </row>
    <row r="695">
      <c r="A695" s="50"/>
      <c r="B695" s="50"/>
      <c r="C695" s="50"/>
    </row>
    <row r="696">
      <c r="A696" s="50"/>
      <c r="B696" s="50"/>
      <c r="C696" s="50"/>
    </row>
    <row r="697">
      <c r="A697" s="50"/>
      <c r="B697" s="50"/>
      <c r="C697" s="50"/>
    </row>
    <row r="698">
      <c r="A698" s="50"/>
      <c r="B698" s="50"/>
      <c r="C698" s="50"/>
    </row>
    <row r="699">
      <c r="A699" s="50"/>
      <c r="B699" s="50"/>
      <c r="C699" s="50"/>
    </row>
    <row r="700">
      <c r="A700" s="50"/>
      <c r="B700" s="50"/>
      <c r="C700" s="50"/>
    </row>
    <row r="701">
      <c r="A701" s="50"/>
      <c r="B701" s="50"/>
      <c r="C701" s="50"/>
    </row>
    <row r="702">
      <c r="A702" s="50"/>
      <c r="B702" s="50"/>
      <c r="C702" s="50"/>
    </row>
    <row r="703">
      <c r="A703" s="50"/>
      <c r="B703" s="50"/>
      <c r="C703" s="50"/>
    </row>
    <row r="704">
      <c r="A704" s="50"/>
      <c r="B704" s="50"/>
      <c r="C704" s="50"/>
    </row>
    <row r="705">
      <c r="A705" s="50"/>
      <c r="B705" s="50"/>
      <c r="C705" s="50"/>
    </row>
    <row r="706">
      <c r="A706" s="50"/>
      <c r="B706" s="50"/>
      <c r="C706" s="50"/>
    </row>
    <row r="707">
      <c r="A707" s="50"/>
      <c r="B707" s="50"/>
      <c r="C707" s="50"/>
    </row>
    <row r="708">
      <c r="A708" s="50"/>
      <c r="B708" s="50"/>
      <c r="C708" s="50"/>
    </row>
    <row r="709">
      <c r="A709" s="50"/>
      <c r="B709" s="50"/>
      <c r="C709" s="50"/>
    </row>
    <row r="710">
      <c r="A710" s="50"/>
      <c r="B710" s="50"/>
      <c r="C710" s="50"/>
    </row>
    <row r="711">
      <c r="A711" s="50"/>
      <c r="B711" s="50"/>
      <c r="C711" s="50"/>
    </row>
    <row r="712">
      <c r="A712" s="50"/>
      <c r="B712" s="50"/>
      <c r="C712" s="50"/>
    </row>
    <row r="713">
      <c r="A713" s="50"/>
      <c r="B713" s="50"/>
      <c r="C713" s="50"/>
    </row>
    <row r="714">
      <c r="A714" s="50"/>
      <c r="B714" s="50"/>
      <c r="C714" s="50"/>
    </row>
    <row r="715">
      <c r="A715" s="50"/>
      <c r="B715" s="50"/>
      <c r="C715" s="50"/>
    </row>
    <row r="716">
      <c r="A716" s="50"/>
      <c r="B716" s="50"/>
      <c r="C716" s="50"/>
    </row>
    <row r="717">
      <c r="A717" s="50"/>
      <c r="B717" s="50"/>
      <c r="C717" s="50"/>
    </row>
    <row r="718">
      <c r="A718" s="50"/>
      <c r="B718" s="50"/>
      <c r="C718" s="50"/>
    </row>
    <row r="719">
      <c r="A719" s="50"/>
      <c r="B719" s="50"/>
      <c r="C719" s="50"/>
    </row>
    <row r="720">
      <c r="A720" s="50"/>
      <c r="B720" s="50"/>
      <c r="C720" s="50"/>
    </row>
    <row r="721">
      <c r="A721" s="50"/>
      <c r="B721" s="50"/>
      <c r="C721" s="50"/>
    </row>
    <row r="722">
      <c r="A722" s="50"/>
      <c r="B722" s="50"/>
      <c r="C722" s="50"/>
    </row>
    <row r="723">
      <c r="A723" s="50"/>
      <c r="B723" s="50"/>
      <c r="C723" s="50"/>
    </row>
    <row r="724">
      <c r="A724" s="50"/>
      <c r="B724" s="50"/>
      <c r="C724" s="50"/>
    </row>
    <row r="725">
      <c r="A725" s="50"/>
      <c r="B725" s="50"/>
      <c r="C725" s="50"/>
    </row>
    <row r="726">
      <c r="A726" s="50"/>
      <c r="B726" s="50"/>
      <c r="C726" s="50"/>
    </row>
    <row r="727">
      <c r="A727" s="50"/>
      <c r="B727" s="50"/>
      <c r="C727" s="50"/>
    </row>
    <row r="728">
      <c r="A728" s="50"/>
      <c r="B728" s="50"/>
      <c r="C728" s="50"/>
    </row>
    <row r="729">
      <c r="A729" s="50"/>
      <c r="B729" s="50"/>
      <c r="C729" s="50"/>
    </row>
    <row r="730">
      <c r="A730" s="50"/>
      <c r="B730" s="50"/>
      <c r="C730" s="50"/>
    </row>
    <row r="731">
      <c r="A731" s="50"/>
      <c r="B731" s="50"/>
      <c r="C731" s="50"/>
    </row>
    <row r="732">
      <c r="A732" s="50"/>
      <c r="B732" s="50"/>
      <c r="C732" s="50"/>
    </row>
    <row r="733">
      <c r="A733" s="50"/>
      <c r="B733" s="50"/>
      <c r="C733" s="50"/>
    </row>
    <row r="734">
      <c r="A734" s="50"/>
      <c r="B734" s="50"/>
      <c r="C734" s="50"/>
    </row>
    <row r="735">
      <c r="A735" s="50"/>
      <c r="B735" s="50"/>
      <c r="C735" s="50"/>
    </row>
    <row r="736">
      <c r="A736" s="50"/>
      <c r="B736" s="50"/>
      <c r="C736" s="50"/>
    </row>
    <row r="737">
      <c r="A737" s="50"/>
      <c r="B737" s="50"/>
      <c r="C737" s="50"/>
    </row>
    <row r="738">
      <c r="A738" s="50"/>
      <c r="B738" s="50"/>
      <c r="C738" s="50"/>
    </row>
    <row r="739">
      <c r="A739" s="50"/>
      <c r="B739" s="50"/>
      <c r="C739" s="50"/>
    </row>
    <row r="740">
      <c r="A740" s="50"/>
      <c r="B740" s="50"/>
      <c r="C740" s="50"/>
    </row>
    <row r="741">
      <c r="A741" s="50"/>
      <c r="B741" s="50"/>
      <c r="C741" s="50"/>
    </row>
    <row r="742">
      <c r="A742" s="50"/>
      <c r="B742" s="50"/>
      <c r="C742" s="50"/>
    </row>
    <row r="743">
      <c r="A743" s="50"/>
      <c r="B743" s="50"/>
      <c r="C743" s="50"/>
    </row>
    <row r="744">
      <c r="A744" s="50"/>
      <c r="B744" s="50"/>
      <c r="C744" s="50"/>
    </row>
    <row r="745">
      <c r="A745" s="50"/>
      <c r="B745" s="50"/>
      <c r="C745" s="50"/>
    </row>
    <row r="746">
      <c r="A746" s="50"/>
      <c r="B746" s="50"/>
      <c r="C746" s="50"/>
    </row>
    <row r="747">
      <c r="A747" s="50"/>
      <c r="B747" s="50"/>
      <c r="C747" s="50"/>
    </row>
    <row r="748">
      <c r="A748" s="50"/>
      <c r="B748" s="50"/>
      <c r="C748" s="50"/>
    </row>
    <row r="749">
      <c r="A749" s="50"/>
      <c r="B749" s="50"/>
      <c r="C749" s="50"/>
    </row>
    <row r="750">
      <c r="A750" s="50"/>
      <c r="B750" s="50"/>
      <c r="C750" s="50"/>
    </row>
    <row r="751">
      <c r="A751" s="50"/>
      <c r="B751" s="50"/>
      <c r="C751" s="50"/>
    </row>
    <row r="752">
      <c r="A752" s="50"/>
      <c r="B752" s="50"/>
      <c r="C752" s="50"/>
    </row>
    <row r="753">
      <c r="A753" s="50"/>
      <c r="B753" s="50"/>
      <c r="C753" s="50"/>
    </row>
    <row r="754">
      <c r="A754" s="50"/>
      <c r="B754" s="50"/>
      <c r="C754" s="50"/>
    </row>
    <row r="755">
      <c r="A755" s="50"/>
      <c r="B755" s="50"/>
      <c r="C755" s="50"/>
    </row>
    <row r="756">
      <c r="A756" s="50"/>
      <c r="B756" s="50"/>
      <c r="C756" s="50"/>
    </row>
    <row r="757">
      <c r="A757" s="50"/>
      <c r="B757" s="50"/>
      <c r="C757" s="50"/>
    </row>
    <row r="758">
      <c r="A758" s="50"/>
      <c r="B758" s="50"/>
      <c r="C758" s="50"/>
    </row>
    <row r="759">
      <c r="A759" s="50"/>
      <c r="B759" s="50"/>
      <c r="C759" s="50"/>
    </row>
    <row r="760">
      <c r="A760" s="50"/>
      <c r="B760" s="50"/>
      <c r="C760" s="50"/>
    </row>
    <row r="761">
      <c r="A761" s="50"/>
      <c r="B761" s="50"/>
      <c r="C761" s="50"/>
    </row>
    <row r="762">
      <c r="A762" s="50"/>
      <c r="B762" s="50"/>
      <c r="C762" s="50"/>
    </row>
    <row r="763">
      <c r="A763" s="50"/>
      <c r="B763" s="50"/>
      <c r="C763" s="50"/>
    </row>
    <row r="764">
      <c r="A764" s="50"/>
      <c r="B764" s="50"/>
      <c r="C764" s="50"/>
    </row>
    <row r="765">
      <c r="A765" s="50"/>
      <c r="B765" s="50"/>
      <c r="C765" s="50"/>
    </row>
    <row r="766">
      <c r="A766" s="50"/>
      <c r="B766" s="50"/>
      <c r="C766" s="50"/>
    </row>
    <row r="767">
      <c r="A767" s="50"/>
      <c r="B767" s="50"/>
      <c r="C767" s="50"/>
    </row>
    <row r="768">
      <c r="A768" s="50"/>
      <c r="B768" s="50"/>
      <c r="C768" s="50"/>
    </row>
    <row r="769">
      <c r="A769" s="50"/>
      <c r="B769" s="50"/>
      <c r="C769" s="50"/>
    </row>
    <row r="770">
      <c r="A770" s="50"/>
      <c r="B770" s="50"/>
      <c r="C770" s="50"/>
    </row>
    <row r="771">
      <c r="A771" s="50"/>
      <c r="B771" s="50"/>
      <c r="C771" s="50"/>
    </row>
    <row r="772">
      <c r="A772" s="50"/>
      <c r="B772" s="50"/>
      <c r="C772" s="50"/>
    </row>
    <row r="773">
      <c r="A773" s="50"/>
      <c r="B773" s="50"/>
      <c r="C773" s="50"/>
    </row>
    <row r="774">
      <c r="A774" s="50"/>
      <c r="B774" s="50"/>
      <c r="C774" s="50"/>
    </row>
    <row r="775">
      <c r="A775" s="50"/>
      <c r="B775" s="50"/>
      <c r="C775" s="50"/>
    </row>
    <row r="776">
      <c r="A776" s="50"/>
      <c r="B776" s="50"/>
      <c r="C776" s="50"/>
    </row>
    <row r="777">
      <c r="A777" s="50"/>
      <c r="B777" s="50"/>
      <c r="C777" s="50"/>
    </row>
    <row r="778">
      <c r="A778" s="50"/>
      <c r="B778" s="50"/>
      <c r="C778" s="50"/>
    </row>
    <row r="779">
      <c r="A779" s="50"/>
      <c r="B779" s="50"/>
      <c r="C779" s="50"/>
    </row>
    <row r="780">
      <c r="A780" s="50"/>
      <c r="B780" s="50"/>
      <c r="C780" s="50"/>
    </row>
    <row r="781">
      <c r="A781" s="50"/>
      <c r="B781" s="50"/>
      <c r="C781" s="50"/>
    </row>
    <row r="782">
      <c r="A782" s="50"/>
      <c r="B782" s="50"/>
      <c r="C782" s="50"/>
    </row>
    <row r="783">
      <c r="A783" s="50"/>
      <c r="B783" s="50"/>
      <c r="C783" s="50"/>
    </row>
    <row r="784">
      <c r="A784" s="50"/>
      <c r="B784" s="50"/>
      <c r="C784" s="50"/>
    </row>
    <row r="785">
      <c r="A785" s="50"/>
      <c r="B785" s="50"/>
      <c r="C785" s="50"/>
    </row>
    <row r="786">
      <c r="A786" s="50"/>
      <c r="B786" s="50"/>
      <c r="C786" s="50"/>
    </row>
    <row r="787">
      <c r="A787" s="50"/>
      <c r="B787" s="50"/>
      <c r="C787" s="50"/>
    </row>
    <row r="788">
      <c r="A788" s="50"/>
      <c r="B788" s="50"/>
      <c r="C788" s="50"/>
    </row>
    <row r="789">
      <c r="A789" s="50"/>
      <c r="B789" s="50"/>
      <c r="C789" s="50"/>
    </row>
    <row r="790">
      <c r="A790" s="50"/>
      <c r="B790" s="50"/>
      <c r="C790" s="50"/>
    </row>
    <row r="791">
      <c r="A791" s="50"/>
      <c r="B791" s="50"/>
      <c r="C791" s="50"/>
    </row>
    <row r="792">
      <c r="A792" s="50"/>
      <c r="B792" s="50"/>
      <c r="C792" s="50"/>
    </row>
    <row r="793">
      <c r="A793" s="50"/>
      <c r="B793" s="50"/>
      <c r="C793" s="50"/>
    </row>
    <row r="794">
      <c r="A794" s="50"/>
      <c r="B794" s="50"/>
      <c r="C794" s="50"/>
    </row>
    <row r="795">
      <c r="A795" s="50"/>
      <c r="B795" s="50"/>
      <c r="C795" s="50"/>
    </row>
    <row r="796">
      <c r="A796" s="50"/>
      <c r="B796" s="50"/>
      <c r="C796" s="50"/>
    </row>
    <row r="797">
      <c r="A797" s="50"/>
      <c r="B797" s="50"/>
      <c r="C797" s="50"/>
    </row>
    <row r="798">
      <c r="A798" s="50"/>
      <c r="B798" s="50"/>
      <c r="C798" s="50"/>
    </row>
    <row r="799">
      <c r="A799" s="50"/>
      <c r="B799" s="50"/>
      <c r="C799" s="50"/>
    </row>
    <row r="800">
      <c r="A800" s="50"/>
      <c r="B800" s="50"/>
      <c r="C800" s="50"/>
    </row>
    <row r="801">
      <c r="A801" s="50"/>
      <c r="B801" s="50"/>
      <c r="C801" s="50"/>
    </row>
    <row r="802">
      <c r="A802" s="50"/>
      <c r="B802" s="50"/>
      <c r="C802" s="50"/>
    </row>
    <row r="803">
      <c r="A803" s="50"/>
      <c r="B803" s="50"/>
      <c r="C803" s="50"/>
    </row>
    <row r="804">
      <c r="A804" s="50"/>
      <c r="B804" s="50"/>
      <c r="C804" s="50"/>
    </row>
    <row r="805">
      <c r="A805" s="50"/>
      <c r="B805" s="50"/>
      <c r="C805" s="50"/>
    </row>
    <row r="806">
      <c r="A806" s="50"/>
      <c r="B806" s="50"/>
      <c r="C806" s="50"/>
    </row>
    <row r="807">
      <c r="A807" s="50"/>
      <c r="B807" s="50"/>
      <c r="C807" s="50"/>
    </row>
    <row r="808">
      <c r="A808" s="50"/>
      <c r="B808" s="50"/>
      <c r="C808" s="50"/>
    </row>
    <row r="809">
      <c r="A809" s="50"/>
      <c r="B809" s="50"/>
      <c r="C809" s="50"/>
    </row>
    <row r="810">
      <c r="A810" s="50"/>
      <c r="B810" s="50"/>
      <c r="C810" s="50"/>
    </row>
    <row r="811">
      <c r="A811" s="50"/>
      <c r="B811" s="50"/>
      <c r="C811" s="50"/>
    </row>
    <row r="812">
      <c r="A812" s="50"/>
      <c r="B812" s="50"/>
      <c r="C812" s="50"/>
    </row>
    <row r="813">
      <c r="A813" s="50"/>
      <c r="B813" s="50"/>
      <c r="C813" s="50"/>
    </row>
    <row r="814">
      <c r="A814" s="50"/>
      <c r="B814" s="50"/>
      <c r="C814" s="50"/>
    </row>
    <row r="815">
      <c r="A815" s="50"/>
      <c r="B815" s="50"/>
      <c r="C815" s="50"/>
    </row>
    <row r="816">
      <c r="A816" s="50"/>
      <c r="B816" s="50"/>
      <c r="C816" s="50"/>
    </row>
    <row r="817">
      <c r="A817" s="50"/>
      <c r="B817" s="50"/>
      <c r="C817" s="50"/>
    </row>
    <row r="818">
      <c r="A818" s="50"/>
      <c r="B818" s="50"/>
      <c r="C818" s="50"/>
    </row>
    <row r="819">
      <c r="A819" s="50"/>
      <c r="B819" s="50"/>
      <c r="C819" s="50"/>
    </row>
    <row r="820">
      <c r="A820" s="50"/>
      <c r="B820" s="50"/>
      <c r="C820" s="50"/>
    </row>
    <row r="821">
      <c r="A821" s="50"/>
      <c r="B821" s="50"/>
      <c r="C821" s="50"/>
    </row>
    <row r="822">
      <c r="A822" s="50"/>
      <c r="B822" s="50"/>
      <c r="C822" s="50"/>
    </row>
    <row r="823">
      <c r="A823" s="50"/>
      <c r="B823" s="50"/>
      <c r="C823" s="50"/>
    </row>
    <row r="824">
      <c r="A824" s="50"/>
      <c r="B824" s="50"/>
      <c r="C824" s="50"/>
    </row>
    <row r="825">
      <c r="A825" s="50"/>
      <c r="B825" s="50"/>
      <c r="C825" s="50"/>
    </row>
    <row r="826">
      <c r="A826" s="50"/>
      <c r="B826" s="50"/>
      <c r="C826" s="50"/>
    </row>
    <row r="827">
      <c r="A827" s="50"/>
      <c r="B827" s="50"/>
      <c r="C827" s="50"/>
    </row>
    <row r="828">
      <c r="A828" s="50"/>
      <c r="B828" s="50"/>
      <c r="C828" s="50"/>
    </row>
    <row r="829">
      <c r="A829" s="50"/>
      <c r="B829" s="50"/>
      <c r="C829" s="50"/>
    </row>
    <row r="830">
      <c r="A830" s="50"/>
      <c r="B830" s="50"/>
      <c r="C830" s="50"/>
    </row>
    <row r="831">
      <c r="A831" s="50"/>
      <c r="B831" s="50"/>
      <c r="C831" s="50"/>
    </row>
    <row r="832">
      <c r="A832" s="50"/>
      <c r="B832" s="50"/>
      <c r="C832" s="50"/>
    </row>
    <row r="833">
      <c r="A833" s="50"/>
      <c r="B833" s="50"/>
      <c r="C833" s="50"/>
    </row>
    <row r="834">
      <c r="A834" s="50"/>
      <c r="B834" s="50"/>
      <c r="C834" s="50"/>
    </row>
    <row r="835">
      <c r="A835" s="50"/>
      <c r="B835" s="50"/>
      <c r="C835" s="50"/>
    </row>
    <row r="836">
      <c r="A836" s="50"/>
      <c r="B836" s="50"/>
      <c r="C836" s="50"/>
    </row>
    <row r="837">
      <c r="A837" s="50"/>
      <c r="B837" s="50"/>
      <c r="C837" s="50"/>
    </row>
    <row r="838">
      <c r="A838" s="50"/>
      <c r="B838" s="50"/>
      <c r="C838" s="50"/>
    </row>
    <row r="839">
      <c r="A839" s="50"/>
      <c r="B839" s="50"/>
      <c r="C839" s="50"/>
    </row>
    <row r="840">
      <c r="A840" s="50"/>
      <c r="B840" s="50"/>
      <c r="C840" s="50"/>
    </row>
    <row r="841">
      <c r="A841" s="50"/>
      <c r="B841" s="50"/>
      <c r="C841" s="50"/>
    </row>
    <row r="842">
      <c r="A842" s="50"/>
      <c r="B842" s="50"/>
      <c r="C842" s="50"/>
    </row>
    <row r="843">
      <c r="A843" s="50"/>
      <c r="B843" s="50"/>
      <c r="C843" s="50"/>
    </row>
    <row r="844">
      <c r="A844" s="50"/>
      <c r="B844" s="50"/>
      <c r="C844" s="50"/>
    </row>
    <row r="845">
      <c r="A845" s="50"/>
      <c r="B845" s="50"/>
      <c r="C845" s="50"/>
    </row>
    <row r="846">
      <c r="A846" s="50"/>
      <c r="B846" s="50"/>
      <c r="C846" s="50"/>
    </row>
    <row r="847">
      <c r="A847" s="50"/>
      <c r="B847" s="50"/>
      <c r="C847" s="50"/>
    </row>
    <row r="848">
      <c r="A848" s="50"/>
      <c r="B848" s="50"/>
      <c r="C848" s="50"/>
    </row>
    <row r="849">
      <c r="A849" s="50"/>
      <c r="B849" s="50"/>
      <c r="C849" s="50"/>
    </row>
    <row r="850">
      <c r="A850" s="50"/>
      <c r="B850" s="50"/>
      <c r="C850" s="50"/>
    </row>
    <row r="851">
      <c r="A851" s="50"/>
      <c r="B851" s="50"/>
      <c r="C851" s="50"/>
    </row>
    <row r="852">
      <c r="A852" s="50"/>
      <c r="B852" s="50"/>
      <c r="C852" s="50"/>
    </row>
    <row r="853">
      <c r="A853" s="50"/>
      <c r="B853" s="50"/>
      <c r="C853" s="50"/>
    </row>
    <row r="854">
      <c r="A854" s="50"/>
      <c r="B854" s="50"/>
      <c r="C854" s="50"/>
    </row>
    <row r="855">
      <c r="A855" s="50"/>
      <c r="B855" s="50"/>
      <c r="C855" s="50"/>
    </row>
    <row r="856">
      <c r="A856" s="50"/>
      <c r="B856" s="50"/>
      <c r="C856" s="50"/>
    </row>
    <row r="857">
      <c r="A857" s="50"/>
      <c r="B857" s="50"/>
      <c r="C857" s="50"/>
    </row>
    <row r="858">
      <c r="A858" s="50"/>
      <c r="B858" s="50"/>
      <c r="C858" s="50"/>
    </row>
    <row r="859">
      <c r="A859" s="50"/>
      <c r="B859" s="50"/>
      <c r="C859" s="50"/>
    </row>
    <row r="860">
      <c r="A860" s="50"/>
      <c r="B860" s="50"/>
      <c r="C860" s="50"/>
    </row>
    <row r="861">
      <c r="A861" s="50"/>
      <c r="B861" s="50"/>
      <c r="C861" s="50"/>
    </row>
    <row r="862">
      <c r="A862" s="50"/>
      <c r="B862" s="50"/>
      <c r="C862" s="50"/>
    </row>
    <row r="863">
      <c r="A863" s="50"/>
      <c r="B863" s="50"/>
      <c r="C863" s="50"/>
    </row>
    <row r="864">
      <c r="A864" s="50"/>
      <c r="B864" s="50"/>
      <c r="C864" s="50"/>
    </row>
    <row r="865">
      <c r="A865" s="50"/>
      <c r="B865" s="50"/>
      <c r="C865" s="50"/>
    </row>
    <row r="866">
      <c r="A866" s="50"/>
      <c r="B866" s="50"/>
      <c r="C866" s="50"/>
    </row>
    <row r="867">
      <c r="A867" s="50"/>
      <c r="B867" s="50"/>
      <c r="C867" s="50"/>
    </row>
    <row r="868">
      <c r="A868" s="50"/>
      <c r="B868" s="50"/>
      <c r="C868" s="50"/>
    </row>
    <row r="869">
      <c r="A869" s="50"/>
      <c r="B869" s="50"/>
      <c r="C869" s="50"/>
    </row>
    <row r="870">
      <c r="A870" s="50"/>
      <c r="B870" s="50"/>
      <c r="C870" s="50"/>
    </row>
    <row r="871">
      <c r="A871" s="50"/>
      <c r="B871" s="50"/>
      <c r="C871" s="50"/>
    </row>
    <row r="872">
      <c r="A872" s="50"/>
      <c r="B872" s="50"/>
      <c r="C872" s="50"/>
    </row>
    <row r="873">
      <c r="A873" s="50"/>
      <c r="B873" s="50"/>
      <c r="C873" s="50"/>
    </row>
    <row r="874">
      <c r="A874" s="50"/>
      <c r="B874" s="50"/>
      <c r="C874" s="50"/>
    </row>
    <row r="875">
      <c r="A875" s="50"/>
      <c r="B875" s="50"/>
      <c r="C875" s="50"/>
    </row>
    <row r="876">
      <c r="A876" s="50"/>
      <c r="B876" s="50"/>
      <c r="C876" s="50"/>
    </row>
    <row r="877">
      <c r="A877" s="50"/>
      <c r="B877" s="50"/>
      <c r="C877" s="50"/>
    </row>
    <row r="878">
      <c r="A878" s="50"/>
      <c r="B878" s="50"/>
      <c r="C878" s="50"/>
    </row>
    <row r="879">
      <c r="A879" s="50"/>
      <c r="B879" s="50"/>
      <c r="C879" s="50"/>
    </row>
    <row r="880">
      <c r="A880" s="50"/>
      <c r="B880" s="50"/>
      <c r="C880" s="50"/>
    </row>
    <row r="881">
      <c r="A881" s="50"/>
      <c r="B881" s="50"/>
      <c r="C881" s="50"/>
    </row>
    <row r="882">
      <c r="A882" s="50"/>
      <c r="B882" s="50"/>
      <c r="C882" s="50"/>
    </row>
    <row r="883">
      <c r="A883" s="50"/>
      <c r="B883" s="50"/>
      <c r="C883" s="50"/>
    </row>
    <row r="884">
      <c r="A884" s="50"/>
      <c r="B884" s="50"/>
      <c r="C884" s="50"/>
    </row>
    <row r="885">
      <c r="A885" s="50"/>
      <c r="B885" s="50"/>
      <c r="C885" s="50"/>
    </row>
    <row r="886">
      <c r="A886" s="50"/>
      <c r="B886" s="50"/>
      <c r="C886" s="50"/>
    </row>
    <row r="887">
      <c r="A887" s="50"/>
      <c r="B887" s="50"/>
      <c r="C887" s="50"/>
    </row>
    <row r="888">
      <c r="A888" s="50"/>
      <c r="B888" s="50"/>
      <c r="C888" s="50"/>
    </row>
    <row r="889">
      <c r="A889" s="50"/>
      <c r="B889" s="50"/>
      <c r="C889" s="50"/>
    </row>
    <row r="890">
      <c r="A890" s="50"/>
      <c r="B890" s="50"/>
      <c r="C890" s="50"/>
    </row>
    <row r="891">
      <c r="A891" s="50"/>
      <c r="B891" s="50"/>
      <c r="C891" s="50"/>
    </row>
    <row r="892">
      <c r="A892" s="50"/>
      <c r="B892" s="50"/>
      <c r="C892" s="50"/>
    </row>
    <row r="893">
      <c r="A893" s="50"/>
      <c r="B893" s="50"/>
      <c r="C893" s="50"/>
    </row>
    <row r="894">
      <c r="A894" s="50"/>
      <c r="B894" s="50"/>
      <c r="C894" s="50"/>
    </row>
    <row r="895">
      <c r="A895" s="50"/>
      <c r="B895" s="50"/>
      <c r="C895" s="50"/>
    </row>
    <row r="896">
      <c r="A896" s="50"/>
      <c r="B896" s="50"/>
      <c r="C896" s="50"/>
    </row>
    <row r="897">
      <c r="A897" s="50"/>
      <c r="B897" s="50"/>
      <c r="C897" s="50"/>
    </row>
    <row r="898">
      <c r="A898" s="50"/>
      <c r="B898" s="50"/>
      <c r="C898" s="50"/>
    </row>
    <row r="899">
      <c r="A899" s="50"/>
      <c r="B899" s="50"/>
      <c r="C899" s="50"/>
    </row>
    <row r="900">
      <c r="A900" s="50"/>
      <c r="B900" s="50"/>
      <c r="C900" s="50"/>
    </row>
    <row r="901">
      <c r="A901" s="50"/>
      <c r="B901" s="50"/>
      <c r="C901" s="50"/>
    </row>
    <row r="902">
      <c r="A902" s="50"/>
      <c r="B902" s="50"/>
      <c r="C902" s="50"/>
    </row>
    <row r="903">
      <c r="A903" s="50"/>
      <c r="B903" s="50"/>
      <c r="C903" s="50"/>
    </row>
    <row r="904">
      <c r="A904" s="50"/>
      <c r="B904" s="50"/>
      <c r="C904" s="50"/>
    </row>
    <row r="905">
      <c r="A905" s="50"/>
      <c r="B905" s="50"/>
      <c r="C905" s="50"/>
    </row>
    <row r="906">
      <c r="A906" s="50"/>
      <c r="B906" s="50"/>
      <c r="C906" s="50"/>
    </row>
    <row r="907">
      <c r="A907" s="50"/>
      <c r="B907" s="50"/>
      <c r="C907" s="50"/>
    </row>
    <row r="908">
      <c r="A908" s="50"/>
      <c r="B908" s="50"/>
      <c r="C908" s="50"/>
    </row>
    <row r="909">
      <c r="A909" s="50"/>
      <c r="B909" s="50"/>
      <c r="C909" s="50"/>
    </row>
    <row r="910">
      <c r="A910" s="50"/>
      <c r="B910" s="50"/>
      <c r="C910" s="50"/>
    </row>
    <row r="911">
      <c r="A911" s="50"/>
      <c r="B911" s="50"/>
      <c r="C911" s="50"/>
    </row>
    <row r="912">
      <c r="A912" s="50"/>
      <c r="B912" s="50"/>
      <c r="C912" s="50"/>
    </row>
    <row r="913">
      <c r="A913" s="50"/>
      <c r="B913" s="50"/>
      <c r="C913" s="50"/>
    </row>
    <row r="914">
      <c r="A914" s="50"/>
      <c r="B914" s="50"/>
      <c r="C914" s="50"/>
    </row>
    <row r="915">
      <c r="A915" s="50"/>
      <c r="B915" s="50"/>
      <c r="C915" s="50"/>
    </row>
    <row r="916">
      <c r="A916" s="50"/>
      <c r="B916" s="50"/>
      <c r="C916" s="50"/>
    </row>
    <row r="917">
      <c r="A917" s="50"/>
      <c r="B917" s="50"/>
      <c r="C917" s="50"/>
    </row>
    <row r="918">
      <c r="A918" s="50"/>
      <c r="B918" s="50"/>
      <c r="C918" s="50"/>
    </row>
    <row r="919">
      <c r="A919" s="50"/>
      <c r="B919" s="50"/>
      <c r="C919" s="50"/>
    </row>
    <row r="920">
      <c r="A920" s="50"/>
      <c r="B920" s="50"/>
      <c r="C920" s="50"/>
    </row>
    <row r="921">
      <c r="A921" s="50"/>
      <c r="B921" s="50"/>
      <c r="C921" s="50"/>
    </row>
    <row r="922">
      <c r="A922" s="50"/>
      <c r="B922" s="50"/>
      <c r="C922" s="50"/>
    </row>
    <row r="923">
      <c r="A923" s="50"/>
      <c r="B923" s="50"/>
      <c r="C923" s="50"/>
    </row>
    <row r="924">
      <c r="A924" s="50"/>
      <c r="B924" s="50"/>
      <c r="C924" s="50"/>
    </row>
    <row r="925">
      <c r="A925" s="50"/>
      <c r="B925" s="50"/>
      <c r="C925" s="50"/>
    </row>
    <row r="926">
      <c r="A926" s="50"/>
      <c r="B926" s="50"/>
      <c r="C926" s="50"/>
    </row>
    <row r="927">
      <c r="A927" s="50"/>
      <c r="B927" s="50"/>
      <c r="C927" s="50"/>
    </row>
    <row r="928">
      <c r="A928" s="50"/>
      <c r="B928" s="50"/>
      <c r="C928" s="50"/>
    </row>
    <row r="929">
      <c r="A929" s="50"/>
      <c r="B929" s="50"/>
      <c r="C929" s="50"/>
    </row>
    <row r="930">
      <c r="A930" s="50"/>
      <c r="B930" s="50"/>
      <c r="C930" s="50"/>
    </row>
    <row r="931">
      <c r="A931" s="50"/>
      <c r="B931" s="50"/>
      <c r="C931" s="50"/>
    </row>
    <row r="932">
      <c r="A932" s="50"/>
      <c r="B932" s="50"/>
      <c r="C932" s="50"/>
    </row>
    <row r="933">
      <c r="A933" s="50"/>
      <c r="B933" s="50"/>
      <c r="C933" s="50"/>
    </row>
    <row r="934">
      <c r="A934" s="50"/>
      <c r="B934" s="50"/>
      <c r="C934" s="50"/>
    </row>
    <row r="935">
      <c r="A935" s="50"/>
      <c r="B935" s="50"/>
      <c r="C935" s="50"/>
    </row>
    <row r="936">
      <c r="A936" s="50"/>
      <c r="B936" s="50"/>
      <c r="C936" s="50"/>
    </row>
    <row r="937">
      <c r="A937" s="50"/>
      <c r="B937" s="50"/>
      <c r="C937" s="50"/>
    </row>
    <row r="938">
      <c r="A938" s="50"/>
      <c r="B938" s="50"/>
      <c r="C938" s="50"/>
    </row>
    <row r="939">
      <c r="A939" s="50"/>
      <c r="B939" s="50"/>
      <c r="C939" s="50"/>
    </row>
    <row r="940">
      <c r="A940" s="50"/>
      <c r="B940" s="50"/>
      <c r="C940" s="50"/>
    </row>
    <row r="941">
      <c r="A941" s="50"/>
      <c r="B941" s="50"/>
      <c r="C941" s="50"/>
    </row>
    <row r="942">
      <c r="A942" s="50"/>
      <c r="B942" s="50"/>
      <c r="C942" s="50"/>
    </row>
    <row r="943">
      <c r="A943" s="50"/>
      <c r="B943" s="50"/>
      <c r="C943" s="50"/>
    </row>
    <row r="944">
      <c r="A944" s="50"/>
      <c r="B944" s="50"/>
      <c r="C944" s="50"/>
    </row>
    <row r="945">
      <c r="A945" s="50"/>
      <c r="B945" s="50"/>
      <c r="C945" s="50"/>
    </row>
    <row r="946">
      <c r="A946" s="50"/>
      <c r="B946" s="50"/>
      <c r="C946" s="50"/>
    </row>
    <row r="947">
      <c r="A947" s="50"/>
      <c r="B947" s="50"/>
      <c r="C947" s="50"/>
    </row>
    <row r="948">
      <c r="A948" s="50"/>
      <c r="B948" s="50"/>
      <c r="C948" s="50"/>
    </row>
    <row r="949">
      <c r="A949" s="50"/>
      <c r="B949" s="50"/>
      <c r="C949" s="50"/>
    </row>
    <row r="950">
      <c r="A950" s="50"/>
      <c r="B950" s="50"/>
      <c r="C950" s="50"/>
    </row>
    <row r="951">
      <c r="A951" s="50"/>
      <c r="B951" s="50"/>
      <c r="C951" s="50"/>
    </row>
    <row r="952">
      <c r="A952" s="50"/>
      <c r="B952" s="50"/>
      <c r="C952" s="50"/>
    </row>
    <row r="953">
      <c r="A953" s="50"/>
      <c r="B953" s="50"/>
      <c r="C953" s="50"/>
    </row>
    <row r="954">
      <c r="A954" s="50"/>
      <c r="B954" s="50"/>
      <c r="C954" s="50"/>
    </row>
    <row r="955">
      <c r="A955" s="50"/>
      <c r="B955" s="50"/>
      <c r="C955" s="50"/>
    </row>
    <row r="956">
      <c r="A956" s="50"/>
      <c r="B956" s="50"/>
      <c r="C956" s="50"/>
    </row>
    <row r="957">
      <c r="A957" s="50"/>
      <c r="B957" s="50"/>
      <c r="C957" s="50"/>
    </row>
    <row r="958">
      <c r="A958" s="50"/>
      <c r="B958" s="50"/>
      <c r="C958" s="50"/>
    </row>
    <row r="959">
      <c r="A959" s="50"/>
      <c r="B959" s="50"/>
      <c r="C959" s="50"/>
    </row>
    <row r="960">
      <c r="A960" s="50"/>
      <c r="B960" s="50"/>
      <c r="C960" s="50"/>
    </row>
    <row r="961">
      <c r="A961" s="50"/>
      <c r="B961" s="50"/>
      <c r="C961" s="50"/>
    </row>
    <row r="962">
      <c r="A962" s="50"/>
      <c r="B962" s="50"/>
      <c r="C962" s="50"/>
    </row>
    <row r="963">
      <c r="A963" s="50"/>
      <c r="B963" s="50"/>
      <c r="C963" s="50"/>
    </row>
    <row r="964">
      <c r="A964" s="50"/>
      <c r="B964" s="50"/>
      <c r="C964" s="50"/>
    </row>
    <row r="965">
      <c r="A965" s="50"/>
      <c r="B965" s="50"/>
      <c r="C965" s="50"/>
    </row>
    <row r="966">
      <c r="A966" s="50"/>
      <c r="B966" s="50"/>
      <c r="C966" s="50"/>
    </row>
    <row r="967">
      <c r="A967" s="50"/>
      <c r="B967" s="50"/>
      <c r="C967" s="50"/>
    </row>
    <row r="968">
      <c r="A968" s="50"/>
      <c r="B968" s="50"/>
      <c r="C968" s="50"/>
    </row>
    <row r="969">
      <c r="A969" s="50"/>
      <c r="B969" s="50"/>
      <c r="C969" s="50"/>
    </row>
    <row r="970">
      <c r="A970" s="50"/>
      <c r="B970" s="50"/>
      <c r="C970" s="50"/>
    </row>
    <row r="971">
      <c r="A971" s="50"/>
      <c r="B971" s="50"/>
      <c r="C971" s="50"/>
    </row>
    <row r="972">
      <c r="A972" s="50"/>
      <c r="B972" s="50"/>
      <c r="C972" s="50"/>
    </row>
    <row r="973">
      <c r="A973" s="50"/>
      <c r="B973" s="50"/>
      <c r="C973" s="50"/>
    </row>
    <row r="974">
      <c r="A974" s="50"/>
      <c r="B974" s="50"/>
      <c r="C974" s="50"/>
    </row>
    <row r="975">
      <c r="A975" s="50"/>
      <c r="B975" s="50"/>
      <c r="C975" s="50"/>
    </row>
    <row r="976">
      <c r="A976" s="50"/>
      <c r="B976" s="50"/>
      <c r="C976" s="50"/>
    </row>
    <row r="977">
      <c r="A977" s="50"/>
      <c r="B977" s="50"/>
      <c r="C977" s="50"/>
    </row>
    <row r="978">
      <c r="A978" s="50"/>
      <c r="B978" s="50"/>
      <c r="C978" s="50"/>
    </row>
    <row r="979">
      <c r="A979" s="50"/>
      <c r="B979" s="50"/>
      <c r="C979" s="50"/>
    </row>
    <row r="980">
      <c r="A980" s="50"/>
      <c r="B980" s="50"/>
      <c r="C980" s="50"/>
    </row>
    <row r="981">
      <c r="A981" s="50"/>
      <c r="B981" s="50"/>
      <c r="C981" s="50"/>
    </row>
    <row r="982">
      <c r="A982" s="50"/>
      <c r="B982" s="50"/>
      <c r="C982" s="50"/>
    </row>
    <row r="983">
      <c r="A983" s="50"/>
      <c r="B983" s="50"/>
      <c r="C983" s="50"/>
    </row>
    <row r="984">
      <c r="A984" s="50"/>
      <c r="B984" s="50"/>
      <c r="C984" s="50"/>
    </row>
    <row r="985">
      <c r="A985" s="50"/>
      <c r="B985" s="50"/>
      <c r="C985" s="50"/>
    </row>
    <row r="986">
      <c r="A986" s="50"/>
      <c r="B986" s="50"/>
      <c r="C986" s="50"/>
    </row>
    <row r="987">
      <c r="A987" s="50"/>
      <c r="B987" s="50"/>
      <c r="C987" s="50"/>
    </row>
    <row r="988">
      <c r="A988" s="50"/>
      <c r="B988" s="50"/>
      <c r="C988" s="50"/>
    </row>
    <row r="989">
      <c r="A989" s="50"/>
      <c r="B989" s="50"/>
      <c r="C989" s="50"/>
    </row>
    <row r="990">
      <c r="A990" s="50"/>
      <c r="B990" s="50"/>
      <c r="C990" s="50"/>
    </row>
    <row r="991">
      <c r="A991" s="50"/>
      <c r="B991" s="50"/>
      <c r="C991" s="50"/>
    </row>
    <row r="992">
      <c r="A992" s="50"/>
      <c r="B992" s="50"/>
      <c r="C992" s="50"/>
    </row>
    <row r="993">
      <c r="A993" s="50"/>
      <c r="B993" s="50"/>
      <c r="C993" s="50"/>
    </row>
    <row r="994">
      <c r="A994" s="50"/>
      <c r="B994" s="50"/>
      <c r="C994" s="50"/>
    </row>
    <row r="995">
      <c r="A995" s="50"/>
      <c r="B995" s="50"/>
      <c r="C995" s="50"/>
    </row>
    <row r="996">
      <c r="A996" s="50"/>
      <c r="B996" s="50"/>
      <c r="C996" s="50"/>
    </row>
    <row r="997">
      <c r="A997" s="50"/>
      <c r="B997" s="50"/>
      <c r="C997" s="50"/>
    </row>
    <row r="998">
      <c r="A998" s="50"/>
      <c r="B998" s="50"/>
      <c r="C998" s="50"/>
    </row>
    <row r="999">
      <c r="A999" s="50"/>
      <c r="B999" s="50"/>
      <c r="C999" s="50"/>
    </row>
    <row r="1000">
      <c r="A1000" s="50"/>
      <c r="B1000" s="50"/>
      <c r="C1000" s="50"/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47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25"/>
    <col collapsed="false" customWidth="true" hidden="false" max="7" min="7" style="0" width="24"/>
    <col collapsed="false" customWidth="true" hidden="false" max="8" min="8" style="0" width="20"/>
  </cols>
  <sheetData>
    <row r="1">
      <c r="A1" s="2" t="str">
        <v>Tên salon</v>
      </c>
      <c r="B1" s="2" t="str">
        <v>ID salon</v>
      </c>
      <c r="C1" s="2" t="str">
        <v>Tên dịch vụ</v>
      </c>
      <c r="D1" s="2" t="str">
        <v>ID dịch vụ</v>
      </c>
      <c r="E1" s="2" t="str">
        <v>ID salon</v>
      </c>
      <c r="F1" s="2" t="str">
        <v>Giá trước ngày 6/3</v>
      </c>
      <c r="G1" s="2" t="str">
        <v>Giá thay đổi ngày 6/3</v>
      </c>
      <c r="H1" s="2" t="str">
        <v>Note</v>
      </c>
    </row>
    <row r="2">
      <c r="A2" t="str">
        <v>103 TN</v>
      </c>
      <c r="B2" s="33" t="str">
        <v>DV_Uốn</v>
      </c>
      <c r="C2" t="str">
        <v>(NEW) Uốn/Duỗi/Định hình full đầu tạo form vào nếp tự nhiên</v>
      </c>
      <c r="D2">
        <v>1009</v>
      </c>
      <c r="E2">
        <f>VLOOKUP(A2,'Sheet10'!$A:$C,3,0)</f>
      </c>
      <c r="F2">
        <v>416000</v>
      </c>
      <c r="G2" s="2">
        <v>406000</v>
      </c>
      <c r="H2" s="25" t="str">
        <v>Điều chỉnh giá</v>
      </c>
    </row>
    <row r="3">
      <c r="A3" t="str">
        <v>103 TN</v>
      </c>
      <c r="B3" s="33" t="str">
        <v>DV_Uốn</v>
      </c>
      <c r="C3" t="str">
        <v>[DV] Uốn Texture con sâu/Uốn Ruffled</v>
      </c>
      <c r="D3">
        <v>674</v>
      </c>
      <c r="E3">
        <f>VLOOKUP(A3,'Sheet10'!$A:$C,3,0)</f>
      </c>
      <c r="F3">
        <v>564000</v>
      </c>
      <c r="G3" s="2">
        <v>554000</v>
      </c>
      <c r="H3" s="33" t="str">
        <v>Điều chỉnh giá</v>
      </c>
    </row>
    <row r="4">
      <c r="A4" t="str">
        <v>103 TN</v>
      </c>
      <c r="B4" s="33" t="str">
        <v>DV_Uốn</v>
      </c>
      <c r="C4" t="str">
        <v>UỐN THIẾT KẾ PHỤC HỒI CHUYÊN SÂU LIPID BOND 2025</v>
      </c>
      <c r="D4">
        <v>1148</v>
      </c>
      <c r="E4">
        <f>VLOOKUP(A4,'Sheet10'!$A:$C,3,0)</f>
      </c>
      <c r="F4">
        <v>739000</v>
      </c>
      <c r="G4" s="2">
        <v>729000</v>
      </c>
      <c r="H4" s="25" t="str">
        <v>Điều chỉnh giá</v>
      </c>
    </row>
    <row r="5">
      <c r="A5" t="str">
        <v>103 TN</v>
      </c>
      <c r="B5" s="33" t="str">
        <v>DV_Uốn</v>
      </c>
      <c r="C5" t="str">
        <v>Uốn định hình nếp tóc cao cấp (K-Perm Collection)</v>
      </c>
      <c r="D5">
        <v>952</v>
      </c>
      <c r="E5">
        <f>VLOOKUP(A5,'Sheet10'!$A:$C,3,0)</f>
      </c>
      <c r="F5">
        <v>512000</v>
      </c>
      <c r="G5" s="2">
        <v>502000</v>
      </c>
      <c r="H5" t="str">
        <v>Điều chỉnh giá</v>
      </c>
    </row>
    <row r="6">
      <c r="A6" t="str">
        <v>264 LLQ</v>
      </c>
      <c r="B6" t="str">
        <v>DV_Cắt</v>
      </c>
      <c r="C6" t="str">
        <v>Cắt xả tạo kiểu</v>
      </c>
      <c r="D6">
        <v>891</v>
      </c>
      <c r="E6">
        <f>VLOOKUP(A6,'Sheet10'!$A:$C,3,0)</f>
      </c>
      <c r="F6">
        <v>103000</v>
      </c>
      <c r="G6" s="2">
        <v>94000</v>
      </c>
      <c r="H6" t="str">
        <v>Điều chỉnh giá</v>
      </c>
    </row>
    <row r="7">
      <c r="A7" t="str">
        <v>264 LLQ</v>
      </c>
      <c r="B7" t="str">
        <v>DV_Cắt</v>
      </c>
      <c r="C7" t="str">
        <v>Kid Cắt</v>
      </c>
      <c r="D7">
        <v>1002</v>
      </c>
      <c r="E7">
        <f>VLOOKUP(A7,'Sheet10'!$A:$C,3,0)</f>
      </c>
      <c r="F7">
        <v>84000</v>
      </c>
      <c r="G7" s="2">
        <v>75000</v>
      </c>
      <c r="H7" t="str">
        <v>Điều chỉnh giá</v>
      </c>
    </row>
    <row r="8">
      <c r="A8" t="str">
        <v>264 LLQ</v>
      </c>
      <c r="B8" t="str">
        <v>DV_Cắt_Vip</v>
      </c>
      <c r="C8" t="str">
        <v>Cắt Gội Combo 3 - Chăm da</v>
      </c>
      <c r="D8">
        <v>1047</v>
      </c>
      <c r="E8">
        <f>VLOOKUP(A8,'Sheet10'!$A:$C,3,0)</f>
      </c>
      <c r="F8">
        <v>308000</v>
      </c>
      <c r="G8" s="2">
        <v>299000</v>
      </c>
      <c r="H8" t="str">
        <v>Điều chỉnh giá</v>
      </c>
    </row>
    <row r="9">
      <c r="A9" t="str">
        <v>264 LLQ</v>
      </c>
      <c r="B9" t="str">
        <v>DV_Cắt_Vip</v>
      </c>
      <c r="C9" t="str">
        <v>Cắt Gội Combo 5 - Dưỡng sinh</v>
      </c>
      <c r="D9">
        <v>1064</v>
      </c>
      <c r="E9">
        <f>VLOOKUP(A9,'Sheet10'!$A:$C,3,0)</f>
      </c>
      <c r="F9">
        <v>468000</v>
      </c>
      <c r="G9" s="2">
        <v>459000</v>
      </c>
      <c r="H9" t="str">
        <v>Điều chỉnh giá</v>
      </c>
    </row>
    <row r="10">
      <c r="A10" t="str">
        <v>264 LLQ</v>
      </c>
      <c r="B10" t="str">
        <v>DV_Cắt_Vip</v>
      </c>
      <c r="C10" t="str">
        <v>Combo 4</v>
      </c>
      <c r="D10">
        <v>1048</v>
      </c>
      <c r="E10">
        <f>VLOOKUP(A10,'Sheet10'!$A:$C,3,0)</f>
      </c>
      <c r="F10">
        <v>398000</v>
      </c>
      <c r="G10" s="2">
        <v>389000</v>
      </c>
      <c r="H10" t="str">
        <v>Điều chỉnh giá</v>
      </c>
    </row>
    <row r="11">
      <c r="A11" t="str">
        <v>264 LLQ</v>
      </c>
      <c r="B11" t="str">
        <v>DV_Cắt_Vip</v>
      </c>
      <c r="C11" t="str">
        <v>Shinecombo 2</v>
      </c>
      <c r="D11">
        <v>1046</v>
      </c>
      <c r="E11">
        <f>VLOOKUP(A11,'Sheet10'!$A:$C,3,0)</f>
      </c>
      <c r="F11">
        <v>208000</v>
      </c>
      <c r="G11" s="2">
        <v>199000</v>
      </c>
      <c r="H11" t="str">
        <v>Điều chỉnh giá</v>
      </c>
    </row>
    <row r="12">
      <c r="A12" t="str">
        <v>451 PVT</v>
      </c>
      <c r="B12" t="str">
        <v>DV_Cắt</v>
      </c>
      <c r="C12" t="str">
        <v>Cắt xả tạo kiểu</v>
      </c>
      <c r="D12">
        <v>891</v>
      </c>
      <c r="E12">
        <f>VLOOKUP(A12,'Sheet10'!$A:$C,3,0)</f>
      </c>
      <c r="F12">
        <v>101999.99999999999</v>
      </c>
      <c r="G12" s="2">
        <v>94000</v>
      </c>
      <c r="H12" t="str">
        <v>Điều chỉnh giá</v>
      </c>
    </row>
    <row r="13">
      <c r="A13" t="str">
        <v>451 PVT</v>
      </c>
      <c r="B13" t="str">
        <v>DV_Cắt</v>
      </c>
      <c r="C13" t="str">
        <v>Kid Cắt</v>
      </c>
      <c r="D13">
        <v>1002</v>
      </c>
      <c r="E13">
        <f>VLOOKUP(A13,'Sheet10'!$A:$C,3,0)</f>
      </c>
      <c r="F13">
        <v>82999.99999999999</v>
      </c>
      <c r="G13" s="2">
        <v>75000</v>
      </c>
      <c r="H13" t="str">
        <v>Điều chỉnh giá</v>
      </c>
    </row>
    <row r="14">
      <c r="A14" t="str">
        <v>451 PVT</v>
      </c>
      <c r="B14" t="str">
        <v>DV_Cắt_Vip</v>
      </c>
      <c r="C14" t="str">
        <v>Cắt Gội Combo 3 - Chăm da</v>
      </c>
      <c r="D14">
        <v>1047</v>
      </c>
      <c r="E14">
        <f>VLOOKUP(A14,'Sheet10'!$A:$C,3,0)</f>
      </c>
      <c r="F14">
        <v>287000</v>
      </c>
      <c r="G14" s="2">
        <v>279000</v>
      </c>
      <c r="H14" t="str">
        <v>Điều chỉnh giá</v>
      </c>
    </row>
    <row r="15">
      <c r="A15" t="str">
        <v>451 PVT</v>
      </c>
      <c r="B15" t="str">
        <v>DV_Cắt_Vip</v>
      </c>
      <c r="C15" t="str">
        <v>Cắt Gội Combo 3 - Dưỡng sinh</v>
      </c>
      <c r="D15">
        <v>1065</v>
      </c>
      <c r="E15">
        <f>VLOOKUP(A15,'Sheet10'!$A:$C,3,0)</f>
      </c>
      <c r="F15">
        <v>307000</v>
      </c>
      <c r="G15" s="2">
        <v>299000</v>
      </c>
      <c r="H15" t="str">
        <v>Điều chỉnh giá</v>
      </c>
    </row>
    <row r="16">
      <c r="A16" t="str">
        <v>451 PVT</v>
      </c>
      <c r="B16" t="str">
        <v>DV_Cắt_Vip</v>
      </c>
      <c r="C16" t="str">
        <v>Combo 2 - First Class 2</v>
      </c>
      <c r="D16">
        <v>1053</v>
      </c>
      <c r="E16">
        <f>VLOOKUP(A16,'Sheet10'!$A:$C,3,0)</f>
      </c>
      <c r="F16">
        <v>237000</v>
      </c>
      <c r="G16" s="2">
        <v>229000</v>
      </c>
      <c r="H16" t="str">
        <v>Điều chỉnh giá</v>
      </c>
    </row>
    <row r="17">
      <c r="A17" t="str">
        <v>451 PVT</v>
      </c>
      <c r="B17" t="str">
        <v>DV_Cắt_Vip</v>
      </c>
      <c r="C17" t="str">
        <v>Combo 4</v>
      </c>
      <c r="D17">
        <v>1048</v>
      </c>
      <c r="E17">
        <f>VLOOKUP(A17,'Sheet10'!$A:$C,3,0)</f>
      </c>
      <c r="F17">
        <v>397000</v>
      </c>
      <c r="G17" s="2">
        <v>389000</v>
      </c>
      <c r="H17" t="str">
        <v>Điều chỉnh giá</v>
      </c>
    </row>
    <row r="18">
      <c r="A18" t="str">
        <v>451 PVT</v>
      </c>
      <c r="B18" t="str">
        <v>DV_Cắt_Vip</v>
      </c>
      <c r="C18" t="str">
        <v>Combo cắt gội đỉnh cao thư giãn vip</v>
      </c>
      <c r="D18">
        <v>1150</v>
      </c>
      <c r="E18">
        <f>VLOOKUP(A18,'Sheet10'!$A:$C,3,0)</f>
      </c>
      <c r="F18">
        <v>508000</v>
      </c>
      <c r="G18" s="2">
        <v>500000</v>
      </c>
      <c r="H18" t="str">
        <v>Điều chỉnh giá</v>
      </c>
    </row>
    <row r="19">
      <c r="A19" t="str">
        <v>451 PVT</v>
      </c>
      <c r="B19" t="str">
        <v>DV_Cắt_Vip</v>
      </c>
      <c r="C19" t="str">
        <v>Shinecombo 2</v>
      </c>
      <c r="D19">
        <v>1046</v>
      </c>
      <c r="E19">
        <f>VLOOKUP(A19,'Sheet10'!$A:$C,3,0)</f>
      </c>
      <c r="F19">
        <v>177000</v>
      </c>
      <c r="G19" s="2">
        <v>169000</v>
      </c>
      <c r="H19" t="str">
        <v>Điều chỉnh giá</v>
      </c>
    </row>
    <row r="20">
      <c r="A20" t="str">
        <v>483 TN</v>
      </c>
      <c r="B20" t="str">
        <v>DV_Cắt</v>
      </c>
      <c r="C20" t="str">
        <v>Cắt xả tạo kiểu</v>
      </c>
      <c r="D20">
        <v>891</v>
      </c>
      <c r="E20">
        <f>VLOOKUP(A20,'Sheet10'!$A:$C,3,0)</f>
      </c>
      <c r="F20">
        <v>100000</v>
      </c>
      <c r="G20" s="2">
        <v>94000</v>
      </c>
      <c r="H20" t="str">
        <v>Điều chỉnh giá</v>
      </c>
    </row>
    <row r="21">
      <c r="A21" t="str">
        <v>483 TN</v>
      </c>
      <c r="B21" t="str">
        <v>DV_Cắt</v>
      </c>
      <c r="C21" t="str">
        <v>Kid Cắt</v>
      </c>
      <c r="D21">
        <v>1002</v>
      </c>
      <c r="E21">
        <f>VLOOKUP(A21,'Sheet10'!$A:$C,3,0)</f>
      </c>
      <c r="F21">
        <v>81000</v>
      </c>
      <c r="G21" s="2">
        <v>75000</v>
      </c>
      <c r="H21" t="str">
        <v>Điều chỉnh giá</v>
      </c>
    </row>
    <row r="22">
      <c r="A22" t="str">
        <v>483 TN</v>
      </c>
      <c r="B22" t="str">
        <v>DV_Cắt_Vip</v>
      </c>
      <c r="C22" t="str">
        <v>Cắt Gội Combo 3 - Chăm da</v>
      </c>
      <c r="D22">
        <v>1047</v>
      </c>
      <c r="E22">
        <f>VLOOKUP(A22,'Sheet10'!$A:$C,3,0)</f>
      </c>
      <c r="F22">
        <v>305000</v>
      </c>
      <c r="G22" s="2">
        <v>299000</v>
      </c>
      <c r="H22" t="str">
        <v>Điều chỉnh giá</v>
      </c>
    </row>
    <row r="23">
      <c r="A23" t="str">
        <v>483 TN</v>
      </c>
      <c r="B23" t="str">
        <v>DV_Cắt_Vip</v>
      </c>
      <c r="C23" t="str">
        <v>Cắt Gội Combo 5 - Dưỡng sinh</v>
      </c>
      <c r="D23">
        <v>1064</v>
      </c>
      <c r="E23">
        <f>VLOOKUP(A23,'Sheet10'!$A:$C,3,0)</f>
      </c>
      <c r="F23">
        <v>465000</v>
      </c>
      <c r="G23" s="2">
        <v>459000</v>
      </c>
      <c r="H23" t="str">
        <v>Điều chỉnh giá</v>
      </c>
    </row>
    <row r="24">
      <c r="A24" t="str">
        <v>483 TN</v>
      </c>
      <c r="B24" t="str">
        <v>DV_Cắt_Vip</v>
      </c>
      <c r="C24" t="str">
        <v>Combo 2 - First Class 2</v>
      </c>
      <c r="D24">
        <v>1053</v>
      </c>
      <c r="E24">
        <f>VLOOKUP(A24,'Sheet10'!$A:$C,3,0)</f>
      </c>
      <c r="F24">
        <v>235000</v>
      </c>
      <c r="G24" s="2">
        <v>229000</v>
      </c>
      <c r="H24" t="str">
        <v>Điều chỉnh giá</v>
      </c>
    </row>
    <row r="25">
      <c r="A25" t="str">
        <v>483 TN</v>
      </c>
      <c r="B25" t="str">
        <v>DV_Cắt_Vip</v>
      </c>
      <c r="C25" t="str">
        <v>Combo 3 - First Class 3</v>
      </c>
      <c r="D25">
        <v>1054</v>
      </c>
      <c r="E25">
        <f>VLOOKUP(A25,'Sheet10'!$A:$C,3,0)</f>
      </c>
      <c r="F25">
        <v>305000</v>
      </c>
      <c r="G25" s="2">
        <v>299000</v>
      </c>
      <c r="H25" t="str">
        <v>Điều chỉnh giá</v>
      </c>
    </row>
    <row r="26">
      <c r="A26" t="str">
        <v>483 TN</v>
      </c>
      <c r="B26" t="str">
        <v>DV_Cắt_Vip</v>
      </c>
      <c r="C26" t="str">
        <v>Combo 4</v>
      </c>
      <c r="D26">
        <v>1048</v>
      </c>
      <c r="E26">
        <f>VLOOKUP(A26,'Sheet10'!$A:$C,3,0)</f>
      </c>
      <c r="F26">
        <v>395000</v>
      </c>
      <c r="G26" s="2">
        <v>389000</v>
      </c>
      <c r="H26" t="str">
        <v>Điều chỉnh giá</v>
      </c>
    </row>
    <row r="27">
      <c r="A27" t="str">
        <v>483 TN</v>
      </c>
      <c r="B27" t="str">
        <v>DV_Cắt_Vip</v>
      </c>
      <c r="C27" t="str">
        <v>Shinecombo 2</v>
      </c>
      <c r="D27">
        <v>1046</v>
      </c>
      <c r="E27">
        <f>VLOOKUP(A27,'Sheet10'!$A:$C,3,0)</f>
      </c>
      <c r="F27">
        <v>205000</v>
      </c>
      <c r="G27" s="2">
        <v>199000</v>
      </c>
      <c r="H27" t="str">
        <v>Điều chỉnh giá</v>
      </c>
    </row>
    <row r="28">
      <c r="A28" t="str">
        <v>76 PVH</v>
      </c>
      <c r="B28" t="str">
        <v>DV_Cắt</v>
      </c>
      <c r="C28" t="str">
        <v>Cắt xả tạo kiểu</v>
      </c>
      <c r="D28">
        <v>891</v>
      </c>
      <c r="E28">
        <f>VLOOKUP(A28,'Sheet10'!$A:$C,3,0)</f>
      </c>
      <c r="F28">
        <v>103000</v>
      </c>
      <c r="G28" s="2">
        <v>94000</v>
      </c>
      <c r="H28" t="str">
        <v>Điều chỉnh giá</v>
      </c>
    </row>
    <row r="29">
      <c r="A29" t="str">
        <v>76 PVH</v>
      </c>
      <c r="B29" t="str">
        <v>DV_Cắt</v>
      </c>
      <c r="C29" t="str">
        <v>Kid Cắt</v>
      </c>
      <c r="D29">
        <v>1002</v>
      </c>
      <c r="E29">
        <f>VLOOKUP(A29,'Sheet10'!$A:$C,3,0)</f>
      </c>
      <c r="F29">
        <v>84000</v>
      </c>
      <c r="G29" s="2">
        <v>75000</v>
      </c>
      <c r="H29" t="str">
        <v>Điều chỉnh giá</v>
      </c>
    </row>
    <row r="30">
      <c r="A30" t="str">
        <v>76 PVH</v>
      </c>
      <c r="B30" t="str">
        <v>DV_Cắt_Vip</v>
      </c>
      <c r="C30" t="str">
        <v>Cắt Gội Combo 3 - Chăm da</v>
      </c>
      <c r="D30">
        <v>1047</v>
      </c>
      <c r="E30">
        <f>VLOOKUP(A30,'Sheet10'!$A:$C,3,0)</f>
      </c>
      <c r="F30">
        <v>308000</v>
      </c>
      <c r="G30" s="2">
        <v>299000</v>
      </c>
      <c r="H30" t="str">
        <v>Điều chỉnh giá</v>
      </c>
    </row>
    <row r="31">
      <c r="A31" t="str">
        <v>76 PVH</v>
      </c>
      <c r="B31" t="str">
        <v>DV_Cắt_Vip</v>
      </c>
      <c r="C31" t="str">
        <v>Cắt Gội Combo 3 - Dưỡng sinh</v>
      </c>
      <c r="D31">
        <v>1065</v>
      </c>
      <c r="E31">
        <f>VLOOKUP(A31,'Sheet10'!$A:$C,3,0)</f>
      </c>
      <c r="F31">
        <v>308000</v>
      </c>
      <c r="G31" s="2">
        <v>299000</v>
      </c>
      <c r="H31" t="str">
        <v>Điều chỉnh giá</v>
      </c>
    </row>
    <row r="32">
      <c r="A32" t="str">
        <v>76 PVH</v>
      </c>
      <c r="B32" t="str">
        <v>DV_Cắt_Vip</v>
      </c>
      <c r="C32" t="str">
        <v>Cắt Gội Combo 5 - Dưỡng sinh</v>
      </c>
      <c r="D32">
        <v>1064</v>
      </c>
      <c r="E32">
        <f>VLOOKUP(A32,'Sheet10'!$A:$C,3,0)</f>
      </c>
      <c r="F32">
        <v>468000</v>
      </c>
      <c r="G32" s="2">
        <v>459000</v>
      </c>
      <c r="H32" t="str">
        <v>Điều chỉnh giá</v>
      </c>
    </row>
    <row r="33">
      <c r="A33" t="str">
        <v>76 PVH</v>
      </c>
      <c r="B33" t="str">
        <v>DV_Cắt_Vip</v>
      </c>
      <c r="C33" t="str">
        <v>Combo 4</v>
      </c>
      <c r="D33">
        <v>1048</v>
      </c>
      <c r="E33">
        <f>VLOOKUP(A33,'Sheet10'!$A:$C,3,0)</f>
      </c>
      <c r="F33">
        <v>398000</v>
      </c>
      <c r="G33" s="2">
        <v>389000</v>
      </c>
      <c r="H33" t="str">
        <v>Điều chỉnh giá</v>
      </c>
    </row>
    <row r="34">
      <c r="A34" t="str">
        <v>76 PVH</v>
      </c>
      <c r="B34" t="str">
        <v>DV_Cắt_Vip</v>
      </c>
      <c r="C34" t="str">
        <v>Combo Best choice</v>
      </c>
      <c r="D34">
        <v>1194</v>
      </c>
      <c r="E34">
        <f>VLOOKUP(A34,'Sheet10'!$A:$C,3,0)</f>
      </c>
      <c r="F34">
        <v>308000</v>
      </c>
      <c r="G34" s="2">
        <v>299000</v>
      </c>
      <c r="H34" t="str">
        <v>Điều chỉnh giá</v>
      </c>
    </row>
    <row r="35">
      <c r="A35" t="str">
        <v>76 PVH</v>
      </c>
      <c r="B35" t="str">
        <v>DV_Cắt_Vip</v>
      </c>
      <c r="C35" t="str">
        <v>Shinecombo 2</v>
      </c>
      <c r="D35">
        <v>1046</v>
      </c>
      <c r="E35">
        <f>VLOOKUP(A35,'Sheet10'!$A:$C,3,0)</f>
      </c>
      <c r="F35">
        <v>208000</v>
      </c>
      <c r="G35" s="2">
        <v>199000</v>
      </c>
      <c r="H35" t="str">
        <v>Điều chỉnh giá</v>
      </c>
    </row>
    <row r="36">
      <c r="A36" t="str">
        <v>90 NH</v>
      </c>
      <c r="B36" t="str">
        <v>DV_Cắt</v>
      </c>
      <c r="C36" t="str">
        <v>Cắt xả tạo kiểu</v>
      </c>
      <c r="D36">
        <v>891</v>
      </c>
      <c r="E36">
        <f>VLOOKUP(A36,'Sheet10'!$A:$C,3,0)</f>
      </c>
      <c r="F36">
        <v>98999.99999999999</v>
      </c>
      <c r="G36" s="2">
        <v>94000</v>
      </c>
      <c r="H36" t="str">
        <v>Điều chỉnh giá</v>
      </c>
    </row>
    <row r="37">
      <c r="A37" t="str">
        <v>90 NH</v>
      </c>
      <c r="B37" t="str">
        <v>DV_Cắt</v>
      </c>
      <c r="C37" t="str">
        <v>Kid Cắt</v>
      </c>
      <c r="D37">
        <v>1002</v>
      </c>
      <c r="E37">
        <f>VLOOKUP(A37,'Sheet10'!$A:$C,3,0)</f>
      </c>
      <c r="F37">
        <v>79999.99999999999</v>
      </c>
      <c r="G37" s="2">
        <v>75000</v>
      </c>
      <c r="H37" t="str">
        <v>Điều chỉnh giá</v>
      </c>
    </row>
    <row r="38">
      <c r="A38" t="str">
        <v>90 NH</v>
      </c>
      <c r="B38" t="str">
        <v>DV_Cắt_Vip</v>
      </c>
      <c r="C38" t="str">
        <v>Cắt Gội Combo 3 - Chăm da</v>
      </c>
      <c r="D38">
        <v>1047</v>
      </c>
      <c r="E38">
        <f>VLOOKUP(A38,'Sheet10'!$A:$C,3,0)</f>
      </c>
      <c r="F38">
        <v>304000</v>
      </c>
      <c r="G38" s="2">
        <v>299000</v>
      </c>
      <c r="H38" t="str">
        <v>Điều chỉnh giá</v>
      </c>
    </row>
    <row r="39">
      <c r="A39" t="str">
        <v>90 NH</v>
      </c>
      <c r="B39" t="str">
        <v>DV_Cắt_Vip</v>
      </c>
      <c r="C39" t="str">
        <v>Cắt Gội Combo 3 - Dưỡng sinh</v>
      </c>
      <c r="D39">
        <v>1065</v>
      </c>
      <c r="E39">
        <f>VLOOKUP(A39,'Sheet10'!$A:$C,3,0)</f>
      </c>
      <c r="F39">
        <v>304000</v>
      </c>
      <c r="G39" s="2">
        <v>299000</v>
      </c>
      <c r="H39" t="str">
        <v>Điều chỉnh giá</v>
      </c>
    </row>
    <row r="40">
      <c r="A40" t="str">
        <v>90 NH</v>
      </c>
      <c r="B40" t="str">
        <v>DV_Cắt_Vip</v>
      </c>
      <c r="C40" t="str">
        <v>Cắt Gội Combo 5 - Dưỡng sinh</v>
      </c>
      <c r="D40">
        <v>1064</v>
      </c>
      <c r="E40">
        <f>VLOOKUP(A40,'Sheet10'!$A:$C,3,0)</f>
      </c>
      <c r="F40">
        <v>464000</v>
      </c>
      <c r="G40" s="2">
        <v>459000</v>
      </c>
      <c r="H40" t="str">
        <v>Điều chỉnh giá</v>
      </c>
    </row>
    <row r="41">
      <c r="A41" t="str">
        <v>90 NH</v>
      </c>
      <c r="B41" t="str">
        <v>DV_Cắt_Vip</v>
      </c>
      <c r="C41" t="str">
        <v>Combo 4</v>
      </c>
      <c r="D41">
        <v>1048</v>
      </c>
      <c r="E41">
        <f>VLOOKUP(A41,'Sheet10'!$A:$C,3,0)</f>
      </c>
      <c r="F41">
        <v>394000</v>
      </c>
      <c r="G41" s="2">
        <v>389000</v>
      </c>
      <c r="H41" t="str">
        <v>Điều chỉnh giá</v>
      </c>
    </row>
    <row r="42">
      <c r="A42" t="str">
        <v>90 NH</v>
      </c>
      <c r="B42" t="str">
        <v>DV_Cắt_Vip</v>
      </c>
      <c r="C42" t="str">
        <v>Shinecombo 2</v>
      </c>
      <c r="D42">
        <v>1046</v>
      </c>
      <c r="E42">
        <f>VLOOKUP(A42,'Sheet10'!$A:$C,3,0)</f>
      </c>
      <c r="F42">
        <v>204000</v>
      </c>
      <c r="G42" s="2">
        <v>199000</v>
      </c>
      <c r="H42" t="str">
        <v>Điều chỉnh giá</v>
      </c>
    </row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3"/>
    <col collapsed="false" customWidth="true" hidden="false" max="9" min="9" style="0" width="60"/>
    <col collapsed="false" customWidth="true" hidden="false" max="10" min="10" style="0" width="14"/>
    <col collapsed="false" customWidth="true" hidden="true" max="10" min="10" style="0" width="14"/>
    <col collapsed="false" customWidth="true" hidden="false" max="11" min="11" style="0" width="14"/>
    <col collapsed="false" customWidth="true" hidden="true" max="11" min="11" style="0" width="14"/>
  </cols>
  <sheetData>
    <row r="1">
      <c r="A1" s="58" t="str">
        <v>Tên Salon</v>
      </c>
      <c r="B1" s="58" t="str">
        <v>ID Salon</v>
      </c>
      <c r="C1" s="58" t="str">
        <v>CPI</v>
      </c>
      <c r="D1" s="58" t="str">
        <v>CPI Level</v>
      </c>
      <c r="E1" s="58" t="str">
        <v>EPI</v>
      </c>
      <c r="F1" s="58" t="str">
        <v>EPI Level</v>
      </c>
      <c r="G1" s="58" t="str">
        <v>CR thay đổi (%)</v>
      </c>
      <c r="H1" s="58" t="str">
        <v>Nhóm đề xuất</v>
      </c>
      <c r="I1" s="58" t="str">
        <v>Logic / Benchmark cụm</v>
      </c>
    </row>
    <row r="2">
      <c r="A2" s="53" t="str">
        <v>264 LLQ</v>
      </c>
      <c r="B2" s="53">
        <v>192</v>
      </c>
      <c r="C2" s="53">
        <v>0.57</v>
      </c>
      <c r="D2" s="53" t="str">
        <v>Trung</v>
      </c>
      <c r="E2" s="53">
        <v>0.43</v>
      </c>
      <c r="F2" s="53" t="str">
        <v>Trung</v>
      </c>
      <c r="G2" s="53">
        <v>-5.7</v>
      </c>
      <c r="H2" s="53" t="str">
        <v>Back ngay</v>
      </c>
      <c r="I2" s="53" t="str">
        <v>Tăng đồng loạt +18K, vượt xa cụm (168 NVC chỉ +9K). Back về +9K chuẩn cụm 29</v>
      </c>
    </row>
    <row r="3">
      <c r="A3" s="53" t="str">
        <v>7 DTP LA</v>
      </c>
      <c r="B3" s="53">
        <v>199</v>
      </c>
      <c r="C3" s="53">
        <v>0.53</v>
      </c>
      <c r="D3" s="53" t="str">
        <v>Trung</v>
      </c>
      <c r="E3" s="53">
        <v>0.38</v>
      </c>
      <c r="F3" s="53" t="str">
        <v>Thấp</v>
      </c>
      <c r="G3" s="53">
        <v>-10.7</v>
      </c>
      <c r="H3" s="53" t="str">
        <v>Back ngay</v>
      </c>
      <c r="I3" s="53" t="str">
        <v>Salon độc lập Long An, CPI 0.53 Trung + EPI 0.38 Thấp. DV phụ tăng quá cao cho thị trường tỉnh</v>
      </c>
    </row>
    <row r="4">
      <c r="A4" s="53" t="str">
        <v>451 PVT</v>
      </c>
      <c r="B4" s="53">
        <v>52</v>
      </c>
      <c r="C4" s="53">
        <v>0.54</v>
      </c>
      <c r="D4" s="53" t="str">
        <v>Trung</v>
      </c>
      <c r="E4" s="53">
        <v>0.31</v>
      </c>
      <c r="F4" s="53" t="str">
        <v>Thấp</v>
      </c>
      <c r="G4" s="53">
        <v>-5.1</v>
      </c>
      <c r="H4" s="53" t="str">
        <v>Back ngay</v>
      </c>
      <c r="I4" s="53" t="str">
        <v>1371 PVT cùng cụm chỉ tăng 1 DV (6K) → OK. 451 PVT tăng 20 DV TB 25K → quá aggressive</v>
      </c>
    </row>
    <row r="5">
      <c r="A5" s="53" t="str">
        <v>80 TP TH</v>
      </c>
      <c r="B5" s="53">
        <v>232</v>
      </c>
      <c r="C5" s="53">
        <v>0.52</v>
      </c>
      <c r="D5" s="53" t="str">
        <v>Trung</v>
      </c>
      <c r="E5" s="53">
        <v>0.41</v>
      </c>
      <c r="F5" s="53" t="str">
        <v>Thấp</v>
      </c>
      <c r="G5" s="53">
        <v>-14.1</v>
      </c>
      <c r="H5" s="53" t="str">
        <v>Back ngay</v>
      </c>
      <c r="I5" s="53" t="str">
        <v>Thanh Hóa thị trường nhạy giá. DV phụ tăng 14K-68K vượt khả năng chịu giá</v>
      </c>
    </row>
    <row r="6">
      <c r="A6" s="53" t="str">
        <v>708 LTT</v>
      </c>
      <c r="B6" s="53">
        <v>47</v>
      </c>
      <c r="C6" s="53">
        <v>0.56</v>
      </c>
      <c r="D6" s="53" t="str">
        <v>Trung</v>
      </c>
      <c r="E6" s="53">
        <v>0.36</v>
      </c>
      <c r="F6" s="53" t="str">
        <v>Thấp</v>
      </c>
      <c r="G6" s="53">
        <v>-8.8</v>
      </c>
      <c r="H6" s="53" t="str">
        <v>Back ngay</v>
      </c>
      <c r="I6" s="53" t="str">
        <v>32 NAT cùng cụm EPI 0.42 → CR +10%. 708 LTT EPI 0.36 → khách ít sẵn sàng chi</v>
      </c>
    </row>
    <row r="7">
      <c r="A7" s="53" t="str">
        <v>346 KT</v>
      </c>
      <c r="B7" s="53">
        <v>2</v>
      </c>
      <c r="C7" s="53">
        <v>0.66</v>
      </c>
      <c r="D7" s="53" t="str">
        <v>Cao</v>
      </c>
      <c r="E7" s="53">
        <v>0.47</v>
      </c>
      <c r="F7" s="53" t="str">
        <v>Cao</v>
      </c>
      <c r="G7" s="53">
        <v>-6.9</v>
      </c>
      <c r="H7" s="53" t="str">
        <v>Back ngay</v>
      </c>
      <c r="I7" s="53" t="str">
        <v>CPI 0.66 Cao, Cắt Gội C3 CD là DV nhạy nhất</v>
      </c>
    </row>
    <row r="8">
      <c r="A8" s="53" t="str">
        <v>575 AC</v>
      </c>
      <c r="B8" s="53">
        <v>21</v>
      </c>
      <c r="C8" s="53">
        <v>0.64</v>
      </c>
      <c r="D8" s="53" t="str">
        <v>Cao</v>
      </c>
      <c r="E8" s="53">
        <v>0.45</v>
      </c>
      <c r="F8" s="53" t="str">
        <v>Trung</v>
      </c>
      <c r="G8" s="53">
        <v>-12.9</v>
      </c>
      <c r="H8" s="53" t="str">
        <v>Back chọn lọc</v>
      </c>
      <c r="I8" s="53" t="str">
        <v>99 TSN cùng cụm, cùng mức tăng → CR OK. Khác biệt do cơ cấu khách</v>
      </c>
    </row>
    <row r="9">
      <c r="A9" s="53" t="str">
        <v>148 TD</v>
      </c>
      <c r="B9" s="53">
        <v>210</v>
      </c>
      <c r="C9" s="53">
        <v>0.64</v>
      </c>
      <c r="D9" s="53" t="str">
        <v>Cao</v>
      </c>
      <c r="E9" s="53">
        <v>0.36</v>
      </c>
      <c r="F9" s="53" t="str">
        <v>Thấp</v>
      </c>
      <c r="G9" s="53">
        <v>-5.3</v>
      </c>
      <c r="H9" s="53" t="str">
        <v>Back chọn lọc</v>
      </c>
      <c r="I9" s="53" t="str">
        <v>173 TN cùng cụm chỉ tăng 2K → CR -1.4%. 148 TD DV phụ cao hơn</v>
      </c>
    </row>
    <row r="10">
      <c r="A10" s="53" t="str">
        <v>76 PVH</v>
      </c>
      <c r="B10" s="53">
        <v>106</v>
      </c>
      <c r="C10" s="53">
        <v>0.5</v>
      </c>
      <c r="D10" s="53" t="str">
        <v>Trung</v>
      </c>
      <c r="E10" s="53">
        <v>0.37</v>
      </c>
      <c r="F10" s="53" t="str">
        <v>Thấp</v>
      </c>
      <c r="G10" s="53">
        <v>-3.9</v>
      </c>
      <c r="H10" s="53" t="str">
        <v>Back chọn lọc</v>
      </c>
      <c r="I10" s="53" t="str">
        <v>CPI 0.50 thấp nhất cụm 25, nhạy giá hơn 32 NAT (0.56)</v>
      </c>
    </row>
    <row r="11">
      <c r="A11" s="53" t="str">
        <v>11 PKT</v>
      </c>
      <c r="B11" s="53">
        <v>244</v>
      </c>
      <c r="C11" s="53">
        <v>0.45</v>
      </c>
      <c r="D11" s="53" t="str">
        <v>Trung</v>
      </c>
      <c r="E11" s="53">
        <v>0.44</v>
      </c>
      <c r="F11" s="53" t="str">
        <v>Trung</v>
      </c>
      <c r="G11" s="53">
        <v>-27.5</v>
      </c>
      <c r="H11" s="53" t="str">
        <v>Back chọn lọc</v>
      </c>
      <c r="I11" s="53" t="str">
        <v>CPI 0.45 thấp nhất cụm 30. Khách nhạy giá hơn</v>
      </c>
    </row>
    <row r="12">
      <c r="A12" s="53" t="str">
        <v>236 DBT</v>
      </c>
      <c r="B12" s="53">
        <v>141</v>
      </c>
      <c r="C12" s="53">
        <v>0.65</v>
      </c>
      <c r="D12" s="53" t="str">
        <v>Cao</v>
      </c>
      <c r="E12" s="53">
        <v>0.42</v>
      </c>
      <c r="F12" s="53" t="str">
        <v>Trung</v>
      </c>
      <c r="G12" s="53">
        <v>-3.7</v>
      </c>
      <c r="H12" s="53" t="str">
        <v>Theo dõi</v>
      </c>
      <c r="I12" s="53" t="str">
        <v>Mức tăng thấp 3K. Giảm do Gội C2 &amp; SC10 giá không đổi</v>
      </c>
    </row>
    <row r="13">
      <c r="A13" s="53" t="str">
        <v>186 DTH</v>
      </c>
      <c r="B13" s="53">
        <v>182</v>
      </c>
      <c r="C13" s="53">
        <v>0.63</v>
      </c>
      <c r="D13" s="53" t="str">
        <v>Cao</v>
      </c>
      <c r="E13" s="53">
        <v>0.44</v>
      </c>
      <c r="F13" s="53" t="str">
        <v>Trung</v>
      </c>
      <c r="G13" s="53">
        <v>-2.9</v>
      </c>
      <c r="H13" s="53" t="str">
        <v>Theo dõi</v>
      </c>
      <c r="I13" s="53" t="str">
        <v>Mức tăng 1K. Giảm nhẹ, tự phục hồi</v>
      </c>
    </row>
    <row r="14">
      <c r="A14" s="53" t="str">
        <v>10 TP</v>
      </c>
      <c r="B14" s="53">
        <v>143</v>
      </c>
      <c r="C14" s="53">
        <v>0.68</v>
      </c>
      <c r="D14" s="53" t="str">
        <v>Cao</v>
      </c>
      <c r="E14" s="53">
        <v>0.45</v>
      </c>
      <c r="F14" s="53" t="str">
        <v>Trung</v>
      </c>
      <c r="G14" s="53">
        <v>-3.9</v>
      </c>
      <c r="H14" s="53" t="str">
        <v>Theo dõi</v>
      </c>
      <c r="I14" s="53" t="str">
        <v>Mức tăng 1K. Xem xét back Gội C2 nếu tiếp tục giảm</v>
      </c>
    </row>
    <row r="15">
      <c r="A15" s="53" t="str">
        <v>103 TN</v>
      </c>
      <c r="B15" s="53">
        <v>44</v>
      </c>
      <c r="C15" s="53">
        <v>0.56</v>
      </c>
      <c r="D15" s="53" t="str">
        <v>Trung</v>
      </c>
      <c r="E15" s="53">
        <v>0.49</v>
      </c>
      <c r="F15" s="53" t="str">
        <v>Cao</v>
      </c>
      <c r="G15" s="53">
        <v>-1.8</v>
      </c>
      <c r="H15" s="53" t="str">
        <v>Theo dõi</v>
      </c>
      <c r="I15" s="53" t="str">
        <v>Combo 2 FC2 tăng tốt. Cấu trúc OK</v>
      </c>
    </row>
    <row r="16">
      <c r="A16" s="53" t="str">
        <v>173 TN</v>
      </c>
      <c r="B16" s="53">
        <v>250</v>
      </c>
      <c r="C16" s="53">
        <v>0.65</v>
      </c>
      <c r="D16" s="53" t="str">
        <v>Cao</v>
      </c>
      <c r="E16" s="53">
        <v>0.44</v>
      </c>
      <c r="F16" s="53" t="str">
        <v>Trung</v>
      </c>
      <c r="G16" s="53">
        <v>-1.4</v>
      </c>
      <c r="H16" s="53" t="str">
        <v>Theo dõi</v>
      </c>
      <c r="I16" s="53" t="str">
        <v>Giảm do SC10 giảm tự nhiên</v>
      </c>
    </row>
    <row r="17">
      <c r="A17" s="53" t="str">
        <v>68 LN NA</v>
      </c>
      <c r="B17" s="53">
        <v>240</v>
      </c>
      <c r="C17" s="53">
        <v>0.45</v>
      </c>
      <c r="D17" s="53" t="str">
        <v>Trung</v>
      </c>
      <c r="E17" s="53">
        <v>0.39</v>
      </c>
      <c r="F17" s="53" t="str">
        <v>Thấp</v>
      </c>
      <c r="G17" s="53">
        <v>-10.9</v>
      </c>
      <c r="H17" s="53" t="str">
        <v>Back ngay</v>
      </c>
      <c r="I17" s="53" t="str">
        <v>Ghép cụm 10 với 58 NVC NA (cùng Nghệ An). Rule 8: điều chỉnh giá = 58 NVC. DV Cắt -9K so với giá cũ, DV Gội = giá cũ</v>
      </c>
    </row>
    <row r="18"/>
    <row r="19">
      <c r="A19" s="60" t="str">
        <v>Tên Salon</v>
      </c>
      <c r="B19" s="60" t="str">
        <v>ID Salon</v>
      </c>
      <c r="C19" s="60" t="str">
        <v>Tên dịch vụ</v>
      </c>
      <c r="D19" s="60" t="str">
        <v>ID DV</v>
      </c>
      <c r="E19" s="60" t="str">
        <v>Nhóm ngành</v>
      </c>
      <c r="F19" s="60" t="str">
        <v>Giá cũ (trước 14/3)</v>
      </c>
      <c r="G19" s="60" t="str">
        <v>Giá mới từ 14/3</v>
      </c>
      <c r="H19" s="59" t="str">
        <v>Giá điều chỉnh từ 24/3</v>
      </c>
      <c r="I19" s="60" t="str">
        <v>Chênh lệch (đề xuất vs hiện tại)</v>
      </c>
    </row>
    <row r="20">
      <c r="A20" s="53" t="str">
        <v>11 PKT</v>
      </c>
      <c r="B20" s="53">
        <v>244</v>
      </c>
      <c r="C20" s="53" t="str">
        <v>Cắt Gội Combo 3 - Chăm da</v>
      </c>
      <c r="D20" s="53">
        <v>1047</v>
      </c>
      <c r="E20" s="53" t="str">
        <v>DV_Cắt_Vip</v>
      </c>
      <c r="F20" s="54">
        <v>305000</v>
      </c>
      <c r="G20" s="54">
        <v>317000</v>
      </c>
      <c r="H20" s="55">
        <v>309000</v>
      </c>
      <c r="I20" s="56">
        <v>-8000</v>
      </c>
      <c r="J20">
        <f>B20&amp;D20</f>
      </c>
      <c r="K20" s="20">
        <v>309000</v>
      </c>
    </row>
    <row r="21">
      <c r="A21" s="53" t="str">
        <v>11 PKT</v>
      </c>
      <c r="B21" s="53">
        <v>244</v>
      </c>
      <c r="C21" s="53" t="str">
        <v>Gội Combo 3 - Chăm da</v>
      </c>
      <c r="D21" s="53">
        <v>1059</v>
      </c>
      <c r="E21" s="53" t="str">
        <v>DV_Gội</v>
      </c>
      <c r="F21" s="54">
        <v>239000</v>
      </c>
      <c r="G21" s="54">
        <v>249000</v>
      </c>
      <c r="H21" s="55">
        <v>243000</v>
      </c>
      <c r="I21" s="56">
        <v>-6000</v>
      </c>
      <c r="J21">
        <f>B21&amp;D21</f>
      </c>
      <c r="K21" s="20">
        <v>243000</v>
      </c>
    </row>
    <row r="22">
      <c r="A22" s="53" t="str">
        <v>11 PKT</v>
      </c>
      <c r="B22" s="53">
        <v>244</v>
      </c>
      <c r="C22" s="53" t="str">
        <v>Gội Combo 4</v>
      </c>
      <c r="D22" s="53">
        <v>1060</v>
      </c>
      <c r="E22" s="53" t="str">
        <v>DV_Gội</v>
      </c>
      <c r="F22" s="54">
        <v>289000</v>
      </c>
      <c r="G22" s="54">
        <v>302000</v>
      </c>
      <c r="H22" s="55">
        <v>289000</v>
      </c>
      <c r="I22" s="56">
        <v>-13000</v>
      </c>
      <c r="J22">
        <f>B22&amp;D22</f>
      </c>
      <c r="K22" s="20">
        <v>289000</v>
      </c>
    </row>
    <row r="23">
      <c r="A23" s="53" t="str">
        <v>11 PKT</v>
      </c>
      <c r="B23" s="53">
        <v>244</v>
      </c>
      <c r="C23" s="53" t="str">
        <v>Gội dưỡng sinh cổ vai gáy</v>
      </c>
      <c r="D23" s="53">
        <v>867</v>
      </c>
      <c r="E23" s="53" t="str">
        <v>DV_Gội</v>
      </c>
      <c r="F23" s="54">
        <v>99000</v>
      </c>
      <c r="G23" s="54">
        <v>103000</v>
      </c>
      <c r="H23" s="55">
        <v>99000</v>
      </c>
      <c r="I23" s="56">
        <v>-4000</v>
      </c>
      <c r="J23">
        <f>B23&amp;D23</f>
      </c>
      <c r="K23" s="20">
        <v>99000</v>
      </c>
    </row>
    <row r="24">
      <c r="A24" s="53" t="str">
        <v>11 PKT</v>
      </c>
      <c r="B24" s="53">
        <v>244</v>
      </c>
      <c r="C24" s="53" t="str">
        <v>Gội trải nghiệm 75p</v>
      </c>
      <c r="D24" s="53">
        <v>1066</v>
      </c>
      <c r="E24" s="53" t="str">
        <v>DV_Gội</v>
      </c>
      <c r="F24" s="54">
        <v>589000</v>
      </c>
      <c r="G24" s="54">
        <v>613000</v>
      </c>
      <c r="H24" s="55">
        <v>594000</v>
      </c>
      <c r="I24" s="56">
        <v>-19000</v>
      </c>
      <c r="J24">
        <f>B24&amp;D24</f>
      </c>
      <c r="K24" s="20">
        <v>594000</v>
      </c>
    </row>
    <row r="25">
      <c r="A25" s="53" t="str">
        <v>11 PKT</v>
      </c>
      <c r="B25" s="53">
        <v>244</v>
      </c>
      <c r="C25" s="53" t="str">
        <v>Shinecombo 2</v>
      </c>
      <c r="D25" s="53">
        <v>1046</v>
      </c>
      <c r="E25" s="53" t="str">
        <v>DV_Cắt_Vip</v>
      </c>
      <c r="F25" s="54">
        <v>205000</v>
      </c>
      <c r="G25" s="54">
        <v>213000</v>
      </c>
      <c r="H25" s="55">
        <v>209000</v>
      </c>
      <c r="I25" s="56">
        <v>-4000</v>
      </c>
      <c r="J25">
        <f>B25&amp;D25</f>
      </c>
      <c r="K25" s="20">
        <v>209000</v>
      </c>
    </row>
    <row r="26">
      <c r="A26" s="53" t="str">
        <v>11 PKT</v>
      </c>
      <c r="B26" s="53">
        <v>244</v>
      </c>
      <c r="C26" s="53" t="str">
        <v>[NEW] Gội dưỡng sinh</v>
      </c>
      <c r="D26" s="53">
        <v>940</v>
      </c>
      <c r="E26" s="53" t="str">
        <v>DV_Gội</v>
      </c>
      <c r="F26" s="54">
        <v>59000</v>
      </c>
      <c r="G26" s="54">
        <v>61000</v>
      </c>
      <c r="H26" s="55">
        <v>59000</v>
      </c>
      <c r="I26" s="56">
        <v>-2000</v>
      </c>
      <c r="J26">
        <f>B26&amp;D26</f>
      </c>
      <c r="K26" s="20">
        <v>59000</v>
      </c>
    </row>
    <row r="27">
      <c r="A27" s="53" t="str">
        <v>11 PKT</v>
      </c>
      <c r="B27" s="53">
        <v>244</v>
      </c>
      <c r="C27" s="53" t="str">
        <v>[NEW] Gội dưỡng sinh cổ vai gáy và chăm sóc da</v>
      </c>
      <c r="D27" s="53">
        <v>930</v>
      </c>
      <c r="E27" s="53" t="str">
        <v>DV_Gội</v>
      </c>
      <c r="F27" s="54">
        <v>139000</v>
      </c>
      <c r="G27" s="54">
        <v>145000</v>
      </c>
      <c r="H27" s="55">
        <v>139000</v>
      </c>
      <c r="I27" s="56">
        <v>-6000</v>
      </c>
      <c r="J27">
        <f>B27&amp;D27</f>
      </c>
      <c r="K27" s="20">
        <v>139000</v>
      </c>
    </row>
    <row r="28">
      <c r="A28" s="53" t="str">
        <v>148 TD</v>
      </c>
      <c r="B28" s="53">
        <v>210</v>
      </c>
      <c r="C28" s="53" t="str">
        <v>Combo 4</v>
      </c>
      <c r="D28" s="53">
        <v>1048</v>
      </c>
      <c r="E28" s="53" t="str">
        <v>DV_Cắt_Vip</v>
      </c>
      <c r="F28" s="54">
        <v>391000</v>
      </c>
      <c r="G28" s="54">
        <v>407000</v>
      </c>
      <c r="H28" s="55">
        <v>399000</v>
      </c>
      <c r="I28" s="56">
        <v>-8000</v>
      </c>
      <c r="J28">
        <f>B28&amp;D28</f>
      </c>
      <c r="K28" s="20">
        <v>399000</v>
      </c>
    </row>
    <row r="29">
      <c r="A29" s="53" t="str">
        <v>148 TD</v>
      </c>
      <c r="B29" s="53">
        <v>210</v>
      </c>
      <c r="C29" s="53" t="str">
        <v>Gội Combo 2</v>
      </c>
      <c r="D29" s="53">
        <v>1058</v>
      </c>
      <c r="E29" s="53" t="str">
        <v>DV_Gội</v>
      </c>
      <c r="F29" s="54">
        <v>159000</v>
      </c>
      <c r="G29" s="54">
        <v>166000</v>
      </c>
      <c r="H29" s="55">
        <v>162000</v>
      </c>
      <c r="I29" s="56">
        <v>-4000</v>
      </c>
      <c r="J29">
        <f>B29&amp;D29</f>
      </c>
      <c r="K29" s="20">
        <v>162000</v>
      </c>
    </row>
    <row r="30">
      <c r="A30" s="53" t="str">
        <v>148 TD</v>
      </c>
      <c r="B30" s="53">
        <v>210</v>
      </c>
      <c r="C30" s="53" t="str">
        <v>Gội Combo 4</v>
      </c>
      <c r="D30" s="53">
        <v>1060</v>
      </c>
      <c r="E30" s="53" t="str">
        <v>DV_Gội</v>
      </c>
      <c r="F30" s="54">
        <v>289000</v>
      </c>
      <c r="G30" s="54">
        <v>302000</v>
      </c>
      <c r="H30" s="55">
        <v>297000</v>
      </c>
      <c r="I30" s="56">
        <v>-5000</v>
      </c>
      <c r="J30">
        <f>B30&amp;D30</f>
      </c>
      <c r="K30" s="20">
        <v>297000</v>
      </c>
    </row>
    <row r="31">
      <c r="A31" s="53" t="str">
        <v>148 TD</v>
      </c>
      <c r="B31" s="53">
        <v>210</v>
      </c>
      <c r="C31" s="53" t="str">
        <v>Gội trải nghiệm 75p</v>
      </c>
      <c r="D31" s="53">
        <v>1066</v>
      </c>
      <c r="E31" s="53" t="str">
        <v>DV_Gội</v>
      </c>
      <c r="F31" s="54">
        <v>589000</v>
      </c>
      <c r="G31" s="54">
        <v>614000</v>
      </c>
      <c r="H31" s="55">
        <v>597000</v>
      </c>
      <c r="I31" s="56">
        <v>-17000</v>
      </c>
      <c r="J31">
        <f>B31&amp;D31</f>
      </c>
      <c r="K31" s="20">
        <v>597000</v>
      </c>
    </row>
    <row r="32">
      <c r="A32" s="53" t="str">
        <v>264 LLQ</v>
      </c>
      <c r="B32" s="53">
        <v>192</v>
      </c>
      <c r="C32" s="53" t="str">
        <v>Combo 4</v>
      </c>
      <c r="D32" s="53">
        <v>1048</v>
      </c>
      <c r="E32" s="53" t="str">
        <v>DV_Cắt_Vip</v>
      </c>
      <c r="F32" s="54">
        <v>389000</v>
      </c>
      <c r="G32" s="54">
        <v>407000</v>
      </c>
      <c r="H32" s="55">
        <v>398000</v>
      </c>
      <c r="I32" s="56">
        <v>-9000</v>
      </c>
      <c r="J32">
        <f>B32&amp;D32</f>
      </c>
      <c r="K32" s="20">
        <v>398000</v>
      </c>
    </row>
    <row r="33">
      <c r="A33" s="53" t="str">
        <v>264 LLQ</v>
      </c>
      <c r="B33" s="53">
        <v>192</v>
      </c>
      <c r="C33" s="53" t="str">
        <v>Combo Cắt gội Kid</v>
      </c>
      <c r="D33" s="53">
        <v>1070</v>
      </c>
      <c r="E33" s="53" t="str">
        <v>DV_Cắt</v>
      </c>
      <c r="F33" s="54">
        <v>100000</v>
      </c>
      <c r="G33" s="54">
        <v>118000</v>
      </c>
      <c r="H33" s="55">
        <v>109000</v>
      </c>
      <c r="I33" s="56">
        <v>-9000</v>
      </c>
      <c r="J33">
        <f>B33&amp;D33</f>
      </c>
      <c r="K33" s="20">
        <v>109000</v>
      </c>
    </row>
    <row r="34">
      <c r="A34" s="53" t="str">
        <v>264 LLQ</v>
      </c>
      <c r="B34" s="53">
        <v>192</v>
      </c>
      <c r="C34" s="53" t="str">
        <v>Cắt Gội Combo 3 - Chăm da</v>
      </c>
      <c r="D34" s="53">
        <v>1047</v>
      </c>
      <c r="E34" s="53" t="str">
        <v>DV_Cắt_Vip</v>
      </c>
      <c r="F34" s="54">
        <v>299000</v>
      </c>
      <c r="G34" s="54">
        <v>317000</v>
      </c>
      <c r="H34" s="55">
        <v>308000</v>
      </c>
      <c r="I34" s="56">
        <v>-9000</v>
      </c>
      <c r="J34">
        <f>B34&amp;D34</f>
      </c>
      <c r="K34" s="20">
        <v>308000</v>
      </c>
    </row>
    <row r="35">
      <c r="A35" s="53" t="str">
        <v>264 LLQ</v>
      </c>
      <c r="B35" s="53">
        <v>192</v>
      </c>
      <c r="C35" s="53" t="str">
        <v>Cắt Gội Combo 5 - Dưỡng sinh</v>
      </c>
      <c r="D35" s="53">
        <v>1064</v>
      </c>
      <c r="E35" s="53" t="str">
        <v>DV_Cắt_Vip</v>
      </c>
      <c r="F35" s="54">
        <v>459000</v>
      </c>
      <c r="G35" s="54">
        <v>477000</v>
      </c>
      <c r="H35" s="55">
        <v>468000</v>
      </c>
      <c r="I35" s="56">
        <v>-9000</v>
      </c>
      <c r="J35">
        <f>B35&amp;D35</f>
      </c>
      <c r="K35" s="20">
        <v>468000</v>
      </c>
    </row>
    <row r="36">
      <c r="A36" s="53" t="str">
        <v>264 LLQ</v>
      </c>
      <c r="B36" s="53">
        <v>192</v>
      </c>
      <c r="C36" s="53" t="str">
        <v>Cắt xả tạo kiểu</v>
      </c>
      <c r="D36" s="53">
        <v>891</v>
      </c>
      <c r="E36" s="53" t="str">
        <v>DV_Cắt</v>
      </c>
      <c r="F36" s="54">
        <v>94000</v>
      </c>
      <c r="G36" s="54">
        <v>112000</v>
      </c>
      <c r="H36" s="55">
        <v>103000</v>
      </c>
      <c r="I36" s="56">
        <v>-9000</v>
      </c>
      <c r="J36">
        <f>B36&amp;D36</f>
      </c>
      <c r="K36" s="20">
        <v>103000</v>
      </c>
    </row>
    <row r="37">
      <c r="A37" s="53" t="str">
        <v>264 LLQ</v>
      </c>
      <c r="B37" s="53">
        <v>192</v>
      </c>
      <c r="C37" s="53" t="str">
        <v>Gội Combo 2</v>
      </c>
      <c r="D37" s="53">
        <v>1058</v>
      </c>
      <c r="E37" s="53" t="str">
        <v>DV_Gội</v>
      </c>
      <c r="F37" s="54">
        <v>159000</v>
      </c>
      <c r="G37" s="54">
        <v>177000</v>
      </c>
      <c r="H37" s="55">
        <v>168000</v>
      </c>
      <c r="I37" s="56">
        <v>-9000</v>
      </c>
      <c r="J37">
        <f>B37&amp;D37</f>
      </c>
      <c r="K37" s="20">
        <v>168000</v>
      </c>
    </row>
    <row r="38">
      <c r="A38" s="53" t="str">
        <v>264 LLQ</v>
      </c>
      <c r="B38" s="53">
        <v>192</v>
      </c>
      <c r="C38" s="53" t="str">
        <v>Gội Combo 3 - Chăm da</v>
      </c>
      <c r="D38" s="53">
        <v>1059</v>
      </c>
      <c r="E38" s="53" t="str">
        <v>DV_Gội</v>
      </c>
      <c r="F38" s="54">
        <v>239000</v>
      </c>
      <c r="G38" s="54">
        <v>257000</v>
      </c>
      <c r="H38" s="55">
        <v>248000</v>
      </c>
      <c r="I38" s="56">
        <v>-9000</v>
      </c>
      <c r="J38">
        <f>B38&amp;D38</f>
      </c>
      <c r="K38" s="20">
        <v>248000</v>
      </c>
    </row>
    <row r="39">
      <c r="A39" s="53" t="str">
        <v>264 LLQ</v>
      </c>
      <c r="B39" s="53">
        <v>192</v>
      </c>
      <c r="C39" s="53" t="str">
        <v>Gội Combo 4</v>
      </c>
      <c r="D39" s="53">
        <v>1060</v>
      </c>
      <c r="E39" s="53" t="str">
        <v>DV_Gội</v>
      </c>
      <c r="F39" s="54">
        <v>319000</v>
      </c>
      <c r="G39" s="54">
        <v>337000</v>
      </c>
      <c r="H39" s="55">
        <v>318000</v>
      </c>
      <c r="I39" s="56">
        <v>-9000</v>
      </c>
      <c r="J39">
        <f>B39&amp;D39</f>
      </c>
      <c r="K39" s="20">
        <v>328000</v>
      </c>
    </row>
    <row r="40">
      <c r="A40" s="53" t="str">
        <v>264 LLQ</v>
      </c>
      <c r="B40" s="53">
        <v>192</v>
      </c>
      <c r="C40" s="53" t="str">
        <v>Gội combo 3 - Dưỡng sinh</v>
      </c>
      <c r="D40" s="53">
        <v>934</v>
      </c>
      <c r="E40" s="53" t="str">
        <v>DV_Gội</v>
      </c>
      <c r="F40" s="54">
        <v>229000</v>
      </c>
      <c r="G40" s="54">
        <v>247000</v>
      </c>
      <c r="H40" s="55">
        <v>238000</v>
      </c>
      <c r="I40" s="56">
        <v>-9000</v>
      </c>
      <c r="J40">
        <f>B40&amp;D40</f>
      </c>
      <c r="K40" s="20">
        <v>238000</v>
      </c>
    </row>
    <row r="41">
      <c r="A41" s="53" t="str">
        <v>264 LLQ</v>
      </c>
      <c r="B41" s="53">
        <v>192</v>
      </c>
      <c r="C41" s="53" t="str">
        <v>Gội dưỡng sinh cổ vai gáy</v>
      </c>
      <c r="D41" s="53">
        <v>867</v>
      </c>
      <c r="E41" s="53" t="str">
        <v>DV_Gội</v>
      </c>
      <c r="F41" s="54">
        <v>99000</v>
      </c>
      <c r="G41" s="54">
        <v>117000</v>
      </c>
      <c r="H41" s="55">
        <v>108000</v>
      </c>
      <c r="I41" s="56">
        <v>-9000</v>
      </c>
      <c r="J41">
        <f>B41&amp;D41</f>
      </c>
      <c r="K41" s="20">
        <v>108000</v>
      </c>
    </row>
    <row r="42">
      <c r="A42" s="53" t="str">
        <v>264 LLQ</v>
      </c>
      <c r="B42" s="53">
        <v>192</v>
      </c>
      <c r="C42" s="53" t="str">
        <v>Gội trải nghiệm 115p</v>
      </c>
      <c r="D42" s="53">
        <v>1068</v>
      </c>
      <c r="E42" s="53" t="str">
        <v>DV_Gội</v>
      </c>
      <c r="F42" s="54">
        <v>999000</v>
      </c>
      <c r="G42" s="54">
        <v>1017000</v>
      </c>
      <c r="H42" s="55">
        <v>1008000</v>
      </c>
      <c r="I42" s="56">
        <v>-9000</v>
      </c>
      <c r="J42">
        <f>B42&amp;D42</f>
      </c>
      <c r="K42" s="20">
        <v>1008000</v>
      </c>
    </row>
    <row r="43">
      <c r="A43" s="53" t="str">
        <v>264 LLQ</v>
      </c>
      <c r="B43" s="53">
        <v>192</v>
      </c>
      <c r="C43" s="53" t="str">
        <v>Gội trải nghiệm 140p</v>
      </c>
      <c r="D43" s="53">
        <v>1069</v>
      </c>
      <c r="E43" s="53" t="str">
        <v>DV_Gội</v>
      </c>
      <c r="F43" s="54">
        <v>1199000</v>
      </c>
      <c r="G43" s="54">
        <v>1217000</v>
      </c>
      <c r="H43" s="55">
        <v>1208000</v>
      </c>
      <c r="I43" s="56">
        <v>-9000</v>
      </c>
      <c r="J43">
        <f>B43&amp;D43</f>
      </c>
      <c r="K43" s="20">
        <v>1208000</v>
      </c>
    </row>
    <row r="44">
      <c r="A44" s="53" t="str">
        <v>264 LLQ</v>
      </c>
      <c r="B44" s="53">
        <v>192</v>
      </c>
      <c r="C44" s="53" t="str">
        <v>Gội trải nghiệm 75p</v>
      </c>
      <c r="D44" s="53">
        <v>1066</v>
      </c>
      <c r="E44" s="53" t="str">
        <v>DV_Gội</v>
      </c>
      <c r="F44" s="54">
        <v>589000</v>
      </c>
      <c r="G44" s="54">
        <v>607000</v>
      </c>
      <c r="H44" s="55">
        <v>598000</v>
      </c>
      <c r="I44" s="56">
        <v>-9000</v>
      </c>
      <c r="J44">
        <f>B44&amp;D44</f>
      </c>
      <c r="K44" s="20">
        <v>598000</v>
      </c>
    </row>
    <row r="45">
      <c r="A45" s="53" t="str">
        <v>264 LLQ</v>
      </c>
      <c r="B45" s="53">
        <v>192</v>
      </c>
      <c r="C45" s="53" t="str">
        <v>Gội trải nghiệm 90p</v>
      </c>
      <c r="D45" s="53">
        <v>1067</v>
      </c>
      <c r="E45" s="53" t="str">
        <v>DV_Gội</v>
      </c>
      <c r="F45" s="54">
        <v>789000</v>
      </c>
      <c r="G45" s="54">
        <v>807000</v>
      </c>
      <c r="H45" s="55">
        <v>798000</v>
      </c>
      <c r="I45" s="56">
        <v>-9000</v>
      </c>
      <c r="J45">
        <f>B45&amp;D45</f>
      </c>
      <c r="K45" s="20">
        <v>798000</v>
      </c>
    </row>
    <row r="46">
      <c r="A46" s="53" t="str">
        <v>264 LLQ</v>
      </c>
      <c r="B46" s="53">
        <v>192</v>
      </c>
      <c r="C46" s="53" t="str">
        <v>Kid Cắt</v>
      </c>
      <c r="D46" s="53">
        <v>1002</v>
      </c>
      <c r="E46" s="53" t="str">
        <v>DV_Cắt</v>
      </c>
      <c r="F46" s="54">
        <v>75000</v>
      </c>
      <c r="G46" s="54">
        <v>93000</v>
      </c>
      <c r="H46" s="55">
        <v>84000</v>
      </c>
      <c r="I46" s="56">
        <v>-9000</v>
      </c>
      <c r="J46">
        <f>B46&amp;D46</f>
      </c>
      <c r="K46" s="20">
        <v>84000</v>
      </c>
    </row>
    <row r="47">
      <c r="A47" s="53" t="str">
        <v>264 LLQ</v>
      </c>
      <c r="B47" s="53">
        <v>192</v>
      </c>
      <c r="C47" s="53" t="str">
        <v>Shinecombo 2</v>
      </c>
      <c r="D47" s="53">
        <v>1046</v>
      </c>
      <c r="E47" s="53" t="str">
        <v>DV_Cắt_Vip</v>
      </c>
      <c r="F47" s="54">
        <v>199000</v>
      </c>
      <c r="G47" s="54">
        <v>217000</v>
      </c>
      <c r="H47" s="55">
        <v>208000</v>
      </c>
      <c r="I47" s="56">
        <v>-9000</v>
      </c>
      <c r="J47">
        <f>B47&amp;D47</f>
      </c>
      <c r="K47" s="20">
        <v>208000</v>
      </c>
    </row>
    <row r="48">
      <c r="A48" s="53" t="str">
        <v>264 LLQ</v>
      </c>
      <c r="B48" s="53">
        <v>192</v>
      </c>
      <c r="C48" s="53" t="str">
        <v>[NEW] Gội dưỡng sinh</v>
      </c>
      <c r="D48" s="53">
        <v>940</v>
      </c>
      <c r="E48" s="53" t="str">
        <v>DV_Gội</v>
      </c>
      <c r="F48" s="54">
        <v>59000</v>
      </c>
      <c r="G48" s="54">
        <v>77000</v>
      </c>
      <c r="H48" s="55">
        <v>68000</v>
      </c>
      <c r="I48" s="56">
        <v>-9000</v>
      </c>
      <c r="J48">
        <f>B48&amp;D48</f>
      </c>
      <c r="K48" s="20">
        <v>68000</v>
      </c>
    </row>
    <row r="49">
      <c r="A49" s="53" t="str">
        <v>264 LLQ</v>
      </c>
      <c r="B49" s="53">
        <v>192</v>
      </c>
      <c r="C49" s="53" t="str">
        <v>[NEW] Gội dưỡng sinh cổ vai gáy và chăm sóc da</v>
      </c>
      <c r="D49" s="53">
        <v>930</v>
      </c>
      <c r="E49" s="53" t="str">
        <v>DV_Gội</v>
      </c>
      <c r="F49" s="54">
        <v>139000</v>
      </c>
      <c r="G49" s="54">
        <v>157000</v>
      </c>
      <c r="H49" s="55">
        <v>148000</v>
      </c>
      <c r="I49" s="56">
        <v>-9000</v>
      </c>
      <c r="J49">
        <f>B49&amp;D49</f>
      </c>
      <c r="K49" s="20">
        <v>148000</v>
      </c>
    </row>
    <row r="50">
      <c r="A50" s="53" t="str">
        <v>346 KT</v>
      </c>
      <c r="B50" s="53">
        <v>2</v>
      </c>
      <c r="C50" s="53" t="str">
        <v>Cắt Gội Combo 3 - Chăm da</v>
      </c>
      <c r="D50" s="53">
        <v>1047</v>
      </c>
      <c r="E50" s="53" t="str">
        <v>DV_Cắt_Vip</v>
      </c>
      <c r="F50" s="54">
        <v>305000</v>
      </c>
      <c r="G50" s="54">
        <v>308000</v>
      </c>
      <c r="H50" s="55">
        <v>305000</v>
      </c>
      <c r="I50" s="56">
        <v>-3000</v>
      </c>
      <c r="J50">
        <f>B50&amp;D50</f>
      </c>
      <c r="K50" s="20">
        <v>305000</v>
      </c>
    </row>
    <row r="51">
      <c r="A51" s="40" t="str">
        <v>68 LN NA</v>
      </c>
      <c r="B51" s="40">
        <v>240</v>
      </c>
      <c r="C51" s="40" t="str">
        <v>Combo 4</v>
      </c>
      <c r="D51" s="40">
        <v>1048</v>
      </c>
      <c r="E51" s="40" t="str">
        <v>DV_Cắt_Vip</v>
      </c>
      <c r="F51" s="40">
        <v>398000</v>
      </c>
      <c r="G51" s="40">
        <v>410000</v>
      </c>
      <c r="H51" s="57">
        <v>389000</v>
      </c>
      <c r="I51" s="56">
        <v>-21000</v>
      </c>
      <c r="J51">
        <f>B51&amp;D51</f>
      </c>
      <c r="K51" s="20">
        <v>389000</v>
      </c>
    </row>
    <row r="52">
      <c r="A52" s="40" t="str">
        <v>68 LN NA</v>
      </c>
      <c r="B52" s="40">
        <v>240</v>
      </c>
      <c r="C52" s="40" t="str">
        <v>Combo Cắt gội Kid</v>
      </c>
      <c r="D52" s="40">
        <v>1070</v>
      </c>
      <c r="E52" s="40" t="str">
        <v>DV_Cắt</v>
      </c>
      <c r="F52" s="40">
        <v>100000</v>
      </c>
      <c r="G52" s="40">
        <v>103000</v>
      </c>
      <c r="H52" s="57">
        <v>100000</v>
      </c>
      <c r="I52" s="56">
        <v>-3000</v>
      </c>
      <c r="J52">
        <f>B52&amp;D52</f>
      </c>
      <c r="K52" s="20">
        <v>100000</v>
      </c>
    </row>
    <row r="53">
      <c r="A53" s="40" t="str">
        <v>68 LN NA</v>
      </c>
      <c r="B53" s="40">
        <v>240</v>
      </c>
      <c r="C53" s="40" t="str">
        <v>Cắt Gội Combo 3 - Chăm da</v>
      </c>
      <c r="D53" s="40">
        <v>1047</v>
      </c>
      <c r="E53" s="40" t="str">
        <v>DV_Cắt_Vip</v>
      </c>
      <c r="F53" s="40">
        <v>308000</v>
      </c>
      <c r="G53" s="40">
        <v>317000</v>
      </c>
      <c r="H53" s="57">
        <v>299000</v>
      </c>
      <c r="I53" s="56">
        <v>-18000</v>
      </c>
      <c r="J53">
        <f>B53&amp;D53</f>
      </c>
      <c r="K53" s="20">
        <v>299000</v>
      </c>
    </row>
    <row r="54">
      <c r="A54" s="40" t="str">
        <v>68 LN NA</v>
      </c>
      <c r="B54" s="40">
        <v>240</v>
      </c>
      <c r="C54" s="40" t="str">
        <v>Cắt Gội Combo 3 - Dưỡng sinh</v>
      </c>
      <c r="D54" s="40">
        <v>1065</v>
      </c>
      <c r="E54" s="40" t="str">
        <v>DV_Cắt_Vip</v>
      </c>
      <c r="F54" s="40">
        <v>308000</v>
      </c>
      <c r="G54" s="40">
        <v>317000</v>
      </c>
      <c r="H54" s="57">
        <v>299000</v>
      </c>
      <c r="I54" s="56">
        <v>-18000</v>
      </c>
      <c r="J54">
        <f>B54&amp;D54</f>
      </c>
      <c r="K54" s="20">
        <v>299000</v>
      </c>
    </row>
    <row r="55">
      <c r="A55" s="40" t="str">
        <v>68 LN NA</v>
      </c>
      <c r="B55" s="40">
        <v>240</v>
      </c>
      <c r="C55" s="40" t="str">
        <v>Cắt Gội Combo 5 - Dưỡng sinh</v>
      </c>
      <c r="D55" s="40">
        <v>1064</v>
      </c>
      <c r="E55" s="40" t="str">
        <v>DV_Cắt_Vip</v>
      </c>
      <c r="F55" s="40">
        <v>459000</v>
      </c>
      <c r="G55" s="40">
        <v>472000</v>
      </c>
      <c r="H55" s="57">
        <v>459000</v>
      </c>
      <c r="I55" s="56">
        <v>-13000</v>
      </c>
      <c r="J55">
        <f>B55&amp;D55</f>
      </c>
      <c r="K55" s="20">
        <v>459000</v>
      </c>
    </row>
    <row r="56">
      <c r="A56" s="40" t="str">
        <v>68 LN NA</v>
      </c>
      <c r="B56" s="40">
        <v>240</v>
      </c>
      <c r="C56" s="40" t="str">
        <v>Cắt xả tạo kiểu</v>
      </c>
      <c r="D56" s="40">
        <v>891</v>
      </c>
      <c r="E56" s="40" t="str">
        <v>DV_Cắt</v>
      </c>
      <c r="F56" s="40">
        <v>103000</v>
      </c>
      <c r="G56" s="40">
        <v>106000</v>
      </c>
      <c r="H56" s="57">
        <v>94000</v>
      </c>
      <c r="I56" s="56">
        <v>-12000</v>
      </c>
      <c r="J56">
        <f>B56&amp;D56</f>
      </c>
      <c r="K56" s="20">
        <v>94000</v>
      </c>
    </row>
    <row r="57">
      <c r="A57" s="40" t="str">
        <v>68 LN NA</v>
      </c>
      <c r="B57" s="40">
        <v>240</v>
      </c>
      <c r="C57" s="40" t="str">
        <v>Gội Combo 2</v>
      </c>
      <c r="D57" s="40">
        <v>1058</v>
      </c>
      <c r="E57" s="40" t="str">
        <v>DV_Gội</v>
      </c>
      <c r="F57" s="40">
        <v>159000</v>
      </c>
      <c r="G57" s="40">
        <v>164000</v>
      </c>
      <c r="H57" s="57">
        <v>159000</v>
      </c>
      <c r="I57" s="56">
        <v>-5000</v>
      </c>
      <c r="J57">
        <f>B57&amp;D57</f>
      </c>
      <c r="K57" s="20">
        <v>159000</v>
      </c>
    </row>
    <row r="58">
      <c r="A58" s="40" t="str">
        <v>68 LN NA</v>
      </c>
      <c r="B58" s="40">
        <v>240</v>
      </c>
      <c r="C58" s="40" t="str">
        <v>Gội Combo 3 - Chăm da</v>
      </c>
      <c r="D58" s="40">
        <v>1059</v>
      </c>
      <c r="E58" s="40" t="str">
        <v>DV_Gội</v>
      </c>
      <c r="F58" s="40">
        <v>219000</v>
      </c>
      <c r="G58" s="40">
        <v>225000</v>
      </c>
      <c r="H58" s="57">
        <v>219000</v>
      </c>
      <c r="I58" s="56">
        <v>-6000</v>
      </c>
      <c r="J58">
        <f>B58&amp;D58</f>
      </c>
      <c r="K58" s="20">
        <v>219000</v>
      </c>
    </row>
    <row r="59">
      <c r="A59" s="40" t="str">
        <v>68 LN NA</v>
      </c>
      <c r="B59" s="40">
        <v>240</v>
      </c>
      <c r="C59" s="40" t="str">
        <v>Gội Combo 4</v>
      </c>
      <c r="D59" s="40">
        <v>1060</v>
      </c>
      <c r="E59" s="40" t="str">
        <v>DV_Gội</v>
      </c>
      <c r="F59" s="40">
        <v>289000</v>
      </c>
      <c r="G59" s="40">
        <v>297000</v>
      </c>
      <c r="H59" s="57">
        <v>289000</v>
      </c>
      <c r="I59" s="56">
        <v>-8000</v>
      </c>
      <c r="J59">
        <f>B59&amp;D59</f>
      </c>
      <c r="K59" s="20">
        <v>289000</v>
      </c>
    </row>
    <row r="60">
      <c r="A60" s="40" t="str">
        <v>68 LN NA</v>
      </c>
      <c r="B60" s="40">
        <v>240</v>
      </c>
      <c r="C60" s="40" t="str">
        <v>Gội combo 3 - Dưỡng sinh</v>
      </c>
      <c r="D60" s="40">
        <v>934</v>
      </c>
      <c r="E60" s="40" t="str">
        <v>DV_Gội</v>
      </c>
      <c r="F60" s="40">
        <v>229000</v>
      </c>
      <c r="G60" s="40">
        <v>236000</v>
      </c>
      <c r="H60" s="57">
        <v>229000</v>
      </c>
      <c r="I60" s="56">
        <v>-7000</v>
      </c>
      <c r="J60">
        <f>B60&amp;D60</f>
      </c>
      <c r="K60" s="20">
        <v>229000</v>
      </c>
    </row>
    <row r="61">
      <c r="A61" s="40" t="str">
        <v>68 LN NA</v>
      </c>
      <c r="B61" s="40">
        <v>240</v>
      </c>
      <c r="C61" s="40" t="str">
        <v>Gội dưỡng sinh cổ vai gáy</v>
      </c>
      <c r="D61" s="40">
        <v>867</v>
      </c>
      <c r="E61" s="40" t="str">
        <v>DV_Gội</v>
      </c>
      <c r="F61" s="40">
        <v>99000</v>
      </c>
      <c r="G61" s="40">
        <v>102000</v>
      </c>
      <c r="H61" s="57">
        <v>99000</v>
      </c>
      <c r="I61" s="56">
        <v>-3000</v>
      </c>
      <c r="J61">
        <f>B61&amp;D61</f>
      </c>
      <c r="K61" s="20">
        <v>99000</v>
      </c>
    </row>
    <row r="62">
      <c r="A62" s="40" t="str">
        <v>68 LN NA</v>
      </c>
      <c r="B62" s="40">
        <v>240</v>
      </c>
      <c r="C62" s="40" t="str">
        <v>Gội trải nghiệm 115p</v>
      </c>
      <c r="D62" s="40">
        <v>1068</v>
      </c>
      <c r="E62" s="40" t="str">
        <v>DV_Gội</v>
      </c>
      <c r="F62" s="40">
        <v>999000</v>
      </c>
      <c r="G62" s="40">
        <v>1028000</v>
      </c>
      <c r="H62" s="57">
        <v>999000</v>
      </c>
      <c r="I62" s="56">
        <v>-29000</v>
      </c>
      <c r="J62">
        <f>B62&amp;D62</f>
      </c>
      <c r="K62" s="20">
        <v>999000</v>
      </c>
    </row>
    <row r="63">
      <c r="A63" s="40" t="str">
        <v>68 LN NA</v>
      </c>
      <c r="B63" s="40">
        <v>240</v>
      </c>
      <c r="C63" s="40" t="str">
        <v>Gội trải nghiệm 75p</v>
      </c>
      <c r="D63" s="40">
        <v>1066</v>
      </c>
      <c r="E63" s="40" t="str">
        <v>DV_Gội</v>
      </c>
      <c r="F63" s="40">
        <v>589000</v>
      </c>
      <c r="G63" s="40">
        <v>606000</v>
      </c>
      <c r="H63" s="57">
        <v>589000</v>
      </c>
      <c r="I63" s="56">
        <v>-17000</v>
      </c>
      <c r="J63">
        <f>B63&amp;D63</f>
      </c>
      <c r="K63" s="20">
        <v>589000</v>
      </c>
    </row>
    <row r="64">
      <c r="A64" s="40" t="str">
        <v>68 LN NA</v>
      </c>
      <c r="B64" s="40">
        <v>240</v>
      </c>
      <c r="C64" s="40" t="str">
        <v>Gội trải nghiệm 90p</v>
      </c>
      <c r="D64" s="40">
        <v>1067</v>
      </c>
      <c r="E64" s="40" t="str">
        <v>DV_Gội</v>
      </c>
      <c r="F64" s="40">
        <v>789000</v>
      </c>
      <c r="G64" s="40">
        <v>812000</v>
      </c>
      <c r="H64" s="57">
        <v>789000</v>
      </c>
      <c r="I64" s="56">
        <v>-23000</v>
      </c>
      <c r="J64">
        <f>B64&amp;D64</f>
      </c>
      <c r="K64" s="20">
        <v>789000</v>
      </c>
    </row>
    <row r="65">
      <c r="A65" s="40" t="str">
        <v>68 LN NA</v>
      </c>
      <c r="B65" s="40">
        <v>240</v>
      </c>
      <c r="C65" s="40" t="str">
        <v>Kid Cắt</v>
      </c>
      <c r="D65" s="40">
        <v>1002</v>
      </c>
      <c r="E65" s="40" t="str">
        <v>DV_Cắt</v>
      </c>
      <c r="F65" s="40">
        <v>84000</v>
      </c>
      <c r="G65" s="40">
        <v>86000</v>
      </c>
      <c r="H65" s="57">
        <v>75000</v>
      </c>
      <c r="I65" s="56">
        <v>-11000</v>
      </c>
      <c r="J65">
        <f>B65&amp;D65</f>
      </c>
      <c r="K65" s="20">
        <v>75000</v>
      </c>
    </row>
    <row r="66">
      <c r="A66" s="40" t="str">
        <v>68 LN NA</v>
      </c>
      <c r="B66" s="40">
        <v>240</v>
      </c>
      <c r="C66" s="40" t="str">
        <v>Shinecombo 2</v>
      </c>
      <c r="D66" s="40">
        <v>1046</v>
      </c>
      <c r="E66" s="40" t="str">
        <v>DV_Cắt_Vip</v>
      </c>
      <c r="F66" s="40">
        <v>208000</v>
      </c>
      <c r="G66" s="40">
        <v>214000</v>
      </c>
      <c r="H66" s="57">
        <v>199000</v>
      </c>
      <c r="I66" s="56">
        <v>-15000</v>
      </c>
      <c r="J66">
        <f>B66&amp;D66</f>
      </c>
      <c r="K66" s="20">
        <v>199000</v>
      </c>
    </row>
    <row r="67">
      <c r="A67" s="40" t="str">
        <v>68 LN NA</v>
      </c>
      <c r="B67" s="40">
        <v>240</v>
      </c>
      <c r="C67" s="40" t="str">
        <v>VH Cắt gội dưỡng sinh Vip</v>
      </c>
      <c r="D67" s="40">
        <v>1255</v>
      </c>
      <c r="E67" s="40" t="str">
        <v>DV_Cắt</v>
      </c>
      <c r="F67" s="40">
        <v>258000</v>
      </c>
      <c r="G67" s="40">
        <v>266000</v>
      </c>
      <c r="H67" s="57">
        <v>249000</v>
      </c>
      <c r="I67" s="56">
        <v>-17000</v>
      </c>
      <c r="J67">
        <f>B67&amp;D67</f>
      </c>
      <c r="K67" s="20">
        <v>249000</v>
      </c>
    </row>
    <row r="68">
      <c r="A68" s="40" t="str">
        <v>68 LN NA</v>
      </c>
      <c r="B68" s="40">
        <v>240</v>
      </c>
      <c r="C68" s="40" t="str">
        <v>[NEW] Gội dưỡng sinh</v>
      </c>
      <c r="D68" s="40">
        <v>940</v>
      </c>
      <c r="E68" s="40" t="str">
        <v>DV_Gội</v>
      </c>
      <c r="F68" s="40">
        <v>59000</v>
      </c>
      <c r="G68" s="40">
        <v>61000</v>
      </c>
      <c r="H68" s="57">
        <v>59000</v>
      </c>
      <c r="I68" s="56">
        <v>-2000</v>
      </c>
      <c r="J68">
        <f>B68&amp;D68</f>
      </c>
      <c r="K68" s="20">
        <v>59000</v>
      </c>
    </row>
    <row r="69">
      <c r="A69" s="40" t="str">
        <v>68 LN NA</v>
      </c>
      <c r="B69" s="40">
        <v>240</v>
      </c>
      <c r="C69" s="40" t="str">
        <v>[NEW] Gội dưỡng sinh cổ vai gáy và chăm sóc da</v>
      </c>
      <c r="D69" s="40">
        <v>930</v>
      </c>
      <c r="E69" s="40" t="str">
        <v>DV_Gội</v>
      </c>
      <c r="F69" s="40">
        <v>139000</v>
      </c>
      <c r="G69" s="40">
        <v>143000</v>
      </c>
      <c r="H69" s="57">
        <v>139000</v>
      </c>
      <c r="I69" s="56">
        <v>-4000</v>
      </c>
      <c r="J69">
        <f>B69&amp;D69</f>
      </c>
      <c r="K69" s="20">
        <v>139000</v>
      </c>
    </row>
    <row r="70">
      <c r="A70" s="53" t="str">
        <v>575 AC</v>
      </c>
      <c r="B70" s="53">
        <v>21</v>
      </c>
      <c r="C70" s="53" t="str">
        <v>Cắt Gội Combo 3 - Dưỡng sinh</v>
      </c>
      <c r="D70" s="53">
        <v>1065</v>
      </c>
      <c r="E70" s="53" t="str">
        <v>DV_Cắt_Vip</v>
      </c>
      <c r="F70" s="54">
        <v>305000</v>
      </c>
      <c r="G70" s="54">
        <v>317000</v>
      </c>
      <c r="H70" s="55">
        <v>310000</v>
      </c>
      <c r="I70" s="56">
        <v>-7000</v>
      </c>
      <c r="J70">
        <f>B70&amp;D70</f>
      </c>
      <c r="K70" s="20">
        <v>310000</v>
      </c>
    </row>
    <row r="71">
      <c r="A71" s="53" t="str">
        <v>575 AC</v>
      </c>
      <c r="B71" s="53">
        <v>21</v>
      </c>
      <c r="C71" s="53" t="str">
        <v>Cắt Gội Combo 5 - Dưỡng sinh</v>
      </c>
      <c r="D71" s="53">
        <v>1064</v>
      </c>
      <c r="E71" s="53" t="str">
        <v>DV_Cắt_Vip</v>
      </c>
      <c r="F71" s="54">
        <v>465000</v>
      </c>
      <c r="G71" s="54">
        <v>484000</v>
      </c>
      <c r="H71" s="55">
        <v>473000</v>
      </c>
      <c r="I71" s="56">
        <v>-11000</v>
      </c>
      <c r="J71">
        <f>B71&amp;D71</f>
      </c>
      <c r="K71" s="20">
        <v>473000</v>
      </c>
    </row>
    <row r="72">
      <c r="A72" s="53" t="str">
        <v>575 AC</v>
      </c>
      <c r="B72" s="53">
        <v>21</v>
      </c>
      <c r="C72" s="53" t="str">
        <v>Gội Combo 4</v>
      </c>
      <c r="D72" s="53">
        <v>1060</v>
      </c>
      <c r="E72" s="53" t="str">
        <v>DV_Gội</v>
      </c>
      <c r="F72" s="54">
        <v>289000</v>
      </c>
      <c r="G72" s="54">
        <v>302000</v>
      </c>
      <c r="H72" s="55">
        <v>294000</v>
      </c>
      <c r="I72" s="56">
        <v>-8000</v>
      </c>
      <c r="J72">
        <f>B72&amp;D72</f>
      </c>
      <c r="K72" s="20">
        <v>294000</v>
      </c>
    </row>
    <row r="73">
      <c r="A73" s="53" t="str">
        <v>575 AC</v>
      </c>
      <c r="B73" s="53">
        <v>21</v>
      </c>
      <c r="C73" s="53" t="str">
        <v>Gội dưỡng sinh cổ vai gáy</v>
      </c>
      <c r="D73" s="53">
        <v>867</v>
      </c>
      <c r="E73" s="53" t="str">
        <v>DV_Gội</v>
      </c>
      <c r="F73" s="54">
        <v>100000</v>
      </c>
      <c r="G73" s="54">
        <v>104000</v>
      </c>
      <c r="H73" s="55">
        <v>100000</v>
      </c>
      <c r="I73" s="56">
        <v>-4000</v>
      </c>
      <c r="J73">
        <f>B73&amp;D73</f>
      </c>
      <c r="K73" s="20">
        <v>100000</v>
      </c>
    </row>
    <row r="74">
      <c r="A74" s="53" t="str">
        <v>575 AC</v>
      </c>
      <c r="B74" s="53">
        <v>21</v>
      </c>
      <c r="C74" s="53" t="str">
        <v>Gội trải nghiệm 90p</v>
      </c>
      <c r="D74" s="53">
        <v>1067</v>
      </c>
      <c r="E74" s="53" t="str">
        <v>DV_Gội</v>
      </c>
      <c r="F74" s="54">
        <v>789000</v>
      </c>
      <c r="G74" s="54">
        <v>821000</v>
      </c>
      <c r="H74" s="55">
        <v>789000</v>
      </c>
      <c r="I74" s="56">
        <v>-32000</v>
      </c>
      <c r="J74">
        <f>B74&amp;D74</f>
      </c>
      <c r="K74" s="20">
        <v>789000</v>
      </c>
    </row>
    <row r="75">
      <c r="A75" s="53" t="str">
        <v>575 AC</v>
      </c>
      <c r="B75" s="53">
        <v>21</v>
      </c>
      <c r="C75" s="53" t="str">
        <v>[NEW] Gội dưỡng sinh cổ vai gáy và chăm sóc da</v>
      </c>
      <c r="D75" s="53">
        <v>930</v>
      </c>
      <c r="E75" s="53" t="str">
        <v>DV_Gội</v>
      </c>
      <c r="F75" s="54">
        <v>139000</v>
      </c>
      <c r="G75" s="54">
        <v>145000</v>
      </c>
      <c r="H75" s="55">
        <v>139000</v>
      </c>
      <c r="I75" s="56">
        <v>-6000</v>
      </c>
      <c r="J75">
        <f>B75&amp;D75</f>
      </c>
      <c r="K75" s="20">
        <v>139000</v>
      </c>
    </row>
    <row r="76">
      <c r="A76" s="53" t="str">
        <v>7 DTP LA</v>
      </c>
      <c r="B76" s="53">
        <v>199</v>
      </c>
      <c r="C76" s="53" t="str">
        <v>Combo 4</v>
      </c>
      <c r="D76" s="53">
        <v>1048</v>
      </c>
      <c r="E76" s="53" t="str">
        <v>DV_Cắt_Vip</v>
      </c>
      <c r="F76" s="54">
        <v>398000</v>
      </c>
      <c r="G76" s="54">
        <v>425000</v>
      </c>
      <c r="H76" s="55">
        <v>403000</v>
      </c>
      <c r="I76" s="56">
        <v>-22000</v>
      </c>
      <c r="J76">
        <f>B76&amp;D76</f>
      </c>
      <c r="K76" s="20">
        <v>403000</v>
      </c>
    </row>
    <row r="77">
      <c r="A77" s="53" t="str">
        <v>7 DTP LA</v>
      </c>
      <c r="B77" s="53">
        <v>199</v>
      </c>
      <c r="C77" s="53" t="str">
        <v>Combo Cắt gội Kid</v>
      </c>
      <c r="D77" s="53">
        <v>1070</v>
      </c>
      <c r="E77" s="53" t="str">
        <v>DV_Cắt</v>
      </c>
      <c r="F77" s="54">
        <v>100000</v>
      </c>
      <c r="G77" s="54">
        <v>107000</v>
      </c>
      <c r="H77" s="55">
        <v>105000</v>
      </c>
      <c r="I77" s="56">
        <v>-2000</v>
      </c>
      <c r="J77">
        <f>B77&amp;D77</f>
      </c>
      <c r="K77" s="20">
        <v>105000</v>
      </c>
    </row>
    <row r="78">
      <c r="A78" s="53" t="str">
        <v>7 DTP LA</v>
      </c>
      <c r="B78" s="53">
        <v>199</v>
      </c>
      <c r="C78" s="53" t="str">
        <v>Cắt Gội Combo 3 - Chăm da</v>
      </c>
      <c r="D78" s="53">
        <v>1047</v>
      </c>
      <c r="E78" s="53" t="str">
        <v>DV_Cắt_Vip</v>
      </c>
      <c r="F78" s="54">
        <v>308000</v>
      </c>
      <c r="G78" s="54">
        <v>329000</v>
      </c>
      <c r="H78" s="55">
        <v>313000</v>
      </c>
      <c r="I78" s="56">
        <v>-16000</v>
      </c>
      <c r="J78">
        <f>B78&amp;D78</f>
      </c>
      <c r="K78" s="20">
        <v>313000</v>
      </c>
    </row>
    <row r="79">
      <c r="A79" s="53" t="str">
        <v>7 DTP LA</v>
      </c>
      <c r="B79" s="53">
        <v>199</v>
      </c>
      <c r="C79" s="53" t="str">
        <v>Cắt Gội Combo 5 - Dưỡng sinh</v>
      </c>
      <c r="D79" s="53">
        <v>1064</v>
      </c>
      <c r="E79" s="53" t="str">
        <v>DV_Cắt_Vip</v>
      </c>
      <c r="F79" s="54">
        <v>459000</v>
      </c>
      <c r="G79" s="54">
        <v>490000</v>
      </c>
      <c r="H79" s="55">
        <v>464000</v>
      </c>
      <c r="I79" s="56">
        <v>-26000</v>
      </c>
      <c r="J79">
        <f>B79&amp;D79</f>
      </c>
      <c r="K79" s="20">
        <v>464000</v>
      </c>
    </row>
    <row r="80">
      <c r="A80" s="53" t="str">
        <v>7 DTP LA</v>
      </c>
      <c r="B80" s="53">
        <v>199</v>
      </c>
      <c r="C80" s="53" t="str">
        <v>Cắt xả tạo kiểu</v>
      </c>
      <c r="D80" s="53">
        <v>891</v>
      </c>
      <c r="E80" s="53" t="str">
        <v>DV_Cắt</v>
      </c>
      <c r="F80" s="54">
        <v>103000</v>
      </c>
      <c r="G80" s="54">
        <v>110000</v>
      </c>
      <c r="H80" s="55">
        <v>106000</v>
      </c>
      <c r="I80" s="56">
        <v>-4000</v>
      </c>
      <c r="J80">
        <f>B80&amp;D80</f>
      </c>
      <c r="K80" s="20">
        <v>106000</v>
      </c>
    </row>
    <row r="81">
      <c r="A81" s="53" t="str">
        <v>7 DTP LA</v>
      </c>
      <c r="B81" s="53">
        <v>199</v>
      </c>
      <c r="C81" s="53" t="str">
        <v>Gội Combo 2</v>
      </c>
      <c r="D81" s="53">
        <v>1058</v>
      </c>
      <c r="E81" s="53" t="str">
        <v>DV_Gội</v>
      </c>
      <c r="F81" s="54">
        <v>159000</v>
      </c>
      <c r="G81" s="54">
        <v>170000</v>
      </c>
      <c r="H81" s="55">
        <v>159000</v>
      </c>
      <c r="I81" s="56">
        <v>-11000</v>
      </c>
      <c r="J81">
        <f>B81&amp;D81</f>
      </c>
      <c r="K81" s="20">
        <v>159000</v>
      </c>
    </row>
    <row r="82">
      <c r="A82" s="53" t="str">
        <v>7 DTP LA</v>
      </c>
      <c r="B82" s="53">
        <v>199</v>
      </c>
      <c r="C82" s="53" t="str">
        <v>Gội Combo 3 - Chăm da</v>
      </c>
      <c r="D82" s="53">
        <v>1059</v>
      </c>
      <c r="E82" s="53" t="str">
        <v>DV_Gội</v>
      </c>
      <c r="F82" s="54">
        <v>239000</v>
      </c>
      <c r="G82" s="54">
        <v>255000</v>
      </c>
      <c r="H82" s="55">
        <v>244000</v>
      </c>
      <c r="I82" s="56">
        <v>-11000</v>
      </c>
      <c r="J82">
        <f>B82&amp;D82</f>
      </c>
      <c r="K82" s="20">
        <v>244000</v>
      </c>
    </row>
    <row r="83">
      <c r="A83" s="53" t="str">
        <v>7 DTP LA</v>
      </c>
      <c r="B83" s="53">
        <v>199</v>
      </c>
      <c r="C83" s="53" t="str">
        <v>Gội Combo 4</v>
      </c>
      <c r="D83" s="53">
        <v>1060</v>
      </c>
      <c r="E83" s="53" t="str">
        <v>DV_Gội</v>
      </c>
      <c r="F83" s="54">
        <v>289000</v>
      </c>
      <c r="G83" s="54">
        <v>309000</v>
      </c>
      <c r="H83" s="55">
        <v>289000</v>
      </c>
      <c r="I83" s="56">
        <v>-20000</v>
      </c>
      <c r="J83">
        <f>B83&amp;D83</f>
      </c>
      <c r="K83" s="20">
        <v>289000</v>
      </c>
    </row>
    <row r="84">
      <c r="A84" s="53" t="str">
        <v>7 DTP LA</v>
      </c>
      <c r="B84" s="53">
        <v>199</v>
      </c>
      <c r="C84" s="53" t="str">
        <v>Gội combo 3 - Dưỡng sinh</v>
      </c>
      <c r="D84" s="53">
        <v>934</v>
      </c>
      <c r="E84" s="53" t="str">
        <v>DV_Gội</v>
      </c>
      <c r="F84" s="54">
        <v>229000</v>
      </c>
      <c r="G84" s="54">
        <v>245000</v>
      </c>
      <c r="H84" s="55">
        <v>234000</v>
      </c>
      <c r="I84" s="56">
        <v>-11000</v>
      </c>
      <c r="J84">
        <f>B84&amp;D84</f>
      </c>
      <c r="K84" s="20">
        <v>234000</v>
      </c>
    </row>
    <row r="85">
      <c r="A85" s="53" t="str">
        <v>7 DTP LA</v>
      </c>
      <c r="B85" s="53">
        <v>199</v>
      </c>
      <c r="C85" s="53" t="str">
        <v>Gội combo 5 dưỡng sinh</v>
      </c>
      <c r="D85" s="53">
        <v>932</v>
      </c>
      <c r="E85" s="53" t="str">
        <v>DV_Gội</v>
      </c>
      <c r="F85" s="54">
        <v>399000</v>
      </c>
      <c r="G85" s="54">
        <v>426000</v>
      </c>
      <c r="H85" s="55">
        <v>404000</v>
      </c>
      <c r="I85" s="56">
        <v>-22000</v>
      </c>
      <c r="J85">
        <f>B85&amp;D85</f>
      </c>
      <c r="K85" s="20">
        <v>404000</v>
      </c>
    </row>
    <row r="86">
      <c r="A86" s="53" t="str">
        <v>7 DTP LA</v>
      </c>
      <c r="B86" s="53">
        <v>199</v>
      </c>
      <c r="C86" s="53" t="str">
        <v>Gội dưỡng sinh cổ vai gáy</v>
      </c>
      <c r="D86" s="53">
        <v>867</v>
      </c>
      <c r="E86" s="53" t="str">
        <v>DV_Gội</v>
      </c>
      <c r="F86" s="54">
        <v>99000</v>
      </c>
      <c r="G86" s="54">
        <v>106000</v>
      </c>
      <c r="H86" s="55">
        <v>104000</v>
      </c>
      <c r="I86" s="56">
        <v>-2000</v>
      </c>
      <c r="J86">
        <f>B86&amp;D86</f>
      </c>
      <c r="K86" s="20">
        <v>104000</v>
      </c>
    </row>
    <row r="87">
      <c r="A87" s="53" t="str">
        <v>7 DTP LA</v>
      </c>
      <c r="B87" s="53">
        <v>199</v>
      </c>
      <c r="C87" s="53" t="str">
        <v>Gội trải nghiệm 115p</v>
      </c>
      <c r="D87" s="53">
        <v>1068</v>
      </c>
      <c r="E87" s="53" t="str">
        <v>DV_Gội</v>
      </c>
      <c r="F87" s="54">
        <v>999000</v>
      </c>
      <c r="G87" s="54">
        <v>1067000</v>
      </c>
      <c r="H87" s="55">
        <v>1004000</v>
      </c>
      <c r="I87" s="56">
        <v>-63000</v>
      </c>
      <c r="J87">
        <f>B87&amp;D87</f>
      </c>
      <c r="K87" s="20">
        <v>1004000</v>
      </c>
    </row>
    <row r="88">
      <c r="A88" s="53" t="str">
        <v>7 DTP LA</v>
      </c>
      <c r="B88" s="53">
        <v>199</v>
      </c>
      <c r="C88" s="53" t="str">
        <v>Gội trải nghiệm 75p</v>
      </c>
      <c r="D88" s="53">
        <v>1066</v>
      </c>
      <c r="E88" s="53" t="str">
        <v>DV_Gội</v>
      </c>
      <c r="F88" s="54">
        <v>589000</v>
      </c>
      <c r="G88" s="54">
        <v>629000</v>
      </c>
      <c r="H88" s="55">
        <v>594000</v>
      </c>
      <c r="I88" s="56">
        <v>-35000</v>
      </c>
      <c r="J88">
        <f>B88&amp;D88</f>
      </c>
      <c r="K88" s="20">
        <v>594000</v>
      </c>
    </row>
    <row r="89">
      <c r="A89" s="53" t="str">
        <v>7 DTP LA</v>
      </c>
      <c r="B89" s="53">
        <v>199</v>
      </c>
      <c r="C89" s="53" t="str">
        <v>Gội trải nghiệm 90p</v>
      </c>
      <c r="D89" s="53">
        <v>1067</v>
      </c>
      <c r="E89" s="53" t="str">
        <v>DV_Gội</v>
      </c>
      <c r="F89" s="54">
        <v>789000</v>
      </c>
      <c r="G89" s="54">
        <v>843000</v>
      </c>
      <c r="H89" s="55">
        <v>794000</v>
      </c>
      <c r="I89" s="56">
        <v>-49000</v>
      </c>
      <c r="J89">
        <f>B89&amp;D89</f>
      </c>
      <c r="K89" s="20">
        <v>794000</v>
      </c>
    </row>
    <row r="90">
      <c r="A90" s="53" t="str">
        <v>7 DTP LA</v>
      </c>
      <c r="B90" s="53">
        <v>199</v>
      </c>
      <c r="C90" s="53" t="str">
        <v>Kid Cắt</v>
      </c>
      <c r="D90" s="53">
        <v>1002</v>
      </c>
      <c r="E90" s="53" t="str">
        <v>DV_Cắt</v>
      </c>
      <c r="F90" s="54">
        <v>84000</v>
      </c>
      <c r="G90" s="54">
        <v>90000</v>
      </c>
      <c r="H90" s="55">
        <v>89000</v>
      </c>
      <c r="I90" s="56">
        <v>-1000</v>
      </c>
      <c r="J90">
        <f>B90&amp;D90</f>
      </c>
      <c r="K90" s="20">
        <v>89000</v>
      </c>
    </row>
    <row r="91">
      <c r="A91" s="53" t="str">
        <v>7 DTP LA</v>
      </c>
      <c r="B91" s="53">
        <v>199</v>
      </c>
      <c r="C91" s="53" t="str">
        <v>Shinecombo 2</v>
      </c>
      <c r="D91" s="53">
        <v>1046</v>
      </c>
      <c r="E91" s="53" t="str">
        <v>DV_Cắt_Vip</v>
      </c>
      <c r="F91" s="54">
        <v>208000</v>
      </c>
      <c r="G91" s="54">
        <v>222000</v>
      </c>
      <c r="H91" s="55">
        <v>213000</v>
      </c>
      <c r="I91" s="56">
        <v>-9000</v>
      </c>
      <c r="J91">
        <f>B91&amp;D91</f>
      </c>
      <c r="K91" s="20">
        <v>213000</v>
      </c>
    </row>
    <row r="92">
      <c r="A92" s="53" t="str">
        <v>7 DTP LA</v>
      </c>
      <c r="B92" s="53">
        <v>199</v>
      </c>
      <c r="C92" s="53" t="str">
        <v>[NEW] Gội dưỡng sinh cổ vai gáy và chăm sóc da</v>
      </c>
      <c r="D92" s="53">
        <v>930</v>
      </c>
      <c r="E92" s="53" t="str">
        <v>DV_Gội</v>
      </c>
      <c r="F92" s="54">
        <v>139000</v>
      </c>
      <c r="G92" s="54">
        <v>148000</v>
      </c>
      <c r="H92" s="55">
        <v>144000</v>
      </c>
      <c r="I92" s="56">
        <v>-4000</v>
      </c>
      <c r="J92">
        <f>B92&amp;D92</f>
      </c>
      <c r="K92" s="20">
        <v>144000</v>
      </c>
    </row>
    <row r="93">
      <c r="A93" s="53" t="str">
        <v>708 LTT</v>
      </c>
      <c r="B93" s="53">
        <v>47</v>
      </c>
      <c r="C93" s="53" t="str">
        <v>Combo 4</v>
      </c>
      <c r="D93" s="53">
        <v>1048</v>
      </c>
      <c r="E93" s="53" t="str">
        <v>DV_Cắt_Vip</v>
      </c>
      <c r="F93" s="54">
        <v>398000</v>
      </c>
      <c r="G93" s="54">
        <v>425000</v>
      </c>
      <c r="H93" s="55">
        <v>405000</v>
      </c>
      <c r="I93" s="56">
        <v>-20000</v>
      </c>
      <c r="J93">
        <f>B93&amp;D93</f>
      </c>
      <c r="K93" s="20">
        <v>405000</v>
      </c>
    </row>
    <row r="94">
      <c r="A94" s="53" t="str">
        <v>708 LTT</v>
      </c>
      <c r="B94" s="53">
        <v>47</v>
      </c>
      <c r="C94" s="53" t="str">
        <v>Combo Best choice</v>
      </c>
      <c r="D94" s="53">
        <v>1194</v>
      </c>
      <c r="E94" s="53" t="str">
        <v>DV_Cắt_Vip</v>
      </c>
      <c r="F94" s="54">
        <v>308000</v>
      </c>
      <c r="G94" s="54">
        <v>329000</v>
      </c>
      <c r="H94" s="55">
        <v>315000</v>
      </c>
      <c r="I94" s="56">
        <v>-14000</v>
      </c>
      <c r="J94">
        <f>B94&amp;D94</f>
      </c>
      <c r="K94" s="20">
        <v>315000</v>
      </c>
    </row>
    <row r="95">
      <c r="A95" s="53" t="str">
        <v>708 LTT</v>
      </c>
      <c r="B95" s="53">
        <v>47</v>
      </c>
      <c r="C95" s="53" t="str">
        <v>Cắt Gội Combo 3 - Chăm da</v>
      </c>
      <c r="D95" s="53">
        <v>1047</v>
      </c>
      <c r="E95" s="53" t="str">
        <v>DV_Cắt_Vip</v>
      </c>
      <c r="F95" s="54">
        <v>308000</v>
      </c>
      <c r="G95" s="54">
        <v>329000</v>
      </c>
      <c r="H95" s="55">
        <v>308000</v>
      </c>
      <c r="I95" s="56">
        <v>-21000</v>
      </c>
      <c r="J95">
        <f>B95&amp;D95</f>
      </c>
      <c r="K95" s="20">
        <v>308000</v>
      </c>
    </row>
    <row r="96">
      <c r="A96" s="53" t="str">
        <v>708 LTT</v>
      </c>
      <c r="B96" s="53">
        <v>47</v>
      </c>
      <c r="C96" s="53" t="str">
        <v>Cắt Gội Combo 3 - Dưỡng sinh</v>
      </c>
      <c r="D96" s="53">
        <v>1065</v>
      </c>
      <c r="E96" s="53" t="str">
        <v>DV_Cắt_Vip</v>
      </c>
      <c r="F96" s="54">
        <v>308000</v>
      </c>
      <c r="G96" s="54">
        <v>329000</v>
      </c>
      <c r="H96" s="55">
        <v>315000</v>
      </c>
      <c r="I96" s="56">
        <v>-14000</v>
      </c>
      <c r="J96">
        <f>B96&amp;D96</f>
      </c>
      <c r="K96" s="20">
        <v>315000</v>
      </c>
    </row>
    <row r="97">
      <c r="A97" s="53" t="str">
        <v>708 LTT</v>
      </c>
      <c r="B97" s="53">
        <v>47</v>
      </c>
      <c r="C97" s="53" t="str">
        <v>Cắt Gội Combo 5 - Chăm da</v>
      </c>
      <c r="D97" s="53">
        <v>1049</v>
      </c>
      <c r="E97" s="53" t="str">
        <v>DV_Cắt_Vip</v>
      </c>
      <c r="F97" s="54">
        <v>399000</v>
      </c>
      <c r="G97" s="54">
        <v>426000</v>
      </c>
      <c r="H97" s="55">
        <v>406000</v>
      </c>
      <c r="I97" s="56">
        <v>-20000</v>
      </c>
      <c r="J97">
        <f>B97&amp;D97</f>
      </c>
      <c r="K97" s="20">
        <v>406000</v>
      </c>
    </row>
    <row r="98">
      <c r="A98" s="53" t="str">
        <v>708 LTT</v>
      </c>
      <c r="B98" s="53">
        <v>47</v>
      </c>
      <c r="C98" s="53" t="str">
        <v>Cắt Gội Combo 5 - Dưỡng sinh</v>
      </c>
      <c r="D98" s="53">
        <v>1064</v>
      </c>
      <c r="E98" s="53" t="str">
        <v>DV_Cắt_Vip</v>
      </c>
      <c r="F98" s="54">
        <v>459000</v>
      </c>
      <c r="G98" s="54">
        <v>490000</v>
      </c>
      <c r="H98" s="55">
        <v>466000</v>
      </c>
      <c r="I98" s="56">
        <v>-24000</v>
      </c>
      <c r="J98">
        <f>B98&amp;D98</f>
      </c>
      <c r="K98" s="20">
        <v>466000</v>
      </c>
    </row>
    <row r="99">
      <c r="A99" s="53" t="str">
        <v>708 LTT</v>
      </c>
      <c r="B99" s="53">
        <v>47</v>
      </c>
      <c r="C99" s="53" t="str">
        <v>Gội Combo 2</v>
      </c>
      <c r="D99" s="53">
        <v>1058</v>
      </c>
      <c r="E99" s="53" t="str">
        <v>DV_Gội</v>
      </c>
      <c r="F99" s="54">
        <v>159000</v>
      </c>
      <c r="G99" s="54">
        <v>170000</v>
      </c>
      <c r="H99" s="55">
        <v>166000</v>
      </c>
      <c r="I99" s="56">
        <v>-4000</v>
      </c>
      <c r="J99">
        <f>B99&amp;D99</f>
      </c>
      <c r="K99" s="20">
        <v>166000</v>
      </c>
    </row>
    <row r="100">
      <c r="A100" s="53" t="str">
        <v>708 LTT</v>
      </c>
      <c r="B100" s="53">
        <v>47</v>
      </c>
      <c r="C100" s="53" t="str">
        <v>Gội Combo 3 - Chăm da</v>
      </c>
      <c r="D100" s="53">
        <v>1059</v>
      </c>
      <c r="E100" s="53" t="str">
        <v>DV_Gội</v>
      </c>
      <c r="F100" s="54">
        <v>239000</v>
      </c>
      <c r="G100" s="54">
        <v>255000</v>
      </c>
      <c r="H100" s="55">
        <v>239000</v>
      </c>
      <c r="I100" s="56">
        <v>-16000</v>
      </c>
      <c r="J100">
        <f>B100&amp;D100</f>
      </c>
      <c r="K100" s="20">
        <v>239000</v>
      </c>
    </row>
    <row r="101">
      <c r="A101" s="53" t="str">
        <v>708 LTT</v>
      </c>
      <c r="B101" s="53">
        <v>47</v>
      </c>
      <c r="C101" s="53" t="str">
        <v>Gội Combo 4</v>
      </c>
      <c r="D101" s="53">
        <v>1060</v>
      </c>
      <c r="E101" s="53" t="str">
        <v>DV_Gội</v>
      </c>
      <c r="F101" s="54">
        <v>289000</v>
      </c>
      <c r="G101" s="54">
        <v>311000</v>
      </c>
      <c r="H101" s="55">
        <v>289000</v>
      </c>
      <c r="I101" s="56">
        <v>-22000</v>
      </c>
      <c r="J101">
        <f>B101&amp;D101</f>
      </c>
      <c r="K101" s="20">
        <v>289000</v>
      </c>
    </row>
    <row r="102">
      <c r="A102" s="53" t="str">
        <v>708 LTT</v>
      </c>
      <c r="B102" s="53">
        <v>47</v>
      </c>
      <c r="C102" s="53" t="str">
        <v>Gội Combo 5 - Chăm da</v>
      </c>
      <c r="D102" s="53">
        <v>1061</v>
      </c>
      <c r="E102" s="53" t="str">
        <v>DV_Gội</v>
      </c>
      <c r="F102" s="54">
        <v>359000</v>
      </c>
      <c r="G102" s="54">
        <v>383000</v>
      </c>
      <c r="H102" s="55">
        <v>366000</v>
      </c>
      <c r="I102" s="56">
        <v>-17000</v>
      </c>
      <c r="J102">
        <f>B102&amp;D102</f>
      </c>
      <c r="K102" s="20">
        <v>366000</v>
      </c>
    </row>
    <row r="103">
      <c r="A103" s="53" t="str">
        <v>708 LTT</v>
      </c>
      <c r="B103" s="53">
        <v>47</v>
      </c>
      <c r="C103" s="53" t="str">
        <v>Gội combo 3 - Dưỡng sinh</v>
      </c>
      <c r="D103" s="53">
        <v>934</v>
      </c>
      <c r="E103" s="53" t="str">
        <v>DV_Gội</v>
      </c>
      <c r="F103" s="54">
        <v>229000</v>
      </c>
      <c r="G103" s="54">
        <v>245000</v>
      </c>
      <c r="H103" s="55">
        <v>229000</v>
      </c>
      <c r="I103" s="56">
        <v>-16000</v>
      </c>
      <c r="J103">
        <f>B103&amp;D103</f>
      </c>
      <c r="K103" s="20">
        <v>229000</v>
      </c>
    </row>
    <row r="104">
      <c r="A104" s="53" t="str">
        <v>708 LTT</v>
      </c>
      <c r="B104" s="53">
        <v>47</v>
      </c>
      <c r="C104" s="53" t="str">
        <v>Gội combo 5 dưỡng sinh</v>
      </c>
      <c r="D104" s="53">
        <v>932</v>
      </c>
      <c r="E104" s="53" t="str">
        <v>DV_Gội</v>
      </c>
      <c r="F104" s="54">
        <v>389000</v>
      </c>
      <c r="G104" s="54">
        <v>415000</v>
      </c>
      <c r="H104" s="55">
        <v>396000</v>
      </c>
      <c r="I104" s="56">
        <v>-19000</v>
      </c>
      <c r="J104">
        <f>B104&amp;D104</f>
      </c>
      <c r="K104" s="20">
        <v>396000</v>
      </c>
    </row>
    <row r="105">
      <c r="A105" s="53" t="str">
        <v>708 LTT</v>
      </c>
      <c r="B105" s="53">
        <v>47</v>
      </c>
      <c r="C105" s="53" t="str">
        <v>Gội trải nghiệm 115p</v>
      </c>
      <c r="D105" s="53">
        <v>1068</v>
      </c>
      <c r="E105" s="53" t="str">
        <v>DV_Gội</v>
      </c>
      <c r="F105" s="54">
        <v>999000</v>
      </c>
      <c r="G105" s="54">
        <v>1067000</v>
      </c>
      <c r="H105" s="55">
        <v>999000</v>
      </c>
      <c r="I105" s="56">
        <v>-68000</v>
      </c>
      <c r="J105">
        <f>B105&amp;D105</f>
      </c>
      <c r="K105" s="20">
        <v>999000</v>
      </c>
    </row>
    <row r="106">
      <c r="A106" s="53" t="str">
        <v>708 LTT</v>
      </c>
      <c r="B106" s="53">
        <v>47</v>
      </c>
      <c r="C106" s="53" t="str">
        <v>Gội trải nghiệm 75p</v>
      </c>
      <c r="D106" s="53">
        <v>1066</v>
      </c>
      <c r="E106" s="53" t="str">
        <v>DV_Gội</v>
      </c>
      <c r="F106" s="54">
        <v>459000</v>
      </c>
      <c r="G106" s="54">
        <v>490000</v>
      </c>
      <c r="H106" s="55">
        <v>466000</v>
      </c>
      <c r="I106" s="56">
        <v>-24000</v>
      </c>
      <c r="J106">
        <f>B106&amp;D106</f>
      </c>
      <c r="K106" s="20">
        <v>466000</v>
      </c>
    </row>
    <row r="107">
      <c r="A107" s="53" t="str">
        <v>708 LTT</v>
      </c>
      <c r="B107" s="53">
        <v>47</v>
      </c>
      <c r="C107" s="53" t="str">
        <v>Gội trải nghiệm 90p</v>
      </c>
      <c r="D107" s="53">
        <v>1067</v>
      </c>
      <c r="E107" s="53" t="str">
        <v>DV_Gội</v>
      </c>
      <c r="F107" s="54">
        <v>789000</v>
      </c>
      <c r="G107" s="54">
        <v>843000</v>
      </c>
      <c r="H107" s="55">
        <v>789000</v>
      </c>
      <c r="I107" s="56">
        <v>-54000</v>
      </c>
      <c r="J107">
        <f>B107&amp;D107</f>
      </c>
      <c r="K107" s="20">
        <v>789000</v>
      </c>
    </row>
    <row r="108">
      <c r="A108" s="53" t="str">
        <v>708 LTT</v>
      </c>
      <c r="B108" s="53">
        <v>47</v>
      </c>
      <c r="C108" s="53" t="str">
        <v>Shinecombo 2</v>
      </c>
      <c r="D108" s="53">
        <v>1046</v>
      </c>
      <c r="E108" s="53" t="str">
        <v>DV_Cắt_Vip</v>
      </c>
      <c r="F108" s="54">
        <v>208000</v>
      </c>
      <c r="G108" s="54">
        <v>222000</v>
      </c>
      <c r="H108" s="55">
        <v>215000</v>
      </c>
      <c r="I108" s="56">
        <v>-7000</v>
      </c>
      <c r="J108">
        <f>B108&amp;D108</f>
      </c>
      <c r="K108" s="20">
        <v>215000</v>
      </c>
    </row>
    <row r="109">
      <c r="A109" s="53" t="str">
        <v>708 LTT</v>
      </c>
      <c r="B109" s="53">
        <v>47</v>
      </c>
      <c r="C109" s="53" t="str">
        <v>[NEW] Gội dưỡng sinh cổ vai gáy và chăm sóc da</v>
      </c>
      <c r="D109" s="53">
        <v>930</v>
      </c>
      <c r="E109" s="53" t="str">
        <v>DV_Gội</v>
      </c>
      <c r="F109" s="54">
        <v>139000</v>
      </c>
      <c r="G109" s="54">
        <v>148000</v>
      </c>
      <c r="H109" s="55">
        <v>146000</v>
      </c>
      <c r="I109" s="56">
        <v>-2000</v>
      </c>
      <c r="J109">
        <f>B109&amp;D109</f>
      </c>
      <c r="K109" s="20">
        <v>146000</v>
      </c>
    </row>
    <row r="110">
      <c r="A110" s="53" t="str">
        <v>76 PVH</v>
      </c>
      <c r="B110" s="53">
        <v>106</v>
      </c>
      <c r="C110" s="53" t="str">
        <v>Combo 4</v>
      </c>
      <c r="D110" s="53">
        <v>1048</v>
      </c>
      <c r="E110" s="53" t="str">
        <v>DV_Cắt_Vip</v>
      </c>
      <c r="F110" s="54">
        <v>389000</v>
      </c>
      <c r="G110" s="54">
        <v>414000</v>
      </c>
      <c r="H110" s="55">
        <v>397000</v>
      </c>
      <c r="I110" s="56">
        <v>-17000</v>
      </c>
      <c r="J110">
        <f>B110&amp;D110</f>
      </c>
      <c r="K110" s="20">
        <v>397000</v>
      </c>
    </row>
    <row r="111">
      <c r="A111" s="53" t="str">
        <v>76 PVH</v>
      </c>
      <c r="B111" s="53">
        <v>106</v>
      </c>
      <c r="C111" s="53" t="str">
        <v>Cắt Gội Combo 3 - Chăm da</v>
      </c>
      <c r="D111" s="53">
        <v>1047</v>
      </c>
      <c r="E111" s="53" t="str">
        <v>DV_Cắt_Vip</v>
      </c>
      <c r="F111" s="54">
        <v>299000</v>
      </c>
      <c r="G111" s="54">
        <v>318000</v>
      </c>
      <c r="H111" s="55">
        <v>307000</v>
      </c>
      <c r="I111" s="56">
        <v>-11000</v>
      </c>
      <c r="J111">
        <f>B111&amp;D111</f>
      </c>
      <c r="K111" s="20">
        <v>307000</v>
      </c>
    </row>
    <row r="112">
      <c r="A112" s="53" t="str">
        <v>76 PVH</v>
      </c>
      <c r="B112" s="53">
        <v>106</v>
      </c>
      <c r="C112" s="53" t="str">
        <v>Cắt Gội Combo 3 - Dưỡng sinh</v>
      </c>
      <c r="D112" s="53">
        <v>1065</v>
      </c>
      <c r="E112" s="53" t="str">
        <v>DV_Cắt_Vip</v>
      </c>
      <c r="F112" s="54">
        <v>299000</v>
      </c>
      <c r="G112" s="54">
        <v>318000</v>
      </c>
      <c r="H112" s="55">
        <v>304000</v>
      </c>
      <c r="I112" s="56">
        <v>-14000</v>
      </c>
      <c r="J112">
        <f>B112&amp;D112</f>
      </c>
      <c r="K112" s="20">
        <v>304000</v>
      </c>
    </row>
    <row r="113">
      <c r="A113" s="53" t="str">
        <v>76 PVH</v>
      </c>
      <c r="B113" s="53">
        <v>106</v>
      </c>
      <c r="C113" s="53" t="str">
        <v>Gội Combo 3 - Chăm da</v>
      </c>
      <c r="D113" s="53">
        <v>1059</v>
      </c>
      <c r="E113" s="53" t="str">
        <v>DV_Gội</v>
      </c>
      <c r="F113" s="54">
        <v>239000</v>
      </c>
      <c r="G113" s="54">
        <v>254000</v>
      </c>
      <c r="H113" s="55">
        <v>244000</v>
      </c>
      <c r="I113" s="56">
        <v>-10000</v>
      </c>
      <c r="J113">
        <f>B113&amp;D113</f>
      </c>
      <c r="K113" s="20">
        <v>244000</v>
      </c>
    </row>
    <row r="114">
      <c r="A114" s="53" t="str">
        <v>76 PVH</v>
      </c>
      <c r="B114" s="53">
        <v>106</v>
      </c>
      <c r="C114" s="53" t="str">
        <v>Gội Combo 4</v>
      </c>
      <c r="D114" s="53">
        <v>1060</v>
      </c>
      <c r="E114" s="53" t="str">
        <v>DV_Gội</v>
      </c>
      <c r="F114" s="54">
        <v>289000</v>
      </c>
      <c r="G114" s="54">
        <v>309000</v>
      </c>
      <c r="H114" s="55">
        <v>297000</v>
      </c>
      <c r="I114" s="56">
        <v>-12000</v>
      </c>
      <c r="J114">
        <f>B114&amp;D114</f>
      </c>
      <c r="K114" s="20">
        <v>297000</v>
      </c>
    </row>
    <row r="115">
      <c r="A115" s="53" t="str">
        <v>76 PVH</v>
      </c>
      <c r="B115" s="53">
        <v>106</v>
      </c>
      <c r="C115" s="53" t="str">
        <v>Gội combo 3 - Dưỡng sinh</v>
      </c>
      <c r="D115" s="53">
        <v>934</v>
      </c>
      <c r="E115" s="53" t="str">
        <v>DV_Gội</v>
      </c>
      <c r="F115" s="54">
        <v>229000</v>
      </c>
      <c r="G115" s="54">
        <v>244000</v>
      </c>
      <c r="H115" s="55">
        <v>234000</v>
      </c>
      <c r="I115" s="56">
        <v>-10000</v>
      </c>
      <c r="J115">
        <f>B115&amp;D115</f>
      </c>
      <c r="K115" s="20">
        <v>234000</v>
      </c>
    </row>
    <row r="116">
      <c r="A116" s="53" t="str">
        <v>76 PVH</v>
      </c>
      <c r="B116" s="53">
        <v>106</v>
      </c>
      <c r="C116" s="53" t="str">
        <v>Gội trải nghiệm 75p</v>
      </c>
      <c r="D116" s="53">
        <v>1066</v>
      </c>
      <c r="E116" s="53" t="str">
        <v>DV_Gội</v>
      </c>
      <c r="F116" s="54">
        <v>589000</v>
      </c>
      <c r="G116" s="54">
        <v>627000</v>
      </c>
      <c r="H116" s="55">
        <v>599000</v>
      </c>
      <c r="I116" s="56">
        <v>-28000</v>
      </c>
      <c r="J116">
        <f>B116&amp;D116</f>
      </c>
      <c r="K116" s="20">
        <v>599000</v>
      </c>
    </row>
    <row r="117">
      <c r="A117" s="53" t="str">
        <v>80 TP TH</v>
      </c>
      <c r="B117" s="53">
        <v>232</v>
      </c>
      <c r="C117" s="53" t="str">
        <v>Combo 4</v>
      </c>
      <c r="D117" s="53">
        <v>1048</v>
      </c>
      <c r="E117" s="53" t="str">
        <v>DV_Cắt_Vip</v>
      </c>
      <c r="F117" s="54">
        <v>398000</v>
      </c>
      <c r="G117" s="54">
        <v>425000</v>
      </c>
      <c r="H117" s="55">
        <v>405000</v>
      </c>
      <c r="I117" s="56">
        <v>-20000</v>
      </c>
      <c r="J117">
        <f>B117&amp;D117</f>
      </c>
      <c r="K117" s="20">
        <v>405000</v>
      </c>
    </row>
    <row r="118">
      <c r="A118" s="53" t="str">
        <v>80 TP TH</v>
      </c>
      <c r="B118" s="53">
        <v>232</v>
      </c>
      <c r="C118" s="53" t="str">
        <v>Cắt Gội Combo 3 - Chăm da</v>
      </c>
      <c r="D118" s="53">
        <v>1047</v>
      </c>
      <c r="E118" s="53" t="str">
        <v>DV_Cắt_Vip</v>
      </c>
      <c r="F118" s="54">
        <v>308000</v>
      </c>
      <c r="G118" s="54">
        <v>329000</v>
      </c>
      <c r="H118" s="55">
        <v>315000</v>
      </c>
      <c r="I118" s="56">
        <v>-14000</v>
      </c>
      <c r="J118">
        <f>B118&amp;D118</f>
      </c>
      <c r="K118" s="20">
        <v>315000</v>
      </c>
    </row>
    <row r="119">
      <c r="A119" s="53" t="str">
        <v>80 TP TH</v>
      </c>
      <c r="B119" s="53">
        <v>232</v>
      </c>
      <c r="C119" s="53" t="str">
        <v>Cắt Gội Combo 3 - Dưỡng sinh</v>
      </c>
      <c r="D119" s="53">
        <v>1065</v>
      </c>
      <c r="E119" s="53" t="str">
        <v>DV_Cắt_Vip</v>
      </c>
      <c r="F119" s="54">
        <v>308000</v>
      </c>
      <c r="G119" s="54">
        <v>329000</v>
      </c>
      <c r="H119" s="55">
        <v>315000</v>
      </c>
      <c r="I119" s="56">
        <v>-14000</v>
      </c>
      <c r="J119">
        <f>B119&amp;D119</f>
      </c>
      <c r="K119" s="20">
        <v>315000</v>
      </c>
    </row>
    <row r="120">
      <c r="A120" s="53" t="str">
        <v>80 TP TH</v>
      </c>
      <c r="B120" s="53">
        <v>232</v>
      </c>
      <c r="C120" s="53" t="str">
        <v>Cắt Gội Combo 5 - Dưỡng sinh</v>
      </c>
      <c r="D120" s="53">
        <v>1064</v>
      </c>
      <c r="E120" s="53" t="str">
        <v>DV_Cắt_Vip</v>
      </c>
      <c r="F120" s="54">
        <v>459000</v>
      </c>
      <c r="G120" s="54">
        <v>490000</v>
      </c>
      <c r="H120" s="55">
        <v>466000</v>
      </c>
      <c r="I120" s="56">
        <v>-24000</v>
      </c>
      <c r="J120">
        <f>B120&amp;D120</f>
      </c>
      <c r="K120" s="20">
        <v>466000</v>
      </c>
    </row>
    <row r="121">
      <c r="A121" s="53" t="str">
        <v>80 TP TH</v>
      </c>
      <c r="B121" s="53">
        <v>232</v>
      </c>
      <c r="C121" s="53" t="str">
        <v>Gội Combo 2</v>
      </c>
      <c r="D121" s="53">
        <v>1058</v>
      </c>
      <c r="E121" s="53" t="str">
        <v>DV_Gội</v>
      </c>
      <c r="F121" s="54">
        <v>159000</v>
      </c>
      <c r="G121" s="54">
        <v>170000</v>
      </c>
      <c r="H121" s="55">
        <v>164000</v>
      </c>
      <c r="I121" s="56">
        <v>-6000</v>
      </c>
      <c r="J121">
        <f>B121&amp;D121</f>
      </c>
      <c r="K121" s="20">
        <v>164000</v>
      </c>
    </row>
    <row r="122">
      <c r="A122" s="53" t="str">
        <v>80 TP TH</v>
      </c>
      <c r="B122" s="53">
        <v>232</v>
      </c>
      <c r="C122" s="53" t="str">
        <v>Gội Combo 3 - Chăm da</v>
      </c>
      <c r="D122" s="53">
        <v>1059</v>
      </c>
      <c r="E122" s="53" t="str">
        <v>DV_Gội</v>
      </c>
      <c r="F122" s="54">
        <v>219000</v>
      </c>
      <c r="G122" s="54">
        <v>234000</v>
      </c>
      <c r="H122" s="55">
        <v>226000</v>
      </c>
      <c r="I122" s="56">
        <v>-8000</v>
      </c>
      <c r="J122">
        <f>B122&amp;D122</f>
      </c>
      <c r="K122" s="20">
        <v>226000</v>
      </c>
    </row>
    <row r="123">
      <c r="A123" s="53" t="str">
        <v>80 TP TH</v>
      </c>
      <c r="B123" s="53">
        <v>232</v>
      </c>
      <c r="C123" s="53" t="str">
        <v>Gội Combo 4</v>
      </c>
      <c r="D123" s="53">
        <v>1060</v>
      </c>
      <c r="E123" s="53" t="str">
        <v>DV_Gội</v>
      </c>
      <c r="F123" s="54">
        <v>289000</v>
      </c>
      <c r="G123" s="54">
        <v>309000</v>
      </c>
      <c r="H123" s="55">
        <v>296000</v>
      </c>
      <c r="I123" s="56">
        <v>-13000</v>
      </c>
      <c r="J123">
        <f>B123&amp;D123</f>
      </c>
      <c r="K123" s="20">
        <v>296000</v>
      </c>
    </row>
    <row r="124">
      <c r="A124" s="53" t="str">
        <v>80 TP TH</v>
      </c>
      <c r="B124" s="53">
        <v>232</v>
      </c>
      <c r="C124" s="53" t="str">
        <v>Gội combo 3 - Dưỡng sinh</v>
      </c>
      <c r="D124" s="53">
        <v>934</v>
      </c>
      <c r="E124" s="53" t="str">
        <v>DV_Gội</v>
      </c>
      <c r="F124" s="54">
        <v>229000</v>
      </c>
      <c r="G124" s="54">
        <v>245000</v>
      </c>
      <c r="H124" s="55">
        <v>236000</v>
      </c>
      <c r="I124" s="56">
        <v>-9000</v>
      </c>
      <c r="J124">
        <f>B124&amp;D124</f>
      </c>
      <c r="K124" s="20">
        <v>236000</v>
      </c>
    </row>
    <row r="125">
      <c r="A125" s="53" t="str">
        <v>80 TP TH</v>
      </c>
      <c r="B125" s="53">
        <v>232</v>
      </c>
      <c r="C125" s="53" t="str">
        <v>Gội trải nghiệm 115p</v>
      </c>
      <c r="D125" s="53">
        <v>1068</v>
      </c>
      <c r="E125" s="53" t="str">
        <v>DV_Gội</v>
      </c>
      <c r="F125" s="54">
        <v>999000</v>
      </c>
      <c r="G125" s="54">
        <v>1067000</v>
      </c>
      <c r="H125" s="55">
        <v>999000</v>
      </c>
      <c r="I125" s="56">
        <v>-68000</v>
      </c>
      <c r="J125">
        <f>B125&amp;D125</f>
      </c>
      <c r="K125" s="20">
        <v>999000</v>
      </c>
    </row>
    <row r="126">
      <c r="A126" s="53" t="str">
        <v>80 TP TH</v>
      </c>
      <c r="B126" s="53">
        <v>232</v>
      </c>
      <c r="C126" s="53" t="str">
        <v>Gội trải nghiệm 75p</v>
      </c>
      <c r="D126" s="53">
        <v>1066</v>
      </c>
      <c r="E126" s="53" t="str">
        <v>DV_Gội</v>
      </c>
      <c r="F126" s="54">
        <v>589000</v>
      </c>
      <c r="G126" s="54">
        <v>629000</v>
      </c>
      <c r="H126" s="55">
        <v>599000</v>
      </c>
      <c r="I126" s="56">
        <v>-30000</v>
      </c>
      <c r="J126">
        <f>B126&amp;D126</f>
      </c>
      <c r="K126" s="20">
        <v>599000</v>
      </c>
    </row>
    <row r="127">
      <c r="A127" s="53" t="str">
        <v>80 TP TH</v>
      </c>
      <c r="B127" s="53">
        <v>232</v>
      </c>
      <c r="C127" s="53" t="str">
        <v>Gội trải nghiệm 90p</v>
      </c>
      <c r="D127" s="53">
        <v>1067</v>
      </c>
      <c r="E127" s="53" t="str">
        <v>DV_Gội</v>
      </c>
      <c r="F127" s="54">
        <v>789000</v>
      </c>
      <c r="G127" s="54">
        <v>843000</v>
      </c>
      <c r="H127" s="55">
        <v>799000</v>
      </c>
      <c r="I127" s="56">
        <v>-44000</v>
      </c>
      <c r="J127">
        <f>B127&amp;D127</f>
      </c>
      <c r="K127" s="20">
        <v>799000</v>
      </c>
    </row>
    <row r="128">
      <c r="A128" s="53" t="str">
        <v>80 TP TH</v>
      </c>
      <c r="B128" s="53">
        <v>232</v>
      </c>
      <c r="C128" s="53" t="str">
        <v>Shinecombo 2</v>
      </c>
      <c r="D128" s="53">
        <v>1046</v>
      </c>
      <c r="E128" s="53" t="str">
        <v>DV_Cắt_Vip</v>
      </c>
      <c r="F128" s="54">
        <v>208000</v>
      </c>
      <c r="G128" s="54">
        <v>222000</v>
      </c>
      <c r="H128" s="55">
        <v>215000</v>
      </c>
      <c r="I128" s="56">
        <v>-7000</v>
      </c>
      <c r="J128">
        <f>B128&amp;D128</f>
      </c>
      <c r="K128" s="20">
        <v>215000</v>
      </c>
    </row>
    <row r="129">
      <c r="A129" s="53" t="str">
        <v>80 TP TH</v>
      </c>
      <c r="B129" s="53">
        <v>232</v>
      </c>
      <c r="C129" s="53" t="str">
        <v>VH Combo Gội Dưỡng Sinh Phục Hồi</v>
      </c>
      <c r="D129" s="53">
        <v>1260</v>
      </c>
      <c r="E129" s="53" t="str">
        <v>DV_Gội</v>
      </c>
      <c r="F129" s="54">
        <v>399000</v>
      </c>
      <c r="G129" s="54">
        <v>426000</v>
      </c>
      <c r="H129" s="55">
        <v>406000</v>
      </c>
      <c r="I129" s="56">
        <v>-20000</v>
      </c>
      <c r="J129">
        <f>B129&amp;D129</f>
      </c>
      <c r="K129" s="20">
        <v>406000</v>
      </c>
    </row>
    <row r="130">
      <c r="A130" s="53" t="str">
        <v>80 TP TH</v>
      </c>
      <c r="B130" s="53">
        <v>232</v>
      </c>
      <c r="C130" s="53" t="str">
        <v>VH Cắt gội dưỡng sinh Vip</v>
      </c>
      <c r="D130" s="53">
        <v>1255</v>
      </c>
      <c r="E130" s="53" t="str">
        <v>DV_Cắt</v>
      </c>
      <c r="F130" s="54">
        <v>258000</v>
      </c>
      <c r="G130" s="54">
        <v>276000</v>
      </c>
      <c r="H130" s="55">
        <v>265000</v>
      </c>
      <c r="I130" s="56">
        <v>-11000</v>
      </c>
      <c r="J130">
        <f>B130&amp;D130</f>
      </c>
      <c r="K130" s="20">
        <v>265000</v>
      </c>
    </row>
    <row r="131">
      <c r="A131" s="53" t="str">
        <v>80 TP TH</v>
      </c>
      <c r="B131" s="53">
        <v>232</v>
      </c>
      <c r="C131" s="53" t="str">
        <v>VH Cắt gội dưỡng sinh Vip LRT</v>
      </c>
      <c r="D131" s="53">
        <v>1256</v>
      </c>
      <c r="E131" s="53" t="str">
        <v>DV_Cắt_Vip</v>
      </c>
      <c r="F131" s="54">
        <v>308000</v>
      </c>
      <c r="G131" s="54">
        <v>329000</v>
      </c>
      <c r="H131" s="55">
        <v>315000</v>
      </c>
      <c r="I131" s="56">
        <v>-14000</v>
      </c>
      <c r="J131">
        <f>B131&amp;D131</f>
      </c>
      <c r="K131" s="20">
        <v>315000</v>
      </c>
    </row>
    <row r="132">
      <c r="A132" s="53" t="str">
        <v>80 TP TH</v>
      </c>
      <c r="B132" s="53">
        <v>232</v>
      </c>
      <c r="C132" s="53" t="str">
        <v>VH Cắt gội thư giãn phục hồi</v>
      </c>
      <c r="D132" s="53">
        <v>1257</v>
      </c>
      <c r="E132" s="53" t="str">
        <v>DV_Cắt_Vip</v>
      </c>
      <c r="F132" s="54">
        <v>458000</v>
      </c>
      <c r="G132" s="54">
        <v>489000</v>
      </c>
      <c r="H132" s="55">
        <v>465000</v>
      </c>
      <c r="I132" s="56">
        <v>-24000</v>
      </c>
      <c r="J132">
        <f>B132&amp;D132</f>
      </c>
      <c r="K132" s="20">
        <v>465000</v>
      </c>
    </row>
    <row r="133">
      <c r="A133" s="53" t="str">
        <v>80 TP TH</v>
      </c>
      <c r="B133" s="53">
        <v>232</v>
      </c>
      <c r="C133" s="53" t="str">
        <v>VH Gội Vip Dưỡng Sinh</v>
      </c>
      <c r="D133" s="53">
        <v>1258</v>
      </c>
      <c r="E133" s="53" t="str">
        <v>DV_Gội</v>
      </c>
      <c r="F133" s="54">
        <v>199000</v>
      </c>
      <c r="G133" s="54">
        <v>213000</v>
      </c>
      <c r="H133" s="55">
        <v>206000</v>
      </c>
      <c r="I133" s="56">
        <v>-7000</v>
      </c>
      <c r="J133">
        <f>B133&amp;D133</f>
      </c>
      <c r="K133" s="20">
        <v>206000</v>
      </c>
    </row>
    <row r="134">
      <c r="A134" s="53" t="str">
        <v>80 TP TH</v>
      </c>
      <c r="B134" s="53">
        <v>232</v>
      </c>
      <c r="C134" s="53" t="str">
        <v>VH Gội Vip Dưỡng Sinh LRT</v>
      </c>
      <c r="D134" s="53">
        <v>1259</v>
      </c>
      <c r="E134" s="53" t="str">
        <v>DV_Gội</v>
      </c>
      <c r="F134" s="54">
        <v>259000</v>
      </c>
      <c r="G134" s="54">
        <v>277000</v>
      </c>
      <c r="H134" s="55">
        <v>266000</v>
      </c>
      <c r="I134" s="56">
        <v>-11000</v>
      </c>
      <c r="J134">
        <f>B134&amp;D134</f>
      </c>
      <c r="K134" s="20">
        <v>266000</v>
      </c>
    </row>
    <row r="135">
      <c r="A135" s="53" t="str">
        <v>80 TP TH</v>
      </c>
      <c r="B135" s="53">
        <v>232</v>
      </c>
      <c r="C135" s="53" t="str">
        <v>[NEW] Gội dưỡng sinh cổ vai gáy và chăm sóc da</v>
      </c>
      <c r="D135" s="53">
        <v>930</v>
      </c>
      <c r="E135" s="53" t="str">
        <v>DV_Gội</v>
      </c>
      <c r="F135" s="54">
        <v>139000</v>
      </c>
      <c r="G135" s="54">
        <v>148000</v>
      </c>
      <c r="H135" s="55">
        <v>146000</v>
      </c>
      <c r="I135" s="56">
        <v>-2000</v>
      </c>
      <c r="J135">
        <f>B135&amp;D135</f>
      </c>
      <c r="K135" s="20">
        <v>146000</v>
      </c>
    </row>
    <row r="136">
      <c r="A136" s="53" t="str">
        <v>39 HBT</v>
      </c>
      <c r="B136" s="53">
        <v>200</v>
      </c>
      <c r="C136" s="53" t="str">
        <v>Combo 4</v>
      </c>
      <c r="D136" s="53">
        <v>1048</v>
      </c>
      <c r="E136" s="53" t="str">
        <v>DV_Cắt_Vip</v>
      </c>
      <c r="F136" s="53">
        <v>395000</v>
      </c>
      <c r="G136" s="53">
        <v>411000</v>
      </c>
      <c r="H136" s="53">
        <v>395000</v>
      </c>
      <c r="I136" s="56">
        <v>-8000</v>
      </c>
    </row>
    <row r="137">
      <c r="A137" s="53" t="str">
        <v>39 HBT</v>
      </c>
      <c r="B137" s="53">
        <v>200</v>
      </c>
      <c r="C137" s="53" t="str">
        <v>Gội Combo 2</v>
      </c>
      <c r="D137" s="53">
        <v>1058</v>
      </c>
      <c r="E137" s="53" t="str">
        <v>DV_Gội</v>
      </c>
      <c r="F137" s="53">
        <v>159000</v>
      </c>
      <c r="G137" s="53">
        <v>165000</v>
      </c>
      <c r="H137" s="53">
        <v>159000</v>
      </c>
      <c r="I137" s="56">
        <v>-6000</v>
      </c>
    </row>
    <row r="138">
      <c r="A138" s="53" t="str">
        <v>39 HBT</v>
      </c>
      <c r="B138" s="53">
        <v>200</v>
      </c>
      <c r="C138" s="53" t="str">
        <v>Gội Combo 3 - Chăm da</v>
      </c>
      <c r="D138" s="53">
        <v>1059</v>
      </c>
      <c r="E138" s="53" t="str">
        <v>DV_Gội</v>
      </c>
      <c r="F138" s="53">
        <v>239000</v>
      </c>
      <c r="G138" s="53">
        <v>249000</v>
      </c>
      <c r="H138" s="53">
        <v>239000</v>
      </c>
      <c r="I138" s="56">
        <v>-10000</v>
      </c>
    </row>
    <row r="139">
      <c r="A139" s="53" t="str">
        <v>39 HBT</v>
      </c>
      <c r="B139" s="53">
        <v>200</v>
      </c>
      <c r="C139" s="53" t="str">
        <v>Gội Combo 4</v>
      </c>
      <c r="D139" s="53">
        <v>1060</v>
      </c>
      <c r="E139" s="53" t="str">
        <v>DV_Gội</v>
      </c>
      <c r="F139" s="53">
        <v>289000</v>
      </c>
      <c r="G139" s="53">
        <v>302000</v>
      </c>
      <c r="H139" s="53">
        <v>289000</v>
      </c>
      <c r="I139" s="56">
        <v>-13000</v>
      </c>
    </row>
    <row r="140">
      <c r="A140" s="53" t="str">
        <v>39 HBT</v>
      </c>
      <c r="B140" s="53">
        <v>200</v>
      </c>
      <c r="C140" s="53" t="str">
        <v>Gội combo 3 - Dưỡng sinh</v>
      </c>
      <c r="D140" s="53">
        <v>934</v>
      </c>
      <c r="E140" s="53" t="str">
        <v>DV_Gội</v>
      </c>
      <c r="F140" s="53">
        <v>229000</v>
      </c>
      <c r="G140" s="53">
        <v>238000</v>
      </c>
      <c r="H140" s="53">
        <v>229000</v>
      </c>
      <c r="I140" s="56">
        <v>-9000</v>
      </c>
    </row>
    <row r="141">
      <c r="A141" s="53" t="str">
        <v>39 HBT</v>
      </c>
      <c r="B141" s="53">
        <v>200</v>
      </c>
      <c r="C141" s="53" t="str">
        <v>Gội dưỡng sinh cổ vai gáy</v>
      </c>
      <c r="D141" s="53">
        <v>867</v>
      </c>
      <c r="E141" s="53" t="str">
        <v>DV_Gội</v>
      </c>
      <c r="F141" s="53">
        <v>99000</v>
      </c>
      <c r="G141" s="53">
        <v>103000</v>
      </c>
      <c r="H141" s="53">
        <v>99000</v>
      </c>
      <c r="I141" s="56">
        <v>-4000</v>
      </c>
    </row>
    <row r="142">
      <c r="A142" s="53" t="str">
        <v>39 HBT</v>
      </c>
      <c r="B142" s="53">
        <v>200</v>
      </c>
      <c r="C142" s="53" t="str">
        <v>Gội trải nghiệm 115p</v>
      </c>
      <c r="D142" s="53">
        <v>1068</v>
      </c>
      <c r="E142" s="53" t="str">
        <v>DV_Gội</v>
      </c>
      <c r="F142" s="53">
        <v>999000</v>
      </c>
      <c r="G142" s="53">
        <v>1039000</v>
      </c>
      <c r="H142" s="53">
        <v>999000</v>
      </c>
      <c r="I142" s="56">
        <v>-40000</v>
      </c>
    </row>
    <row r="143">
      <c r="A143" s="53" t="str">
        <v>39 HBT</v>
      </c>
      <c r="B143" s="53">
        <v>200</v>
      </c>
      <c r="C143" s="53" t="str">
        <v>Gội trải nghiệm 140p</v>
      </c>
      <c r="D143" s="53">
        <v>1069</v>
      </c>
      <c r="E143" s="53" t="str">
        <v>DV_Gội</v>
      </c>
      <c r="F143" s="53">
        <v>1199000</v>
      </c>
      <c r="G143" s="53">
        <v>1247000</v>
      </c>
      <c r="H143" s="53">
        <v>1199000</v>
      </c>
      <c r="I143" s="56">
        <v>-48000</v>
      </c>
    </row>
    <row r="144">
      <c r="A144" s="53" t="str">
        <v>39 HBT</v>
      </c>
      <c r="B144" s="53">
        <v>200</v>
      </c>
      <c r="C144" s="53" t="str">
        <v>Gội trải nghiệm 75p</v>
      </c>
      <c r="D144" s="53">
        <v>1066</v>
      </c>
      <c r="E144" s="53" t="str">
        <v>DV_Gội</v>
      </c>
      <c r="F144" s="53">
        <v>589000</v>
      </c>
      <c r="G144" s="53">
        <v>613000</v>
      </c>
      <c r="H144" s="53">
        <v>589000</v>
      </c>
      <c r="I144" s="56">
        <v>-24000</v>
      </c>
    </row>
    <row r="145">
      <c r="A145" s="53" t="str">
        <v>39 HBT</v>
      </c>
      <c r="B145" s="53">
        <v>200</v>
      </c>
      <c r="C145" s="53" t="str">
        <v>Gội trải nghiệm 90p</v>
      </c>
      <c r="D145" s="53">
        <v>1067</v>
      </c>
      <c r="E145" s="53" t="str">
        <v>DV_Gội</v>
      </c>
      <c r="F145" s="53">
        <v>789000</v>
      </c>
      <c r="G145" s="53">
        <v>821000</v>
      </c>
      <c r="H145" s="53">
        <v>789000</v>
      </c>
      <c r="I145" s="56">
        <v>-32000</v>
      </c>
    </row>
    <row r="146">
      <c r="A146" s="53" t="str">
        <v>39 HBT</v>
      </c>
      <c r="B146" s="53">
        <v>200</v>
      </c>
      <c r="C146" s="53" t="str">
        <v>Shinecombo 2</v>
      </c>
      <c r="D146" s="53">
        <v>1046</v>
      </c>
      <c r="E146" s="53" t="str">
        <v>DV_Cắt_Vip</v>
      </c>
      <c r="F146" s="53">
        <v>205000</v>
      </c>
      <c r="G146" s="53">
        <v>213000</v>
      </c>
      <c r="H146" s="53">
        <v>205000</v>
      </c>
      <c r="I146" s="56">
        <v>-3000</v>
      </c>
    </row>
    <row r="147">
      <c r="A147" s="53" t="str">
        <v>39 HBT</v>
      </c>
      <c r="B147" s="53">
        <v>200</v>
      </c>
      <c r="C147" s="53" t="str">
        <v>[NEW] Gội dưỡng sinh cổ vai gáy và chăm sóc da</v>
      </c>
      <c r="D147" s="53">
        <v>930</v>
      </c>
      <c r="E147" s="53" t="str">
        <v>DV_Gội</v>
      </c>
      <c r="F147" s="53">
        <v>139000</v>
      </c>
      <c r="G147" s="53">
        <v>145000</v>
      </c>
      <c r="H147" s="53">
        <v>139000</v>
      </c>
      <c r="I147" s="56">
        <v>-6000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