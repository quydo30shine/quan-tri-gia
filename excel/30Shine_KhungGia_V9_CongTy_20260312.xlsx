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hương Pháp Định Giá" sheetId="2" r:id="rId5"/>
    <sheet name="Cắt Gội" sheetId="3" r:id="rId6"/>
    <sheet name="Cắt Gội（Sao chép2）" sheetId="4" r:id="rId7" state="hidden"/>
    <sheet name="Cắt Gội（Sao chép）" sheetId="5" r:id="rId8" state="hidden"/>
    <sheet name="Uốn" sheetId="6" r:id="rId9"/>
    <sheet name="Uốn（Sao chép）" sheetId="7" r:id="rId10" state="hidden"/>
    <sheet name="Nhuộm" sheetId="8" r:id="rId11"/>
    <sheet name="Nhuộm（Sao chép）" sheetId="9" r:id="rId12" state="hidden"/>
    <sheet name="Data giá Relax hiện tại" sheetId="10" r:id="rId13" state="hidden"/>
    <sheet name="Giá Uốn hiện tại" sheetId="11" r:id="rId14" state="hidden"/>
    <sheet name="Kịch bản thay đổi giá Relax -  " sheetId="12" r:id="rId15"/>
    <sheet name="Thay đổi DT Cắt - SC - Gội Opti" sheetId="13" r:id="rId16"/>
    <sheet name="Thay đổi DT Uốn" sheetId="14" r:id="rId17"/>
    <sheet name="Thay đổi DT Nhuộm" sheetId="15" r:id="rId18"/>
    <sheet name="Rule điều chỉnh giá DV phụ ngày" sheetId="16" r:id="rId19"/>
    <sheet name="Rule Back giá DV ngày 24 3" sheetId="17" r:id="rId20"/>
    <sheet name="Đề xuất back giá ngày 24 3" sheetId="18" r:id="rId2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<sst xmlns="http://schemas.openxmlformats.org/spreadsheetml/2006/main" count="2" uniqueCount="2">
  <si>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</si>
  <si>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t xml:space="preserve">Bản Final chi tiết đã check Phương pháp luận &amp; Quy trình - </t>
    </r>
    <r>
      <rPr>
        <u/>
        <sz val="9.75"/>
        <color theme="10"/>
        <rFont val="Calibri"/>
        <family val="2"/>
      </rPr>
      <t>30Shine_PhuongPhapLuan_FINAL.md</t>
    </r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</si>
</sst>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@"/>
    <numFmt numFmtId="165" formatCode="0.00"/>
    <numFmt numFmtId="166" formatCode="#,##0"/>
    <numFmt numFmtId="167" formatCode="0.00%"/>
    <numFmt numFmtId="168" formatCode="#,##0"/>
    <numFmt numFmtId="169" formatCode="0.00%"/>
    <numFmt numFmtId="170" formatCode="#,##0"/>
    <numFmt numFmtId="171" formatCode="0.00"/>
    <numFmt numFmtId="172" formatCode="#,##0"/>
    <numFmt numFmtId="173" formatCode="#,##0"/>
    <numFmt numFmtId="174" formatCode="0.00%"/>
    <numFmt numFmtId="175" formatCode="General"/>
    <numFmt numFmtId="176" formatCode="0"/>
    <numFmt numFmtId="177" formatCode="0"/>
    <numFmt numFmtId="178" formatCode="General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0.00%"/>
    <numFmt numFmtId="187" formatCode="0.00%"/>
    <numFmt numFmtId="188" formatCode="#,##0"/>
    <numFmt numFmtId="189" formatCode="#,##0"/>
    <numFmt numFmtId="190" formatCode="#,##0"/>
    <numFmt numFmtId="191" formatCode="0.00%"/>
    <numFmt numFmtId="192" formatCode="General"/>
    <numFmt numFmtId="193" formatCode="General"/>
    <numFmt numFmtId="194" formatCode="General"/>
    <numFmt numFmtId="195" formatCode="General"/>
    <numFmt numFmtId="196" formatCode="#,##0"/>
    <numFmt numFmtId="197" formatCode="#,##0"/>
  </numFmts>
  <fonts count="1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4"/>
      <color rgb="FF2F5496"/>
      <name val="Calibri"/>
      <family val="2"/>
      <scheme val="minor"/>
    </font>
    <font>
      <b val="true"/>
      <sz val="12"/>
      <color rgb="FF2F5496"/>
      <name val="Calibri"/>
      <family val="2"/>
      <scheme val="minor"/>
    </font>
    <font>
      <b val="true"/>
      <sz val="10"/>
      <color rgb="FFC00000"/>
      <name val="Calibri"/>
      <family val="2"/>
      <scheme val="minor"/>
    </font>
  </fonts>
  <fills count="5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2F3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FEB9C"/>
        <bgColor/>
      </patternFill>
    </fill>
    <fill>
      <patternFill patternType="solid">
        <fgColor rgb="FFE2EFDA"/>
        <bgColor/>
      </patternFill>
    </fill>
    <fill>
      <patternFill patternType="solid">
        <fgColor rgb="FFD6E4F0"/>
        <bgColor/>
      </patternFill>
    </fill>
    <fill>
      <patternFill patternType="solid">
        <fgColor rgb="FFE2EFDA"/>
        <bgColor/>
      </patternFill>
    </fill>
    <fill>
      <patternFill patternType="solid">
        <fgColor rgb="FFD9F5D6"/>
        <bgColor/>
      </patternFill>
    </fill>
    <fill>
      <patternFill patternType="solid">
        <fgColor rgb="FFC6EFCE"/>
        <bgColor/>
      </patternFill>
    </fill>
    <fill>
      <patternFill patternType="solid">
        <fgColor rgb="FFFFC7CE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AD82F7"/>
        <bgColor/>
      </patternFill>
    </fill>
    <fill>
      <patternFill patternType="solid">
        <fgColor rgb="FF4472C4"/>
        <bgColor/>
      </patternFill>
    </fill>
    <fill>
      <patternFill patternType="solid">
        <fgColor rgb="FFFAF1D1"/>
        <bgColor/>
      </patternFill>
    </fill>
    <fill>
      <patternFill patternType="solid">
        <fgColor rgb="FF4472C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2EFDA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006185"/>
        <bgColor/>
      </patternFill>
    </fill>
    <fill>
      <patternFill patternType="solid">
        <fgColor rgb="FF006185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404040"/>
        <bgColor/>
      </patternFill>
    </fill>
    <fill>
      <patternFill patternType="solid">
        <fgColor rgb="FF1F3864"/>
        <bgColor/>
      </patternFill>
    </fill>
    <fill>
      <patternFill patternType="solid">
        <fgColor rgb="FFE87722"/>
        <bgColor/>
      </patternFill>
    </fill>
    <fill>
      <patternFill patternType="solid">
        <fgColor rgb="FF00B0A0"/>
        <bgColor/>
      </patternFill>
    </fill>
    <fill>
      <patternFill patternType="solid">
        <fgColor rgb="FF00B0A0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2F5496"/>
        <bgColor/>
      </patternFill>
    </fill>
    <fill>
      <patternFill patternType="solid">
        <fgColor rgb="FFBF8F00"/>
        <bgColor/>
      </patternFill>
    </fill>
    <fill>
      <patternFill patternType="solid">
        <fgColor rgb="FFC00000"/>
        <bgColor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false" applyProtection="false" borderId="3" fillId="2" fontId="3" numFmtId="0" xfId="0">
      <alignment vertical="bottom"/>
    </xf>
    <xf applyAlignment="true" applyBorder="false" applyFill="false" applyFont="true" applyNumberFormat="true" applyProtection="false" borderId="4" fillId="0" fontId="1" numFmtId="164" xfId="0">
      <alignment vertical="bottom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true" applyFont="true" applyNumberFormat="false" applyProtection="false" borderId="6" fillId="3" fontId="4" numFmtId="0" xfId="0">
      <alignment horizontal="center" vertical="bottom"/>
    </xf>
    <xf applyAlignment="true" applyBorder="false" applyFill="true" applyFont="true" applyNumberFormat="false" applyProtection="false" borderId="7" fillId="4" fontId="5" numFmtId="0" xfId="0">
      <alignment vertical="bottom"/>
    </xf>
    <xf applyAlignment="true" applyBorder="false" applyFill="false" applyFont="true" applyNumberFormat="true" applyProtection="false" borderId="8" fillId="0" fontId="1" numFmtId="165" xfId="0">
      <alignment horizontal="center" vertical="bottom"/>
    </xf>
    <xf applyAlignment="true" applyBorder="false" applyFill="false" applyFont="true" applyNumberFormat="true" applyProtection="false" borderId="9" fillId="0" fontId="1" numFmtId="166" xfId="0">
      <alignment horizontal="center" vertical="bottom"/>
    </xf>
    <xf applyAlignment="true" applyBorder="false" applyFill="true" applyFont="true" applyNumberFormat="false" applyProtection="false" borderId="10" fillId="5" fontId="1" numFmtId="0" xfId="0">
      <alignment horizontal="center" vertical="bottom"/>
    </xf>
    <xf applyAlignment="true" applyBorder="false" applyFill="true" applyFont="true" applyNumberFormat="false" applyProtection="false" borderId="11" fillId="6" fontId="1" numFmtId="0" xfId="0">
      <alignment horizontal="center" vertical="bottom"/>
    </xf>
    <xf applyAlignment="true" applyBorder="false" applyFill="false" applyFont="true" applyNumberFormat="false" applyProtection="false" borderId="12" fillId="0" fontId="1" numFmtId="0" xfId="0">
      <alignment horizontal="center" vertical="bottom"/>
    </xf>
    <xf applyAlignment="true" applyBorder="false" applyFill="false" applyFont="true" applyNumberFormat="true" applyProtection="false" borderId="13" fillId="0" fontId="1" numFmtId="167" xfId="0">
      <alignment horizontal="center" vertical="bottom"/>
    </xf>
    <xf applyAlignment="true" applyBorder="false" applyFill="true" applyFont="true" applyNumberFormat="false" applyProtection="false" borderId="14" fillId="7" fontId="1" numFmtId="0" xfId="0">
      <alignment horizontal="center" vertical="bottom"/>
    </xf>
    <xf applyAlignment="true" applyBorder="false" applyFill="true" applyFont="true" applyNumberFormat="false" applyProtection="false" borderId="15" fillId="8" fontId="3" numFmtId="0" xfId="0">
      <alignment horizontal="center" vertical="bottom"/>
    </xf>
    <xf applyAlignment="true" applyBorder="false" applyFill="true" applyFont="true" applyNumberFormat="true" applyProtection="false" borderId="16" fillId="9" fontId="1" numFmtId="168" xfId="0">
      <alignment horizontal="center" vertical="bottom"/>
    </xf>
    <xf applyAlignment="true" applyBorder="false" applyFill="true" applyFont="true" applyNumberFormat="false" applyProtection="false" borderId="17" fillId="10" fontId="1" numFmtId="0" xfId="0">
      <alignment horizontal="center" vertical="bottom"/>
    </xf>
    <xf applyAlignment="true" applyBorder="false" applyFill="true" applyFont="true" applyNumberFormat="false" applyProtection="false" borderId="18" fillId="11" fontId="1" numFmtId="0" xfId="0">
      <alignment horizontal="center" vertical="bottom"/>
    </xf>
    <xf applyAlignment="true" applyBorder="false" applyFill="true" applyFont="true" applyNumberFormat="true" applyProtection="false" borderId="19" fillId="12" fontId="1" numFmtId="169" xfId="0">
      <alignment horizontal="center" vertical="bottom"/>
    </xf>
    <xf applyAlignment="true" applyBorder="false" applyFill="true" applyFont="true" applyNumberFormat="false" applyProtection="false" borderId="20" fillId="13" fontId="1" numFmtId="0" xfId="0">
      <alignment horizontal="center" vertical="bottom"/>
    </xf>
    <xf applyAlignment="true" applyBorder="false" applyFill="true" applyFont="true" applyNumberFormat="true" applyProtection="false" borderId="21" fillId="14" fontId="1" numFmtId="170" xfId="0">
      <alignment horizontal="center" vertical="bottom"/>
    </xf>
    <xf applyAlignment="true" applyBorder="false" applyFill="true" applyFont="true" applyNumberFormat="true" applyProtection="false" borderId="22" fillId="15" fontId="1" numFmtId="171" xfId="0">
      <alignment horizontal="center" vertical="bottom"/>
    </xf>
    <xf applyAlignment="true" applyBorder="false" applyFill="true" applyFont="true" applyNumberFormat="false" applyProtection="false" borderId="23" fillId="16" fontId="3" numFmtId="0" xfId="0">
      <alignment horizontal="center" vertical="bottom"/>
    </xf>
    <xf applyAlignment="true" applyBorder="false" applyFill="true" applyFont="true" applyNumberFormat="false" applyProtection="false" borderId="24" fillId="17" fontId="5" numFmtId="0" xfId="0">
      <alignment horizontal="center" vertical="bottom" wrapText="true"/>
    </xf>
    <xf applyAlignment="true" applyBorder="false" applyFill="true" applyFont="true" applyNumberFormat="true" applyProtection="false" borderId="25" fillId="18" fontId="5" numFmtId="172" xfId="0">
      <alignment horizontal="center" vertical="bottom" wrapText="true"/>
    </xf>
    <xf applyAlignment="true" applyBorder="false" applyFill="true" applyFont="true" applyNumberFormat="true" applyProtection="false" borderId="26" fillId="19" fontId="5" numFmtId="173" xfId="0">
      <alignment horizontal="center" vertical="bottom" wrapText="true"/>
    </xf>
    <xf applyAlignment="true" applyBorder="false" applyFill="true" applyFont="true" applyNumberFormat="true" applyProtection="false" borderId="27" fillId="20" fontId="5" numFmtId="174" xfId="0">
      <alignment horizontal="center" vertical="bottom" wrapText="true"/>
    </xf>
    <xf applyAlignment="true" applyBorder="false" applyFill="false" applyFont="true" applyNumberFormat="true" applyProtection="false" borderId="28" fillId="0" fontId="1" numFmtId="175" xfId="0">
      <alignment horizontal="center" vertical="bottom"/>
    </xf>
    <xf applyAlignment="true" applyBorder="false" applyFill="false" applyFont="true" applyNumberFormat="true" applyProtection="false" borderId="29" fillId="0" fontId="1" numFmtId="176" xfId="0">
      <alignment horizontal="center" vertical="bottom"/>
    </xf>
    <xf applyAlignment="true" applyBorder="false" applyFill="true" applyFont="true" applyNumberFormat="true" applyProtection="false" borderId="30" fillId="21" fontId="1" numFmtId="177" xfId="0">
      <alignment horizontal="center" vertical="bottom"/>
    </xf>
    <xf applyAlignment="true" applyBorder="false" applyFill="true" applyFont="true" applyNumberFormat="true" applyProtection="false" borderId="31" fillId="22" fontId="5" numFmtId="178" xfId="0">
      <alignment horizontal="center" vertical="bottom" wrapText="true"/>
    </xf>
    <xf applyAlignment="true" applyBorder="false" applyFill="false" applyFont="true" applyNumberFormat="true" applyProtection="false" borderId="32" fillId="0" fontId="6" numFmtId="179" xfId="0">
      <alignment vertical="center"/>
    </xf>
    <xf applyAlignment="true" applyBorder="false" applyFill="false" applyFont="true" applyNumberFormat="false" applyProtection="false" borderId="33" fillId="0" fontId="6" numFmtId="0" xfId="0">
      <alignment vertical="center"/>
    </xf>
    <xf applyAlignment="true" applyBorder="false" applyFill="false" applyFont="true" applyNumberFormat="true" applyProtection="false" borderId="34" fillId="0" fontId="7" numFmtId="180" xfId="0">
      <alignment vertical="center"/>
    </xf>
    <xf applyAlignment="true" applyBorder="false" applyFill="false" applyFont="true" applyNumberFormat="false" applyProtection="false" borderId="35" fillId="0" fontId="7" numFmtId="0" xfId="0">
      <alignment vertical="center"/>
    </xf>
    <xf applyAlignment="true" applyBorder="false" applyFill="false" applyFont="true" applyNumberFormat="true" applyProtection="false" borderId="36" fillId="0" fontId="1" numFmtId="181" xfId="0">
      <alignment vertical="center"/>
    </xf>
    <xf applyAlignment="true" applyBorder="false" applyFill="false" applyFont="true" applyNumberFormat="false" applyProtection="false" borderId="37" fillId="0" fontId="3" numFmtId="0" xfId="0">
      <alignment vertical="center"/>
    </xf>
    <xf applyAlignment="true" applyBorder="false" applyFill="false" applyFont="true" applyNumberFormat="false" applyProtection="false" borderId="38" fillId="0" fontId="7" numFmtId="0" xfId="0">
      <alignment horizontal="center" vertical="center" wrapText="true"/>
    </xf>
    <xf applyAlignment="true" applyBorder="false" applyFill="false" applyFont="true" applyNumberFormat="false" applyProtection="false" borderId="39" fillId="0" fontId="3" numFmtId="0" xfId="0">
      <alignment horizontal="center" vertical="center"/>
    </xf>
    <xf applyAlignment="true" applyBorder="false" applyFill="false" applyFont="true" applyNumberFormat="false" applyProtection="false" borderId="40" fillId="0" fontId="7" numFmtId="0" xfId="0">
      <alignment horizontal="center" vertical="center" wrapText="true"/>
    </xf>
    <xf applyAlignment="true" applyBorder="false" applyFill="false" applyFont="true" applyNumberFormat="false" applyProtection="false" borderId="41" fillId="0" fontId="3" numFmtId="0" xfId="0">
      <alignment horizontal="center" vertical="center"/>
    </xf>
    <xf applyAlignment="true" applyBorder="false" applyFill="false" applyFont="true" applyNumberFormat="true" applyProtection="false" borderId="42" fillId="0" fontId="6" numFmtId="182" xfId="0">
      <alignment vertical="center" wrapText="true"/>
    </xf>
    <xf applyAlignment="true" applyBorder="false" applyFill="false" applyFont="true" applyNumberFormat="true" applyProtection="false" borderId="43" fillId="0" fontId="1" numFmtId="183" xfId="0">
      <alignment vertical="center"/>
    </xf>
    <xf applyAlignment="true" applyBorder="false" applyFill="false" applyFont="true" applyNumberFormat="false" applyProtection="false" borderId="44" fillId="0" fontId="7" numFmtId="0" xfId="0">
      <alignment vertical="center" wrapText="true"/>
    </xf>
    <xf applyAlignment="true" applyBorder="false" applyFill="false" applyFont="true" applyNumberFormat="false" applyProtection="false" borderId="45" fillId="0" fontId="6" numFmtId="0" xfId="0">
      <alignment vertical="center" wrapText="true"/>
    </xf>
    <xf applyAlignment="false" applyBorder="false" applyFill="false" applyFont="false" applyNumberFormat="false" applyProtection="false" borderId="46" fillId="0" fontId="0" numFmtId="0" xfId="0">
      <alignment/>
    </xf>
    <xf applyAlignment="true" applyBorder="false" applyFill="false" applyFont="true" applyNumberFormat="false" applyProtection="false" borderId="47" fillId="0" fontId="1" numFmtId="0" xfId="0">
      <alignment vertical="center"/>
    </xf>
    <xf applyAlignment="true" applyBorder="false" applyFill="true" applyFont="true" applyNumberFormat="false" applyProtection="false" borderId="48" fillId="23" fontId="6" numFmtId="0" xfId="0">
      <alignment horizontal="left" vertical="center"/>
    </xf>
    <xf applyAlignment="true" applyBorder="false" applyFill="true" applyFont="true" applyNumberFormat="true" applyProtection="false" borderId="49" fillId="24" fontId="6" numFmtId="184" xfId="0">
      <alignment horizontal="center" vertical="center" wrapText="true"/>
    </xf>
    <xf applyAlignment="true" applyBorder="false" applyFill="true" applyFont="true" applyNumberFormat="true" applyProtection="false" borderId="50" fillId="25" fontId="8" numFmtId="185" xfId="0">
      <alignment horizontal="center" vertical="center" wrapText="true"/>
    </xf>
    <xf applyAlignment="true" applyBorder="false" applyFill="true" applyFont="true" applyNumberFormat="false" applyProtection="false" borderId="51" fillId="26" fontId="6" numFmtId="0" xfId="0">
      <alignment horizontal="center" vertical="center"/>
    </xf>
    <xf applyAlignment="true" applyBorder="false" applyFill="true" applyFont="true" applyNumberFormat="false" applyProtection="false" borderId="52" fillId="27" fontId="6" numFmtId="0" xfId="0">
      <alignment horizontal="center" vertical="center" wrapText="true"/>
    </xf>
    <xf applyAlignment="true" applyBorder="false" applyFill="true" applyFont="true" applyNumberFormat="true" applyProtection="false" borderId="53" fillId="28" fontId="6" numFmtId="186" xfId="0">
      <alignment horizontal="center" vertical="center" wrapText="true"/>
    </xf>
    <xf applyAlignment="true" applyBorder="false" applyFill="true" applyFont="true" applyNumberFormat="false" applyProtection="false" borderId="54" fillId="29" fontId="9" numFmtId="0" xfId="0">
      <alignment horizontal="center" vertical="center" wrapText="true"/>
    </xf>
    <xf applyAlignment="true" applyBorder="false" applyFill="true" applyFont="true" applyNumberFormat="false" applyProtection="false" borderId="55" fillId="30" fontId="10" numFmtId="0" xfId="0">
      <alignment vertical="center"/>
    </xf>
    <xf applyAlignment="true" applyBorder="false" applyFill="false" applyFont="true" applyNumberFormat="false" applyProtection="false" borderId="56" fillId="0" fontId="6" numFmtId="0" xfId="0">
      <alignment horizontal="center" vertical="center" wrapText="true"/>
    </xf>
    <xf applyAlignment="true" applyBorder="false" applyFill="false" applyFont="true" applyNumberFormat="true" applyProtection="false" borderId="57" fillId="0" fontId="6" numFmtId="187" xfId="0">
      <alignment horizontal="center" vertical="center" wrapText="true"/>
    </xf>
    <xf applyAlignment="true" applyBorder="false" applyFill="false" applyFont="true" applyNumberFormat="true" applyProtection="false" borderId="58" fillId="0" fontId="6" numFmtId="188" xfId="0">
      <alignment horizontal="center" vertical="center" wrapText="true"/>
    </xf>
    <xf applyAlignment="true" applyBorder="false" applyFill="false" applyFont="true" applyNumberFormat="false" applyProtection="false" borderId="59" fillId="0" fontId="1" numFmtId="0" xfId="0">
      <alignment horizontal="center" vertical="center"/>
    </xf>
    <xf applyAlignment="true" applyBorder="false" applyFill="false" applyFont="true" applyNumberFormat="false" applyProtection="false" borderId="60" fillId="0" fontId="6" numFmtId="0" xfId="0">
      <alignment horizontal="left" vertical="center"/>
    </xf>
    <xf applyAlignment="true" applyBorder="false" applyFill="false" applyFont="true" applyNumberFormat="true" applyProtection="false" borderId="61" fillId="0" fontId="8" numFmtId="189" xfId="0">
      <alignment horizontal="center" vertical="center" wrapText="true"/>
    </xf>
    <xf applyAlignment="true" applyBorder="false" applyFill="false" applyFont="true" applyNumberFormat="false" applyProtection="false" borderId="62" fillId="0" fontId="6" numFmtId="0" xfId="0">
      <alignment horizontal="center" vertical="center"/>
    </xf>
    <xf applyAlignment="true" applyBorder="false" applyFill="true" applyFont="true" applyNumberFormat="false" applyProtection="false" borderId="63" fillId="31" fontId="5" numFmtId="0" xfId="0">
      <alignment horizontal="center" vertical="center" wrapText="true"/>
    </xf>
    <xf applyAlignment="true" applyBorder="false" applyFill="true" applyFont="true" applyNumberFormat="false" applyProtection="false" borderId="64" fillId="32" fontId="5" numFmtId="0" xfId="0">
      <alignment horizontal="center" vertical="center" wrapText="true"/>
    </xf>
    <xf applyAlignment="true" applyBorder="false" applyFill="true" applyFont="true" applyNumberFormat="true" applyProtection="false" borderId="65" fillId="33" fontId="5" numFmtId="190" xfId="0">
      <alignment horizontal="center" vertical="center" wrapText="true"/>
    </xf>
    <xf applyAlignment="true" applyBorder="false" applyFill="true" applyFont="true" applyNumberFormat="true" applyProtection="false" borderId="66" fillId="34" fontId="5" numFmtId="191" xfId="0">
      <alignment horizontal="center" vertical="center" wrapText="true"/>
    </xf>
    <xf applyAlignment="true" applyBorder="false" applyFill="true" applyFont="true" applyNumberFormat="false" applyProtection="false" borderId="67" fillId="35" fontId="6" numFmtId="0" xfId="0">
      <alignment horizontal="left" vertical="center"/>
    </xf>
    <xf applyAlignment="true" applyBorder="false" applyFill="true" applyFont="true" applyNumberFormat="false" applyProtection="false" borderId="68" fillId="36" fontId="6" numFmtId="0" xfId="0">
      <alignment horizontal="center" vertical="center" wrapText="true"/>
    </xf>
    <xf applyAlignment="true" applyBorder="false" applyFill="true" applyFont="true" applyNumberFormat="false" applyProtection="false" borderId="69" fillId="37" fontId="8" numFmtId="0" xfId="0">
      <alignment horizontal="center" vertical="center" wrapText="true"/>
    </xf>
    <xf applyAlignment="true" applyBorder="false" applyFill="true" applyFont="true" applyNumberFormat="false" applyProtection="false" borderId="70" fillId="38" fontId="8" numFmtId="0" xfId="0">
      <alignment horizontal="center" vertical="center" wrapText="true"/>
    </xf>
    <xf applyAlignment="true" applyBorder="false" applyFill="true" applyFont="true" applyNumberFormat="false" applyProtection="false" borderId="71" fillId="39" fontId="6" numFmtId="0" xfId="0">
      <alignment horizontal="center" vertical="center" wrapText="true"/>
    </xf>
    <xf applyAlignment="true" applyBorder="false" applyFill="true" applyFont="true" applyNumberFormat="false" applyProtection="false" borderId="72" fillId="40" fontId="6" numFmtId="0" xfId="0">
      <alignment horizontal="left" vertical="center"/>
    </xf>
    <xf applyAlignment="true" applyBorder="false" applyFill="true" applyFont="true" applyNumberFormat="false" applyProtection="false" borderId="73" fillId="41" fontId="11" numFmtId="0" xfId="0">
      <alignment horizontal="center" vertical="center" wrapText="true"/>
    </xf>
    <xf applyAlignment="true" applyBorder="false" applyFill="true" applyFont="true" applyNumberFormat="false" applyProtection="false" borderId="74" fillId="42" fontId="11" numFmtId="0" xfId="0">
      <alignment horizontal="center" vertical="center" wrapText="true"/>
    </xf>
    <xf applyAlignment="true" applyBorder="false" applyFill="true" applyFont="true" applyNumberFormat="false" applyProtection="false" borderId="75" fillId="43" fontId="11" numFmtId="0" xfId="0">
      <alignment horizontal="center" vertical="center" wrapText="true"/>
    </xf>
    <xf applyAlignment="true" applyBorder="false" applyFill="true" applyFont="true" applyNumberFormat="false" applyProtection="false" borderId="76" fillId="44" fontId="11" numFmtId="0" xfId="0">
      <alignment horizontal="center" vertical="center" wrapText="true"/>
    </xf>
    <xf applyAlignment="true" applyBorder="false" applyFill="true" applyFont="true" applyNumberFormat="false" applyProtection="false" borderId="77" fillId="45" fontId="12" numFmtId="0" xfId="0">
      <alignment horizontal="center" vertical="center" wrapText="true"/>
    </xf>
    <xf applyAlignment="true" applyBorder="false" applyFill="true" applyFont="true" applyNumberFormat="true" applyProtection="false" borderId="78" fillId="46" fontId="6" numFmtId="192" xfId="0">
      <alignment horizontal="center" vertical="center" wrapText="true"/>
    </xf>
    <xf applyAlignment="true" applyBorder="false" applyFill="true" applyFont="true" applyNumberFormat="true" applyProtection="false" borderId="79" fillId="47" fontId="6" numFmtId="193" xfId="0">
      <alignment horizontal="center" vertical="center" wrapText="true"/>
    </xf>
    <xf applyAlignment="true" applyBorder="false" applyFill="false" applyFont="true" applyNumberFormat="true" applyProtection="false" borderId="80" fillId="0" fontId="6" numFmtId="194" xfId="0">
      <alignment horizontal="center" vertical="center" wrapText="true"/>
    </xf>
    <xf applyAlignment="true" applyBorder="false" applyFill="false" applyFont="true" applyNumberFormat="false" applyProtection="false" borderId="81" fillId="0" fontId="6" numFmtId="0" xfId="0">
      <alignment horizontal="left" vertical="center"/>
    </xf>
    <xf applyAlignment="true" applyBorder="false" applyFill="false" applyFont="true" applyNumberFormat="false" applyProtection="false" borderId="82" fillId="0" fontId="8" numFmtId="0" xfId="0">
      <alignment horizontal="center" vertical="center" wrapText="true"/>
    </xf>
    <xf applyAlignment="true" applyBorder="false" applyFill="true" applyFont="true" applyNumberFormat="false" applyProtection="false" borderId="83" fillId="48" fontId="8" numFmtId="0" xfId="0">
      <alignment horizontal="center" vertical="center" wrapText="true"/>
    </xf>
    <xf applyAlignment="true" applyBorder="false" applyFill="true" applyFont="true" applyNumberFormat="true" applyProtection="false" borderId="84" fillId="49" fontId="6" numFmtId="195" xfId="0">
      <alignment horizontal="center" vertical="center" wrapText="true"/>
    </xf>
    <xf applyAlignment="true" applyBorder="false" applyFill="true" applyFont="true" applyNumberFormat="false" applyProtection="false" borderId="85" fillId="50" fontId="6" numFmtId="0" xfId="0">
      <alignment horizontal="left" vertical="center"/>
    </xf>
    <xf applyAlignment="true" applyBorder="false" applyFill="true" applyFont="true" applyNumberFormat="false" applyProtection="false" borderId="86" fillId="51" fontId="5" numFmtId="0" xfId="0">
      <alignment horizontal="center" vertical="center" wrapText="true"/>
    </xf>
    <xf applyAlignment="true" applyBorder="false" applyFill="false" applyFont="true" applyNumberFormat="false" applyProtection="false" borderId="87" fillId="0" fontId="6" numFmtId="0" xfId="0">
      <alignment vertical="center" wrapText="true"/>
    </xf>
    <xf applyAlignment="true" applyBorder="false" applyFill="false" applyFont="true" applyNumberFormat="false" applyProtection="false" borderId="88" fillId="0" fontId="13" numFmtId="0" xfId="0">
      <alignment vertical="center"/>
    </xf>
    <xf applyAlignment="true" applyBorder="false" applyFill="true" applyFont="true" applyNumberFormat="false" applyProtection="false" borderId="89" fillId="52" fontId="5" numFmtId="0" xfId="0">
      <alignment horizontal="center" vertical="center" wrapText="true"/>
    </xf>
    <xf applyAlignment="true" applyBorder="false" applyFill="false" applyFont="true" applyNumberFormat="false" applyProtection="false" borderId="90" fillId="0" fontId="14" numFmtId="0" xfId="0">
      <alignment vertical="center"/>
    </xf>
    <xf applyAlignment="true" applyBorder="false" applyFill="false" applyFont="true" applyNumberFormat="true" applyProtection="false" borderId="91" fillId="0" fontId="6" numFmtId="196" xfId="0">
      <alignment vertical="center" wrapText="true"/>
    </xf>
    <xf applyAlignment="true" applyBorder="false" applyFill="false" applyFont="true" applyNumberFormat="true" applyProtection="false" borderId="92" fillId="0" fontId="15" numFmtId="197" xfId="0">
      <alignment vertical="center" wrapText="true"/>
    </xf>
    <xf applyAlignment="true" applyBorder="false" applyFill="false" applyFont="true" applyNumberFormat="false" applyProtection="false" borderId="93" fillId="0" fontId="6" numFmtId="0" xfId="0">
      <alignment horizontal="right" vertical="center" wrapText="true"/>
    </xf>
    <xf applyAlignment="true" applyBorder="false" applyFill="true" applyFont="true" applyNumberFormat="false" applyProtection="false" borderId="94" fillId="53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thirtyshine.sg.larksuite.com/file/AmLQbxDYQo8CVjxMJg9lbcNFgNc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4472C4"/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4"/>
    <col collapsed="false" customWidth="true" hidden="false" max="3" min="3" style="0" width="24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9" r="1">
      <c r="A1" s="6" t="str">
        <v>PHƯƠNG PHÁP ĐỊNH GIÁ V9 - THÁNG 3/2026</v>
      </c>
    </row>
    <row customHeight="true" ht="78" r="2">
      <c r="A2" s="5" t="s">
        <v>1</v>
      </c>
    </row>
    <row customHeight="true" ht="19" r="3">
      <c r="A3" s="2" t="str">
        <v>TRIẾT LÝ CỐT LÕI</v>
      </c>
    </row>
    <row customHeight="true" ht="19" r="4">
      <c r="A4" s="1" t="str">
        <v>Tầng 1: WTP → Xác định KHUNG GIÁ [Sàn L ; Trần H]</v>
      </c>
    </row>
    <row customHeight="true" ht="19" r="5">
      <c r="A5" s="1" t="str">
        <v>Tầng 2: CPI × EPI → Xác định VỊ TRÍ trong khung WTP</v>
      </c>
    </row>
    <row customHeight="true" ht="19" r="6">
      <c r="A6" s="1" t="str">
        <v>Công thức: P_min = L + α_low × (H-L), P_max = L + α_high × (H-L)</v>
      </c>
    </row>
    <row customHeight="true" ht="19" r="7"/>
    <row customHeight="true" ht="19" r="8">
      <c r="A8" s="2" t="str">
        <v>MA TRẬN CPI × EPI → HỆ SỐ α</v>
      </c>
    </row>
    <row customHeight="true" ht="19" r="9">
      <c r="A9" s="7" t="str">
        <v>CPI \ EPI</v>
      </c>
      <c r="B9" s="7" t="str">
        <v>EPI Thấp</v>
      </c>
      <c r="C9" s="7" t="str">
        <v>EPI Trung</v>
      </c>
      <c r="D9" s="7" t="str">
        <v>EPI Cao</v>
      </c>
    </row>
    <row customHeight="true" ht="19" r="10">
      <c r="A10" s="3" t="str">
        <v>CPI Cao</v>
      </c>
      <c r="B10" s="1" t="str">
        <v>[0.15 ; 0.35]</v>
      </c>
      <c r="C10" s="1" t="str">
        <v>[0.25 ; 0.45]</v>
      </c>
      <c r="D10" s="1" t="str">
        <v>[0.35 ; 0.55]</v>
      </c>
    </row>
    <row customHeight="true" ht="19" r="11">
      <c r="A11" s="3" t="str">
        <v>CPI Trung</v>
      </c>
      <c r="B11" s="1" t="str">
        <v>[0.25 ; 0.50]</v>
      </c>
      <c r="C11" s="1" t="str">
        <v>[0.40 ; 0.65]</v>
      </c>
      <c r="D11" s="1" t="str">
        <v>[0.55 ; 0.80]</v>
      </c>
    </row>
    <row customHeight="true" ht="19" r="12">
      <c r="A12" s="3" t="str">
        <v>CPI Thấp</v>
      </c>
      <c r="B12" s="1" t="str">
        <v>[0.40 ; 0.65]</v>
      </c>
      <c r="C12" s="1" t="str">
        <v>[0.55 ; 0.85]</v>
      </c>
      <c r="D12" s="1" t="str">
        <v>[0.70 ; 1.00]</v>
      </c>
    </row>
    <row customHeight="true" ht="19" r="13"/>
    <row customHeight="true" ht="19" r="14">
      <c r="A14" s="2" t="str">
        <v>4 KỊCH BẢN VẬN HÀNH</v>
      </c>
    </row>
    <row customHeight="true" ht="19" r="15">
      <c r="A15" s="1" t="str">
        <v>KB1: Hút Traffic</v>
      </c>
      <c r="B15" s="4" t="str">
        <v>=P_min</v>
      </c>
      <c r="C15" s="1" t="str">
        <v>Thu hút khách mới</v>
      </c>
    </row>
    <row customHeight="true" ht="19" r="16">
      <c r="A16" s="1" t="str">
        <v>KB2: Tăng AOV</v>
      </c>
      <c r="B16" s="4" t="str">
        <v>=P_max</v>
      </c>
      <c r="C16" s="1" t="str">
        <v>Tăng doanh thu/margin</v>
      </c>
    </row>
    <row customHeight="true" ht="19" r="17">
      <c r="A17" s="1" t="str">
        <v>KB3: Cân Bằng</v>
      </c>
      <c r="B17" s="4" t="str">
        <v>=(P_min + P_max) / 2</v>
      </c>
      <c r="C17" s="1" t="str">
        <v>Cân bằng lượng và giá</v>
      </c>
    </row>
    <row customHeight="true" ht="19" r="18">
      <c r="A18" s="1" t="str">
        <v>KB4: Giảm Quá Tải</v>
      </c>
      <c r="B18" s="4" t="str">
        <v>= P_min + 0.85 × (P_max - P_min)</v>
      </c>
      <c r="C18" s="1" t="str">
        <v>Điều tiết khi quá đông</v>
      </c>
    </row>
    <row customHeight="true" ht="19" r="19"/>
    <row customHeight="true" ht="19" r="20">
      <c r="A20" s="2" t="str">
        <v>PHÂN LOẠI CHỈ SỐ</v>
      </c>
    </row>
    <row customHeight="true" ht="19" r="21">
      <c r="A21" s="1" t="str">
        <v>CPI: Cao ≥ 0.6 | Trung 0.4-0.6 | Thấp &lt; 0.4</v>
      </c>
    </row>
    <row customHeight="true" ht="19" r="22">
      <c r="A22" s="1" t="str">
        <v>EPI: Phân loại bằng Percentile P33/P67</v>
      </c>
    </row>
    <row customHeight="true" ht="19" r="23">
      <c r="A23" s="1" t="str">
        <v>EPI P33 = 0.4142, P67 = 0.4540 (trong lần chạy này)</v>
      </c>
    </row>
  </sheetData>
  <mergeCells>
    <mergeCell ref="A1:G1"/>
  </mergeCells>
  <hyperlinks>
    <hyperlink ref="A2" display="30Shine_PhuongPhapLuan_FINAL.md" r:id="rId1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8"/>
    <col collapsed="false" customWidth="true" hidden="false" max="6" min="6" style="0" width="22"/>
    <col collapsed="false" customWidth="true" hidden="false" max="7" min="7" style="0" width="10"/>
    <col collapsed="false" customWidth="true" hidden="false" max="8" min="8" style="0" width="12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9"/>
    <col collapsed="false" customWidth="true" hidden="false" max="19" min="19" style="0" width="17"/>
    <col collapsed="false" customWidth="true" hidden="false" max="20" min="20" style="0" width="17"/>
    <col collapsed="false" customWidth="true" hidden="false" max="21" min="21" style="0" width="17"/>
    <col collapsed="false" customWidth="true" hidden="false" max="22" min="22" style="0" width="17"/>
    <col collapsed="false" customWidth="true" hidden="false" max="23" min="23" style="0" width="17"/>
    <col collapsed="false" customWidth="true" hidden="false" max="24" min="24" style="0" width="17"/>
    <col collapsed="false" customWidth="true" hidden="true" max="24" min="24" style="0" width="17"/>
    <col collapsed="false" customWidth="true" hidden="false" max="25" min="25" style="0" width="17"/>
    <col collapsed="false" customWidth="true" hidden="true" max="25" min="25" style="0" width="17"/>
    <col collapsed="false" customWidth="true" hidden="false" max="26" min="26" style="0" width="17"/>
    <col collapsed="false" customWidth="true" hidden="false" max="27" min="27" style="0" width="17"/>
    <col collapsed="false" customWidth="true" hidden="false" max="28" min="28" style="0" width="17"/>
    <col collapsed="false" customWidth="true" hidden="false" max="29" min="29" style="0" width="17"/>
  </cols>
  <sheetData>
    <row customHeight="true" ht="37" r="1">
      <c r="A1" s="24" t="str">
        <v>SalonID</v>
      </c>
      <c r="B1" s="24" t="str">
        <v>Tên Salon</v>
      </c>
      <c r="C1" s="24" t="str">
        <v>Mã Salon</v>
      </c>
      <c r="D1" s="24" t="str">
        <v>Tỉnh/TP</v>
      </c>
      <c r="E1" s="24" t="str">
        <v>Cụm</v>
      </c>
      <c r="F1" s="24" t="str">
        <v>Loại Cụm</v>
      </c>
      <c r="G1" s="24" t="str">
        <v>CPI</v>
      </c>
      <c r="H1" s="24" t="str">
        <v>CPI Level</v>
      </c>
      <c r="I1" s="24" t="str">
        <v>EPI</v>
      </c>
      <c r="J1" s="24" t="str">
        <v>EPI Level</v>
      </c>
      <c r="K1" s="24" t="str">
        <v>Giá Hiện Tại</v>
      </c>
      <c r="L1" s="24" t="str">
        <v>WTP Sàn (L)</v>
      </c>
      <c r="M1" s="24" t="str">
        <v>WTP Trần (H)</v>
      </c>
      <c r="N1" s="24" t="str">
        <v>Hệ Số α_low</v>
      </c>
      <c r="O1" s="24" t="str">
        <v>Hệ Số α_high</v>
      </c>
      <c r="P1" s="24" t="str">
        <v>P_min (Khung Dưới)</v>
      </c>
      <c r="Q1" s="24" t="str">
        <v>P_max (Khung Trên)</v>
      </c>
      <c r="R1" s="24" t="str">
        <v>Khung Giá Đề Xuất</v>
      </c>
      <c r="S1" s="24" t="str">
        <v>KB1: Hút Traffic</v>
      </c>
      <c r="T1" s="24" t="str">
        <v>KB2: Tăng AOV</v>
      </c>
      <c r="U1" s="24" t="str">
        <v>KB3: Cân Bằng</v>
      </c>
      <c r="V1" s="24" t="str">
        <v>KB4: Giảm Quá Tải</v>
      </c>
      <c r="W1" s="26" t="str">
        <v>GDTM Đề xuất - KB2: Tăng AOV</v>
      </c>
      <c r="X1" s="25" t="str">
        <v>ID dv</v>
      </c>
      <c r="Y1" s="25"/>
      <c r="Z1" s="25" t="str">
        <v>Giá hiện tại</v>
      </c>
      <c r="AA1" s="25" t="str">
        <v>Chênh lệch giá cũ</v>
      </c>
      <c r="AB1" s="27" t="str">
        <v>% Chênh lệch</v>
      </c>
      <c r="AC1" s="27"/>
    </row>
    <row r="2">
      <c r="A2" s="12">
        <v>39</v>
      </c>
      <c r="B2" s="12" t="str">
        <v>151 Cầu Giấy, Q. CG</v>
      </c>
      <c r="C2" s="12" t="str">
        <v>151 CG</v>
      </c>
      <c r="D2" s="12" t="str">
        <v>Hà Nội</v>
      </c>
      <c r="E2" s="12">
        <v>1</v>
      </c>
      <c r="F2" s="12" t="str">
        <v>Cụm gốc</v>
      </c>
      <c r="G2" s="8">
        <v>0.6444</v>
      </c>
      <c r="H2" s="18" t="str">
        <v>Cao</v>
      </c>
      <c r="I2" s="8">
        <v>0.4063</v>
      </c>
      <c r="J2" s="17" t="str">
        <v>Thấp</v>
      </c>
      <c r="K2" s="12">
        <v>150000</v>
      </c>
      <c r="L2" s="14">
        <v>80000</v>
      </c>
      <c r="M2" s="14">
        <v>120000</v>
      </c>
      <c r="N2" s="8">
        <v>0.15</v>
      </c>
      <c r="O2" s="8">
        <v>0.35</v>
      </c>
      <c r="P2" s="11">
        <v>86000</v>
      </c>
      <c r="Q2" s="11">
        <v>94000</v>
      </c>
      <c r="R2" s="15" t="str">
        <v>86k - 94k</v>
      </c>
      <c r="S2" s="12">
        <v>86000</v>
      </c>
      <c r="T2" s="12">
        <v>94000</v>
      </c>
      <c r="U2" s="12">
        <v>90000</v>
      </c>
      <c r="V2" s="12">
        <v>93000</v>
      </c>
      <c r="W2" s="16">
        <f>T2</f>
      </c>
      <c r="X2" s="9">
        <v>891</v>
      </c>
      <c r="Y2" s="9">
        <f>C2&amp;X2</f>
      </c>
      <c r="Z2" s="9">
        <f>VLOOKUP(Y2,'Data giá Relax hiện tại'!$D:$F,3,0)</f>
      </c>
      <c r="AA2" s="9">
        <f>W2-Z2</f>
      </c>
      <c r="AB2" s="13">
        <f>AA2/Z2</f>
      </c>
      <c r="AC2" s="13"/>
    </row>
    <row customHeight="true" ht="19" r="3">
      <c r="A3" s="12">
        <v>146</v>
      </c>
      <c r="B3" s="12" t="str">
        <v>109 Trần Quốc Hoàn</v>
      </c>
      <c r="C3" s="12" t="str">
        <v>109 TQH</v>
      </c>
      <c r="D3" s="12" t="str">
        <v>Hà Nội</v>
      </c>
      <c r="E3" s="12">
        <v>1</v>
      </c>
      <c r="F3" s="12" t="str">
        <v>Cụm gốc</v>
      </c>
      <c r="G3" s="8">
        <v>0.6773</v>
      </c>
      <c r="H3" s="18" t="str">
        <v>Cao</v>
      </c>
      <c r="I3" s="8">
        <v>0.4359</v>
      </c>
      <c r="J3" s="10" t="str">
        <v>Trung</v>
      </c>
      <c r="K3" s="12">
        <v>150000</v>
      </c>
      <c r="L3" s="14">
        <v>80000</v>
      </c>
      <c r="M3" s="14">
        <v>120000</v>
      </c>
      <c r="N3" s="8">
        <v>0.25</v>
      </c>
      <c r="O3" s="8">
        <v>0.45</v>
      </c>
      <c r="P3" s="11">
        <v>90000</v>
      </c>
      <c r="Q3" s="11">
        <v>98000</v>
      </c>
      <c r="R3" s="15" t="str">
        <v>90k - 98k</v>
      </c>
      <c r="S3" s="12">
        <v>90000</v>
      </c>
      <c r="T3" s="12">
        <v>98000</v>
      </c>
      <c r="U3" s="12">
        <v>94000</v>
      </c>
      <c r="V3" s="12">
        <v>97000</v>
      </c>
      <c r="W3" s="16">
        <f>T3</f>
      </c>
      <c r="X3" s="9">
        <v>891</v>
      </c>
      <c r="Y3" s="9">
        <f>C3&amp;X3</f>
      </c>
      <c r="Z3" s="9">
        <f>VLOOKUP(Y3,'Data giá Relax hiện tại'!$D:$F,3,0)</f>
      </c>
      <c r="AA3" s="9">
        <f>W3-Z3</f>
      </c>
      <c r="AB3" s="13">
        <f>AA3/Z3</f>
      </c>
      <c r="AC3" s="13"/>
    </row>
    <row customHeight="true" ht="19" r="4">
      <c r="A4" s="12">
        <v>2</v>
      </c>
      <c r="B4" s="12" t="str">
        <v>346 Khâm Thiên</v>
      </c>
      <c r="C4" s="12" t="str">
        <v>346 KT</v>
      </c>
      <c r="D4" s="12" t="str">
        <v>Hà Nội</v>
      </c>
      <c r="E4" s="12">
        <v>3</v>
      </c>
      <c r="F4" s="12" t="str">
        <v>Cụm gốc</v>
      </c>
      <c r="G4" s="8">
        <v>0.6615</v>
      </c>
      <c r="H4" s="18" t="str">
        <v>Cao</v>
      </c>
      <c r="I4" s="8">
        <v>0.471</v>
      </c>
      <c r="J4" s="18" t="str">
        <v>Cao</v>
      </c>
      <c r="K4" s="12">
        <v>85000</v>
      </c>
      <c r="L4" s="14">
        <v>100000</v>
      </c>
      <c r="M4" s="14">
        <v>101000</v>
      </c>
      <c r="N4" s="8">
        <v>0.35</v>
      </c>
      <c r="O4" s="8">
        <v>0.55</v>
      </c>
      <c r="P4" s="11">
        <v>100000</v>
      </c>
      <c r="Q4" s="11">
        <v>101000</v>
      </c>
      <c r="R4" s="15" t="str">
        <v>100k - 101k</v>
      </c>
      <c r="S4" s="12">
        <v>100000</v>
      </c>
      <c r="T4" s="12">
        <v>101000</v>
      </c>
      <c r="U4" s="12">
        <v>100000</v>
      </c>
      <c r="V4" s="12">
        <v>101000</v>
      </c>
      <c r="W4" s="16">
        <v>101000</v>
      </c>
      <c r="X4" s="9">
        <v>891</v>
      </c>
      <c r="Y4" s="9">
        <f>C4&amp;X4</f>
      </c>
      <c r="Z4" s="9">
        <f>VLOOKUP(Y4,'Data giá Relax hiện tại'!$D:$F,3,0)</f>
      </c>
      <c r="AA4" s="9">
        <f>W4-Z4</f>
      </c>
      <c r="AB4" s="13">
        <f>AA4/Z4</f>
      </c>
      <c r="AC4" s="13"/>
    </row>
    <row customHeight="true" ht="19" r="5">
      <c r="A5" s="12">
        <v>228</v>
      </c>
      <c r="B5" s="12" t="str">
        <v>62 Láng Hạ</v>
      </c>
      <c r="C5" s="12" t="str">
        <v>62 LH</v>
      </c>
      <c r="D5" s="12" t="str">
        <v>Hà Nội</v>
      </c>
      <c r="E5" s="12">
        <v>4</v>
      </c>
      <c r="F5" s="12" t="str">
        <v>Cụm gốc</v>
      </c>
      <c r="G5" s="8">
        <v>0.6146</v>
      </c>
      <c r="H5" s="18" t="str">
        <v>Cao</v>
      </c>
      <c r="I5" s="8">
        <v>0.4489</v>
      </c>
      <c r="J5" s="10" t="str">
        <v>Trung</v>
      </c>
      <c r="K5" s="12">
        <v>135000</v>
      </c>
      <c r="L5" s="14">
        <v>89000</v>
      </c>
      <c r="M5" s="14">
        <v>101000</v>
      </c>
      <c r="N5" s="8">
        <v>0.25</v>
      </c>
      <c r="O5" s="8">
        <v>0.45</v>
      </c>
      <c r="P5" s="11">
        <v>92000</v>
      </c>
      <c r="Q5" s="11">
        <v>94000</v>
      </c>
      <c r="R5" s="15" t="str">
        <v>92k - 94k</v>
      </c>
      <c r="S5" s="12">
        <v>92000</v>
      </c>
      <c r="T5" s="12">
        <v>94000</v>
      </c>
      <c r="U5" s="12">
        <v>93000</v>
      </c>
      <c r="V5" s="12">
        <v>94000</v>
      </c>
      <c r="W5" s="16">
        <v>98000</v>
      </c>
      <c r="X5" s="9">
        <v>891</v>
      </c>
      <c r="Y5" s="9">
        <f>C5&amp;X5</f>
      </c>
      <c r="Z5" s="9">
        <f>VLOOKUP(Y5,'Data giá Relax hiện tại'!$D:$F,3,0)</f>
      </c>
      <c r="AA5" s="9">
        <f>W5-Z5</f>
      </c>
      <c r="AB5" s="13">
        <f>AA5/Z5</f>
      </c>
      <c r="AC5" s="28">
        <f>+4000</f>
      </c>
    </row>
    <row customHeight="true" ht="19" r="6">
      <c r="A6" s="12">
        <v>20</v>
      </c>
      <c r="B6" s="12" t="str">
        <v>382 Nguyễn Trãi</v>
      </c>
      <c r="C6" s="12" t="str">
        <v>382 NT</v>
      </c>
      <c r="D6" s="12" t="str">
        <v>Hà Nội</v>
      </c>
      <c r="E6" s="12">
        <v>5</v>
      </c>
      <c r="F6" s="12" t="str">
        <v>Cụm gốc</v>
      </c>
      <c r="G6" s="8">
        <v>0.5809</v>
      </c>
      <c r="H6" s="10" t="str">
        <v>Trung</v>
      </c>
      <c r="I6" s="8">
        <v>0.5018</v>
      </c>
      <c r="J6" s="18" t="str">
        <v>Cao</v>
      </c>
      <c r="K6" s="12">
        <v>100000</v>
      </c>
      <c r="L6" s="14">
        <v>89000</v>
      </c>
      <c r="M6" s="14">
        <v>119000</v>
      </c>
      <c r="N6" s="8">
        <v>0.55</v>
      </c>
      <c r="O6" s="8">
        <v>0.8</v>
      </c>
      <c r="P6" s="11">
        <v>106000</v>
      </c>
      <c r="Q6" s="11">
        <v>113000</v>
      </c>
      <c r="R6" s="15" t="str">
        <v>106k - 113k</v>
      </c>
      <c r="S6" s="12">
        <v>106000</v>
      </c>
      <c r="T6" s="12">
        <v>113000</v>
      </c>
      <c r="U6" s="12">
        <v>109000</v>
      </c>
      <c r="V6" s="12">
        <v>112000</v>
      </c>
      <c r="W6" s="16">
        <v>112000</v>
      </c>
      <c r="X6" s="9">
        <v>891</v>
      </c>
      <c r="Y6" s="9">
        <f>C6&amp;X6</f>
      </c>
      <c r="Z6" s="9">
        <f>VLOOKUP(Y6,'Data giá Relax hiện tại'!$D:$F,3,0)</f>
      </c>
      <c r="AA6" s="9">
        <f>W6-Z6</f>
      </c>
      <c r="AB6" s="13">
        <f>AA6/Z6</f>
      </c>
      <c r="AC6" s="29">
        <v>3000</v>
      </c>
    </row>
    <row customHeight="true" ht="19" r="7">
      <c r="A7" s="12">
        <v>210</v>
      </c>
      <c r="B7" s="12" t="str">
        <v>148B Trương Định</v>
      </c>
      <c r="C7" s="12" t="str">
        <v>148 TD</v>
      </c>
      <c r="D7" s="12" t="str">
        <v>Hà Nội</v>
      </c>
      <c r="E7" s="12">
        <v>6</v>
      </c>
      <c r="F7" s="12" t="str">
        <v>Cụm gốc</v>
      </c>
      <c r="G7" s="8">
        <v>0.6448</v>
      </c>
      <c r="H7" s="18" t="str">
        <v>Cao</v>
      </c>
      <c r="I7" s="8">
        <v>0.361</v>
      </c>
      <c r="J7" s="17" t="str">
        <v>Thấp</v>
      </c>
      <c r="K7" s="12">
        <v>135000</v>
      </c>
      <c r="L7" s="14">
        <v>89000</v>
      </c>
      <c r="M7" s="14">
        <v>119000</v>
      </c>
      <c r="N7" s="8">
        <v>0.15</v>
      </c>
      <c r="O7" s="8">
        <v>0.35</v>
      </c>
      <c r="P7" s="11">
        <v>94000</v>
      </c>
      <c r="Q7" s="11">
        <v>100000</v>
      </c>
      <c r="R7" s="15" t="str">
        <v>94k - 100k</v>
      </c>
      <c r="S7" s="12">
        <v>94000</v>
      </c>
      <c r="T7" s="12">
        <v>100000</v>
      </c>
      <c r="U7" s="12">
        <v>96000</v>
      </c>
      <c r="V7" s="12">
        <v>99000</v>
      </c>
      <c r="W7" s="16">
        <f>T7</f>
      </c>
      <c r="X7" s="9">
        <v>891</v>
      </c>
      <c r="Y7" s="9">
        <f>C7&amp;X7</f>
      </c>
      <c r="Z7" s="9">
        <f>VLOOKUP(Y7,'Data giá Relax hiện tại'!$D:$F,3,0)</f>
      </c>
      <c r="AA7" s="9">
        <f>W7-Z7</f>
      </c>
      <c r="AB7" s="13">
        <f>AA7/Z7</f>
      </c>
      <c r="AC7" s="13"/>
    </row>
    <row customHeight="true" ht="19" r="8">
      <c r="A8" s="12">
        <v>250</v>
      </c>
      <c r="B8" s="12" t="str">
        <v>173 Thanh Nhàn</v>
      </c>
      <c r="C8" s="12" t="str">
        <v>173 TN</v>
      </c>
      <c r="D8" s="12" t="str">
        <v>Hà Nội</v>
      </c>
      <c r="E8" s="12">
        <v>6</v>
      </c>
      <c r="F8" s="12" t="str">
        <v>Cụm gốc</v>
      </c>
      <c r="G8" s="8">
        <v>0.6493</v>
      </c>
      <c r="H8" s="18" t="str">
        <v>Cao</v>
      </c>
      <c r="I8" s="8">
        <v>0.4431</v>
      </c>
      <c r="J8" s="10" t="str">
        <v>Trung</v>
      </c>
      <c r="K8" s="12">
        <v>160000</v>
      </c>
      <c r="L8" s="14">
        <v>89000</v>
      </c>
      <c r="M8" s="14">
        <v>119000</v>
      </c>
      <c r="N8" s="8">
        <v>0.25</v>
      </c>
      <c r="O8" s="8">
        <v>0.45</v>
      </c>
      <c r="P8" s="11">
        <v>96000</v>
      </c>
      <c r="Q8" s="11">
        <v>102000</v>
      </c>
      <c r="R8" s="15" t="str">
        <v>96k - 102k</v>
      </c>
      <c r="S8" s="12">
        <v>96000</v>
      </c>
      <c r="T8" s="12">
        <v>102000</v>
      </c>
      <c r="U8" s="12">
        <v>100000</v>
      </c>
      <c r="V8" s="12">
        <v>102000</v>
      </c>
      <c r="W8" s="16">
        <f>T8</f>
      </c>
      <c r="X8" s="9">
        <v>891</v>
      </c>
      <c r="Y8" s="9">
        <f>C8&amp;X8</f>
      </c>
      <c r="Z8" s="9">
        <f>VLOOKUP(Y8,'Data giá Relax hiện tại'!$D:$F,3,0)</f>
      </c>
      <c r="AA8" s="9">
        <f>W8-Z8</f>
      </c>
      <c r="AB8" s="13">
        <f>AA8/Z8</f>
      </c>
      <c r="AC8" s="13"/>
    </row>
    <row customHeight="true" ht="19" r="9">
      <c r="A9" s="12">
        <v>143</v>
      </c>
      <c r="B9" s="12" t="str">
        <v>10 Trần Phú</v>
      </c>
      <c r="C9" s="12" t="str">
        <v>10 TP</v>
      </c>
      <c r="D9" s="12" t="str">
        <v>Hà Nội</v>
      </c>
      <c r="E9" s="12">
        <v>7</v>
      </c>
      <c r="F9" s="12" t="str">
        <v>Cụm gốc</v>
      </c>
      <c r="G9" s="8">
        <v>0.6802</v>
      </c>
      <c r="H9" s="18" t="str">
        <v>Cao</v>
      </c>
      <c r="I9" s="8">
        <v>0.446</v>
      </c>
      <c r="J9" s="10" t="str">
        <v>Trung</v>
      </c>
      <c r="K9" s="12">
        <v>135000</v>
      </c>
      <c r="L9" s="14">
        <v>90000</v>
      </c>
      <c r="M9" s="14">
        <v>101000</v>
      </c>
      <c r="N9" s="8">
        <v>0.25</v>
      </c>
      <c r="O9" s="8">
        <v>0.45</v>
      </c>
      <c r="P9" s="11">
        <v>93000</v>
      </c>
      <c r="Q9" s="11">
        <v>95000</v>
      </c>
      <c r="R9" s="15" t="str">
        <v>93k - 95k</v>
      </c>
      <c r="S9" s="12">
        <v>93000</v>
      </c>
      <c r="T9" s="12">
        <v>95000</v>
      </c>
      <c r="U9" s="12">
        <v>94000</v>
      </c>
      <c r="V9" s="12">
        <v>95000</v>
      </c>
      <c r="W9" s="16">
        <f>T9</f>
      </c>
      <c r="X9" s="9">
        <v>891</v>
      </c>
      <c r="Y9" s="9">
        <f>C9&amp;X9</f>
      </c>
      <c r="Z9" s="9">
        <f>VLOOKUP(Y9,'Data giá Relax hiện tại'!$D:$F,3,0)</f>
      </c>
      <c r="AA9" s="9">
        <f>W9-Z9</f>
      </c>
      <c r="AB9" s="13">
        <f>AA9/Z9</f>
      </c>
      <c r="AC9" s="13"/>
    </row>
    <row customHeight="true" ht="19" r="10">
      <c r="A10" s="12">
        <v>245</v>
      </c>
      <c r="B10" s="12" t="str">
        <v>55A Nguyễn Văn Lộc</v>
      </c>
      <c r="C10" s="12" t="str">
        <v>55A NVL</v>
      </c>
      <c r="D10" s="12" t="str">
        <v>Hà Nội</v>
      </c>
      <c r="E10" s="12">
        <v>7</v>
      </c>
      <c r="F10" s="12" t="str">
        <v>Cụm gốc</v>
      </c>
      <c r="G10" s="8">
        <v>0.5529</v>
      </c>
      <c r="H10" s="10" t="str">
        <v>Trung</v>
      </c>
      <c r="I10" s="8">
        <v>0.4737</v>
      </c>
      <c r="J10" s="18" t="str">
        <v>Cao</v>
      </c>
      <c r="K10" s="12">
        <v>135000</v>
      </c>
      <c r="L10" s="14">
        <v>90000</v>
      </c>
      <c r="M10" s="14">
        <v>101000</v>
      </c>
      <c r="N10" s="8">
        <v>0.55</v>
      </c>
      <c r="O10" s="8">
        <v>0.8</v>
      </c>
      <c r="P10" s="11">
        <v>96000</v>
      </c>
      <c r="Q10" s="11">
        <v>99000</v>
      </c>
      <c r="R10" s="15" t="str">
        <v>96k - 99k</v>
      </c>
      <c r="S10" s="12">
        <v>96000</v>
      </c>
      <c r="T10" s="12">
        <v>99000</v>
      </c>
      <c r="U10" s="12">
        <v>97000</v>
      </c>
      <c r="V10" s="12">
        <v>98000</v>
      </c>
      <c r="W10" s="16">
        <f>T10</f>
      </c>
      <c r="X10" s="9">
        <v>891</v>
      </c>
      <c r="Y10" s="9">
        <f>C10&amp;X10</f>
      </c>
      <c r="Z10" s="9">
        <f>VLOOKUP(Y10,'Data giá Relax hiện tại'!$D:$F,3,0)</f>
      </c>
      <c r="AA10" s="9">
        <f>W10-Z10</f>
      </c>
      <c r="AB10" s="13">
        <f>AA10/Z10</f>
      </c>
      <c r="AC10" s="13"/>
    </row>
    <row customHeight="true" ht="19" r="11">
      <c r="A11" s="12">
        <v>239</v>
      </c>
      <c r="B11" s="12" t="str" xml:space="preserve">
        <v>186 Quang Trung </v>
      </c>
      <c r="C11" s="12" t="str">
        <v>186 QT</v>
      </c>
      <c r="D11" s="12" t="str">
        <v>Hà Nội</v>
      </c>
      <c r="E11" s="12">
        <v>8</v>
      </c>
      <c r="F11" s="12" t="str">
        <v>Cụm gốc</v>
      </c>
      <c r="G11" s="8">
        <v>0.5104</v>
      </c>
      <c r="H11" s="10" t="str">
        <v>Trung</v>
      </c>
      <c r="I11" s="8">
        <v>0.3918</v>
      </c>
      <c r="J11" s="17" t="str">
        <v>Thấp</v>
      </c>
      <c r="K11" s="12">
        <v>110000</v>
      </c>
      <c r="L11" s="14">
        <v>101000</v>
      </c>
      <c r="M11" s="14">
        <v>150000</v>
      </c>
      <c r="N11" s="8">
        <v>0.25</v>
      </c>
      <c r="O11" s="8">
        <v>0.5</v>
      </c>
      <c r="P11" s="11">
        <v>113000</v>
      </c>
      <c r="Q11" s="11">
        <v>126000</v>
      </c>
      <c r="R11" s="15" t="str">
        <v>113k - 126k</v>
      </c>
      <c r="S11" s="12">
        <v>113000</v>
      </c>
      <c r="T11" s="12">
        <v>126000</v>
      </c>
      <c r="U11" s="12">
        <v>119000</v>
      </c>
      <c r="V11" s="12">
        <v>124000</v>
      </c>
      <c r="W11" s="16">
        <f>105000</f>
      </c>
      <c r="X11" s="9">
        <v>891</v>
      </c>
      <c r="Y11" s="9">
        <f>C11&amp;X11</f>
      </c>
      <c r="Z11" s="9">
        <f>VLOOKUP(Y11,'Data giá Relax hiện tại'!$D:$F,3,0)</f>
      </c>
      <c r="AA11" s="9">
        <f>W11-Z11</f>
      </c>
      <c r="AB11" s="13">
        <f>AA11/Z11</f>
      </c>
      <c r="AC11" s="29"/>
    </row>
    <row customHeight="true" ht="19" r="12">
      <c r="A12" s="12">
        <v>231</v>
      </c>
      <c r="B12" s="12" t="str" xml:space="preserve">
        <v>304 Nguyễn Trãi </v>
      </c>
      <c r="C12" s="12" t="str">
        <v>304 NT TH</v>
      </c>
      <c r="D12" s="12" t="str">
        <v>Thanh Hóa</v>
      </c>
      <c r="E12" s="12">
        <v>9</v>
      </c>
      <c r="F12" s="12" t="str">
        <v>Cụm gốc</v>
      </c>
      <c r="G12" s="8">
        <v>0.4811</v>
      </c>
      <c r="H12" s="10" t="str">
        <v>Trung</v>
      </c>
      <c r="I12" s="8">
        <v>0.4096</v>
      </c>
      <c r="J12" s="17" t="str">
        <v>Thấp</v>
      </c>
      <c r="K12" s="12">
        <v>135000</v>
      </c>
      <c r="L12" s="14">
        <v>100000</v>
      </c>
      <c r="M12" s="14">
        <v>120000</v>
      </c>
      <c r="N12" s="8">
        <v>0.25</v>
      </c>
      <c r="O12" s="8">
        <v>0.5</v>
      </c>
      <c r="P12" s="11">
        <v>105000</v>
      </c>
      <c r="Q12" s="11">
        <v>110000</v>
      </c>
      <c r="R12" s="15" t="str">
        <v>105k - 110k</v>
      </c>
      <c r="S12" s="12">
        <v>105000</v>
      </c>
      <c r="T12" s="12">
        <v>110000</v>
      </c>
      <c r="U12" s="12">
        <v>108000</v>
      </c>
      <c r="V12" s="12">
        <v>109000</v>
      </c>
      <c r="W12" s="16">
        <f>T12</f>
      </c>
      <c r="X12" s="9">
        <v>891</v>
      </c>
      <c r="Y12" s="9">
        <f>C12&amp;X12</f>
      </c>
      <c r="Z12" s="9">
        <f>VLOOKUP(Y12,'Data giá Relax hiện tại'!$D:$F,3,0)</f>
      </c>
      <c r="AA12" s="9">
        <f>W12-Z12</f>
      </c>
      <c r="AB12" s="13">
        <f>AA12/Z12</f>
      </c>
      <c r="AC12" s="13"/>
    </row>
    <row customHeight="true" ht="19" r="13">
      <c r="A13" s="12">
        <v>232</v>
      </c>
      <c r="B13" s="12" t="str">
        <v>80 Trần Phú</v>
      </c>
      <c r="C13" s="12" t="str">
        <v>80 TP TH</v>
      </c>
      <c r="D13" s="12" t="str">
        <v>Thanh Hóa</v>
      </c>
      <c r="E13" s="12">
        <v>9</v>
      </c>
      <c r="F13" s="12" t="str">
        <v>Cụm gốc</v>
      </c>
      <c r="G13" s="8">
        <v>0.5226</v>
      </c>
      <c r="H13" s="10" t="str">
        <v>Trung</v>
      </c>
      <c r="I13" s="8">
        <v>0.4058</v>
      </c>
      <c r="J13" s="17" t="str">
        <v>Thấp</v>
      </c>
      <c r="K13" s="12">
        <v>85000</v>
      </c>
      <c r="L13" s="14">
        <v>100000</v>
      </c>
      <c r="M13" s="14">
        <v>120000</v>
      </c>
      <c r="N13" s="8">
        <v>0.25</v>
      </c>
      <c r="O13" s="8">
        <v>0.5</v>
      </c>
      <c r="P13" s="11">
        <v>105000</v>
      </c>
      <c r="Q13" s="11">
        <v>110000</v>
      </c>
      <c r="R13" s="15" t="str">
        <v>105k - 110k</v>
      </c>
      <c r="S13" s="12">
        <v>105000</v>
      </c>
      <c r="T13" s="12">
        <v>110000</v>
      </c>
      <c r="U13" s="12">
        <v>108000</v>
      </c>
      <c r="V13" s="12">
        <v>109000</v>
      </c>
      <c r="W13" s="16">
        <f>T13</f>
      </c>
      <c r="X13" s="9">
        <v>891</v>
      </c>
      <c r="Y13" s="9">
        <f>C13&amp;X13</f>
      </c>
      <c r="Z13" s="9">
        <f>VLOOKUP(Y13,'Data giá Relax hiện tại'!$D:$F,3,0)</f>
      </c>
      <c r="AA13" s="9">
        <f>W13-Z13</f>
      </c>
      <c r="AB13" s="13">
        <f>AA13/Z13</f>
      </c>
      <c r="AC13" s="13"/>
    </row>
    <row customHeight="true" ht="19" r="14">
      <c r="A14" s="12">
        <v>233</v>
      </c>
      <c r="B14" s="12" t="str">
        <v>595 Bà Triệu</v>
      </c>
      <c r="C14" s="12" t="str">
        <v>595 BT TH</v>
      </c>
      <c r="D14" s="12" t="str">
        <v>Thanh Hóa</v>
      </c>
      <c r="E14" s="12">
        <v>9</v>
      </c>
      <c r="F14" s="12" t="str">
        <v>Cụm gốc</v>
      </c>
      <c r="G14" s="8">
        <v>0.5387</v>
      </c>
      <c r="H14" s="10" t="str">
        <v>Trung</v>
      </c>
      <c r="I14" s="8">
        <v>0.4489</v>
      </c>
      <c r="J14" s="10" t="str">
        <v>Trung</v>
      </c>
      <c r="K14" s="12">
        <v>85000</v>
      </c>
      <c r="L14" s="14">
        <v>100000</v>
      </c>
      <c r="M14" s="14">
        <v>120000</v>
      </c>
      <c r="N14" s="8">
        <v>0.4</v>
      </c>
      <c r="O14" s="8">
        <v>0.65</v>
      </c>
      <c r="P14" s="11">
        <v>108000</v>
      </c>
      <c r="Q14" s="11">
        <v>113000</v>
      </c>
      <c r="R14" s="15" t="str">
        <v>108k - 113k</v>
      </c>
      <c r="S14" s="12">
        <v>108000</v>
      </c>
      <c r="T14" s="12">
        <v>113000</v>
      </c>
      <c r="U14" s="12">
        <v>110000</v>
      </c>
      <c r="V14" s="12">
        <v>112000</v>
      </c>
      <c r="W14" s="16">
        <v>112000</v>
      </c>
      <c r="X14" s="9">
        <v>891</v>
      </c>
      <c r="Y14" s="9">
        <f>C14&amp;X14</f>
      </c>
      <c r="Z14" s="9">
        <f>VLOOKUP(Y14,'Data giá Relax hiện tại'!$D:$F,3,0)</f>
      </c>
      <c r="AA14" s="9">
        <f>W14-Z14</f>
      </c>
      <c r="AB14" s="13">
        <f>AA14/Z14</f>
      </c>
      <c r="AC14" s="29">
        <v>4000</v>
      </c>
    </row>
    <row customHeight="true" ht="19" r="15">
      <c r="A15" s="12">
        <v>212</v>
      </c>
      <c r="B15" s="12" t="str">
        <v>58 Nguyễn Văn Cừ</v>
      </c>
      <c r="C15" s="12" t="str">
        <v>58 NVC NA</v>
      </c>
      <c r="D15" s="12" t="str">
        <v>Nghệ An</v>
      </c>
      <c r="E15" s="12">
        <v>10</v>
      </c>
      <c r="F15" s="12" t="str">
        <v>Cụm gốc</v>
      </c>
      <c r="G15" s="8">
        <v>0.5736</v>
      </c>
      <c r="H15" s="10" t="str">
        <v>Trung</v>
      </c>
      <c r="I15" s="8">
        <v>0.3468</v>
      </c>
      <c r="J15" s="17" t="str">
        <v>Thấp</v>
      </c>
      <c r="K15" s="12">
        <v>135000</v>
      </c>
      <c r="L15" s="14">
        <v>80000</v>
      </c>
      <c r="M15" s="14">
        <v>100000</v>
      </c>
      <c r="N15" s="8">
        <v>0.25</v>
      </c>
      <c r="O15" s="8">
        <v>0.5</v>
      </c>
      <c r="P15" s="11">
        <v>85000</v>
      </c>
      <c r="Q15" s="11">
        <v>90000</v>
      </c>
      <c r="R15" s="15" t="str">
        <v>85k - 90k</v>
      </c>
      <c r="S15" s="12">
        <v>85000</v>
      </c>
      <c r="T15" s="12">
        <v>90000</v>
      </c>
      <c r="U15" s="12">
        <v>88000</v>
      </c>
      <c r="V15" s="12">
        <v>89000</v>
      </c>
      <c r="W15" s="16">
        <f>Z15</f>
      </c>
      <c r="X15" s="9">
        <v>891</v>
      </c>
      <c r="Y15" s="9">
        <f>C15&amp;X15</f>
      </c>
      <c r="Z15" s="9">
        <f>VLOOKUP(Y15,'Data giá Relax hiện tại'!$D:$F,3,0)</f>
      </c>
      <c r="AA15" s="9">
        <f>W15-Z15</f>
      </c>
      <c r="AB15" s="13">
        <f>AA15/Z15</f>
      </c>
      <c r="AC15" s="13"/>
    </row>
    <row customHeight="true" ht="19" r="16">
      <c r="A16" s="12">
        <v>60</v>
      </c>
      <c r="B16" s="12" t="str">
        <v>80 Phú Lợi</v>
      </c>
      <c r="C16" s="12" t="str">
        <v>80 PL BD</v>
      </c>
      <c r="D16" s="12" t="str">
        <v>Bình Dương</v>
      </c>
      <c r="E16" s="12">
        <v>11</v>
      </c>
      <c r="F16" s="12" t="str">
        <v>Cụm gốc</v>
      </c>
      <c r="G16" s="8">
        <v>0.5268</v>
      </c>
      <c r="H16" s="10" t="str">
        <v>Trung</v>
      </c>
      <c r="I16" s="8">
        <v>0.366</v>
      </c>
      <c r="J16" s="17" t="str">
        <v>Thấp</v>
      </c>
      <c r="K16" s="12">
        <v>85000</v>
      </c>
      <c r="L16" s="14">
        <v>90000</v>
      </c>
      <c r="M16" s="14">
        <v>101000</v>
      </c>
      <c r="N16" s="8">
        <v>0.25</v>
      </c>
      <c r="O16" s="8">
        <v>0.5</v>
      </c>
      <c r="P16" s="11">
        <v>93000</v>
      </c>
      <c r="Q16" s="11">
        <v>96000</v>
      </c>
      <c r="R16" s="15" t="str">
        <v>93k - 96k</v>
      </c>
      <c r="S16" s="12">
        <v>93000</v>
      </c>
      <c r="T16" s="12">
        <v>96000</v>
      </c>
      <c r="U16" s="12">
        <v>94000</v>
      </c>
      <c r="V16" s="12">
        <v>95000</v>
      </c>
      <c r="W16" s="16">
        <f>T16</f>
      </c>
      <c r="X16" s="9">
        <v>891</v>
      </c>
      <c r="Y16" s="9">
        <f>C16&amp;X16</f>
      </c>
      <c r="Z16" s="9">
        <f>VLOOKUP(Y16,'Data giá Relax hiện tại'!$D:$F,3,0)</f>
      </c>
      <c r="AA16" s="9">
        <f>W16-Z16</f>
      </c>
      <c r="AB16" s="13">
        <f>AA16/Z16</f>
      </c>
      <c r="AC16" s="13"/>
    </row>
    <row customHeight="true" ht="19" r="17">
      <c r="A17" s="20">
        <v>52</v>
      </c>
      <c r="B17" s="20" t="str">
        <v>451 Phạm Văn Thuận</v>
      </c>
      <c r="C17" s="20" t="str">
        <v>451 PVT</v>
      </c>
      <c r="D17" s="20" t="str">
        <v>Đồng Nai</v>
      </c>
      <c r="E17" s="20">
        <v>12</v>
      </c>
      <c r="F17" s="20" t="str">
        <v>Cụm gốc</v>
      </c>
      <c r="G17" s="22">
        <v>0.5405</v>
      </c>
      <c r="H17" s="20" t="str">
        <v>Trung</v>
      </c>
      <c r="I17" s="22">
        <v>0.3055</v>
      </c>
      <c r="J17" s="20" t="str">
        <v>Thấp</v>
      </c>
      <c r="K17" s="20">
        <v>135000</v>
      </c>
      <c r="L17" s="20">
        <v>99000</v>
      </c>
      <c r="M17" s="20">
        <v>110000</v>
      </c>
      <c r="N17" s="22">
        <v>0.25</v>
      </c>
      <c r="O17" s="22">
        <v>0.5</v>
      </c>
      <c r="P17" s="20">
        <v>102000</v>
      </c>
      <c r="Q17" s="20">
        <v>104000</v>
      </c>
      <c r="R17" s="23" t="str">
        <v>102k - 104k</v>
      </c>
      <c r="S17" s="20">
        <v>102000</v>
      </c>
      <c r="T17" s="20">
        <v>104000</v>
      </c>
      <c r="U17" s="20">
        <v>103000</v>
      </c>
      <c r="V17" s="20">
        <v>104000</v>
      </c>
      <c r="W17" s="16">
        <f>S17</f>
      </c>
      <c r="X17" s="21">
        <v>891</v>
      </c>
      <c r="Y17" s="21">
        <f>C17&amp;X17</f>
      </c>
      <c r="Z17" s="21">
        <f>VLOOKUP(Y17,'Data giá Relax hiện tại'!$D:$F,3,0)</f>
      </c>
      <c r="AA17" s="21">
        <f>W17-Z17</f>
      </c>
      <c r="AB17" s="19">
        <f>AA17/Z17</f>
      </c>
      <c r="AC17" s="19"/>
    </row>
    <row customHeight="true" ht="19" r="18">
      <c r="A18" s="12">
        <v>247</v>
      </c>
      <c r="B18" s="12" t="str">
        <v>1371 Phạm Văn Thuận</v>
      </c>
      <c r="C18" s="12" t="str">
        <v>1371 PVT</v>
      </c>
      <c r="D18" s="12" t="str">
        <v>Đồng Nai</v>
      </c>
      <c r="E18" s="12">
        <v>12</v>
      </c>
      <c r="F18" s="12" t="str">
        <v>Cụm gốc</v>
      </c>
      <c r="G18" s="8">
        <v>0.5754</v>
      </c>
      <c r="H18" s="10" t="str">
        <v>Trung</v>
      </c>
      <c r="I18" s="8">
        <v>0.3136</v>
      </c>
      <c r="J18" s="17" t="str">
        <v>Thấp</v>
      </c>
      <c r="K18" s="12">
        <v>85000</v>
      </c>
      <c r="L18" s="14">
        <v>99000</v>
      </c>
      <c r="M18" s="14">
        <v>110000</v>
      </c>
      <c r="N18" s="8">
        <v>0.25</v>
      </c>
      <c r="O18" s="8">
        <v>0.5</v>
      </c>
      <c r="P18" s="11">
        <v>102000</v>
      </c>
      <c r="Q18" s="11">
        <v>104000</v>
      </c>
      <c r="R18" s="15" t="str">
        <v>102k - 104k</v>
      </c>
      <c r="S18" s="12">
        <v>102000</v>
      </c>
      <c r="T18" s="12">
        <v>104000</v>
      </c>
      <c r="U18" s="12">
        <v>103000</v>
      </c>
      <c r="V18" s="12">
        <v>104000</v>
      </c>
      <c r="W18" s="16">
        <f>T18</f>
      </c>
      <c r="X18" s="9">
        <v>891</v>
      </c>
      <c r="Y18" s="9">
        <f>C18&amp;X18</f>
      </c>
      <c r="Z18" s="9">
        <f>VLOOKUP(Y18,'Data giá Relax hiện tại'!$D:$F,3,0)</f>
      </c>
      <c r="AA18" s="9">
        <f>W18-Z18</f>
      </c>
      <c r="AB18" s="13">
        <f>AA18/Z18</f>
      </c>
      <c r="AC18" s="13"/>
    </row>
    <row customHeight="true" ht="19" r="19">
      <c r="A19" s="20">
        <v>46</v>
      </c>
      <c r="B19" s="20" t="str">
        <v>483 Thống Nhất</v>
      </c>
      <c r="C19" s="20" t="str">
        <v>483 TN</v>
      </c>
      <c r="D19" s="20" t="str">
        <v>Không xác định</v>
      </c>
      <c r="E19" s="20">
        <v>14</v>
      </c>
      <c r="F19" s="20" t="str">
        <v>Cụm gốc</v>
      </c>
      <c r="G19" s="22">
        <v>0.5299</v>
      </c>
      <c r="H19" s="20" t="str">
        <v>Trung</v>
      </c>
      <c r="I19" s="22">
        <v>0.4186</v>
      </c>
      <c r="J19" s="20" t="str">
        <v>Trung</v>
      </c>
      <c r="K19" s="20">
        <v>150000</v>
      </c>
      <c r="L19" s="20">
        <v>90000</v>
      </c>
      <c r="M19" s="20">
        <v>120000</v>
      </c>
      <c r="N19" s="22">
        <v>0.4</v>
      </c>
      <c r="O19" s="22">
        <v>0.65</v>
      </c>
      <c r="P19" s="20">
        <v>102000</v>
      </c>
      <c r="Q19" s="20">
        <v>110000</v>
      </c>
      <c r="R19" s="23" t="str">
        <v>102k - 110k</v>
      </c>
      <c r="S19" s="20">
        <v>102000</v>
      </c>
      <c r="T19" s="20">
        <v>110000</v>
      </c>
      <c r="U19" s="20">
        <v>106000</v>
      </c>
      <c r="V19" s="20">
        <v>108000</v>
      </c>
      <c r="W19" s="16">
        <f>S19</f>
      </c>
      <c r="X19" s="21">
        <v>891</v>
      </c>
      <c r="Y19" s="21">
        <f>C19&amp;X19</f>
      </c>
      <c r="Z19" s="21">
        <f>VLOOKUP(Y19,'Data giá Relax hiện tại'!$D:$F,3,0)</f>
      </c>
      <c r="AA19" s="21">
        <f>W19-Z19</f>
      </c>
      <c r="AB19" s="19">
        <f>AA19/Z19</f>
      </c>
      <c r="AC19" s="19"/>
    </row>
    <row customHeight="true" ht="19" r="20">
      <c r="A20" s="12">
        <v>12</v>
      </c>
      <c r="B20" s="12" t="str">
        <v>12 Lê Đức Thọ</v>
      </c>
      <c r="C20" s="12" t="str">
        <v>12 LDT</v>
      </c>
      <c r="D20" s="12" t="str">
        <v>Hồ Chí Minh</v>
      </c>
      <c r="E20" s="12">
        <v>15</v>
      </c>
      <c r="F20" s="12" t="str">
        <v>Cụm gốc</v>
      </c>
      <c r="G20" s="8">
        <v>0.7678</v>
      </c>
      <c r="H20" s="18" t="str">
        <v>Cao</v>
      </c>
      <c r="I20" s="8">
        <v>0.4194</v>
      </c>
      <c r="J20" s="10" t="str">
        <v>Trung</v>
      </c>
      <c r="K20" s="12">
        <v>100000</v>
      </c>
      <c r="L20" s="14">
        <v>94000</v>
      </c>
      <c r="M20" s="14">
        <v>120000</v>
      </c>
      <c r="N20" s="8">
        <v>0.25</v>
      </c>
      <c r="O20" s="8">
        <v>0.45</v>
      </c>
      <c r="P20" s="11">
        <v>100000</v>
      </c>
      <c r="Q20" s="11">
        <v>106000</v>
      </c>
      <c r="R20" s="15" t="str">
        <v>100k - 106k</v>
      </c>
      <c r="S20" s="12">
        <v>100000</v>
      </c>
      <c r="T20" s="12">
        <v>106000</v>
      </c>
      <c r="U20" s="12">
        <v>103000</v>
      </c>
      <c r="V20" s="12">
        <v>105000</v>
      </c>
      <c r="W20" s="16">
        <f>T20</f>
      </c>
      <c r="X20" s="9">
        <v>891</v>
      </c>
      <c r="Y20" s="9">
        <f>C20&amp;X20</f>
      </c>
      <c r="Z20" s="9">
        <f>VLOOKUP(Y20,'Data giá Relax hiện tại'!$D:$F,3,0)</f>
      </c>
      <c r="AA20" s="9">
        <f>W20-Z20</f>
      </c>
      <c r="AB20" s="13">
        <f>AA20/Z20</f>
      </c>
      <c r="AC20" s="13"/>
    </row>
    <row customHeight="true" ht="19" r="21">
      <c r="A21" s="12">
        <v>69</v>
      </c>
      <c r="B21" s="12" t="str">
        <v>312 Lê Văn Sỹ</v>
      </c>
      <c r="C21" s="12" t="str">
        <v>312 LVS</v>
      </c>
      <c r="D21" s="12" t="str">
        <v>Không xác định</v>
      </c>
      <c r="E21" s="12">
        <v>16</v>
      </c>
      <c r="F21" s="12" t="str">
        <v>Cụm gốc</v>
      </c>
      <c r="G21" s="8">
        <v>0.6377</v>
      </c>
      <c r="H21" s="18" t="str">
        <v>Cao</v>
      </c>
      <c r="I21" s="8">
        <v>0.4263</v>
      </c>
      <c r="J21" s="10" t="str">
        <v>Trung</v>
      </c>
      <c r="K21" s="12">
        <v>85000</v>
      </c>
      <c r="L21" s="14">
        <v>90000</v>
      </c>
      <c r="M21" s="14">
        <v>110000</v>
      </c>
      <c r="N21" s="8">
        <v>0.25</v>
      </c>
      <c r="O21" s="8">
        <v>0.45</v>
      </c>
      <c r="P21" s="11">
        <v>95000</v>
      </c>
      <c r="Q21" s="11">
        <v>99000</v>
      </c>
      <c r="R21" s="15" t="str">
        <v>95k - 99k</v>
      </c>
      <c r="S21" s="12">
        <v>95000</v>
      </c>
      <c r="T21" s="12">
        <v>99000</v>
      </c>
      <c r="U21" s="12">
        <v>97000</v>
      </c>
      <c r="V21" s="12">
        <v>98000</v>
      </c>
      <c r="W21" s="16">
        <f>T21</f>
      </c>
      <c r="X21" s="9">
        <v>891</v>
      </c>
      <c r="Y21" s="9">
        <f>C21&amp;X21</f>
      </c>
      <c r="Z21" s="9">
        <f>VLOOKUP(Y21,'Data giá Relax hiện tại'!$D:$F,3,0)</f>
      </c>
      <c r="AA21" s="9">
        <f>W21-Z21</f>
      </c>
      <c r="AB21" s="13">
        <f>AA21/Z21</f>
      </c>
      <c r="AC21" s="13"/>
    </row>
    <row customHeight="true" ht="19" r="22">
      <c r="A22" s="12">
        <v>205</v>
      </c>
      <c r="B22" s="12" t="str">
        <v>341 Xô Viết Nghệ Tĩnh</v>
      </c>
      <c r="C22" s="12" t="str">
        <v>341 XVNT</v>
      </c>
      <c r="D22" s="12" t="str">
        <v>Hồ Chí Minh</v>
      </c>
      <c r="E22" s="12">
        <v>17</v>
      </c>
      <c r="F22" s="12" t="str">
        <v>Cụm gốc</v>
      </c>
      <c r="G22" s="8">
        <v>0.6578</v>
      </c>
      <c r="H22" s="18" t="str">
        <v>Cao</v>
      </c>
      <c r="I22" s="8">
        <v>0.3726</v>
      </c>
      <c r="J22" s="17" t="str">
        <v>Thấp</v>
      </c>
      <c r="K22" s="12">
        <v>135000</v>
      </c>
      <c r="L22" s="14">
        <v>90000</v>
      </c>
      <c r="M22" s="14">
        <v>110000</v>
      </c>
      <c r="N22" s="8">
        <v>0.15</v>
      </c>
      <c r="O22" s="8">
        <v>0.35</v>
      </c>
      <c r="P22" s="11">
        <v>93000</v>
      </c>
      <c r="Q22" s="11">
        <v>97000</v>
      </c>
      <c r="R22" s="15" t="str">
        <v>93k - 97k</v>
      </c>
      <c r="S22" s="12">
        <v>93000</v>
      </c>
      <c r="T22" s="12">
        <v>97000</v>
      </c>
      <c r="U22" s="12">
        <v>95000</v>
      </c>
      <c r="V22" s="12">
        <v>96000</v>
      </c>
      <c r="W22" s="16">
        <f>T22</f>
      </c>
      <c r="X22" s="9">
        <v>891</v>
      </c>
      <c r="Y22" s="9">
        <f>C22&amp;X22</f>
      </c>
      <c r="Z22" s="9">
        <f>VLOOKUP(Y22,'Data giá Relax hiện tại'!$D:$F,3,0)</f>
      </c>
      <c r="AA22" s="9">
        <f>W22-Z22</f>
      </c>
      <c r="AB22" s="13">
        <f>AA22/Z22</f>
      </c>
      <c r="AC22" s="13"/>
    </row>
    <row customHeight="true" ht="19" r="23">
      <c r="A23" s="12">
        <v>21</v>
      </c>
      <c r="B23" s="12" t="str">
        <v>575 Âu Cơ</v>
      </c>
      <c r="C23" s="12" t="str">
        <v>575 AC</v>
      </c>
      <c r="D23" s="12" t="str">
        <v>Hồ Chí Minh</v>
      </c>
      <c r="E23" s="12">
        <v>18</v>
      </c>
      <c r="F23" s="12" t="str">
        <v>Cụm gốc</v>
      </c>
      <c r="G23" s="8">
        <v>0.644</v>
      </c>
      <c r="H23" s="18" t="str">
        <v>Cao</v>
      </c>
      <c r="I23" s="8">
        <v>0.4483</v>
      </c>
      <c r="J23" s="10" t="str">
        <v>Trung</v>
      </c>
      <c r="K23" s="12">
        <v>135000</v>
      </c>
      <c r="L23" s="14">
        <v>90000</v>
      </c>
      <c r="M23" s="14">
        <v>120000</v>
      </c>
      <c r="N23" s="8">
        <v>0.25</v>
      </c>
      <c r="O23" s="8">
        <v>0.45</v>
      </c>
      <c r="P23" s="11">
        <v>98000</v>
      </c>
      <c r="Q23" s="11">
        <v>104000</v>
      </c>
      <c r="R23" s="15" t="str">
        <v>98k - 104k</v>
      </c>
      <c r="S23" s="12">
        <v>98000</v>
      </c>
      <c r="T23" s="12">
        <v>104000</v>
      </c>
      <c r="U23" s="12">
        <v>100000</v>
      </c>
      <c r="V23" s="12">
        <v>103000</v>
      </c>
      <c r="W23" s="16">
        <f>T23</f>
      </c>
      <c r="X23" s="9">
        <v>891</v>
      </c>
      <c r="Y23" s="9">
        <f>C23&amp;X23</f>
      </c>
      <c r="Z23" s="9">
        <f>VLOOKUP(Y23,'Data giá Relax hiện tại'!$D:$F,3,0)</f>
      </c>
      <c r="AA23" s="9">
        <f>W23-Z23</f>
      </c>
      <c r="AB23" s="13">
        <f>AA23/Z23</f>
      </c>
      <c r="AC23" s="13"/>
    </row>
    <row customHeight="true" ht="19" r="24">
      <c r="A24" s="12">
        <v>147</v>
      </c>
      <c r="B24" s="12" t="str">
        <v>99 Tân Sơn Nhì</v>
      </c>
      <c r="C24" s="12" t="str">
        <v>99 TSN</v>
      </c>
      <c r="D24" s="12" t="str">
        <v>Hồ Chí Minh</v>
      </c>
      <c r="E24" s="12">
        <v>18</v>
      </c>
      <c r="F24" s="12" t="str">
        <v>Cụm gốc</v>
      </c>
      <c r="G24" s="8">
        <v>0.6664</v>
      </c>
      <c r="H24" s="18" t="str">
        <v>Cao</v>
      </c>
      <c r="I24" s="8">
        <v>0.4415</v>
      </c>
      <c r="J24" s="10" t="str">
        <v>Trung</v>
      </c>
      <c r="K24" s="12">
        <v>85000</v>
      </c>
      <c r="L24" s="14">
        <v>90000</v>
      </c>
      <c r="M24" s="14">
        <v>120000</v>
      </c>
      <c r="N24" s="8">
        <v>0.25</v>
      </c>
      <c r="O24" s="8">
        <v>0.45</v>
      </c>
      <c r="P24" s="11">
        <v>98000</v>
      </c>
      <c r="Q24" s="11">
        <v>104000</v>
      </c>
      <c r="R24" s="15" t="str">
        <v>98k - 104k</v>
      </c>
      <c r="S24" s="12">
        <v>98000</v>
      </c>
      <c r="T24" s="12">
        <v>104000</v>
      </c>
      <c r="U24" s="12">
        <v>100000</v>
      </c>
      <c r="V24" s="12">
        <v>103000</v>
      </c>
      <c r="W24" s="16">
        <f>T24</f>
      </c>
      <c r="X24" s="9">
        <v>891</v>
      </c>
      <c r="Y24" s="9">
        <f>C24&amp;X24</f>
      </c>
      <c r="Z24" s="9">
        <f>VLOOKUP(Y24,'Data giá Relax hiện tại'!$D:$F,3,0)</f>
      </c>
      <c r="AA24" s="9">
        <f>W24-Z24</f>
      </c>
      <c r="AB24" s="13">
        <f>AA24/Z24</f>
      </c>
      <c r="AC24" s="13"/>
    </row>
    <row customHeight="true" ht="19" r="25">
      <c r="A25" s="12">
        <v>193</v>
      </c>
      <c r="B25" s="12" t="str">
        <v>145 Tô Hiến Thành</v>
      </c>
      <c r="C25" s="12" t="str">
        <v>145 THT</v>
      </c>
      <c r="D25" s="12" t="str">
        <v>Hồ Chí Minh</v>
      </c>
      <c r="E25" s="12">
        <v>19</v>
      </c>
      <c r="F25" s="12" t="str">
        <v>Cụm gốc</v>
      </c>
      <c r="G25" s="8">
        <v>0.5476</v>
      </c>
      <c r="H25" s="10" t="str">
        <v>Trung</v>
      </c>
      <c r="I25" s="8">
        <v>0.4086</v>
      </c>
      <c r="J25" s="17" t="str">
        <v>Thấp</v>
      </c>
      <c r="K25" s="12">
        <v>85000</v>
      </c>
      <c r="L25" s="14">
        <v>80000</v>
      </c>
      <c r="M25" s="14">
        <v>119000</v>
      </c>
      <c r="N25" s="8">
        <v>0.25</v>
      </c>
      <c r="O25" s="8">
        <v>0.5</v>
      </c>
      <c r="P25" s="11">
        <v>90000</v>
      </c>
      <c r="Q25" s="11">
        <v>100000</v>
      </c>
      <c r="R25" s="15" t="str">
        <v>90k - 100k</v>
      </c>
      <c r="S25" s="12">
        <v>90000</v>
      </c>
      <c r="T25" s="12">
        <v>100000</v>
      </c>
      <c r="U25" s="12">
        <v>95000</v>
      </c>
      <c r="V25" s="12">
        <v>98000</v>
      </c>
      <c r="W25" s="16">
        <f>T25</f>
      </c>
      <c r="X25" s="9">
        <v>891</v>
      </c>
      <c r="Y25" s="9">
        <f>C25&amp;X25</f>
      </c>
      <c r="Z25" s="9">
        <f>VLOOKUP(Y25,'Data giá Relax hiện tại'!$D:$F,3,0)</f>
      </c>
      <c r="AA25" s="9">
        <f>W25-Z25</f>
      </c>
      <c r="AB25" s="13">
        <f>AA25/Z25</f>
      </c>
      <c r="AC25" s="13"/>
    </row>
    <row customHeight="true" ht="19" r="26">
      <c r="A26" s="12">
        <v>141</v>
      </c>
      <c r="B26" s="12" t="str">
        <v>236 Dương Bá Trạc</v>
      </c>
      <c r="C26" s="12" t="str">
        <v>236 DBT</v>
      </c>
      <c r="D26" s="12" t="str">
        <v>Hồ Chí Minh</v>
      </c>
      <c r="E26" s="12">
        <v>20</v>
      </c>
      <c r="F26" s="12" t="str">
        <v>Cụm gốc</v>
      </c>
      <c r="G26" s="8">
        <v>0.6503</v>
      </c>
      <c r="H26" s="18" t="str">
        <v>Cao</v>
      </c>
      <c r="I26" s="8">
        <v>0.4151</v>
      </c>
      <c r="J26" s="10" t="str">
        <v>Trung</v>
      </c>
      <c r="K26" s="12">
        <v>100000</v>
      </c>
      <c r="L26" s="14">
        <v>91000</v>
      </c>
      <c r="M26" s="14">
        <v>120000</v>
      </c>
      <c r="N26" s="8">
        <v>0.25</v>
      </c>
      <c r="O26" s="8">
        <v>0.45</v>
      </c>
      <c r="P26" s="11">
        <v>98000</v>
      </c>
      <c r="Q26" s="11">
        <v>104000</v>
      </c>
      <c r="R26" s="15" t="str">
        <v>98k - 104k</v>
      </c>
      <c r="S26" s="12">
        <v>98000</v>
      </c>
      <c r="T26" s="12">
        <v>104000</v>
      </c>
      <c r="U26" s="12">
        <v>101000</v>
      </c>
      <c r="V26" s="12">
        <v>103000</v>
      </c>
      <c r="W26" s="16">
        <f>T26</f>
      </c>
      <c r="X26" s="9">
        <v>891</v>
      </c>
      <c r="Y26" s="9">
        <f>C26&amp;X26</f>
      </c>
      <c r="Z26" s="9">
        <f>VLOOKUP(Y26,'Data giá Relax hiện tại'!$D:$F,3,0)</f>
      </c>
      <c r="AA26" s="9">
        <f>W26-Z26</f>
      </c>
      <c r="AB26" s="13">
        <f>AA26/Z26</f>
      </c>
      <c r="AC26" s="13"/>
    </row>
    <row customHeight="true" ht="19" r="27">
      <c r="A27" s="12">
        <v>51</v>
      </c>
      <c r="B27" s="12" t="str">
        <v>420 Huỳnh Tấn Phát</v>
      </c>
      <c r="C27" s="12" t="str">
        <v>420 HTP</v>
      </c>
      <c r="D27" s="12" t="str">
        <v>Hồ Chí Minh</v>
      </c>
      <c r="E27" s="12">
        <v>21</v>
      </c>
      <c r="F27" s="12" t="str">
        <v>Cụm gốc</v>
      </c>
      <c r="G27" s="8">
        <v>0.5667</v>
      </c>
      <c r="H27" s="10" t="str">
        <v>Trung</v>
      </c>
      <c r="I27" s="8">
        <v>0.42</v>
      </c>
      <c r="J27" s="10" t="str">
        <v>Trung</v>
      </c>
      <c r="K27" s="12">
        <v>85000</v>
      </c>
      <c r="L27" s="14">
        <v>89000</v>
      </c>
      <c r="M27" s="14">
        <v>101000</v>
      </c>
      <c r="N27" s="8">
        <v>0.4</v>
      </c>
      <c r="O27" s="8">
        <v>0.65</v>
      </c>
      <c r="P27" s="11">
        <v>94000</v>
      </c>
      <c r="Q27" s="11">
        <v>97000</v>
      </c>
      <c r="R27" s="15" t="str">
        <v>94k - 97k</v>
      </c>
      <c r="S27" s="12">
        <v>94000</v>
      </c>
      <c r="T27" s="12">
        <v>97000</v>
      </c>
      <c r="U27" s="12">
        <v>95000</v>
      </c>
      <c r="V27" s="12">
        <v>96000</v>
      </c>
      <c r="W27" s="16">
        <f>T27</f>
      </c>
      <c r="X27" s="9">
        <v>891</v>
      </c>
      <c r="Y27" s="9">
        <f>C27&amp;X27</f>
      </c>
      <c r="Z27" s="9">
        <f>VLOOKUP(Y27,'Data giá Relax hiện tại'!$D:$F,3,0)</f>
      </c>
      <c r="AA27" s="9">
        <f>W27-Z27</f>
      </c>
      <c r="AB27" s="13">
        <f>AA27/Z27</f>
      </c>
      <c r="AC27" s="13"/>
    </row>
    <row customHeight="true" ht="19" r="28">
      <c r="A28" s="12">
        <v>145</v>
      </c>
      <c r="B28" s="12" t="str">
        <v>237 Nguyễn Thị Thập</v>
      </c>
      <c r="C28" s="12" t="str">
        <v>237 NTT</v>
      </c>
      <c r="D28" s="12" t="str">
        <v>Hồ Chí Minh</v>
      </c>
      <c r="E28" s="12">
        <v>21</v>
      </c>
      <c r="F28" s="12" t="str">
        <v>Cụm gốc</v>
      </c>
      <c r="G28" s="8">
        <v>0.7782</v>
      </c>
      <c r="H28" s="18" t="str">
        <v>Cao</v>
      </c>
      <c r="I28" s="8">
        <v>0.4394</v>
      </c>
      <c r="J28" s="10" t="str">
        <v>Trung</v>
      </c>
      <c r="K28" s="12">
        <v>110000</v>
      </c>
      <c r="L28" s="14">
        <v>89000</v>
      </c>
      <c r="M28" s="14">
        <v>101000</v>
      </c>
      <c r="N28" s="8">
        <v>0.25</v>
      </c>
      <c r="O28" s="8">
        <v>0.45</v>
      </c>
      <c r="P28" s="11">
        <v>92000</v>
      </c>
      <c r="Q28" s="11">
        <v>94000</v>
      </c>
      <c r="R28" s="15" t="str">
        <v>92k - 94k</v>
      </c>
      <c r="S28" s="12">
        <v>92000</v>
      </c>
      <c r="T28" s="12">
        <v>94000</v>
      </c>
      <c r="U28" s="12">
        <v>93000</v>
      </c>
      <c r="V28" s="12">
        <v>94000</v>
      </c>
      <c r="W28" s="16">
        <f>T28</f>
      </c>
      <c r="X28" s="9">
        <v>891</v>
      </c>
      <c r="Y28" s="9">
        <f>C28&amp;X28</f>
      </c>
      <c r="Z28" s="9">
        <f>VLOOKUP(Y28,'Data giá Relax hiện tại'!$D:$F,3,0)</f>
      </c>
      <c r="AA28" s="9">
        <f>W28-Z28</f>
      </c>
      <c r="AB28" s="13">
        <f>AA28/Z28</f>
      </c>
      <c r="AC28" s="13"/>
    </row>
    <row customHeight="true" ht="19" r="29">
      <c r="A29" s="12">
        <v>11</v>
      </c>
      <c r="B29" s="12" t="str">
        <v>8 Châu Văn Liêm</v>
      </c>
      <c r="C29" s="12" t="str">
        <v>8 CVL</v>
      </c>
      <c r="D29" s="12" t="str">
        <v>Hồ Chí Minh</v>
      </c>
      <c r="E29" s="12">
        <v>22</v>
      </c>
      <c r="F29" s="12" t="str">
        <v>Cụm mới (cùng tỉnh)</v>
      </c>
      <c r="G29" s="8">
        <v>0.5672</v>
      </c>
      <c r="H29" s="10" t="str">
        <v>Trung</v>
      </c>
      <c r="I29" s="8">
        <v>0.3932</v>
      </c>
      <c r="J29" s="17" t="str">
        <v>Thấp</v>
      </c>
      <c r="K29" s="12">
        <v>105000</v>
      </c>
      <c r="L29" s="14">
        <v>99000</v>
      </c>
      <c r="M29" s="14">
        <v>101000</v>
      </c>
      <c r="N29" s="8">
        <v>0.25</v>
      </c>
      <c r="O29" s="8">
        <v>0.5</v>
      </c>
      <c r="P29" s="11">
        <v>100000</v>
      </c>
      <c r="Q29" s="11">
        <v>100000</v>
      </c>
      <c r="R29" s="15" t="str">
        <v>100k - 100k</v>
      </c>
      <c r="S29" s="12">
        <v>100000</v>
      </c>
      <c r="T29" s="12">
        <v>100000</v>
      </c>
      <c r="U29" s="12">
        <v>100000</v>
      </c>
      <c r="V29" s="12">
        <v>100000</v>
      </c>
      <c r="W29" s="16">
        <v>100000</v>
      </c>
      <c r="X29" s="9">
        <v>891</v>
      </c>
      <c r="Y29" s="9">
        <f>C29&amp;X29</f>
      </c>
      <c r="Z29" s="9">
        <f>VLOOKUP(Y29,'Data giá Relax hiện tại'!$D:$F,3,0)</f>
      </c>
      <c r="AA29" s="9">
        <f>W29-Z29</f>
      </c>
      <c r="AB29" s="13">
        <f>AA29/Z29</f>
      </c>
      <c r="AC29" s="13"/>
    </row>
    <row customHeight="true" ht="19" r="30">
      <c r="A30" s="12">
        <v>22</v>
      </c>
      <c r="B30" s="12" t="str">
        <v>927  Hậu Giang</v>
      </c>
      <c r="C30" s="12" t="str">
        <v>927 HG</v>
      </c>
      <c r="D30" s="12" t="str">
        <v>Hồ Chí Minh</v>
      </c>
      <c r="E30" s="12">
        <v>22</v>
      </c>
      <c r="F30" s="12" t="str">
        <v>Cụm mới (cùng tỉnh)</v>
      </c>
      <c r="G30" s="8">
        <v>0.6209</v>
      </c>
      <c r="H30" s="18" t="str">
        <v>Cao</v>
      </c>
      <c r="I30" s="8">
        <v>0.432</v>
      </c>
      <c r="J30" s="10" t="str">
        <v>Trung</v>
      </c>
      <c r="K30" s="12" t="str"/>
      <c r="L30" s="14">
        <v>99000</v>
      </c>
      <c r="M30" s="14">
        <v>101000</v>
      </c>
      <c r="N30" s="8">
        <v>0.25</v>
      </c>
      <c r="O30" s="8">
        <v>0.45</v>
      </c>
      <c r="P30" s="11">
        <v>100000</v>
      </c>
      <c r="Q30" s="11">
        <v>100000</v>
      </c>
      <c r="R30" s="15" t="str">
        <v>100k - 100k</v>
      </c>
      <c r="S30" s="12">
        <v>100000</v>
      </c>
      <c r="T30" s="12">
        <v>100000</v>
      </c>
      <c r="U30" s="12">
        <v>100000</v>
      </c>
      <c r="V30" s="12">
        <v>100000</v>
      </c>
      <c r="W30" s="16">
        <f>T30</f>
      </c>
      <c r="X30" s="9">
        <v>891</v>
      </c>
      <c r="Y30" s="9">
        <f>C30&amp;X30</f>
      </c>
      <c r="Z30" s="9">
        <f>VLOOKUP(Y30,'Data giá Relax hiện tại'!$D:$F,3,0)</f>
      </c>
      <c r="AA30" s="9">
        <f>W30-Z30</f>
      </c>
      <c r="AB30" s="13">
        <f>AA30/Z30</f>
      </c>
      <c r="AC30" s="13"/>
    </row>
    <row customHeight="true" ht="19" r="31">
      <c r="A31" s="12">
        <v>58</v>
      </c>
      <c r="B31" s="12" t="str">
        <v>730 Tỉnh lộ 10</v>
      </c>
      <c r="C31" s="12" t="str">
        <v>730 TL10</v>
      </c>
      <c r="D31" s="12" t="str">
        <v>Hồ Chí Minh</v>
      </c>
      <c r="E31" s="12">
        <v>22</v>
      </c>
      <c r="F31" s="12" t="str">
        <v>Cụm mới (cùng tỉnh)</v>
      </c>
      <c r="G31" s="8">
        <v>0.5145</v>
      </c>
      <c r="H31" s="10" t="str">
        <v>Trung</v>
      </c>
      <c r="I31" s="8">
        <v>0.4168</v>
      </c>
      <c r="J31" s="10" t="str">
        <v>Trung</v>
      </c>
      <c r="K31" s="12">
        <v>85000</v>
      </c>
      <c r="L31" s="14">
        <v>99000</v>
      </c>
      <c r="M31" s="14">
        <v>101000</v>
      </c>
      <c r="N31" s="8">
        <v>0.4</v>
      </c>
      <c r="O31" s="8">
        <v>0.65</v>
      </c>
      <c r="P31" s="11">
        <v>100000</v>
      </c>
      <c r="Q31" s="11">
        <v>100000</v>
      </c>
      <c r="R31" s="15" t="str">
        <v>100k - 100k</v>
      </c>
      <c r="S31" s="12">
        <v>100000</v>
      </c>
      <c r="T31" s="12">
        <v>100000</v>
      </c>
      <c r="U31" s="12">
        <v>100000</v>
      </c>
      <c r="V31" s="12">
        <v>100000</v>
      </c>
      <c r="W31" s="16">
        <f>T31</f>
      </c>
      <c r="X31" s="9">
        <v>891</v>
      </c>
      <c r="Y31" s="9">
        <f>C31&amp;X31</f>
      </c>
      <c r="Z31" s="9">
        <f>VLOOKUP(Y31,'Data giá Relax hiện tại'!$D:$F,3,0)</f>
      </c>
      <c r="AA31" s="9">
        <f>W31-Z31</f>
      </c>
      <c r="AB31" s="13">
        <f>AA31/Z31</f>
      </c>
      <c r="AC31" s="13"/>
    </row>
    <row customHeight="true" ht="19" r="32">
      <c r="A32" s="12">
        <v>188</v>
      </c>
      <c r="B32" s="12" t="str">
        <v>190 Hòa Bình</v>
      </c>
      <c r="C32" s="12" t="str">
        <v>190 HB</v>
      </c>
      <c r="D32" s="12" t="str">
        <v>Hồ Chí Minh</v>
      </c>
      <c r="E32" s="12">
        <v>22</v>
      </c>
      <c r="F32" s="12" t="str">
        <v>Cụm mới (cùng tỉnh)</v>
      </c>
      <c r="G32" s="8">
        <v>0.6785</v>
      </c>
      <c r="H32" s="18" t="str">
        <v>Cao</v>
      </c>
      <c r="I32" s="8">
        <v>0.412</v>
      </c>
      <c r="J32" s="17" t="str">
        <v>Thấp</v>
      </c>
      <c r="K32" s="12">
        <v>135000</v>
      </c>
      <c r="L32" s="14">
        <v>99000</v>
      </c>
      <c r="M32" s="14">
        <v>101000</v>
      </c>
      <c r="N32" s="8">
        <v>0.15</v>
      </c>
      <c r="O32" s="8">
        <v>0.35</v>
      </c>
      <c r="P32" s="11">
        <v>99000</v>
      </c>
      <c r="Q32" s="11">
        <v>100000</v>
      </c>
      <c r="R32" s="15" t="str">
        <v>99k - 100k</v>
      </c>
      <c r="S32" s="12">
        <v>99000</v>
      </c>
      <c r="T32" s="12">
        <v>100000</v>
      </c>
      <c r="U32" s="12">
        <v>100000</v>
      </c>
      <c r="V32" s="12">
        <v>100000</v>
      </c>
      <c r="W32" s="16">
        <f>T32</f>
      </c>
      <c r="X32" s="9">
        <v>891</v>
      </c>
      <c r="Y32" s="9">
        <f>C32&amp;X32</f>
      </c>
      <c r="Z32" s="9">
        <f>VLOOKUP(Y32,'Data giá Relax hiện tại'!$D:$F,3,0)</f>
      </c>
      <c r="AA32" s="9">
        <f>W32-Z32</f>
      </c>
      <c r="AB32" s="13">
        <f>AA32/Z32</f>
      </c>
      <c r="AC32" s="13"/>
    </row>
    <row customHeight="true" ht="19" r="33">
      <c r="A33" s="12">
        <v>63</v>
      </c>
      <c r="B33" s="12" t="str">
        <v>29 Hiệp Bình</v>
      </c>
      <c r="C33" s="12" t="str">
        <v>29 HB</v>
      </c>
      <c r="D33" s="12" t="str">
        <v>Hồ Chí Minh</v>
      </c>
      <c r="E33" s="12">
        <v>23</v>
      </c>
      <c r="F33" s="12" t="str">
        <v>Cụm mới (cùng tỉnh)</v>
      </c>
      <c r="G33" s="8">
        <v>0.5142</v>
      </c>
      <c r="H33" s="10" t="str">
        <v>Trung</v>
      </c>
      <c r="I33" s="8">
        <v>0.379</v>
      </c>
      <c r="J33" s="17" t="str">
        <v>Thấp</v>
      </c>
      <c r="K33" s="12">
        <v>150000</v>
      </c>
      <c r="L33" s="14">
        <v>80000</v>
      </c>
      <c r="M33" s="14">
        <v>100000</v>
      </c>
      <c r="N33" s="8">
        <v>0.25</v>
      </c>
      <c r="O33" s="8">
        <v>0.5</v>
      </c>
      <c r="P33" s="11">
        <v>85000</v>
      </c>
      <c r="Q33" s="11">
        <v>90000</v>
      </c>
      <c r="R33" s="15" t="str">
        <v>85k - 90k</v>
      </c>
      <c r="S33" s="12">
        <v>85000</v>
      </c>
      <c r="T33" s="12">
        <v>90000</v>
      </c>
      <c r="U33" s="12">
        <v>88000</v>
      </c>
      <c r="V33" s="12">
        <v>89000</v>
      </c>
      <c r="W33" s="16">
        <f>Z33</f>
      </c>
      <c r="X33" s="9">
        <v>891</v>
      </c>
      <c r="Y33" s="9">
        <f>C33&amp;X33</f>
      </c>
      <c r="Z33" s="9">
        <f>VLOOKUP(Y33,'Data giá Relax hiện tại'!$D:$F,3,0)</f>
      </c>
      <c r="AA33" s="9">
        <f>W33-Z33</f>
      </c>
      <c r="AB33" s="13">
        <f>AA33/Z33</f>
      </c>
      <c r="AC33" s="13"/>
    </row>
    <row customHeight="true" ht="19" r="34">
      <c r="A34" s="12">
        <v>204</v>
      </c>
      <c r="B34" s="12" t="str">
        <v>401/1 Nguyễn Duy Trinh</v>
      </c>
      <c r="C34" s="12" t="str">
        <v>401/1 NDT</v>
      </c>
      <c r="D34" s="12" t="str">
        <v>Hồ Chí Minh</v>
      </c>
      <c r="E34" s="12">
        <v>23</v>
      </c>
      <c r="F34" s="12" t="str">
        <v>Cụm mới (cùng tỉnh)</v>
      </c>
      <c r="G34" s="8">
        <v>0.5599</v>
      </c>
      <c r="H34" s="10" t="str">
        <v>Trung</v>
      </c>
      <c r="I34" s="8">
        <v>0.3979</v>
      </c>
      <c r="J34" s="17" t="str">
        <v>Thấp</v>
      </c>
      <c r="K34" s="12">
        <v>145000</v>
      </c>
      <c r="L34" s="14">
        <v>80000</v>
      </c>
      <c r="M34" s="14">
        <v>100000</v>
      </c>
      <c r="N34" s="8">
        <v>0.25</v>
      </c>
      <c r="O34" s="8">
        <v>0.5</v>
      </c>
      <c r="P34" s="11">
        <v>85000</v>
      </c>
      <c r="Q34" s="11">
        <v>90000</v>
      </c>
      <c r="R34" s="15" t="str">
        <v>85k - 90k</v>
      </c>
      <c r="S34" s="12">
        <v>85000</v>
      </c>
      <c r="T34" s="12">
        <v>90000</v>
      </c>
      <c r="U34" s="12">
        <v>88000</v>
      </c>
      <c r="V34" s="12">
        <v>89000</v>
      </c>
      <c r="W34" s="16">
        <f>Z34</f>
      </c>
      <c r="X34" s="9">
        <v>891</v>
      </c>
      <c r="Y34" s="9">
        <f>C34&amp;X34</f>
      </c>
      <c r="Z34" s="9">
        <f>VLOOKUP(Y34,'Data giá Relax hiện tại'!$D:$F,3,0)</f>
      </c>
      <c r="AA34" s="9">
        <f>W34-Z34</f>
      </c>
      <c r="AB34" s="13">
        <f>AA34/Z34</f>
      </c>
      <c r="AC34" s="13"/>
    </row>
    <row customHeight="true" ht="19" r="35">
      <c r="A35" s="12">
        <v>249</v>
      </c>
      <c r="B35" s="12" t="str">
        <v>1146 Kha Vạn Cân</v>
      </c>
      <c r="C35" s="12" t="str">
        <v>1146 KVC</v>
      </c>
      <c r="D35" s="12" t="str">
        <v>Hồ Chí Minh</v>
      </c>
      <c r="E35" s="12">
        <v>23</v>
      </c>
      <c r="F35" s="12" t="str">
        <v>Cụm mới (cùng tỉnh)</v>
      </c>
      <c r="G35" s="8">
        <v>0.6701</v>
      </c>
      <c r="H35" s="18" t="str">
        <v>Cao</v>
      </c>
      <c r="I35" s="8">
        <v>0.3804</v>
      </c>
      <c r="J35" s="17" t="str">
        <v>Thấp</v>
      </c>
      <c r="K35" s="12">
        <v>150000</v>
      </c>
      <c r="L35" s="14">
        <v>80000</v>
      </c>
      <c r="M35" s="14">
        <v>100000</v>
      </c>
      <c r="N35" s="8">
        <v>0.15</v>
      </c>
      <c r="O35" s="8">
        <v>0.35</v>
      </c>
      <c r="P35" s="11">
        <v>83000</v>
      </c>
      <c r="Q35" s="11">
        <v>87000</v>
      </c>
      <c r="R35" s="15" t="str">
        <v>83k - 87k</v>
      </c>
      <c r="S35" s="12">
        <v>83000</v>
      </c>
      <c r="T35" s="12">
        <v>87000</v>
      </c>
      <c r="U35" s="12">
        <v>85000</v>
      </c>
      <c r="V35" s="12">
        <v>86000</v>
      </c>
      <c r="W35" s="16">
        <f>Z35</f>
      </c>
      <c r="X35" s="9">
        <v>891</v>
      </c>
      <c r="Y35" s="9">
        <f>C35&amp;X35</f>
      </c>
      <c r="Z35" s="9">
        <f>VLOOKUP(Y35,'Data giá Relax hiện tại'!$D:$F,3,0)</f>
      </c>
      <c r="AA35" s="9">
        <f>W35-Z35</f>
      </c>
      <c r="AB35" s="13">
        <f>AA35/Z35</f>
      </c>
      <c r="AC35" s="13"/>
    </row>
    <row customHeight="true" ht="19" r="36">
      <c r="A36" s="12">
        <v>44</v>
      </c>
      <c r="B36" s="12" t="str">
        <v>103 Trần Não</v>
      </c>
      <c r="C36" s="12" t="str">
        <v>103 TN</v>
      </c>
      <c r="D36" s="12" t="str">
        <v>Hồ Chí Minh</v>
      </c>
      <c r="E36" s="12">
        <v>24</v>
      </c>
      <c r="F36" s="12" t="str">
        <v>Cụm mới (cùng tỉnh)</v>
      </c>
      <c r="G36" s="8">
        <v>0.5591</v>
      </c>
      <c r="H36" s="10" t="str">
        <v>Trung</v>
      </c>
      <c r="I36" s="8">
        <v>0.4948</v>
      </c>
      <c r="J36" s="18" t="str">
        <v>Cao</v>
      </c>
      <c r="K36" s="12">
        <v>135000</v>
      </c>
      <c r="L36" s="14">
        <v>90000</v>
      </c>
      <c r="M36" s="14">
        <v>101000</v>
      </c>
      <c r="N36" s="8">
        <v>0.55</v>
      </c>
      <c r="O36" s="8">
        <v>0.8</v>
      </c>
      <c r="P36" s="11">
        <v>96000</v>
      </c>
      <c r="Q36" s="11">
        <v>99000</v>
      </c>
      <c r="R36" s="15" t="str">
        <v>96k - 99k</v>
      </c>
      <c r="S36" s="12">
        <v>96000</v>
      </c>
      <c r="T36" s="12">
        <v>99000</v>
      </c>
      <c r="U36" s="12">
        <v>97000</v>
      </c>
      <c r="V36" s="12">
        <v>98000</v>
      </c>
      <c r="W36" s="16">
        <f>T36</f>
      </c>
      <c r="X36" s="9">
        <v>891</v>
      </c>
      <c r="Y36" s="9">
        <f>C36&amp;X36</f>
      </c>
      <c r="Z36" s="9">
        <f>VLOOKUP(Y36,'Data giá Relax hiện tại'!$D:$F,3,0)</f>
      </c>
      <c r="AA36" s="9">
        <f>W36-Z36</f>
      </c>
      <c r="AB36" s="13">
        <f>AA36/Z36</f>
      </c>
      <c r="AC36" s="13"/>
    </row>
    <row customHeight="true" ht="19" r="37">
      <c r="A37" s="12">
        <v>45</v>
      </c>
      <c r="B37" s="12" t="str">
        <v>25 Tôn Đản</v>
      </c>
      <c r="C37" s="12" t="str">
        <v>25 TD</v>
      </c>
      <c r="D37" s="12" t="str">
        <v>Hồ Chí Minh</v>
      </c>
      <c r="E37" s="12">
        <v>24</v>
      </c>
      <c r="F37" s="12" t="str">
        <v>Cụm mới (cùng tỉnh)</v>
      </c>
      <c r="G37" s="8">
        <v>0.6313</v>
      </c>
      <c r="H37" s="18" t="str">
        <v>Cao</v>
      </c>
      <c r="I37" s="8">
        <v>0.4649</v>
      </c>
      <c r="J37" s="18" t="str">
        <v>Cao</v>
      </c>
      <c r="K37" s="12">
        <v>85000</v>
      </c>
      <c r="L37" s="14">
        <v>90000</v>
      </c>
      <c r="M37" s="14">
        <v>101000</v>
      </c>
      <c r="N37" s="8">
        <v>0.35</v>
      </c>
      <c r="O37" s="8">
        <v>0.55</v>
      </c>
      <c r="P37" s="11">
        <v>94000</v>
      </c>
      <c r="Q37" s="11">
        <v>96000</v>
      </c>
      <c r="R37" s="15" t="str">
        <v>94k - 96k</v>
      </c>
      <c r="S37" s="12">
        <v>94000</v>
      </c>
      <c r="T37" s="12">
        <v>96000</v>
      </c>
      <c r="U37" s="12">
        <v>95000</v>
      </c>
      <c r="V37" s="12">
        <v>96000</v>
      </c>
      <c r="W37" s="16">
        <f>T37</f>
      </c>
      <c r="X37" s="9">
        <v>891</v>
      </c>
      <c r="Y37" s="9">
        <f>C37&amp;X37</f>
      </c>
      <c r="Z37" s="9">
        <f>VLOOKUP(Y37,'Data giá Relax hiện tại'!$D:$F,3,0)</f>
      </c>
      <c r="AA37" s="9">
        <f>W37-Z37</f>
      </c>
      <c r="AB37" s="13">
        <f>AA37/Z37</f>
      </c>
      <c r="AC37" s="13"/>
    </row>
    <row customHeight="true" ht="19" r="38">
      <c r="A38" s="12">
        <v>182</v>
      </c>
      <c r="B38" s="12" t="str">
        <v>186 Đinh Tiên Hoàng</v>
      </c>
      <c r="C38" s="12" t="str">
        <v>186 DTH</v>
      </c>
      <c r="D38" s="12" t="str">
        <v>Hồ Chí Minh</v>
      </c>
      <c r="E38" s="12">
        <v>24</v>
      </c>
      <c r="F38" s="12" t="str">
        <v>Cụm mới (cùng tỉnh)</v>
      </c>
      <c r="G38" s="8">
        <v>0.6312</v>
      </c>
      <c r="H38" s="18" t="str">
        <v>Cao</v>
      </c>
      <c r="I38" s="8">
        <v>0.4414</v>
      </c>
      <c r="J38" s="10" t="str">
        <v>Trung</v>
      </c>
      <c r="K38" s="12">
        <v>145000</v>
      </c>
      <c r="L38" s="14">
        <v>90000</v>
      </c>
      <c r="M38" s="14">
        <v>101000</v>
      </c>
      <c r="N38" s="8">
        <v>0.25</v>
      </c>
      <c r="O38" s="8">
        <v>0.45</v>
      </c>
      <c r="P38" s="11">
        <v>93000</v>
      </c>
      <c r="Q38" s="11">
        <v>95000</v>
      </c>
      <c r="R38" s="15" t="str">
        <v>93k - 95k</v>
      </c>
      <c r="S38" s="12">
        <v>93000</v>
      </c>
      <c r="T38" s="12">
        <v>95000</v>
      </c>
      <c r="U38" s="12">
        <v>94000</v>
      </c>
      <c r="V38" s="12">
        <v>95000</v>
      </c>
      <c r="W38" s="16">
        <f>T38</f>
      </c>
      <c r="X38" s="9">
        <v>891</v>
      </c>
      <c r="Y38" s="9">
        <f>C38&amp;X38</f>
      </c>
      <c r="Z38" s="9">
        <f>VLOOKUP(Y38,'Data giá Relax hiện tại'!$D:$F,3,0)</f>
      </c>
      <c r="AA38" s="9">
        <f>W38-Z38</f>
      </c>
      <c r="AB38" s="13">
        <f>AA38/Z38</f>
      </c>
      <c r="AC38" s="13"/>
    </row>
    <row customHeight="true" ht="19" r="39">
      <c r="A39" s="12">
        <v>47</v>
      </c>
      <c r="B39" s="12" t="str">
        <v>708 Lê Trọng Tấn</v>
      </c>
      <c r="C39" s="12" t="str">
        <v>708 LTT</v>
      </c>
      <c r="D39" s="12" t="str">
        <v>Hồ Chí Minh</v>
      </c>
      <c r="E39" s="12">
        <v>25</v>
      </c>
      <c r="F39" s="12" t="str">
        <v>Cụm mới (cùng tỉnh)</v>
      </c>
      <c r="G39" s="8">
        <v>0.5578</v>
      </c>
      <c r="H39" s="10" t="str">
        <v>Trung</v>
      </c>
      <c r="I39" s="8">
        <v>0.3585</v>
      </c>
      <c r="J39" s="17" t="str">
        <v>Thấp</v>
      </c>
      <c r="K39" s="12">
        <v>85000</v>
      </c>
      <c r="L39" s="14">
        <v>100000</v>
      </c>
      <c r="M39" s="14">
        <v>120000</v>
      </c>
      <c r="N39" s="8">
        <v>0.25</v>
      </c>
      <c r="O39" s="8">
        <v>0.5</v>
      </c>
      <c r="P39" s="11">
        <v>105000</v>
      </c>
      <c r="Q39" s="11">
        <v>110000</v>
      </c>
      <c r="R39" s="15" t="str">
        <v>105k - 110k</v>
      </c>
      <c r="S39" s="12">
        <v>105000</v>
      </c>
      <c r="T39" s="12">
        <v>110000</v>
      </c>
      <c r="U39" s="12">
        <v>108000</v>
      </c>
      <c r="V39" s="12">
        <v>109000</v>
      </c>
      <c r="W39" s="16">
        <f>T39</f>
      </c>
      <c r="X39" s="9">
        <v>891</v>
      </c>
      <c r="Y39" s="9">
        <f>C39&amp;X39</f>
      </c>
      <c r="Z39" s="9">
        <f>VLOOKUP(Y39,'Data giá Relax hiện tại'!$D:$F,3,0)</f>
      </c>
      <c r="AA39" s="9">
        <f>W39-Z39</f>
      </c>
      <c r="AB39" s="13">
        <f>AA39/Z39</f>
      </c>
      <c r="AC39" s="13"/>
    </row>
    <row customHeight="true" ht="19" r="40">
      <c r="A40" s="12">
        <v>61</v>
      </c>
      <c r="B40" s="12" t="str">
        <v>1180 Quang Trung</v>
      </c>
      <c r="C40" s="12" t="str">
        <v>1180 QT</v>
      </c>
      <c r="D40" s="12" t="str">
        <v>Hồ Chí Minh</v>
      </c>
      <c r="E40" s="12">
        <v>25</v>
      </c>
      <c r="F40" s="12" t="str">
        <v>Cụm mới (cùng tỉnh)</v>
      </c>
      <c r="G40" s="8">
        <v>0.6374</v>
      </c>
      <c r="H40" s="18" t="str">
        <v>Cao</v>
      </c>
      <c r="I40" s="8">
        <v>0.3781</v>
      </c>
      <c r="J40" s="17" t="str">
        <v>Thấp</v>
      </c>
      <c r="K40" s="12">
        <v>135000</v>
      </c>
      <c r="L40" s="14">
        <v>100000</v>
      </c>
      <c r="M40" s="14">
        <v>120000</v>
      </c>
      <c r="N40" s="8">
        <v>0.15</v>
      </c>
      <c r="O40" s="8">
        <v>0.35</v>
      </c>
      <c r="P40" s="11">
        <v>103000</v>
      </c>
      <c r="Q40" s="11">
        <v>107000</v>
      </c>
      <c r="R40" s="15" t="str">
        <v>103k - 107k</v>
      </c>
      <c r="S40" s="12">
        <v>103000</v>
      </c>
      <c r="T40" s="12">
        <v>107000</v>
      </c>
      <c r="U40" s="12">
        <v>105000</v>
      </c>
      <c r="V40" s="12">
        <v>106000</v>
      </c>
      <c r="W40" s="16">
        <f>T40</f>
      </c>
      <c r="X40" s="9">
        <v>891</v>
      </c>
      <c r="Y40" s="9">
        <f>C40&amp;X40</f>
      </c>
      <c r="Z40" s="9">
        <f>VLOOKUP(Y40,'Data giá Relax hiện tại'!$D:$F,3,0)</f>
      </c>
      <c r="AA40" s="9">
        <f>W40-Z40</f>
      </c>
      <c r="AB40" s="13">
        <f>AA40/Z40</f>
      </c>
      <c r="AC40" s="13"/>
    </row>
    <row customHeight="true" ht="19" r="41">
      <c r="A41" s="20">
        <v>106</v>
      </c>
      <c r="B41" s="20" t="str">
        <v>76 Phan Văn Hớn</v>
      </c>
      <c r="C41" s="20" t="str">
        <v>76 PVH</v>
      </c>
      <c r="D41" s="20" t="str">
        <v>Hồ Chí Minh</v>
      </c>
      <c r="E41" s="20">
        <v>25</v>
      </c>
      <c r="F41" s="20" t="str">
        <v>Cụm mới (cùng tỉnh)</v>
      </c>
      <c r="G41" s="22">
        <v>0.4969</v>
      </c>
      <c r="H41" s="20" t="str">
        <v>Trung</v>
      </c>
      <c r="I41" s="22">
        <v>0.37</v>
      </c>
      <c r="J41" s="20" t="str">
        <v>Thấp</v>
      </c>
      <c r="K41" s="20">
        <v>85000</v>
      </c>
      <c r="L41" s="20">
        <v>100000</v>
      </c>
      <c r="M41" s="20">
        <v>120000</v>
      </c>
      <c r="N41" s="22">
        <v>0.25</v>
      </c>
      <c r="O41" s="22">
        <v>0.5</v>
      </c>
      <c r="P41" s="20">
        <v>105000</v>
      </c>
      <c r="Q41" s="20">
        <v>110000</v>
      </c>
      <c r="R41" s="23" t="str">
        <v>105k - 110k</v>
      </c>
      <c r="S41" s="20">
        <v>105000</v>
      </c>
      <c r="T41" s="20">
        <v>110000</v>
      </c>
      <c r="U41" s="20">
        <v>108000</v>
      </c>
      <c r="V41" s="20">
        <v>109000</v>
      </c>
      <c r="W41" s="16">
        <f>100000</f>
      </c>
      <c r="X41" s="21">
        <v>891</v>
      </c>
      <c r="Y41" s="21">
        <f>C41&amp;X41</f>
      </c>
      <c r="Z41" s="21">
        <f>VLOOKUP(Y41,'Data giá Relax hiện tại'!$D:$F,3,0)</f>
      </c>
      <c r="AA41" s="21">
        <f>W41-Z41</f>
      </c>
      <c r="AB41" s="19">
        <f>AA41/Z41</f>
      </c>
      <c r="AC41" s="19"/>
    </row>
    <row customHeight="true" ht="19" r="42">
      <c r="A42" s="12">
        <v>274</v>
      </c>
      <c r="B42" s="12" t="str">
        <v>32 Nguyễn Ảnh Thủ</v>
      </c>
      <c r="C42" s="12" t="str">
        <v>32 NAT</v>
      </c>
      <c r="D42" s="12" t="str">
        <v>Hồ Chí Minh</v>
      </c>
      <c r="E42" s="12">
        <v>25</v>
      </c>
      <c r="F42" s="12" t="str">
        <v>Cụm mới (cùng tỉnh)</v>
      </c>
      <c r="G42" s="8">
        <v>0.5614</v>
      </c>
      <c r="H42" s="10" t="str">
        <v>Trung</v>
      </c>
      <c r="I42" s="8">
        <v>0.4177</v>
      </c>
      <c r="J42" s="10" t="str">
        <v>Trung</v>
      </c>
      <c r="K42" s="12" t="str"/>
      <c r="L42" s="14">
        <v>100000</v>
      </c>
      <c r="M42" s="14">
        <v>120000</v>
      </c>
      <c r="N42" s="8">
        <v>0.4</v>
      </c>
      <c r="O42" s="8">
        <v>0.65</v>
      </c>
      <c r="P42" s="11">
        <v>108000</v>
      </c>
      <c r="Q42" s="11">
        <v>113000</v>
      </c>
      <c r="R42" s="15" t="str">
        <v>108k - 113k</v>
      </c>
      <c r="S42" s="12">
        <v>108000</v>
      </c>
      <c r="T42" s="12">
        <v>113000</v>
      </c>
      <c r="U42" s="12">
        <v>110000</v>
      </c>
      <c r="V42" s="12">
        <v>112000</v>
      </c>
      <c r="W42" s="16">
        <f>S42</f>
      </c>
      <c r="X42" s="9">
        <v>891</v>
      </c>
      <c r="Y42" s="9">
        <f>C42&amp;X42</f>
      </c>
      <c r="Z42" s="9">
        <f>VLOOKUP(Y42,'Data giá Relax hiện tại'!$D:$F,3,0)</f>
      </c>
      <c r="AA42" s="9">
        <f>W42-Z42</f>
      </c>
      <c r="AB42" s="13">
        <f>AA42/Z42</f>
      </c>
      <c r="AC42" s="29"/>
    </row>
    <row customHeight="true" ht="19" r="43">
      <c r="A43" s="12">
        <v>65</v>
      </c>
      <c r="B43" s="12" t="str">
        <v>255 Nguyễn An Ninh</v>
      </c>
      <c r="C43" s="12" t="str">
        <v>255 NAN</v>
      </c>
      <c r="D43" s="12" t="str">
        <v>Bình Dương</v>
      </c>
      <c r="E43" s="12">
        <v>27</v>
      </c>
      <c r="F43" s="12" t="str">
        <v>Cụm mới (cùng tỉnh)</v>
      </c>
      <c r="G43" s="8">
        <v>0.5626</v>
      </c>
      <c r="H43" s="10" t="str">
        <v>Trung</v>
      </c>
      <c r="I43" s="8">
        <v>0.3909</v>
      </c>
      <c r="J43" s="17" t="str">
        <v>Thấp</v>
      </c>
      <c r="K43" s="12">
        <v>85000</v>
      </c>
      <c r="L43" s="14">
        <v>100000</v>
      </c>
      <c r="M43" s="14">
        <v>120000</v>
      </c>
      <c r="N43" s="8">
        <v>0.25</v>
      </c>
      <c r="O43" s="8">
        <v>0.5</v>
      </c>
      <c r="P43" s="11">
        <v>105000</v>
      </c>
      <c r="Q43" s="11">
        <v>110000</v>
      </c>
      <c r="R43" s="15" t="str">
        <v>105k - 110k</v>
      </c>
      <c r="S43" s="12">
        <v>105000</v>
      </c>
      <c r="T43" s="12">
        <v>110000</v>
      </c>
      <c r="U43" s="12">
        <v>108000</v>
      </c>
      <c r="V43" s="12">
        <v>109000</v>
      </c>
      <c r="W43" s="16">
        <f>T43</f>
      </c>
      <c r="X43" s="9">
        <v>891</v>
      </c>
      <c r="Y43" s="9">
        <f>C43&amp;X43</f>
      </c>
      <c r="Z43" s="9">
        <f>VLOOKUP(Y43,'Data giá Relax hiện tại'!$D:$F,3,0)</f>
      </c>
      <c r="AA43" s="9">
        <f>W43-Z43</f>
      </c>
      <c r="AB43" s="13">
        <f>AA43/Z43</f>
      </c>
      <c r="AC43" s="13"/>
    </row>
    <row customHeight="true" ht="19" r="44">
      <c r="A44" s="12">
        <v>184</v>
      </c>
      <c r="B44" s="12" t="str">
        <v>36 đường N1, KCN Mỹ Phước 1</v>
      </c>
      <c r="C44" s="12" t="str">
        <v>36 N1 BD</v>
      </c>
      <c r="D44" s="12" t="str">
        <v>Bình Dương</v>
      </c>
      <c r="E44" s="12">
        <v>27</v>
      </c>
      <c r="F44" s="12" t="str">
        <v>Cụm mới (cùng tỉnh)</v>
      </c>
      <c r="G44" s="8">
        <v>0.553</v>
      </c>
      <c r="H44" s="10" t="str">
        <v>Trung</v>
      </c>
      <c r="I44" s="8">
        <v>0.3126</v>
      </c>
      <c r="J44" s="17" t="str">
        <v>Thấp</v>
      </c>
      <c r="K44" s="12">
        <v>85000</v>
      </c>
      <c r="L44" s="14">
        <v>100000</v>
      </c>
      <c r="M44" s="14">
        <v>120000</v>
      </c>
      <c r="N44" s="8">
        <v>0.25</v>
      </c>
      <c r="O44" s="8">
        <v>0.5</v>
      </c>
      <c r="P44" s="11">
        <v>105000</v>
      </c>
      <c r="Q44" s="11">
        <v>110000</v>
      </c>
      <c r="R44" s="15" t="str">
        <v>105k - 110k</v>
      </c>
      <c r="S44" s="12">
        <v>105000</v>
      </c>
      <c r="T44" s="12">
        <v>110000</v>
      </c>
      <c r="U44" s="12">
        <v>108000</v>
      </c>
      <c r="V44" s="12">
        <v>109000</v>
      </c>
      <c r="W44" s="16">
        <f>S44</f>
      </c>
      <c r="X44" s="9">
        <v>891</v>
      </c>
      <c r="Y44" s="9">
        <f>C44&amp;X44</f>
      </c>
      <c r="Z44" s="9">
        <f>VLOOKUP(Y44,'Data giá Relax hiện tại'!$D:$F,3,0)</f>
      </c>
      <c r="AA44" s="9">
        <f>W44-Z44</f>
      </c>
      <c r="AB44" s="13">
        <f>AA44/Z44</f>
      </c>
      <c r="AC44" s="13"/>
    </row>
    <row customHeight="true" ht="19" r="45">
      <c r="A45" s="12">
        <v>144</v>
      </c>
      <c r="B45" s="12" t="str">
        <v>168 Nguyễn Văn Cừ</v>
      </c>
      <c r="C45" s="12" t="str">
        <v>168 NVC</v>
      </c>
      <c r="D45" s="12" t="str">
        <v>Hà Nội</v>
      </c>
      <c r="E45" s="12">
        <v>29</v>
      </c>
      <c r="F45" s="12" t="str">
        <v>Cụm mới (cùng tỉnh)</v>
      </c>
      <c r="G45" s="8">
        <v>0.5388</v>
      </c>
      <c r="H45" s="10" t="str">
        <v>Trung</v>
      </c>
      <c r="I45" s="8">
        <v>0.4732</v>
      </c>
      <c r="J45" s="18" t="str">
        <v>Cao</v>
      </c>
      <c r="K45" s="12">
        <v>110000</v>
      </c>
      <c r="L45" s="14">
        <v>100000</v>
      </c>
      <c r="M45" s="14">
        <v>120000</v>
      </c>
      <c r="N45" s="8">
        <v>0.55</v>
      </c>
      <c r="O45" s="8">
        <v>0.8</v>
      </c>
      <c r="P45" s="11">
        <v>111000</v>
      </c>
      <c r="Q45" s="11">
        <v>116000</v>
      </c>
      <c r="R45" s="15" t="str">
        <v>111k - 116k</v>
      </c>
      <c r="S45" s="12">
        <v>111000</v>
      </c>
      <c r="T45" s="12">
        <v>116000</v>
      </c>
      <c r="U45" s="12">
        <v>114000</v>
      </c>
      <c r="V45" s="12">
        <v>115000</v>
      </c>
      <c r="W45" s="16">
        <v>112000</v>
      </c>
      <c r="X45" s="9">
        <v>891</v>
      </c>
      <c r="Y45" s="9">
        <f>C45&amp;X45</f>
      </c>
      <c r="Z45" s="9">
        <f>VLOOKUP(Y45,'Data giá Relax hiện tại'!$D:$F,3,0)</f>
      </c>
      <c r="AA45" s="9">
        <f>W45-Z45</f>
      </c>
      <c r="AB45" s="13">
        <f>AA45/Z45</f>
      </c>
      <c r="AC45" s="29">
        <v>2000</v>
      </c>
    </row>
    <row customHeight="true" ht="19" r="46">
      <c r="A46" s="20">
        <v>192</v>
      </c>
      <c r="B46" s="20" t="str">
        <v>264 Lạc Long Quân</v>
      </c>
      <c r="C46" s="20" t="str">
        <v>264 LLQ</v>
      </c>
      <c r="D46" s="20" t="str">
        <v>Hà Nội</v>
      </c>
      <c r="E46" s="20">
        <v>29</v>
      </c>
      <c r="F46" s="20" t="str">
        <v>Cụm mới (cùng tỉnh)</v>
      </c>
      <c r="G46" s="22">
        <v>0.5709</v>
      </c>
      <c r="H46" s="20" t="str">
        <v>Trung</v>
      </c>
      <c r="I46" s="22">
        <v>0.4294</v>
      </c>
      <c r="J46" s="20" t="str">
        <v>Trung</v>
      </c>
      <c r="K46" s="20">
        <v>85000</v>
      </c>
      <c r="L46" s="20">
        <v>100000</v>
      </c>
      <c r="M46" s="20">
        <v>120000</v>
      </c>
      <c r="N46" s="22">
        <v>0.4</v>
      </c>
      <c r="O46" s="22">
        <v>0.65</v>
      </c>
      <c r="P46" s="20">
        <v>108000</v>
      </c>
      <c r="Q46" s="20">
        <v>113000</v>
      </c>
      <c r="R46" s="23" t="str">
        <v>108k - 113k</v>
      </c>
      <c r="S46" s="20">
        <v>108000</v>
      </c>
      <c r="T46" s="20">
        <v>113000</v>
      </c>
      <c r="U46" s="20">
        <v>110000</v>
      </c>
      <c r="V46" s="20">
        <v>112000</v>
      </c>
      <c r="W46" s="16">
        <v>112000</v>
      </c>
      <c r="X46" s="21">
        <v>891</v>
      </c>
      <c r="Y46" s="21">
        <f>C46&amp;X46</f>
      </c>
      <c r="Z46" s="21">
        <f>VLOOKUP(Y46,'Data giá Relax hiện tại'!$D:$F,3,0)</f>
      </c>
      <c r="AA46" s="21">
        <f>W46-Z46</f>
      </c>
      <c r="AB46" s="19">
        <f>AA46/Z46</f>
      </c>
      <c r="AC46" s="30">
        <v>12000</v>
      </c>
    </row>
    <row customHeight="true" ht="19" r="47">
      <c r="A47" s="12">
        <v>196</v>
      </c>
      <c r="B47" s="12" t="str">
        <v>202 Đội Cấn</v>
      </c>
      <c r="C47" s="12" t="str">
        <v>202 DC</v>
      </c>
      <c r="D47" s="12" t="str">
        <v>Hà Nội</v>
      </c>
      <c r="E47" s="12">
        <v>29</v>
      </c>
      <c r="F47" s="12" t="str">
        <v>Cụm mới (cùng tỉnh)</v>
      </c>
      <c r="G47" s="8">
        <v>0.6433</v>
      </c>
      <c r="H47" s="18" t="str">
        <v>Cao</v>
      </c>
      <c r="I47" s="8">
        <v>0.4706</v>
      </c>
      <c r="J47" s="18" t="str">
        <v>Cao</v>
      </c>
      <c r="K47" s="12">
        <v>110000</v>
      </c>
      <c r="L47" s="14">
        <v>100000</v>
      </c>
      <c r="M47" s="14">
        <v>120000</v>
      </c>
      <c r="N47" s="8">
        <v>0.35</v>
      </c>
      <c r="O47" s="8">
        <v>0.55</v>
      </c>
      <c r="P47" s="11">
        <v>107000</v>
      </c>
      <c r="Q47" s="11">
        <v>111000</v>
      </c>
      <c r="R47" s="15" t="str">
        <v>107k - 111k</v>
      </c>
      <c r="S47" s="12">
        <v>107000</v>
      </c>
      <c r="T47" s="12">
        <v>111000</v>
      </c>
      <c r="U47" s="12">
        <v>109000</v>
      </c>
      <c r="V47" s="12">
        <v>110000</v>
      </c>
      <c r="W47" s="16">
        <v>110000</v>
      </c>
      <c r="X47" s="9">
        <v>891</v>
      </c>
      <c r="Y47" s="9">
        <f>C47&amp;X47</f>
      </c>
      <c r="Z47" s="9">
        <f>VLOOKUP(Y47,'Data giá Relax hiện tại'!$D:$F,3,0)</f>
      </c>
      <c r="AA47" s="9">
        <f>W47-Z47</f>
      </c>
      <c r="AB47" s="13">
        <f>AA47/Z47</f>
      </c>
      <c r="AC47" s="29">
        <v>3000</v>
      </c>
    </row>
    <row customHeight="true" ht="19" r="48">
      <c r="A48" s="20">
        <v>194</v>
      </c>
      <c r="B48" s="20" t="str">
        <v>90 Nguyễn Hoàng</v>
      </c>
      <c r="C48" s="20" t="str">
        <v>90 NH</v>
      </c>
      <c r="D48" s="20" t="str">
        <v>Hà Nội</v>
      </c>
      <c r="E48" s="20">
        <v>30</v>
      </c>
      <c r="F48" s="20" t="str">
        <v>Cụm mới (cùng tỉnh)</v>
      </c>
      <c r="G48" s="22">
        <v>0.5705</v>
      </c>
      <c r="H48" s="20" t="str">
        <v>Trung</v>
      </c>
      <c r="I48" s="22">
        <v>0.4028</v>
      </c>
      <c r="J48" s="20" t="str">
        <v>Thấp</v>
      </c>
      <c r="K48" s="20">
        <v>85000</v>
      </c>
      <c r="L48" s="20">
        <v>98000</v>
      </c>
      <c r="M48" s="20">
        <v>101000</v>
      </c>
      <c r="N48" s="22">
        <v>0.25</v>
      </c>
      <c r="O48" s="22">
        <v>0.5</v>
      </c>
      <c r="P48" s="20">
        <v>99000</v>
      </c>
      <c r="Q48" s="20">
        <v>100000</v>
      </c>
      <c r="R48" s="23" t="str">
        <v>99k - 100k</v>
      </c>
      <c r="S48" s="20">
        <v>99000</v>
      </c>
      <c r="T48" s="20">
        <v>100000</v>
      </c>
      <c r="U48" s="20">
        <v>99000</v>
      </c>
      <c r="V48" s="20">
        <v>99000</v>
      </c>
      <c r="W48" s="16">
        <f>T48</f>
      </c>
      <c r="X48" s="21">
        <v>891</v>
      </c>
      <c r="Y48" s="21">
        <f>C48&amp;X48</f>
      </c>
      <c r="Z48" s="21">
        <f>VLOOKUP(Y48,'Data giá Relax hiện tại'!$D:$F,3,0)</f>
      </c>
      <c r="AA48" s="21">
        <f>W48-Z48</f>
      </c>
      <c r="AB48" s="19">
        <f>AA48/Z48</f>
      </c>
      <c r="AC48" s="19"/>
    </row>
    <row customHeight="true" ht="19" r="49">
      <c r="A49" s="12">
        <v>197</v>
      </c>
      <c r="B49" s="12" t="str">
        <v>65 Cầu Diễn</v>
      </c>
      <c r="C49" s="12" t="str">
        <v>65 CD</v>
      </c>
      <c r="D49" s="12" t="str">
        <v>Hà Nội</v>
      </c>
      <c r="E49" s="12">
        <v>30</v>
      </c>
      <c r="F49" s="12" t="str">
        <v>Cụm mới (cùng tỉnh)</v>
      </c>
      <c r="G49" s="8">
        <v>0.5089</v>
      </c>
      <c r="H49" s="10" t="str">
        <v>Trung</v>
      </c>
      <c r="I49" s="8">
        <v>0.3908</v>
      </c>
      <c r="J49" s="17" t="str">
        <v>Thấp</v>
      </c>
      <c r="K49" s="12">
        <v>85000</v>
      </c>
      <c r="L49" s="14">
        <v>98000</v>
      </c>
      <c r="M49" s="14">
        <v>101000</v>
      </c>
      <c r="N49" s="8">
        <v>0.25</v>
      </c>
      <c r="O49" s="8">
        <v>0.5</v>
      </c>
      <c r="P49" s="11">
        <v>99000</v>
      </c>
      <c r="Q49" s="11">
        <v>100000</v>
      </c>
      <c r="R49" s="15" t="str">
        <v>99k - 100k</v>
      </c>
      <c r="S49" s="12">
        <v>99000</v>
      </c>
      <c r="T49" s="12">
        <v>100000</v>
      </c>
      <c r="U49" s="12">
        <v>99000</v>
      </c>
      <c r="V49" s="12">
        <v>99000</v>
      </c>
      <c r="W49" s="16">
        <f>T49</f>
      </c>
      <c r="X49" s="9">
        <v>891</v>
      </c>
      <c r="Y49" s="9">
        <f>C49&amp;X49</f>
      </c>
      <c r="Z49" s="9">
        <f>VLOOKUP(Y49,'Data giá Relax hiện tại'!$D:$F,3,0)</f>
      </c>
      <c r="AA49" s="9">
        <f>W49-Z49</f>
      </c>
      <c r="AB49" s="13">
        <f>AA49/Z49</f>
      </c>
      <c r="AC49" s="13"/>
    </row>
    <row customHeight="true" ht="19" r="50">
      <c r="A50" s="12">
        <v>244</v>
      </c>
      <c r="B50" s="12" t="str">
        <v>11 Phan Kế Toại</v>
      </c>
      <c r="C50" s="12" t="str">
        <v>11 PKT</v>
      </c>
      <c r="D50" s="12" t="str">
        <v>Hà Nội</v>
      </c>
      <c r="E50" s="12">
        <v>30</v>
      </c>
      <c r="F50" s="12" t="str">
        <v>Cụm mới (cùng tỉnh)</v>
      </c>
      <c r="G50" s="8">
        <v>0.4456</v>
      </c>
      <c r="H50" s="10" t="str">
        <v>Trung</v>
      </c>
      <c r="I50" s="8">
        <v>0.4357</v>
      </c>
      <c r="J50" s="10" t="str">
        <v>Trung</v>
      </c>
      <c r="K50" s="12">
        <v>85000</v>
      </c>
      <c r="L50" s="14">
        <v>98000</v>
      </c>
      <c r="M50" s="14">
        <v>101000</v>
      </c>
      <c r="N50" s="8">
        <v>0.4</v>
      </c>
      <c r="O50" s="8">
        <v>0.65</v>
      </c>
      <c r="P50" s="11">
        <v>99000</v>
      </c>
      <c r="Q50" s="11">
        <v>100000</v>
      </c>
      <c r="R50" s="15" t="str">
        <v>99k - 100k</v>
      </c>
      <c r="S50" s="12">
        <v>99000</v>
      </c>
      <c r="T50" s="12">
        <v>100000</v>
      </c>
      <c r="U50" s="12">
        <v>100000</v>
      </c>
      <c r="V50" s="12">
        <v>100000</v>
      </c>
      <c r="W50" s="16">
        <v>104000</v>
      </c>
      <c r="X50" s="9">
        <v>891</v>
      </c>
      <c r="Y50" s="9">
        <f>C50&amp;X50</f>
      </c>
      <c r="Z50" s="9">
        <f>VLOOKUP(Y50,'Data giá Relax hiện tại'!$D:$F,3,0)</f>
      </c>
      <c r="AA50" s="9">
        <f>W50-Z50</f>
      </c>
      <c r="AB50" s="13">
        <f>AA50/Z50</f>
      </c>
      <c r="AC50" s="28">
        <v>4000</v>
      </c>
    </row>
    <row customHeight="true" ht="19" r="51">
      <c r="A51" s="12">
        <v>302</v>
      </c>
      <c r="B51" s="12" t="str">
        <v>362 Ngô Gia Tự</v>
      </c>
      <c r="C51" s="12" t="str">
        <v>362 NGT BN</v>
      </c>
      <c r="D51" s="12" t="str">
        <v>Bắc Ninh</v>
      </c>
      <c r="E51" s="12">
        <v>32</v>
      </c>
      <c r="F51" s="12" t="str">
        <v>Cụm mới (cùng tỉnh)</v>
      </c>
      <c r="G51" s="8">
        <v>0.5219</v>
      </c>
      <c r="H51" s="10" t="str">
        <v>Trung</v>
      </c>
      <c r="I51" s="8">
        <v>0.4295</v>
      </c>
      <c r="J51" s="10" t="str">
        <v>Trung</v>
      </c>
      <c r="K51" s="12">
        <v>135000</v>
      </c>
      <c r="L51" s="14">
        <v>80000</v>
      </c>
      <c r="M51" s="14">
        <v>101000</v>
      </c>
      <c r="N51" s="8">
        <v>0.4</v>
      </c>
      <c r="O51" s="8">
        <v>0.65</v>
      </c>
      <c r="P51" s="11">
        <v>88000</v>
      </c>
      <c r="Q51" s="11">
        <v>94000</v>
      </c>
      <c r="R51" s="15" t="str">
        <v>88k - 94k</v>
      </c>
      <c r="S51" s="12">
        <v>88000</v>
      </c>
      <c r="T51" s="12">
        <v>94000</v>
      </c>
      <c r="U51" s="12">
        <v>91000</v>
      </c>
      <c r="V51" s="12">
        <v>93000</v>
      </c>
      <c r="W51" s="16">
        <v>98000</v>
      </c>
      <c r="X51" s="9">
        <v>891</v>
      </c>
      <c r="Y51" s="9">
        <f>C51&amp;X51</f>
      </c>
      <c r="Z51" s="9">
        <f>VLOOKUP(Y51,'Data giá Relax hiện tại'!$D:$F,3,0)</f>
      </c>
      <c r="AA51" s="9">
        <f>W51-Z51</f>
      </c>
      <c r="AB51" s="13">
        <f>AA51/Z51</f>
      </c>
      <c r="AC51" s="28">
        <f>+4000</f>
      </c>
    </row>
    <row customHeight="true" ht="19" r="52">
      <c r="A52" s="12">
        <v>72</v>
      </c>
      <c r="B52" s="12" t="str">
        <v>113 Trần Hưng Đạo</v>
      </c>
      <c r="C52" s="12" t="str">
        <v>113 THD AG</v>
      </c>
      <c r="D52" s="12" t="str">
        <v>An Giang</v>
      </c>
      <c r="E52" s="12" t="str"/>
      <c r="F52" s="12" t="str">
        <v>Độc lập (1 salon trong tỉnh)</v>
      </c>
      <c r="G52" s="8">
        <v>0.4261</v>
      </c>
      <c r="H52" s="10" t="str">
        <v>Trung</v>
      </c>
      <c r="I52" s="8">
        <v>0.2966</v>
      </c>
      <c r="J52" s="17" t="str">
        <v>Thấp</v>
      </c>
      <c r="K52" s="12">
        <v>85000</v>
      </c>
      <c r="L52" s="14">
        <v>70000</v>
      </c>
      <c r="M52" s="14">
        <v>100000</v>
      </c>
      <c r="N52" s="8">
        <v>0.25</v>
      </c>
      <c r="O52" s="8">
        <v>0.5</v>
      </c>
      <c r="P52" s="11">
        <v>78000</v>
      </c>
      <c r="Q52" s="11">
        <v>85000</v>
      </c>
      <c r="R52" s="15" t="str">
        <v>78k - 85k</v>
      </c>
      <c r="S52" s="12">
        <v>78000</v>
      </c>
      <c r="T52" s="12">
        <v>85000</v>
      </c>
      <c r="U52" s="12">
        <v>81000</v>
      </c>
      <c r="V52" s="12">
        <v>84000</v>
      </c>
      <c r="W52" s="16">
        <f>Z52</f>
      </c>
      <c r="X52" s="9">
        <v>891</v>
      </c>
      <c r="Y52" s="9">
        <f>C52&amp;X52</f>
      </c>
      <c r="Z52" s="9">
        <f>VLOOKUP(Y52,'Data giá Relax hiện tại'!$D:$F,3,0)</f>
      </c>
      <c r="AA52" s="9">
        <f>W52-Z52</f>
      </c>
      <c r="AB52" s="13">
        <f>AA52/Z52</f>
      </c>
      <c r="AC52" s="13"/>
    </row>
    <row customHeight="true" ht="19" r="53">
      <c r="A53" s="12">
        <v>85</v>
      </c>
      <c r="B53" s="12" t="str" xml:space="preserve">
        <v> 363 Lương Ngọc Quyến</v>
      </c>
      <c r="C53" s="12" t="str">
        <v>363 LNQ TN</v>
      </c>
      <c r="D53" s="12" t="str">
        <v>Thái Nguyên</v>
      </c>
      <c r="E53" s="12" t="str"/>
      <c r="F53" s="12" t="str">
        <v>Độc lập (1 salon trong tỉnh)</v>
      </c>
      <c r="G53" s="8">
        <v>0.5119</v>
      </c>
      <c r="H53" s="10" t="str">
        <v>Trung</v>
      </c>
      <c r="I53" s="8">
        <v>0.3665</v>
      </c>
      <c r="J53" s="17" t="str">
        <v>Thấp</v>
      </c>
      <c r="K53" s="12">
        <v>135000</v>
      </c>
      <c r="L53" s="14">
        <v>100000</v>
      </c>
      <c r="M53" s="14">
        <v>120000</v>
      </c>
      <c r="N53" s="8">
        <v>0.25</v>
      </c>
      <c r="O53" s="8">
        <v>0.5</v>
      </c>
      <c r="P53" s="11">
        <v>105000</v>
      </c>
      <c r="Q53" s="11">
        <v>110000</v>
      </c>
      <c r="R53" s="15" t="str">
        <v>105k - 110k</v>
      </c>
      <c r="S53" s="12">
        <v>105000</v>
      </c>
      <c r="T53" s="12">
        <v>110000</v>
      </c>
      <c r="U53" s="12">
        <v>108000</v>
      </c>
      <c r="V53" s="12">
        <v>109000</v>
      </c>
      <c r="W53" s="16">
        <f>T53</f>
      </c>
      <c r="X53" s="9">
        <v>891</v>
      </c>
      <c r="Y53" s="9">
        <f>C53&amp;X53</f>
      </c>
      <c r="Z53" s="9">
        <f>VLOOKUP(Y53,'Data giá Relax hiện tại'!$D:$F,3,0)</f>
      </c>
      <c r="AA53" s="9">
        <f>W53-Z53</f>
      </c>
      <c r="AB53" s="13">
        <f>AA53/Z53</f>
      </c>
      <c r="AC53" s="13"/>
    </row>
    <row customHeight="true" ht="19" r="54">
      <c r="A54" s="12">
        <v>199</v>
      </c>
      <c r="B54" s="12" t="str">
        <v>7 Đỗ Tường Phong</v>
      </c>
      <c r="C54" s="12" t="str">
        <v>7 DTP LA</v>
      </c>
      <c r="D54" s="12" t="str">
        <v>Long An</v>
      </c>
      <c r="E54" s="12" t="str"/>
      <c r="F54" s="12" t="str">
        <v>Độc lập (1 salon trong tỉnh)</v>
      </c>
      <c r="G54" s="8">
        <v>0.5319</v>
      </c>
      <c r="H54" s="10" t="str">
        <v>Trung</v>
      </c>
      <c r="I54" s="8">
        <v>0.3842</v>
      </c>
      <c r="J54" s="17" t="str">
        <v>Thấp</v>
      </c>
      <c r="K54" s="12">
        <v>135000</v>
      </c>
      <c r="L54" s="14">
        <v>101000</v>
      </c>
      <c r="M54" s="14">
        <v>120000</v>
      </c>
      <c r="N54" s="8">
        <v>0.25</v>
      </c>
      <c r="O54" s="8">
        <v>0.5</v>
      </c>
      <c r="P54" s="11">
        <v>106000</v>
      </c>
      <c r="Q54" s="11">
        <v>110000</v>
      </c>
      <c r="R54" s="15" t="str">
        <v>106k - 110k</v>
      </c>
      <c r="S54" s="12">
        <v>106000</v>
      </c>
      <c r="T54" s="12">
        <v>110000</v>
      </c>
      <c r="U54" s="12">
        <v>108000</v>
      </c>
      <c r="V54" s="12">
        <v>110000</v>
      </c>
      <c r="W54" s="16">
        <f>T54</f>
      </c>
      <c r="X54" s="9">
        <v>891</v>
      </c>
      <c r="Y54" s="9">
        <f>C54&amp;X54</f>
      </c>
      <c r="Z54" s="9">
        <f>VLOOKUP(Y54,'Data giá Relax hiện tại'!$D:$F,3,0)</f>
      </c>
      <c r="AA54" s="9">
        <f>W54-Z54</f>
      </c>
      <c r="AB54" s="13">
        <f>AA54/Z54</f>
      </c>
      <c r="AC54" s="13"/>
    </row>
    <row customHeight="true" ht="19" r="55">
      <c r="A55" s="12">
        <v>217</v>
      </c>
      <c r="B55" s="12" t="str">
        <v>Time Garden 25/4</v>
      </c>
      <c r="C55" s="12" t="str">
        <v>TG 25/4 QN</v>
      </c>
      <c r="D55" s="12" t="str">
        <v>Quảng Ninh</v>
      </c>
      <c r="E55" s="12" t="str"/>
      <c r="F55" s="12" t="str">
        <v>Độc lập (1 salon trong tỉnh)</v>
      </c>
      <c r="G55" s="8">
        <v>0.4548</v>
      </c>
      <c r="H55" s="10" t="str">
        <v>Trung</v>
      </c>
      <c r="I55" s="8">
        <v>0.3503</v>
      </c>
      <c r="J55" s="17" t="str">
        <v>Thấp</v>
      </c>
      <c r="K55" s="12">
        <v>85000</v>
      </c>
      <c r="L55" s="14">
        <v>50000</v>
      </c>
      <c r="M55" s="14">
        <v>100000</v>
      </c>
      <c r="N55" s="8">
        <v>0.25</v>
      </c>
      <c r="O55" s="8">
        <v>0.5</v>
      </c>
      <c r="P55" s="11">
        <v>62000</v>
      </c>
      <c r="Q55" s="11">
        <v>75000</v>
      </c>
      <c r="R55" s="15" t="str">
        <v>62k - 75k</v>
      </c>
      <c r="S55" s="12">
        <v>62000</v>
      </c>
      <c r="T55" s="12">
        <v>75000</v>
      </c>
      <c r="U55" s="12">
        <v>69000</v>
      </c>
      <c r="V55" s="12">
        <v>73000</v>
      </c>
      <c r="W55" s="16">
        <f>Z55</f>
      </c>
      <c r="X55" s="9">
        <v>891</v>
      </c>
      <c r="Y55" s="9">
        <f>C55&amp;X55</f>
      </c>
      <c r="Z55" s="9">
        <f>VLOOKUP(Y55,'Data giá Relax hiện tại'!$D:$F,3,0)</f>
      </c>
      <c r="AA55" s="9">
        <f>W55-Z55</f>
      </c>
      <c r="AB55" s="13">
        <f>AA55/Z55</f>
      </c>
      <c r="AC55" s="13"/>
    </row>
    <row customHeight="true" ht="19" r="56">
      <c r="A56" s="12">
        <v>230</v>
      </c>
      <c r="B56" s="12" t="str">
        <v>290 Quang Trung</v>
      </c>
      <c r="C56" s="12" t="str">
        <v>290 QT TH</v>
      </c>
      <c r="D56" s="12" t="str">
        <v>Thanh Hóa</v>
      </c>
      <c r="E56" s="12" t="str"/>
      <c r="F56" s="12" t="str">
        <v>Độc lập (1 salon trong tỉnh)</v>
      </c>
      <c r="G56" s="8">
        <v>0.46</v>
      </c>
      <c r="H56" s="10" t="str">
        <v>Trung</v>
      </c>
      <c r="I56" s="8">
        <v>0.4386</v>
      </c>
      <c r="J56" s="10" t="str">
        <v>Trung</v>
      </c>
      <c r="K56" s="12">
        <v>110000</v>
      </c>
      <c r="L56" s="14">
        <v>89000</v>
      </c>
      <c r="M56" s="14">
        <v>101000</v>
      </c>
      <c r="N56" s="8">
        <v>0.4</v>
      </c>
      <c r="O56" s="8">
        <v>0.65</v>
      </c>
      <c r="P56" s="11">
        <v>94000</v>
      </c>
      <c r="Q56" s="11">
        <v>97000</v>
      </c>
      <c r="R56" s="15" t="str">
        <v>94k - 97k</v>
      </c>
      <c r="S56" s="12">
        <v>94000</v>
      </c>
      <c r="T56" s="12">
        <v>97000</v>
      </c>
      <c r="U56" s="12">
        <v>95000</v>
      </c>
      <c r="V56" s="12">
        <v>96000</v>
      </c>
      <c r="W56" s="16">
        <f>T56</f>
      </c>
      <c r="X56" s="9">
        <v>891</v>
      </c>
      <c r="Y56" s="9">
        <f>C56&amp;X56</f>
      </c>
      <c r="Z56" s="9">
        <f>VLOOKUP(Y56,'Data giá Relax hiện tại'!$D:$F,3,0)</f>
      </c>
      <c r="AA56" s="9">
        <f>W56-Z56</f>
      </c>
      <c r="AB56" s="13">
        <f>AA56/Z56</f>
      </c>
      <c r="AC56" s="13"/>
    </row>
    <row customHeight="true" ht="19" r="57">
      <c r="A57" s="12">
        <v>240</v>
      </c>
      <c r="B57" s="12" t="str">
        <v>68 Lê Nin</v>
      </c>
      <c r="C57" s="12" t="str">
        <v>68 LN NA</v>
      </c>
      <c r="D57" s="12" t="str">
        <v>Nghệ An</v>
      </c>
      <c r="E57" s="12" t="str"/>
      <c r="F57" s="12" t="str">
        <v>Độc lập (1 salon trong tỉnh)</v>
      </c>
      <c r="G57" s="8">
        <v>0.4514</v>
      </c>
      <c r="H57" s="10" t="str">
        <v>Trung</v>
      </c>
      <c r="I57" s="8">
        <v>0.3922</v>
      </c>
      <c r="J57" s="17" t="str">
        <v>Thấp</v>
      </c>
      <c r="K57" s="12">
        <v>85000</v>
      </c>
      <c r="L57" s="14">
        <v>101000</v>
      </c>
      <c r="M57" s="14">
        <v>122000</v>
      </c>
      <c r="N57" s="8">
        <v>0.25</v>
      </c>
      <c r="O57" s="8">
        <v>0.5</v>
      </c>
      <c r="P57" s="11">
        <v>106000</v>
      </c>
      <c r="Q57" s="11">
        <v>112000</v>
      </c>
      <c r="R57" s="15" t="str">
        <v>106k - 112k</v>
      </c>
      <c r="S57" s="12">
        <v>106000</v>
      </c>
      <c r="T57" s="12">
        <v>112000</v>
      </c>
      <c r="U57" s="12">
        <v>109000</v>
      </c>
      <c r="V57" s="12">
        <v>111000</v>
      </c>
      <c r="W57" s="16">
        <f>S57</f>
      </c>
      <c r="X57" s="9">
        <v>891</v>
      </c>
      <c r="Y57" s="9">
        <f>C57&amp;X57</f>
      </c>
      <c r="Z57" s="9">
        <f>VLOOKUP(Y57,'Data giá Relax hiện tại'!$D:$F,3,0)</f>
      </c>
      <c r="AA57" s="9">
        <f>W57-Z57</f>
      </c>
      <c r="AB57" s="13">
        <f>AA57/Z57</f>
      </c>
      <c r="AC57" s="29"/>
    </row>
    <row customHeight="true" ht="19" r="58">
      <c r="A58" s="12">
        <v>200</v>
      </c>
      <c r="B58" s="12" t="str">
        <v>39 Hai Bà Trưng</v>
      </c>
      <c r="C58" s="12" t="str">
        <v>39 HBT</v>
      </c>
      <c r="D58" s="12" t="str">
        <v>Hà Nội</v>
      </c>
      <c r="E58" s="12"/>
      <c r="F58" s="12"/>
      <c r="G58" s="8"/>
      <c r="H58" s="10"/>
      <c r="I58" s="8"/>
      <c r="J58" s="10"/>
      <c r="K58" s="12"/>
      <c r="L58" s="14"/>
      <c r="M58" s="14"/>
      <c r="N58" s="8"/>
      <c r="O58" s="8"/>
      <c r="P58" s="11"/>
      <c r="Q58" s="11"/>
      <c r="R58" s="15"/>
      <c r="S58" s="12"/>
      <c r="T58" s="12"/>
      <c r="U58" s="12"/>
      <c r="V58" s="12"/>
      <c r="W58" s="16">
        <v>104000</v>
      </c>
      <c r="X58" s="9"/>
      <c r="Y58" s="9"/>
      <c r="Z58" s="9">
        <v>100000</v>
      </c>
      <c r="AA58" s="9">
        <f>W58-Z58</f>
      </c>
      <c r="AB58" s="13">
        <f>AA58/Z58</f>
      </c>
      <c r="AC58" s="28"/>
    </row>
    <row customHeight="true" ht="19" r="59">
      <c r="A59" s="12">
        <v>179</v>
      </c>
      <c r="B59" s="12"/>
      <c r="C59" s="12" t="str">
        <v>50BT4 NPC LD</v>
      </c>
      <c r="D59" s="12" t="str">
        <v>Hà Nội</v>
      </c>
      <c r="E59" s="12"/>
      <c r="F59" s="12"/>
      <c r="G59" s="8"/>
      <c r="H59" s="10"/>
      <c r="I59" s="8"/>
      <c r="J59" s="10"/>
      <c r="K59" s="12"/>
      <c r="L59" s="14"/>
      <c r="M59" s="14"/>
      <c r="N59" s="8"/>
      <c r="O59" s="8"/>
      <c r="P59" s="11"/>
      <c r="Q59" s="11"/>
      <c r="R59" s="15"/>
      <c r="S59" s="12"/>
      <c r="T59" s="12"/>
      <c r="U59" s="12"/>
      <c r="V59" s="12"/>
      <c r="W59" s="16">
        <v>94000</v>
      </c>
      <c r="X59" s="9"/>
      <c r="Y59" s="9"/>
      <c r="Z59" s="9">
        <v>94000</v>
      </c>
      <c r="AA59" s="9">
        <f>W59-Z59</f>
      </c>
      <c r="AB59" s="13">
        <f>AA59/Z59</f>
      </c>
      <c r="AC59" s="28"/>
    </row>
    <row customHeight="true" ht="19" r="60">
      <c r="A60" s="12">
        <v>201</v>
      </c>
      <c r="B60" s="12"/>
      <c r="C60" s="12" t="str">
        <v>4 LQD BN</v>
      </c>
      <c r="D60" s="12" t="str">
        <v>Bắc Ninh</v>
      </c>
      <c r="E60" s="12"/>
      <c r="F60" s="12"/>
      <c r="G60" s="8"/>
      <c r="H60" s="10"/>
      <c r="I60" s="8"/>
      <c r="J60" s="10"/>
      <c r="K60" s="12"/>
      <c r="L60" s="14"/>
      <c r="M60" s="14"/>
      <c r="N60" s="8"/>
      <c r="O60" s="8"/>
      <c r="P60" s="11"/>
      <c r="Q60" s="11"/>
      <c r="R60" s="15"/>
      <c r="S60" s="12"/>
      <c r="T60" s="12"/>
      <c r="U60" s="12"/>
      <c r="V60" s="12"/>
      <c r="W60" s="16">
        <v>94000</v>
      </c>
      <c r="X60" s="9"/>
      <c r="Y60" s="9"/>
      <c r="Z60" s="9">
        <v>94000</v>
      </c>
      <c r="AA60" s="9">
        <f>W60-Z60</f>
      </c>
      <c r="AB60" s="13">
        <f>AA60/Z60</f>
      </c>
      <c r="AC60" s="28"/>
    </row>
    <row customHeight="true" ht="19" r="61">
      <c r="A61" s="12">
        <v>187</v>
      </c>
      <c r="B61" s="12"/>
      <c r="C61" s="12" t="str">
        <v>116 TK</v>
      </c>
      <c r="D61" s="12" t="str">
        <v>Hà Nội</v>
      </c>
      <c r="E61" s="12"/>
      <c r="F61" s="12"/>
      <c r="G61" s="8"/>
      <c r="H61" s="10"/>
      <c r="I61" s="8"/>
      <c r="J61" s="10"/>
      <c r="K61" s="12"/>
      <c r="L61" s="14"/>
      <c r="M61" s="14"/>
      <c r="N61" s="8"/>
      <c r="O61" s="8"/>
      <c r="P61" s="11"/>
      <c r="Q61" s="11"/>
      <c r="R61" s="15"/>
      <c r="S61" s="12"/>
      <c r="T61" s="12"/>
      <c r="U61" s="12"/>
      <c r="V61" s="12"/>
      <c r="W61" s="16">
        <v>94000</v>
      </c>
      <c r="X61" s="9"/>
      <c r="Y61" s="9"/>
      <c r="Z61" s="9">
        <v>94000</v>
      </c>
      <c r="AA61" s="9">
        <f>W61-Z61</f>
      </c>
      <c r="AB61" s="13">
        <f>AA61/Z61</f>
      </c>
      <c r="AC61" s="28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8"/>
    <col collapsed="false" customWidth="true" hidden="false" max="3" min="3" style="0" width="17"/>
    <col collapsed="false" customWidth="true" hidden="false" max="4" min="4" style="0" width="14"/>
    <col collapsed="false" customWidth="true" hidden="false" max="4" min="4" style="0" width="14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</cols>
  <sheetData>
    <row customHeight="true" ht="37" r="1">
      <c r="A1" s="24" t="str">
        <v>SalonID</v>
      </c>
      <c r="B1" s="24" t="str">
        <v>Mã Salon</v>
      </c>
      <c r="C1" s="26" t="str">
        <v>GDTM Đề xuất - KB2: Tăng AOV</v>
      </c>
      <c r="D1" s="25" t="str">
        <v>ID dv</v>
      </c>
      <c r="E1" s="25" t="str">
        <v>Giá hiện tại</v>
      </c>
      <c r="F1" s="25" t="str">
        <v>Chênh lệch giá cũ</v>
      </c>
      <c r="G1" s="27" t="str">
        <v>% Chênh lệch</v>
      </c>
    </row>
    <row r="2">
      <c r="A2" s="12">
        <v>2</v>
      </c>
      <c r="B2" s="12" t="str">
        <v>346 KT</v>
      </c>
      <c r="C2" s="16">
        <v>101000</v>
      </c>
      <c r="D2" s="9">
        <v>891</v>
      </c>
      <c r="E2" s="9">
        <v>100000</v>
      </c>
      <c r="F2" s="9">
        <v>1000</v>
      </c>
      <c r="G2" s="13">
        <v>0.01</v>
      </c>
    </row>
    <row customHeight="true" ht="19" r="3">
      <c r="A3" s="12">
        <v>11</v>
      </c>
      <c r="B3" s="12" t="str">
        <v>8 CVL</v>
      </c>
      <c r="C3" s="16">
        <v>100000</v>
      </c>
      <c r="D3" s="9">
        <v>891</v>
      </c>
      <c r="E3" s="9">
        <v>100000</v>
      </c>
      <c r="F3" s="9">
        <v>0</v>
      </c>
      <c r="G3" s="13">
        <v>0</v>
      </c>
    </row>
    <row customHeight="true" ht="19" r="4">
      <c r="A4" s="12">
        <v>12</v>
      </c>
      <c r="B4" s="12" t="str">
        <v>12 LDT</v>
      </c>
      <c r="C4" s="16">
        <v>106000</v>
      </c>
      <c r="D4" s="9">
        <v>891</v>
      </c>
      <c r="E4" s="9">
        <v>103000</v>
      </c>
      <c r="F4" s="9">
        <v>3000</v>
      </c>
      <c r="G4" s="13">
        <v>0.02912621359223301</v>
      </c>
    </row>
    <row customHeight="true" ht="19" r="5">
      <c r="A5" s="12">
        <v>20</v>
      </c>
      <c r="B5" s="12" t="str">
        <v>382 NT</v>
      </c>
      <c r="C5" s="16">
        <v>112000</v>
      </c>
      <c r="D5" s="9">
        <v>891</v>
      </c>
      <c r="E5" s="9">
        <v>101999.99999999999</v>
      </c>
      <c r="F5" s="9">
        <v>10000.000000000015</v>
      </c>
      <c r="G5" s="13">
        <v>0.09803921568627466</v>
      </c>
    </row>
    <row customHeight="true" ht="19" r="6">
      <c r="A6" s="12">
        <v>21</v>
      </c>
      <c r="B6" s="12" t="str">
        <v>575 AC</v>
      </c>
      <c r="C6" s="16">
        <v>104000</v>
      </c>
      <c r="D6" s="9">
        <v>891</v>
      </c>
      <c r="E6" s="9">
        <v>100000</v>
      </c>
      <c r="F6" s="9">
        <v>4000</v>
      </c>
      <c r="G6" s="13">
        <v>0.04</v>
      </c>
    </row>
    <row customHeight="true" ht="19" r="7">
      <c r="A7" s="12">
        <v>22</v>
      </c>
      <c r="B7" s="12" t="str">
        <v>927 HG</v>
      </c>
      <c r="C7" s="16">
        <v>100000</v>
      </c>
      <c r="D7" s="9">
        <v>891</v>
      </c>
      <c r="E7" s="9">
        <v>100000</v>
      </c>
      <c r="F7" s="9">
        <v>0</v>
      </c>
      <c r="G7" s="13">
        <v>0</v>
      </c>
    </row>
    <row customHeight="true" ht="19" r="8">
      <c r="A8" s="12">
        <v>39</v>
      </c>
      <c r="B8" s="12" t="str">
        <v>151 CG</v>
      </c>
      <c r="C8" s="16">
        <v>94000</v>
      </c>
      <c r="D8" s="9">
        <v>891</v>
      </c>
      <c r="E8" s="9">
        <v>94000</v>
      </c>
      <c r="F8" s="9">
        <v>0</v>
      </c>
      <c r="G8" s="13">
        <v>0</v>
      </c>
    </row>
    <row customHeight="true" ht="19" r="9">
      <c r="A9" s="12">
        <v>44</v>
      </c>
      <c r="B9" s="12" t="str">
        <v>103 TN</v>
      </c>
      <c r="C9" s="16">
        <v>99000</v>
      </c>
      <c r="D9" s="9">
        <v>891</v>
      </c>
      <c r="E9" s="9">
        <v>95000</v>
      </c>
      <c r="F9" s="9">
        <v>4000</v>
      </c>
      <c r="G9" s="13">
        <v>0.042105263157894736</v>
      </c>
    </row>
    <row customHeight="true" ht="19" r="10">
      <c r="A10" s="12">
        <v>45</v>
      </c>
      <c r="B10" s="12" t="str">
        <v>25 TD</v>
      </c>
      <c r="C10" s="16">
        <v>96000</v>
      </c>
      <c r="D10" s="9">
        <v>891</v>
      </c>
      <c r="E10" s="9">
        <v>95000</v>
      </c>
      <c r="F10" s="9">
        <v>1000</v>
      </c>
      <c r="G10" s="13">
        <v>0.010526315789473684</v>
      </c>
    </row>
    <row customHeight="true" ht="19" r="11">
      <c r="A11" s="20">
        <v>46</v>
      </c>
      <c r="B11" s="20" t="str">
        <v>483 TN</v>
      </c>
      <c r="C11" s="16">
        <v>102000</v>
      </c>
      <c r="D11" s="21">
        <v>891</v>
      </c>
      <c r="E11" s="21">
        <v>94000</v>
      </c>
      <c r="F11" s="21">
        <v>8000</v>
      </c>
      <c r="G11" s="19">
        <v>0.0851063829787234</v>
      </c>
    </row>
    <row customHeight="true" ht="19" r="12">
      <c r="A12" s="12">
        <v>47</v>
      </c>
      <c r="B12" s="12" t="str">
        <v>708 LTT</v>
      </c>
      <c r="C12" s="16">
        <v>110000</v>
      </c>
      <c r="D12" s="9">
        <v>891</v>
      </c>
      <c r="E12" s="9">
        <v>103000</v>
      </c>
      <c r="F12" s="9">
        <v>7000</v>
      </c>
      <c r="G12" s="13">
        <v>0.06796116504854369</v>
      </c>
    </row>
    <row customHeight="true" ht="19" r="13">
      <c r="A13" s="12">
        <v>51</v>
      </c>
      <c r="B13" s="12" t="str">
        <v>420 HTP</v>
      </c>
      <c r="C13" s="16">
        <v>97000</v>
      </c>
      <c r="D13" s="9">
        <v>891</v>
      </c>
      <c r="E13" s="9">
        <v>94000</v>
      </c>
      <c r="F13" s="9">
        <v>3000</v>
      </c>
      <c r="G13" s="13">
        <v>0.031914893617021274</v>
      </c>
    </row>
    <row customHeight="true" ht="19" r="14">
      <c r="A14" s="20">
        <v>52</v>
      </c>
      <c r="B14" s="20" t="str">
        <v>451 PVT</v>
      </c>
      <c r="C14" s="16">
        <v>102000</v>
      </c>
      <c r="D14" s="21">
        <v>891</v>
      </c>
      <c r="E14" s="21">
        <v>94000</v>
      </c>
      <c r="F14" s="21">
        <v>8000</v>
      </c>
      <c r="G14" s="19">
        <v>0.0851063829787234</v>
      </c>
    </row>
    <row customHeight="true" ht="19" r="15">
      <c r="A15" s="12">
        <v>58</v>
      </c>
      <c r="B15" s="12" t="str">
        <v>730 TL10</v>
      </c>
      <c r="C15" s="16">
        <v>100000</v>
      </c>
      <c r="D15" s="9">
        <v>891</v>
      </c>
      <c r="E15" s="9">
        <v>100000</v>
      </c>
      <c r="F15" s="9">
        <v>0</v>
      </c>
      <c r="G15" s="13">
        <v>0</v>
      </c>
    </row>
    <row customHeight="true" ht="19" r="16">
      <c r="A16" s="12">
        <v>60</v>
      </c>
      <c r="B16" s="12" t="str">
        <v>80 PL BD</v>
      </c>
      <c r="C16" s="16">
        <v>96000</v>
      </c>
      <c r="D16" s="9">
        <v>891</v>
      </c>
      <c r="E16" s="9">
        <v>94000</v>
      </c>
      <c r="F16" s="9">
        <v>2000</v>
      </c>
      <c r="G16" s="13">
        <v>0.02127659574468085</v>
      </c>
    </row>
    <row customHeight="true" ht="19" r="17">
      <c r="A17" s="12">
        <v>61</v>
      </c>
      <c r="B17" s="12" t="str">
        <v>1180 QT</v>
      </c>
      <c r="C17" s="16">
        <v>107000</v>
      </c>
      <c r="D17" s="9">
        <v>891</v>
      </c>
      <c r="E17" s="9">
        <v>103000</v>
      </c>
      <c r="F17" s="9">
        <v>4000</v>
      </c>
      <c r="G17" s="13">
        <v>0.038834951456310676</v>
      </c>
    </row>
    <row customHeight="true" ht="19" r="18">
      <c r="A18" s="12">
        <v>63</v>
      </c>
      <c r="B18" s="12" t="str">
        <v>29 HB</v>
      </c>
      <c r="C18" s="16">
        <v>94000</v>
      </c>
      <c r="D18" s="9">
        <v>891</v>
      </c>
      <c r="E18" s="9">
        <v>94000</v>
      </c>
      <c r="F18" s="9">
        <v>0</v>
      </c>
      <c r="G18" s="13">
        <v>0</v>
      </c>
    </row>
    <row customHeight="true" ht="19" r="19">
      <c r="A19" s="12">
        <v>65</v>
      </c>
      <c r="B19" s="12" t="str">
        <v>255 NAN</v>
      </c>
      <c r="C19" s="16">
        <v>110000</v>
      </c>
      <c r="D19" s="9">
        <v>891</v>
      </c>
      <c r="E19" s="9">
        <v>103000</v>
      </c>
      <c r="F19" s="9">
        <v>7000</v>
      </c>
      <c r="G19" s="13">
        <v>0.06796116504854369</v>
      </c>
    </row>
    <row customHeight="true" ht="19" r="20">
      <c r="A20" s="12">
        <v>69</v>
      </c>
      <c r="B20" s="12" t="str">
        <v>312 LVS</v>
      </c>
      <c r="C20" s="16">
        <v>99000</v>
      </c>
      <c r="D20" s="9">
        <v>891</v>
      </c>
      <c r="E20" s="9">
        <v>97000</v>
      </c>
      <c r="F20" s="9">
        <v>2000</v>
      </c>
      <c r="G20" s="13">
        <v>0.020618556701030927</v>
      </c>
    </row>
    <row customHeight="true" ht="19" r="21">
      <c r="A21" s="12">
        <v>72</v>
      </c>
      <c r="B21" s="12" t="str">
        <v>113 THD AG</v>
      </c>
      <c r="C21" s="16">
        <v>94000</v>
      </c>
      <c r="D21" s="9">
        <v>891</v>
      </c>
      <c r="E21" s="9">
        <v>94000</v>
      </c>
      <c r="F21" s="9">
        <v>0</v>
      </c>
      <c r="G21" s="13">
        <v>0</v>
      </c>
    </row>
    <row customHeight="true" ht="19" r="22">
      <c r="A22" s="12">
        <v>85</v>
      </c>
      <c r="B22" s="12" t="str">
        <v>363 LNQ TN</v>
      </c>
      <c r="C22" s="16">
        <v>110000</v>
      </c>
      <c r="D22" s="9">
        <v>891</v>
      </c>
      <c r="E22" s="9">
        <v>103000</v>
      </c>
      <c r="F22" s="9">
        <v>7000</v>
      </c>
      <c r="G22" s="13">
        <v>0.06796116504854369</v>
      </c>
    </row>
    <row customHeight="true" ht="19" r="23">
      <c r="A23" s="20">
        <v>106</v>
      </c>
      <c r="B23" s="20" t="str">
        <v>76 PVH</v>
      </c>
      <c r="C23" s="16">
        <v>100000</v>
      </c>
      <c r="D23" s="21">
        <v>891</v>
      </c>
      <c r="E23" s="21">
        <v>94000</v>
      </c>
      <c r="F23" s="21">
        <v>6000</v>
      </c>
      <c r="G23" s="19">
        <v>0.06382978723404255</v>
      </c>
    </row>
    <row customHeight="true" ht="19" r="24">
      <c r="A24" s="12">
        <v>141</v>
      </c>
      <c r="B24" s="12" t="str">
        <v>236 DBT</v>
      </c>
      <c r="C24" s="16">
        <v>104000</v>
      </c>
      <c r="D24" s="9">
        <v>891</v>
      </c>
      <c r="E24" s="9">
        <v>101000</v>
      </c>
      <c r="F24" s="9">
        <v>3000</v>
      </c>
      <c r="G24" s="13">
        <v>0.0297029702970297</v>
      </c>
    </row>
    <row customHeight="true" ht="19" r="25">
      <c r="A25" s="12">
        <v>143</v>
      </c>
      <c r="B25" s="12" t="str">
        <v>10 TP</v>
      </c>
      <c r="C25" s="16">
        <v>95000</v>
      </c>
      <c r="D25" s="9">
        <v>891</v>
      </c>
      <c r="E25" s="9">
        <v>94000</v>
      </c>
      <c r="F25" s="9">
        <v>1000</v>
      </c>
      <c r="G25" s="13">
        <v>0.010638297872340425</v>
      </c>
    </row>
    <row customHeight="true" ht="19" r="26">
      <c r="A26" s="12">
        <v>144</v>
      </c>
      <c r="B26" s="12" t="str">
        <v>168 NVC</v>
      </c>
      <c r="C26" s="16">
        <v>112000</v>
      </c>
      <c r="D26" s="9">
        <v>891</v>
      </c>
      <c r="E26" s="9">
        <v>103000</v>
      </c>
      <c r="F26" s="9">
        <v>9000</v>
      </c>
      <c r="G26" s="13">
        <v>0.08737864077669903</v>
      </c>
    </row>
    <row customHeight="true" ht="19" r="27">
      <c r="A27" s="12">
        <v>145</v>
      </c>
      <c r="B27" s="12" t="str">
        <v>237 NTT</v>
      </c>
      <c r="C27" s="16">
        <v>94000</v>
      </c>
      <c r="D27" s="9">
        <v>891</v>
      </c>
      <c r="E27" s="9">
        <v>94000</v>
      </c>
      <c r="F27" s="9">
        <v>0</v>
      </c>
      <c r="G27" s="13">
        <v>0</v>
      </c>
    </row>
    <row customHeight="true" ht="19" r="28">
      <c r="A28" s="12">
        <v>146</v>
      </c>
      <c r="B28" s="12" t="str">
        <v>109 TQH</v>
      </c>
      <c r="C28" s="16">
        <v>98000</v>
      </c>
      <c r="D28" s="9">
        <v>891</v>
      </c>
      <c r="E28" s="9">
        <v>94000</v>
      </c>
      <c r="F28" s="9">
        <v>4000</v>
      </c>
      <c r="G28" s="13">
        <v>0.0425531914893617</v>
      </c>
    </row>
    <row customHeight="true" ht="19" r="29">
      <c r="A29" s="12">
        <v>147</v>
      </c>
      <c r="B29" s="12" t="str">
        <v>99 TSN</v>
      </c>
      <c r="C29" s="16">
        <v>104000</v>
      </c>
      <c r="D29" s="9">
        <v>891</v>
      </c>
      <c r="E29" s="9">
        <v>100000</v>
      </c>
      <c r="F29" s="9">
        <v>4000</v>
      </c>
      <c r="G29" s="13">
        <v>0.04</v>
      </c>
    </row>
    <row customHeight="true" ht="19" r="30">
      <c r="A30" s="12">
        <v>182</v>
      </c>
      <c r="B30" s="12" t="str">
        <v>186 DTH</v>
      </c>
      <c r="C30" s="16">
        <v>95000</v>
      </c>
      <c r="D30" s="9">
        <v>891</v>
      </c>
      <c r="E30" s="9">
        <v>94000</v>
      </c>
      <c r="F30" s="9">
        <v>1000</v>
      </c>
      <c r="G30" s="13">
        <v>0.010638297872340425</v>
      </c>
    </row>
    <row customHeight="true" ht="19" r="31">
      <c r="A31" s="12">
        <v>184</v>
      </c>
      <c r="B31" s="12" t="str">
        <v>36 N1 BD</v>
      </c>
      <c r="C31" s="16">
        <v>105000</v>
      </c>
      <c r="D31" s="9">
        <v>891</v>
      </c>
      <c r="E31" s="9">
        <v>94000</v>
      </c>
      <c r="F31" s="9">
        <v>11000</v>
      </c>
      <c r="G31" s="13">
        <v>0.11702127659574468</v>
      </c>
    </row>
    <row customHeight="true" ht="19" r="32">
      <c r="A32" s="12">
        <v>188</v>
      </c>
      <c r="B32" s="12" t="str">
        <v>190 HB</v>
      </c>
      <c r="C32" s="16">
        <v>100000</v>
      </c>
      <c r="D32" s="9">
        <v>891</v>
      </c>
      <c r="E32" s="9">
        <v>100000</v>
      </c>
      <c r="F32" s="9">
        <v>0</v>
      </c>
      <c r="G32" s="13">
        <v>0</v>
      </c>
    </row>
    <row customHeight="true" ht="19" r="33">
      <c r="A33" s="20">
        <v>192</v>
      </c>
      <c r="B33" s="20" t="str">
        <v>264 LLQ</v>
      </c>
      <c r="C33" s="16">
        <v>112000</v>
      </c>
      <c r="D33" s="21">
        <v>891</v>
      </c>
      <c r="E33" s="21">
        <v>94000</v>
      </c>
      <c r="F33" s="21">
        <v>18000</v>
      </c>
      <c r="G33" s="19">
        <v>0.19148936170212766</v>
      </c>
    </row>
    <row customHeight="true" ht="19" r="34">
      <c r="A34" s="12">
        <v>193</v>
      </c>
      <c r="B34" s="12" t="str">
        <v>145 THT</v>
      </c>
      <c r="C34" s="16">
        <v>100000</v>
      </c>
      <c r="D34" s="9">
        <v>891</v>
      </c>
      <c r="E34" s="9">
        <v>94000</v>
      </c>
      <c r="F34" s="9">
        <v>6000</v>
      </c>
      <c r="G34" s="13">
        <v>0.06382978723404255</v>
      </c>
    </row>
    <row customHeight="true" ht="19" r="35">
      <c r="A35" s="20">
        <v>194</v>
      </c>
      <c r="B35" s="20" t="str">
        <v>90 NH</v>
      </c>
      <c r="C35" s="16">
        <v>100000</v>
      </c>
      <c r="D35" s="21">
        <v>891</v>
      </c>
      <c r="E35" s="21">
        <v>94000</v>
      </c>
      <c r="F35" s="21">
        <v>6000</v>
      </c>
      <c r="G35" s="19">
        <v>0.06382978723404255</v>
      </c>
    </row>
    <row customHeight="true" ht="19" r="36">
      <c r="A36" s="12">
        <v>196</v>
      </c>
      <c r="B36" s="12" t="str">
        <v>202 DC</v>
      </c>
      <c r="C36" s="16">
        <v>110000</v>
      </c>
      <c r="D36" s="9">
        <v>891</v>
      </c>
      <c r="E36" s="9">
        <v>103000</v>
      </c>
      <c r="F36" s="9">
        <v>7000</v>
      </c>
      <c r="G36" s="13">
        <v>0.06796116504854369</v>
      </c>
    </row>
    <row customHeight="true" ht="19" r="37">
      <c r="A37" s="12">
        <v>197</v>
      </c>
      <c r="B37" s="12" t="str">
        <v>65 CD</v>
      </c>
      <c r="C37" s="16">
        <v>100000</v>
      </c>
      <c r="D37" s="9">
        <v>891</v>
      </c>
      <c r="E37" s="9">
        <v>98999.99999999999</v>
      </c>
      <c r="F37" s="9">
        <v>1000.0000000000146</v>
      </c>
      <c r="G37" s="13">
        <v>0.01010101010101025</v>
      </c>
    </row>
    <row customHeight="true" ht="19" r="38">
      <c r="A38" s="12">
        <v>199</v>
      </c>
      <c r="B38" s="12" t="str">
        <v>7 DTP LA</v>
      </c>
      <c r="C38" s="16">
        <v>110000</v>
      </c>
      <c r="D38" s="9">
        <v>891</v>
      </c>
      <c r="E38" s="9">
        <v>103000</v>
      </c>
      <c r="F38" s="9">
        <v>7000</v>
      </c>
      <c r="G38" s="13">
        <v>0.06796116504854369</v>
      </c>
    </row>
    <row customHeight="true" ht="19" r="39">
      <c r="A39" s="12">
        <v>204</v>
      </c>
      <c r="B39" s="12" t="str">
        <v>401/1 NDT</v>
      </c>
      <c r="C39" s="16">
        <v>94000</v>
      </c>
      <c r="D39" s="9">
        <v>891</v>
      </c>
      <c r="E39" s="9">
        <v>94000</v>
      </c>
      <c r="F39" s="9">
        <v>0</v>
      </c>
      <c r="G39" s="13">
        <v>0</v>
      </c>
    </row>
    <row customHeight="true" ht="19" r="40">
      <c r="A40" s="12">
        <v>205</v>
      </c>
      <c r="B40" s="12" t="str">
        <v>341 XVNT</v>
      </c>
      <c r="C40" s="16">
        <v>97000</v>
      </c>
      <c r="D40" s="9">
        <v>891</v>
      </c>
      <c r="E40" s="9">
        <v>95000</v>
      </c>
      <c r="F40" s="9">
        <v>2000</v>
      </c>
      <c r="G40" s="13">
        <v>0.021052631578947368</v>
      </c>
    </row>
    <row customHeight="true" ht="19" r="41">
      <c r="A41" s="12">
        <v>210</v>
      </c>
      <c r="B41" s="12" t="str">
        <v>148 TD</v>
      </c>
      <c r="C41" s="16">
        <v>100000</v>
      </c>
      <c r="D41" s="9">
        <v>891</v>
      </c>
      <c r="E41" s="9">
        <v>96000</v>
      </c>
      <c r="F41" s="9">
        <v>4000</v>
      </c>
      <c r="G41" s="13">
        <v>0.041666666666666664</v>
      </c>
    </row>
    <row customHeight="true" ht="19" r="42">
      <c r="A42" s="12">
        <v>212</v>
      </c>
      <c r="B42" s="12" t="str">
        <v>58 NVC NA</v>
      </c>
      <c r="C42" s="16">
        <v>94000</v>
      </c>
      <c r="D42" s="9">
        <v>891</v>
      </c>
      <c r="E42" s="9">
        <v>94000</v>
      </c>
      <c r="F42" s="9">
        <v>0</v>
      </c>
      <c r="G42" s="13">
        <v>0</v>
      </c>
    </row>
    <row customHeight="true" ht="19" r="43">
      <c r="A43" s="12">
        <v>217</v>
      </c>
      <c r="B43" s="12" t="str">
        <v>TG 25/4 QN</v>
      </c>
      <c r="C43" s="16">
        <v>94000</v>
      </c>
      <c r="D43" s="9">
        <v>891</v>
      </c>
      <c r="E43" s="9">
        <v>94000</v>
      </c>
      <c r="F43" s="9">
        <v>0</v>
      </c>
      <c r="G43" s="13">
        <v>0</v>
      </c>
    </row>
    <row customHeight="true" ht="19" r="44">
      <c r="A44" s="12">
        <v>228</v>
      </c>
      <c r="B44" s="12" t="str">
        <v>62 LH</v>
      </c>
      <c r="C44" s="16">
        <v>98000</v>
      </c>
      <c r="D44" s="9">
        <v>891</v>
      </c>
      <c r="E44" s="9">
        <v>94000</v>
      </c>
      <c r="F44" s="9">
        <v>4000</v>
      </c>
      <c r="G44" s="13">
        <v>0.0425531914893617</v>
      </c>
    </row>
    <row customHeight="true" ht="19" r="45">
      <c r="A45" s="12">
        <v>230</v>
      </c>
      <c r="B45" s="12" t="str">
        <v>290 QT TH</v>
      </c>
      <c r="C45" s="16">
        <v>97000</v>
      </c>
      <c r="D45" s="9">
        <v>891</v>
      </c>
      <c r="E45" s="9">
        <v>95000</v>
      </c>
      <c r="F45" s="9">
        <v>2000</v>
      </c>
      <c r="G45" s="13">
        <v>0.021052631578947368</v>
      </c>
    </row>
    <row customHeight="true" ht="19" r="46">
      <c r="A46" s="12">
        <v>231</v>
      </c>
      <c r="B46" s="12" t="str">
        <v>304 NT TH</v>
      </c>
      <c r="C46" s="16">
        <v>110000</v>
      </c>
      <c r="D46" s="9">
        <v>891</v>
      </c>
      <c r="E46" s="9">
        <v>103000</v>
      </c>
      <c r="F46" s="9">
        <v>7000</v>
      </c>
      <c r="G46" s="13">
        <v>0.06796116504854369</v>
      </c>
    </row>
    <row customHeight="true" ht="19" r="47">
      <c r="A47" s="12">
        <v>232</v>
      </c>
      <c r="B47" s="12" t="str">
        <v>80 TP TH</v>
      </c>
      <c r="C47" s="16">
        <v>110000</v>
      </c>
      <c r="D47" s="9">
        <v>891</v>
      </c>
      <c r="E47" s="9">
        <v>103000</v>
      </c>
      <c r="F47" s="9">
        <v>7000</v>
      </c>
      <c r="G47" s="13">
        <v>0.06796116504854369</v>
      </c>
    </row>
    <row customHeight="true" ht="19" r="48">
      <c r="A48" s="12">
        <v>233</v>
      </c>
      <c r="B48" s="12" t="str">
        <v>595 BT TH</v>
      </c>
      <c r="C48" s="16">
        <v>112000</v>
      </c>
      <c r="D48" s="9">
        <v>891</v>
      </c>
      <c r="E48" s="9">
        <v>103000</v>
      </c>
      <c r="F48" s="9">
        <v>9000</v>
      </c>
      <c r="G48" s="13">
        <v>0.08737864077669903</v>
      </c>
    </row>
    <row customHeight="true" ht="19" r="49">
      <c r="A49" s="12">
        <v>239</v>
      </c>
      <c r="B49" s="12" t="str">
        <v>186 QT</v>
      </c>
      <c r="C49" s="16">
        <v>105000</v>
      </c>
      <c r="D49" s="9">
        <v>891</v>
      </c>
      <c r="E49" s="9">
        <v>103000</v>
      </c>
      <c r="F49" s="9">
        <v>2000</v>
      </c>
      <c r="G49" s="13">
        <v>0.019417475728155338</v>
      </c>
    </row>
    <row customHeight="true" ht="19" r="50">
      <c r="A50" s="12">
        <v>240</v>
      </c>
      <c r="B50" s="12" t="str">
        <v>68 LN NA</v>
      </c>
      <c r="C50" s="16">
        <v>106000</v>
      </c>
      <c r="D50" s="9">
        <v>891</v>
      </c>
      <c r="E50" s="9">
        <v>103000</v>
      </c>
      <c r="F50" s="9">
        <v>3000</v>
      </c>
      <c r="G50" s="13">
        <v>0.02912621359223301</v>
      </c>
    </row>
    <row customHeight="true" ht="19" r="51">
      <c r="A51" s="12">
        <v>244</v>
      </c>
      <c r="B51" s="12" t="str">
        <v>11 PKT</v>
      </c>
      <c r="C51" s="16">
        <v>104000</v>
      </c>
      <c r="D51" s="9">
        <v>891</v>
      </c>
      <c r="E51" s="9">
        <v>100000</v>
      </c>
      <c r="F51" s="9">
        <v>4000</v>
      </c>
      <c r="G51" s="13">
        <v>0.04</v>
      </c>
    </row>
    <row customHeight="true" ht="19" r="52">
      <c r="A52" s="12">
        <v>245</v>
      </c>
      <c r="B52" s="12" t="str">
        <v>55A NVL</v>
      </c>
      <c r="C52" s="16">
        <v>99000</v>
      </c>
      <c r="D52" s="9">
        <v>891</v>
      </c>
      <c r="E52" s="9">
        <v>95000</v>
      </c>
      <c r="F52" s="9">
        <v>4000</v>
      </c>
      <c r="G52" s="13">
        <v>0.042105263157894736</v>
      </c>
    </row>
    <row customHeight="true" ht="19" r="53">
      <c r="A53" s="12">
        <v>247</v>
      </c>
      <c r="B53" s="12" t="str">
        <v>1371 PVT</v>
      </c>
      <c r="C53" s="16">
        <v>104000</v>
      </c>
      <c r="D53" s="9">
        <v>891</v>
      </c>
      <c r="E53" s="9">
        <v>101999.99999999999</v>
      </c>
      <c r="F53" s="9">
        <v>2000.0000000000146</v>
      </c>
      <c r="G53" s="13">
        <v>0.019607843137255047</v>
      </c>
    </row>
    <row customHeight="true" ht="19" r="54">
      <c r="A54" s="12">
        <v>249</v>
      </c>
      <c r="B54" s="12" t="str">
        <v>1146 KVC</v>
      </c>
      <c r="C54" s="16">
        <v>94000</v>
      </c>
      <c r="D54" s="9">
        <v>891</v>
      </c>
      <c r="E54" s="9">
        <v>94000</v>
      </c>
      <c r="F54" s="9">
        <v>0</v>
      </c>
      <c r="G54" s="13">
        <v>0</v>
      </c>
    </row>
    <row customHeight="true" ht="19" r="55">
      <c r="A55" s="12">
        <v>250</v>
      </c>
      <c r="B55" s="12" t="str">
        <v>173 TN</v>
      </c>
      <c r="C55" s="16">
        <v>102000</v>
      </c>
      <c r="D55" s="9">
        <v>891</v>
      </c>
      <c r="E55" s="9">
        <v>100000</v>
      </c>
      <c r="F55" s="9">
        <v>2000</v>
      </c>
      <c r="G55" s="13">
        <v>0.02</v>
      </c>
    </row>
    <row customHeight="true" ht="19" r="56">
      <c r="A56" s="12">
        <v>274</v>
      </c>
      <c r="B56" s="12" t="str">
        <v>32 NAT</v>
      </c>
      <c r="C56" s="16">
        <v>108000</v>
      </c>
      <c r="D56" s="9">
        <v>891</v>
      </c>
      <c r="E56" s="9">
        <v>103000</v>
      </c>
      <c r="F56" s="9">
        <v>5000</v>
      </c>
      <c r="G56" s="13">
        <v>0.04854368932038835</v>
      </c>
    </row>
    <row customHeight="true" ht="19" r="57">
      <c r="A57" s="12">
        <v>302</v>
      </c>
      <c r="B57" s="12" t="str">
        <v>362 NGT BN</v>
      </c>
      <c r="C57" s="16">
        <v>98000</v>
      </c>
      <c r="D57" s="9">
        <v>891</v>
      </c>
      <c r="E57" s="9">
        <v>94000</v>
      </c>
      <c r="F57" s="9">
        <v>4000</v>
      </c>
      <c r="G57" s="13">
        <v>0.0425531914893617</v>
      </c>
    </row>
    <row customHeight="true" ht="19" r="58">
      <c r="A58" s="12">
        <v>200</v>
      </c>
      <c r="B58" s="12" t="str">
        <v>39 HBT</v>
      </c>
      <c r="C58" s="16">
        <v>104000</v>
      </c>
      <c r="D58" s="9">
        <v>891</v>
      </c>
      <c r="E58" s="9">
        <v>100000</v>
      </c>
      <c r="F58" s="9">
        <v>4000</v>
      </c>
      <c r="G58" s="13">
        <v>0.04</v>
      </c>
    </row>
    <row customHeight="true" ht="19" r="59">
      <c r="A59" s="12">
        <v>179</v>
      </c>
      <c r="B59" s="12" t="str">
        <v>50BT4 NPC LD</v>
      </c>
      <c r="C59" s="16">
        <v>94000</v>
      </c>
      <c r="D59" s="9">
        <v>891</v>
      </c>
      <c r="E59" s="9">
        <v>94000</v>
      </c>
      <c r="F59" s="9">
        <v>0</v>
      </c>
      <c r="G59" s="13">
        <v>0</v>
      </c>
    </row>
    <row customHeight="true" ht="19" r="60">
      <c r="A60" s="12">
        <v>201</v>
      </c>
      <c r="B60" s="12" t="str">
        <v>4 LQD BN</v>
      </c>
      <c r="C60" s="16">
        <v>94000</v>
      </c>
      <c r="D60" s="9">
        <v>891</v>
      </c>
      <c r="E60" s="9">
        <v>94000</v>
      </c>
      <c r="F60" s="9">
        <v>0</v>
      </c>
      <c r="G60" s="13">
        <v>0</v>
      </c>
    </row>
    <row customHeight="true" ht="19" r="61">
      <c r="A61" s="12">
        <v>187</v>
      </c>
      <c r="B61" s="12" t="str">
        <v>116 TK</v>
      </c>
      <c r="C61" s="16">
        <v>94000</v>
      </c>
      <c r="D61" s="9">
        <v>891</v>
      </c>
      <c r="E61" s="9">
        <v>94000</v>
      </c>
      <c r="F61" s="9">
        <v>0</v>
      </c>
      <c r="G61" s="13">
        <v>0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7"/>
    <col collapsed="false" customWidth="true" hidden="false" max="5" min="5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</cols>
  <sheetData>
    <row customHeight="true" ht="37" r="1">
      <c r="A1" s="24" t="str">
        <v>SalonID</v>
      </c>
      <c r="B1" s="24" t="str">
        <v>Tên Salon</v>
      </c>
      <c r="C1" s="24" t="str">
        <v>Mã Salon</v>
      </c>
      <c r="D1" s="26" t="str">
        <v>GDTM Đề xuất - KB2: Tăng AOV</v>
      </c>
      <c r="E1" s="25" t="str">
        <v>ID dv</v>
      </c>
      <c r="F1" s="25"/>
      <c r="G1" s="25" t="str">
        <v>Giá hiện tại</v>
      </c>
      <c r="H1" s="25" t="str">
        <v>Chênh lệch giá cũ</v>
      </c>
      <c r="I1" s="27" t="str">
        <v>% Chênh lệch</v>
      </c>
    </row>
    <row r="2">
      <c r="A2" s="12">
        <v>2</v>
      </c>
      <c r="B2" s="12" t="str">
        <v>346 Khâm Thiên</v>
      </c>
      <c r="C2" s="12" t="str">
        <v>346 KT</v>
      </c>
      <c r="D2" s="16">
        <v>101000</v>
      </c>
      <c r="E2" s="9">
        <v>891</v>
      </c>
      <c r="F2" s="9" t="str">
        <v>346 KT891</v>
      </c>
      <c r="G2" s="9">
        <v>100000</v>
      </c>
      <c r="H2" s="9">
        <v>1000</v>
      </c>
      <c r="I2" s="13">
        <v>0.01</v>
      </c>
    </row>
    <row customHeight="true" ht="19" r="3">
      <c r="A3" s="12">
        <v>11</v>
      </c>
      <c r="B3" s="12" t="str">
        <v>8 Châu Văn Liêm</v>
      </c>
      <c r="C3" s="12" t="str">
        <v>8 CVL</v>
      </c>
      <c r="D3" s="16">
        <v>100000</v>
      </c>
      <c r="E3" s="9">
        <v>891</v>
      </c>
      <c r="F3" s="9" t="str">
        <v>8 CVL891</v>
      </c>
      <c r="G3" s="9">
        <v>100000</v>
      </c>
      <c r="H3" s="9">
        <v>0</v>
      </c>
      <c r="I3" s="13">
        <v>0</v>
      </c>
    </row>
    <row customHeight="true" ht="19" r="4">
      <c r="A4" s="12">
        <v>12</v>
      </c>
      <c r="B4" s="12" t="str">
        <v>12 Lê Đức Thọ</v>
      </c>
      <c r="C4" s="12" t="str">
        <v>12 LDT</v>
      </c>
      <c r="D4" s="16">
        <v>106000</v>
      </c>
      <c r="E4" s="9">
        <v>891</v>
      </c>
      <c r="F4" s="9" t="str">
        <v>12 LDT891</v>
      </c>
      <c r="G4" s="9">
        <v>103000</v>
      </c>
      <c r="H4" s="9">
        <v>3000</v>
      </c>
      <c r="I4" s="13">
        <v>0.02912621359223301</v>
      </c>
    </row>
    <row customHeight="true" ht="19" r="5">
      <c r="A5" s="12">
        <v>20</v>
      </c>
      <c r="B5" s="12" t="str">
        <v>382 Nguyễn Trãi</v>
      </c>
      <c r="C5" s="12" t="str">
        <v>382 NT</v>
      </c>
      <c r="D5" s="16">
        <v>109000</v>
      </c>
      <c r="E5" s="9">
        <v>891</v>
      </c>
      <c r="F5" s="9" t="str">
        <v>382 NT891</v>
      </c>
      <c r="G5" s="9">
        <v>101999.99999999999</v>
      </c>
      <c r="H5" s="9">
        <v>7000.000000000015</v>
      </c>
      <c r="I5" s="13">
        <v>0.06862745098039232</v>
      </c>
    </row>
    <row customHeight="true" ht="19" r="6">
      <c r="A6" s="12">
        <v>21</v>
      </c>
      <c r="B6" s="12" t="str">
        <v>575 Âu Cơ</v>
      </c>
      <c r="C6" s="12" t="str">
        <v>575 AC</v>
      </c>
      <c r="D6" s="16">
        <v>104000</v>
      </c>
      <c r="E6" s="9">
        <v>891</v>
      </c>
      <c r="F6" s="9" t="str">
        <v>575 AC891</v>
      </c>
      <c r="G6" s="9">
        <v>100000</v>
      </c>
      <c r="H6" s="9">
        <v>4000</v>
      </c>
      <c r="I6" s="13">
        <v>0.04</v>
      </c>
    </row>
    <row customHeight="true" ht="19" r="7">
      <c r="A7" s="12">
        <v>22</v>
      </c>
      <c r="B7" s="12" t="str">
        <v>927  Hậu Giang</v>
      </c>
      <c r="C7" s="12" t="str">
        <v>927 HG</v>
      </c>
      <c r="D7" s="16">
        <v>100000</v>
      </c>
      <c r="E7" s="9">
        <v>891</v>
      </c>
      <c r="F7" s="9" t="str">
        <v>927 HG891</v>
      </c>
      <c r="G7" s="9">
        <v>100000</v>
      </c>
      <c r="H7" s="9">
        <v>0</v>
      </c>
      <c r="I7" s="13">
        <v>0</v>
      </c>
    </row>
    <row customHeight="true" ht="19" r="8">
      <c r="A8" s="12">
        <v>39</v>
      </c>
      <c r="B8" s="12" t="str">
        <v>151 Cầu Giấy, Q. CG</v>
      </c>
      <c r="C8" s="12" t="str">
        <v>151 CG</v>
      </c>
      <c r="D8" s="16">
        <v>94000</v>
      </c>
      <c r="E8" s="9">
        <v>891</v>
      </c>
      <c r="F8" s="9" t="str">
        <v>151 CG891</v>
      </c>
      <c r="G8" s="9">
        <v>94000</v>
      </c>
      <c r="H8" s="9">
        <v>0</v>
      </c>
      <c r="I8" s="13">
        <v>0</v>
      </c>
    </row>
    <row customHeight="true" ht="19" r="9">
      <c r="A9" s="12">
        <v>44</v>
      </c>
      <c r="B9" s="12" t="str">
        <v>103 Trần Não</v>
      </c>
      <c r="C9" s="12" t="str">
        <v>103 TN</v>
      </c>
      <c r="D9" s="16">
        <v>99000</v>
      </c>
      <c r="E9" s="9">
        <v>891</v>
      </c>
      <c r="F9" s="9" t="str">
        <v>103 TN891</v>
      </c>
      <c r="G9" s="9">
        <v>95000</v>
      </c>
      <c r="H9" s="9">
        <v>4000</v>
      </c>
      <c r="I9" s="13">
        <v>0.042105263157894736</v>
      </c>
    </row>
    <row customHeight="true" ht="19" r="10">
      <c r="A10" s="12">
        <v>45</v>
      </c>
      <c r="B10" s="12" t="str">
        <v>25 Tôn Đản</v>
      </c>
      <c r="C10" s="12" t="str">
        <v>25 TD</v>
      </c>
      <c r="D10" s="16">
        <v>96000</v>
      </c>
      <c r="E10" s="9">
        <v>891</v>
      </c>
      <c r="F10" s="9" t="str">
        <v>25 TD891</v>
      </c>
      <c r="G10" s="9">
        <v>95000</v>
      </c>
      <c r="H10" s="9">
        <v>1000</v>
      </c>
      <c r="I10" s="13">
        <v>0.010526315789473684</v>
      </c>
    </row>
    <row customHeight="true" ht="19" r="11">
      <c r="A11" s="20">
        <v>46</v>
      </c>
      <c r="B11" s="20" t="str">
        <v>483 Thống Nhất</v>
      </c>
      <c r="C11" s="20" t="str">
        <v>483 TN</v>
      </c>
      <c r="D11" s="16">
        <v>102000</v>
      </c>
      <c r="E11" s="21">
        <v>891</v>
      </c>
      <c r="F11" s="21" t="str">
        <v>483 TN891</v>
      </c>
      <c r="G11" s="21">
        <v>94000</v>
      </c>
      <c r="H11" s="21">
        <v>8000</v>
      </c>
      <c r="I11" s="19">
        <v>0.0851063829787234</v>
      </c>
    </row>
    <row customHeight="true" ht="19" r="12">
      <c r="A12" s="12">
        <v>47</v>
      </c>
      <c r="B12" s="12" t="str">
        <v>708 Lê Trọng Tấn</v>
      </c>
      <c r="C12" s="12" t="str">
        <v>708 LTT</v>
      </c>
      <c r="D12" s="16">
        <v>110000</v>
      </c>
      <c r="E12" s="9">
        <v>891</v>
      </c>
      <c r="F12" s="9" t="str">
        <v>708 LTT891</v>
      </c>
      <c r="G12" s="9">
        <v>103000</v>
      </c>
      <c r="H12" s="9">
        <v>7000</v>
      </c>
      <c r="I12" s="13">
        <v>0.06796116504854369</v>
      </c>
    </row>
    <row customHeight="true" ht="19" r="13">
      <c r="A13" s="12">
        <v>51</v>
      </c>
      <c r="B13" s="12" t="str">
        <v>420 Huỳnh Tấn Phát</v>
      </c>
      <c r="C13" s="12" t="str">
        <v>420 HTP</v>
      </c>
      <c r="D13" s="16">
        <v>97000</v>
      </c>
      <c r="E13" s="9">
        <v>891</v>
      </c>
      <c r="F13" s="9" t="str">
        <v>420 HTP891</v>
      </c>
      <c r="G13" s="9">
        <v>94000</v>
      </c>
      <c r="H13" s="9">
        <v>3000</v>
      </c>
      <c r="I13" s="13">
        <v>0.031914893617021274</v>
      </c>
    </row>
    <row customHeight="true" ht="19" r="14">
      <c r="A14" s="20">
        <v>52</v>
      </c>
      <c r="B14" s="20" t="str">
        <v>451 Phạm Văn Thuận</v>
      </c>
      <c r="C14" s="20" t="str">
        <v>451 PVT</v>
      </c>
      <c r="D14" s="16">
        <v>102000</v>
      </c>
      <c r="E14" s="21">
        <v>891</v>
      </c>
      <c r="F14" s="21" t="str">
        <v>451 PVT891</v>
      </c>
      <c r="G14" s="21">
        <v>94000</v>
      </c>
      <c r="H14" s="21">
        <v>8000</v>
      </c>
      <c r="I14" s="19">
        <v>0.0851063829787234</v>
      </c>
    </row>
    <row customHeight="true" ht="19" r="15">
      <c r="A15" s="12">
        <v>58</v>
      </c>
      <c r="B15" s="12" t="str">
        <v>730 Tỉnh lộ 10</v>
      </c>
      <c r="C15" s="12" t="str">
        <v>730 TL10</v>
      </c>
      <c r="D15" s="16">
        <v>100000</v>
      </c>
      <c r="E15" s="9">
        <v>891</v>
      </c>
      <c r="F15" s="9" t="str">
        <v>730 TL10891</v>
      </c>
      <c r="G15" s="9">
        <v>100000</v>
      </c>
      <c r="H15" s="9">
        <v>0</v>
      </c>
      <c r="I15" s="13">
        <v>0</v>
      </c>
    </row>
    <row customHeight="true" ht="19" r="16">
      <c r="A16" s="12">
        <v>60</v>
      </c>
      <c r="B16" s="12" t="str">
        <v>80 Phú Lợi</v>
      </c>
      <c r="C16" s="12" t="str">
        <v>80 PL BD</v>
      </c>
      <c r="D16" s="16">
        <v>96000</v>
      </c>
      <c r="E16" s="9">
        <v>891</v>
      </c>
      <c r="F16" s="9" t="str">
        <v>80 PL BD891</v>
      </c>
      <c r="G16" s="9">
        <v>94000</v>
      </c>
      <c r="H16" s="9">
        <v>2000</v>
      </c>
      <c r="I16" s="13">
        <v>0.02127659574468085</v>
      </c>
    </row>
    <row customHeight="true" ht="19" r="17">
      <c r="A17" s="12">
        <v>61</v>
      </c>
      <c r="B17" s="12" t="str">
        <v>1180 Quang Trung</v>
      </c>
      <c r="C17" s="12" t="str">
        <v>1180 QT</v>
      </c>
      <c r="D17" s="16">
        <v>107000</v>
      </c>
      <c r="E17" s="9">
        <v>891</v>
      </c>
      <c r="F17" s="9" t="str">
        <v>1180 QT891</v>
      </c>
      <c r="G17" s="9">
        <v>103000</v>
      </c>
      <c r="H17" s="9">
        <v>4000</v>
      </c>
      <c r="I17" s="13">
        <v>0.038834951456310676</v>
      </c>
    </row>
    <row customHeight="true" ht="19" r="18">
      <c r="A18" s="12">
        <v>63</v>
      </c>
      <c r="B18" s="12" t="str">
        <v>29 Hiệp Bình</v>
      </c>
      <c r="C18" s="12" t="str">
        <v>29 HB</v>
      </c>
      <c r="D18" s="16">
        <v>94000</v>
      </c>
      <c r="E18" s="9">
        <v>891</v>
      </c>
      <c r="F18" s="9" t="str">
        <v>29 HB891</v>
      </c>
      <c r="G18" s="9">
        <v>94000</v>
      </c>
      <c r="H18" s="9">
        <v>0</v>
      </c>
      <c r="I18" s="13">
        <v>0</v>
      </c>
    </row>
    <row customHeight="true" ht="19" r="19">
      <c r="A19" s="12">
        <v>65</v>
      </c>
      <c r="B19" s="12" t="str">
        <v>255 Nguyễn An Ninh</v>
      </c>
      <c r="C19" s="12" t="str">
        <v>255 NAN</v>
      </c>
      <c r="D19" s="16">
        <v>110000</v>
      </c>
      <c r="E19" s="9">
        <v>891</v>
      </c>
      <c r="F19" s="9" t="str">
        <v>255 NAN891</v>
      </c>
      <c r="G19" s="9">
        <v>103000</v>
      </c>
      <c r="H19" s="9">
        <v>7000</v>
      </c>
      <c r="I19" s="13">
        <v>0.06796116504854369</v>
      </c>
    </row>
    <row customHeight="true" ht="19" r="20">
      <c r="A20" s="12">
        <v>69</v>
      </c>
      <c r="B20" s="12" t="str">
        <v>312 Lê Văn Sỹ</v>
      </c>
      <c r="C20" s="12" t="str">
        <v>312 LVS</v>
      </c>
      <c r="D20" s="16">
        <v>99000</v>
      </c>
      <c r="E20" s="9">
        <v>891</v>
      </c>
      <c r="F20" s="9" t="str">
        <v>312 LVS891</v>
      </c>
      <c r="G20" s="9">
        <v>97000</v>
      </c>
      <c r="H20" s="9">
        <v>2000</v>
      </c>
      <c r="I20" s="13">
        <v>0.020618556701030927</v>
      </c>
    </row>
    <row customHeight="true" ht="19" r="21">
      <c r="A21" s="12">
        <v>72</v>
      </c>
      <c r="B21" s="12" t="str">
        <v>113 Trần Hưng Đạo</v>
      </c>
      <c r="C21" s="12" t="str">
        <v>113 THD AG</v>
      </c>
      <c r="D21" s="16">
        <v>94000</v>
      </c>
      <c r="E21" s="9">
        <v>891</v>
      </c>
      <c r="F21" s="9" t="str">
        <v>113 THD AG891</v>
      </c>
      <c r="G21" s="9">
        <v>94000</v>
      </c>
      <c r="H21" s="9">
        <v>0</v>
      </c>
      <c r="I21" s="13">
        <v>0</v>
      </c>
    </row>
    <row customHeight="true" ht="19" r="22">
      <c r="A22" s="12">
        <v>85</v>
      </c>
      <c r="B22" s="12" t="str" xml:space="preserve">
        <v> 363 Lương Ngọc Quyến</v>
      </c>
      <c r="C22" s="12" t="str">
        <v>363 LNQ TN</v>
      </c>
      <c r="D22" s="16">
        <v>110000</v>
      </c>
      <c r="E22" s="9">
        <v>891</v>
      </c>
      <c r="F22" s="9" t="str">
        <v>363 LNQ TN891</v>
      </c>
      <c r="G22" s="9">
        <v>103000</v>
      </c>
      <c r="H22" s="9">
        <v>7000</v>
      </c>
      <c r="I22" s="13">
        <v>0.06796116504854369</v>
      </c>
    </row>
    <row customHeight="true" ht="19" r="23">
      <c r="A23" s="20">
        <v>106</v>
      </c>
      <c r="B23" s="20" t="str">
        <v>76 Phan Văn Hớn</v>
      </c>
      <c r="C23" s="20" t="str">
        <v>76 PVH</v>
      </c>
      <c r="D23" s="16">
        <v>100000</v>
      </c>
      <c r="E23" s="21">
        <v>891</v>
      </c>
      <c r="F23" s="21" t="str">
        <v>76 PVH891</v>
      </c>
      <c r="G23" s="21">
        <v>94000</v>
      </c>
      <c r="H23" s="21">
        <v>6000</v>
      </c>
      <c r="I23" s="19">
        <v>0.06382978723404255</v>
      </c>
    </row>
    <row customHeight="true" ht="19" r="24">
      <c r="A24" s="12">
        <v>141</v>
      </c>
      <c r="B24" s="12" t="str">
        <v>236 Dương Bá Trạc</v>
      </c>
      <c r="C24" s="12" t="str">
        <v>236 DBT</v>
      </c>
      <c r="D24" s="16">
        <v>104000</v>
      </c>
      <c r="E24" s="9">
        <v>891</v>
      </c>
      <c r="F24" s="9" t="str">
        <v>236 DBT891</v>
      </c>
      <c r="G24" s="9">
        <v>101000</v>
      </c>
      <c r="H24" s="9">
        <v>3000</v>
      </c>
      <c r="I24" s="13">
        <v>0.0297029702970297</v>
      </c>
    </row>
    <row customHeight="true" ht="19" r="25">
      <c r="A25" s="12">
        <v>143</v>
      </c>
      <c r="B25" s="12" t="str">
        <v>10 Trần Phú</v>
      </c>
      <c r="C25" s="12" t="str">
        <v>10 TP</v>
      </c>
      <c r="D25" s="16">
        <v>95000</v>
      </c>
      <c r="E25" s="9">
        <v>891</v>
      </c>
      <c r="F25" s="9" t="str">
        <v>10 TP891</v>
      </c>
      <c r="G25" s="9">
        <v>94000</v>
      </c>
      <c r="H25" s="9">
        <v>1000</v>
      </c>
      <c r="I25" s="13">
        <v>0.010638297872340425</v>
      </c>
    </row>
    <row customHeight="true" ht="19" r="26">
      <c r="A26" s="12">
        <v>144</v>
      </c>
      <c r="B26" s="12" t="str">
        <v>168 Nguyễn Văn Cừ</v>
      </c>
      <c r="C26" s="12" t="str">
        <v>168 NVC</v>
      </c>
      <c r="D26" s="16">
        <v>110000</v>
      </c>
      <c r="E26" s="9">
        <v>891</v>
      </c>
      <c r="F26" s="9" t="str">
        <v>168 NVC891</v>
      </c>
      <c r="G26" s="9">
        <v>103000</v>
      </c>
      <c r="H26" s="9">
        <v>7000</v>
      </c>
      <c r="I26" s="13">
        <v>0.06796116504854369</v>
      </c>
    </row>
    <row customHeight="true" ht="19" r="27">
      <c r="A27" s="12">
        <v>145</v>
      </c>
      <c r="B27" s="12" t="str">
        <v>237 Nguyễn Thị Thập</v>
      </c>
      <c r="C27" s="12" t="str">
        <v>237 NTT</v>
      </c>
      <c r="D27" s="16">
        <v>94000</v>
      </c>
      <c r="E27" s="9">
        <v>891</v>
      </c>
      <c r="F27" s="9" t="str">
        <v>237 NTT891</v>
      </c>
      <c r="G27" s="9">
        <v>94000</v>
      </c>
      <c r="H27" s="9">
        <v>0</v>
      </c>
      <c r="I27" s="13">
        <v>0</v>
      </c>
    </row>
    <row customHeight="true" ht="19" r="28">
      <c r="A28" s="12">
        <v>146</v>
      </c>
      <c r="B28" s="12" t="str">
        <v>109 Trần Quốc Hoàn</v>
      </c>
      <c r="C28" s="12" t="str">
        <v>109 TQH</v>
      </c>
      <c r="D28" s="16">
        <v>98000</v>
      </c>
      <c r="E28" s="9">
        <v>891</v>
      </c>
      <c r="F28" s="9" t="str">
        <v>109 TQH891</v>
      </c>
      <c r="G28" s="9">
        <v>94000</v>
      </c>
      <c r="H28" s="9">
        <v>4000</v>
      </c>
      <c r="I28" s="13">
        <v>0.0425531914893617</v>
      </c>
    </row>
    <row customHeight="true" ht="19" r="29">
      <c r="A29" s="12">
        <v>147</v>
      </c>
      <c r="B29" s="12" t="str">
        <v>99 Tân Sơn Nhì</v>
      </c>
      <c r="C29" s="12" t="str">
        <v>99 TSN</v>
      </c>
      <c r="D29" s="16">
        <v>104000</v>
      </c>
      <c r="E29" s="9">
        <v>891</v>
      </c>
      <c r="F29" s="9" t="str">
        <v>99 TSN891</v>
      </c>
      <c r="G29" s="9">
        <v>100000</v>
      </c>
      <c r="H29" s="9">
        <v>4000</v>
      </c>
      <c r="I29" s="13">
        <v>0.04</v>
      </c>
    </row>
    <row customHeight="true" ht="19" r="30">
      <c r="A30" s="12">
        <v>182</v>
      </c>
      <c r="B30" s="12" t="str">
        <v>186 Đinh Tiên Hoàng</v>
      </c>
      <c r="C30" s="12" t="str">
        <v>186 DTH</v>
      </c>
      <c r="D30" s="16">
        <v>95000</v>
      </c>
      <c r="E30" s="9">
        <v>891</v>
      </c>
      <c r="F30" s="9" t="str">
        <v>186 DTH891</v>
      </c>
      <c r="G30" s="9">
        <v>94000</v>
      </c>
      <c r="H30" s="9">
        <v>1000</v>
      </c>
      <c r="I30" s="13">
        <v>0.010638297872340425</v>
      </c>
    </row>
    <row customHeight="true" ht="19" r="31">
      <c r="A31" s="12">
        <v>184</v>
      </c>
      <c r="B31" s="12" t="str">
        <v>36 đường N1, KCN Mỹ Phước 1</v>
      </c>
      <c r="C31" s="12" t="str">
        <v>36 N1 BD</v>
      </c>
      <c r="D31" s="16">
        <v>105000</v>
      </c>
      <c r="E31" s="9">
        <v>891</v>
      </c>
      <c r="F31" s="9" t="str">
        <v>36 N1 BD891</v>
      </c>
      <c r="G31" s="9">
        <v>94000</v>
      </c>
      <c r="H31" s="9">
        <v>11000</v>
      </c>
      <c r="I31" s="13">
        <v>0.11702127659574468</v>
      </c>
    </row>
    <row customHeight="true" ht="19" r="32">
      <c r="A32" s="12">
        <v>188</v>
      </c>
      <c r="B32" s="12" t="str">
        <v>190 Hòa Bình</v>
      </c>
      <c r="C32" s="12" t="str">
        <v>190 HB</v>
      </c>
      <c r="D32" s="16">
        <v>100000</v>
      </c>
      <c r="E32" s="9">
        <v>891</v>
      </c>
      <c r="F32" s="9" t="str">
        <v>190 HB891</v>
      </c>
      <c r="G32" s="9">
        <v>100000</v>
      </c>
      <c r="H32" s="9">
        <v>0</v>
      </c>
      <c r="I32" s="13">
        <v>0</v>
      </c>
    </row>
    <row customHeight="true" ht="19" r="33">
      <c r="A33" s="20">
        <v>192</v>
      </c>
      <c r="B33" s="20" t="str">
        <v>264 Lạc Long Quân</v>
      </c>
      <c r="C33" s="20" t="str">
        <v>264 LLQ</v>
      </c>
      <c r="D33" s="16">
        <v>100000</v>
      </c>
      <c r="E33" s="21">
        <v>891</v>
      </c>
      <c r="F33" s="21" t="str">
        <v>264 LLQ891</v>
      </c>
      <c r="G33" s="21">
        <v>94000</v>
      </c>
      <c r="H33" s="21">
        <v>6000</v>
      </c>
      <c r="I33" s="19">
        <v>0.06382978723404255</v>
      </c>
    </row>
    <row customHeight="true" ht="19" r="34">
      <c r="A34" s="12">
        <v>193</v>
      </c>
      <c r="B34" s="12" t="str">
        <v>145 Tô Hiến Thành</v>
      </c>
      <c r="C34" s="12" t="str">
        <v>145 THT</v>
      </c>
      <c r="D34" s="16">
        <v>100000</v>
      </c>
      <c r="E34" s="9">
        <v>891</v>
      </c>
      <c r="F34" s="9" t="str">
        <v>145 THT891</v>
      </c>
      <c r="G34" s="9">
        <v>94000</v>
      </c>
      <c r="H34" s="9">
        <v>6000</v>
      </c>
      <c r="I34" s="13">
        <v>0.06382978723404255</v>
      </c>
    </row>
    <row customHeight="true" ht="19" r="35">
      <c r="A35" s="20">
        <v>194</v>
      </c>
      <c r="B35" s="20" t="str">
        <v>90 Nguyễn Hoàng</v>
      </c>
      <c r="C35" s="20" t="str">
        <v>90 NH</v>
      </c>
      <c r="D35" s="16">
        <v>100000</v>
      </c>
      <c r="E35" s="21">
        <v>891</v>
      </c>
      <c r="F35" s="21" t="str">
        <v>90 NH891</v>
      </c>
      <c r="G35" s="21">
        <v>94000</v>
      </c>
      <c r="H35" s="21">
        <v>6000</v>
      </c>
      <c r="I35" s="19">
        <v>0.06382978723404255</v>
      </c>
    </row>
    <row customHeight="true" ht="19" r="36">
      <c r="A36" s="12">
        <v>196</v>
      </c>
      <c r="B36" s="12" t="str">
        <v>202 Đội Cấn</v>
      </c>
      <c r="C36" s="12" t="str">
        <v>202 DC</v>
      </c>
      <c r="D36" s="16">
        <v>107000</v>
      </c>
      <c r="E36" s="9">
        <v>891</v>
      </c>
      <c r="F36" s="9" t="str">
        <v>202 DC891</v>
      </c>
      <c r="G36" s="9">
        <v>103000</v>
      </c>
      <c r="H36" s="9">
        <v>4000</v>
      </c>
      <c r="I36" s="13">
        <v>0.038834951456310676</v>
      </c>
    </row>
    <row customHeight="true" ht="19" r="37">
      <c r="A37" s="12">
        <v>197</v>
      </c>
      <c r="B37" s="12" t="str">
        <v>65 Cầu Diễn</v>
      </c>
      <c r="C37" s="12" t="str">
        <v>65 CD</v>
      </c>
      <c r="D37" s="16">
        <v>100000</v>
      </c>
      <c r="E37" s="9">
        <v>891</v>
      </c>
      <c r="F37" s="9" t="str">
        <v>65 CD891</v>
      </c>
      <c r="G37" s="9">
        <v>98999.99999999999</v>
      </c>
      <c r="H37" s="9">
        <v>1000.0000000000146</v>
      </c>
      <c r="I37" s="13">
        <v>0.01010101010101025</v>
      </c>
    </row>
    <row customHeight="true" ht="19" r="38">
      <c r="A38" s="12">
        <v>199</v>
      </c>
      <c r="B38" s="12" t="str">
        <v>7 Đỗ Tường Phong</v>
      </c>
      <c r="C38" s="12" t="str">
        <v>7 DTP LA</v>
      </c>
      <c r="D38" s="16">
        <v>110000</v>
      </c>
      <c r="E38" s="9">
        <v>891</v>
      </c>
      <c r="F38" s="9" t="str">
        <v>7 DTP LA891</v>
      </c>
      <c r="G38" s="9">
        <v>103000</v>
      </c>
      <c r="H38" s="9">
        <v>7000</v>
      </c>
      <c r="I38" s="13">
        <v>0.06796116504854369</v>
      </c>
    </row>
    <row customHeight="true" ht="19" r="39">
      <c r="A39" s="12">
        <v>204</v>
      </c>
      <c r="B39" s="12" t="str">
        <v>401/1 Nguyễn Duy Trinh</v>
      </c>
      <c r="C39" s="12" t="str">
        <v>401/1 NDT</v>
      </c>
      <c r="D39" s="16">
        <v>94000</v>
      </c>
      <c r="E39" s="9">
        <v>891</v>
      </c>
      <c r="F39" s="9" t="str">
        <v>401/1 NDT891</v>
      </c>
      <c r="G39" s="9">
        <v>94000</v>
      </c>
      <c r="H39" s="9">
        <v>0</v>
      </c>
      <c r="I39" s="13">
        <v>0</v>
      </c>
    </row>
    <row customHeight="true" ht="19" r="40">
      <c r="A40" s="12">
        <v>205</v>
      </c>
      <c r="B40" s="12" t="str">
        <v>341 Xô Viết Nghệ Tĩnh</v>
      </c>
      <c r="C40" s="12" t="str">
        <v>341 XVNT</v>
      </c>
      <c r="D40" s="16">
        <v>97000</v>
      </c>
      <c r="E40" s="9">
        <v>891</v>
      </c>
      <c r="F40" s="9" t="str">
        <v>341 XVNT891</v>
      </c>
      <c r="G40" s="9">
        <v>95000</v>
      </c>
      <c r="H40" s="9">
        <v>2000</v>
      </c>
      <c r="I40" s="13">
        <v>0.021052631578947368</v>
      </c>
    </row>
    <row customHeight="true" ht="19" r="41">
      <c r="A41" s="12">
        <v>210</v>
      </c>
      <c r="B41" s="12" t="str">
        <v>148B Trương Định</v>
      </c>
      <c r="C41" s="12" t="str">
        <v>148 TD</v>
      </c>
      <c r="D41" s="16">
        <v>100000</v>
      </c>
      <c r="E41" s="9">
        <v>891</v>
      </c>
      <c r="F41" s="9" t="str">
        <v>148 TD891</v>
      </c>
      <c r="G41" s="9">
        <v>96000</v>
      </c>
      <c r="H41" s="9">
        <v>4000</v>
      </c>
      <c r="I41" s="13">
        <v>0.041666666666666664</v>
      </c>
    </row>
    <row customHeight="true" ht="19" r="42">
      <c r="A42" s="12">
        <v>212</v>
      </c>
      <c r="B42" s="12" t="str">
        <v>58 Nguyễn Văn Cừ</v>
      </c>
      <c r="C42" s="12" t="str">
        <v>58 NVC NA</v>
      </c>
      <c r="D42" s="16">
        <v>94000</v>
      </c>
      <c r="E42" s="9">
        <v>891</v>
      </c>
      <c r="F42" s="9" t="str">
        <v>58 NVC NA891</v>
      </c>
      <c r="G42" s="9">
        <v>94000</v>
      </c>
      <c r="H42" s="9">
        <v>0</v>
      </c>
      <c r="I42" s="13">
        <v>0</v>
      </c>
    </row>
    <row customHeight="true" ht="19" r="43">
      <c r="A43" s="12">
        <v>217</v>
      </c>
      <c r="B43" s="12" t="str">
        <v>Time Garden 25/4</v>
      </c>
      <c r="C43" s="12" t="str">
        <v>TG 25/4 QN</v>
      </c>
      <c r="D43" s="16">
        <v>94000</v>
      </c>
      <c r="E43" s="9">
        <v>891</v>
      </c>
      <c r="F43" s="9" t="str">
        <v>TG 25/4 QN891</v>
      </c>
      <c r="G43" s="9">
        <v>94000</v>
      </c>
      <c r="H43" s="9">
        <v>0</v>
      </c>
      <c r="I43" s="13">
        <v>0</v>
      </c>
    </row>
    <row customHeight="true" ht="19" r="44">
      <c r="A44" s="12">
        <v>228</v>
      </c>
      <c r="B44" s="12" t="str">
        <v>62 Láng Hạ</v>
      </c>
      <c r="C44" s="12" t="str">
        <v>62 LH</v>
      </c>
      <c r="D44" s="16">
        <v>94000</v>
      </c>
      <c r="E44" s="9">
        <v>891</v>
      </c>
      <c r="F44" s="9" t="str">
        <v>62 LH891</v>
      </c>
      <c r="G44" s="9">
        <v>94000</v>
      </c>
      <c r="H44" s="9">
        <v>0</v>
      </c>
      <c r="I44" s="13">
        <v>0</v>
      </c>
    </row>
    <row customHeight="true" ht="19" r="45">
      <c r="A45" s="12">
        <v>230</v>
      </c>
      <c r="B45" s="12" t="str">
        <v>290 Quang Trung</v>
      </c>
      <c r="C45" s="12" t="str">
        <v>290 QT TH</v>
      </c>
      <c r="D45" s="16">
        <v>97000</v>
      </c>
      <c r="E45" s="9">
        <v>891</v>
      </c>
      <c r="F45" s="9" t="str">
        <v>290 QT TH891</v>
      </c>
      <c r="G45" s="9">
        <v>95000</v>
      </c>
      <c r="H45" s="9">
        <v>2000</v>
      </c>
      <c r="I45" s="13">
        <v>0.021052631578947368</v>
      </c>
    </row>
    <row customHeight="true" ht="19" r="46">
      <c r="A46" s="12">
        <v>231</v>
      </c>
      <c r="B46" s="12" t="str" xml:space="preserve">
        <v>304 Nguyễn Trãi </v>
      </c>
      <c r="C46" s="12" t="str">
        <v>304 NT TH</v>
      </c>
      <c r="D46" s="16">
        <v>110000</v>
      </c>
      <c r="E46" s="9">
        <v>891</v>
      </c>
      <c r="F46" s="9" t="str">
        <v>304 NT TH891</v>
      </c>
      <c r="G46" s="9">
        <v>103000</v>
      </c>
      <c r="H46" s="9">
        <v>7000</v>
      </c>
      <c r="I46" s="13">
        <v>0.06796116504854369</v>
      </c>
    </row>
    <row customHeight="true" ht="19" r="47">
      <c r="A47" s="12">
        <v>232</v>
      </c>
      <c r="B47" s="12" t="str">
        <v>80 Trần Phú</v>
      </c>
      <c r="C47" s="12" t="str">
        <v>80 TP TH</v>
      </c>
      <c r="D47" s="16">
        <v>110000</v>
      </c>
      <c r="E47" s="9">
        <v>891</v>
      </c>
      <c r="F47" s="9" t="str">
        <v>80 TP TH891</v>
      </c>
      <c r="G47" s="9">
        <v>103000</v>
      </c>
      <c r="H47" s="9">
        <v>7000</v>
      </c>
      <c r="I47" s="13">
        <v>0.06796116504854369</v>
      </c>
    </row>
    <row customHeight="true" ht="19" r="48">
      <c r="A48" s="12">
        <v>233</v>
      </c>
      <c r="B48" s="12" t="str">
        <v>595 Bà Triệu</v>
      </c>
      <c r="C48" s="12" t="str">
        <v>595 BT TH</v>
      </c>
      <c r="D48" s="16">
        <v>108000</v>
      </c>
      <c r="E48" s="9">
        <v>891</v>
      </c>
      <c r="F48" s="9" t="str">
        <v>595 BT TH891</v>
      </c>
      <c r="G48" s="9">
        <v>103000</v>
      </c>
      <c r="H48" s="9">
        <v>5000</v>
      </c>
      <c r="I48" s="13">
        <v>0.04854368932038835</v>
      </c>
    </row>
    <row customHeight="true" ht="19" r="49">
      <c r="A49" s="12">
        <v>239</v>
      </c>
      <c r="B49" s="12" t="str" xml:space="preserve">
        <v>186 Quang Trung </v>
      </c>
      <c r="C49" s="12" t="str">
        <v>186 QT</v>
      </c>
      <c r="D49" s="16">
        <v>105000</v>
      </c>
      <c r="E49" s="9">
        <v>891</v>
      </c>
      <c r="F49" s="9" t="str">
        <v>186 QT891</v>
      </c>
      <c r="G49" s="9">
        <v>103000</v>
      </c>
      <c r="H49" s="9">
        <v>2000</v>
      </c>
      <c r="I49" s="13">
        <v>0.019417475728155338</v>
      </c>
    </row>
    <row customHeight="true" ht="19" r="50">
      <c r="A50" s="12">
        <v>240</v>
      </c>
      <c r="B50" s="12" t="str">
        <v>68 Lê Nin</v>
      </c>
      <c r="C50" s="12" t="str">
        <v>68 LN NA</v>
      </c>
      <c r="D50" s="16">
        <v>106000</v>
      </c>
      <c r="E50" s="9">
        <v>891</v>
      </c>
      <c r="F50" s="9" t="str">
        <v>68 LN NA891</v>
      </c>
      <c r="G50" s="9">
        <v>103000</v>
      </c>
      <c r="H50" s="9">
        <v>3000</v>
      </c>
      <c r="I50" s="13">
        <v>0.02912621359223301</v>
      </c>
    </row>
    <row customHeight="true" ht="19" r="51">
      <c r="A51" s="12">
        <v>244</v>
      </c>
      <c r="B51" s="12" t="str">
        <v>11 Phan Kế Toại</v>
      </c>
      <c r="C51" s="12" t="str">
        <v>11 PKT</v>
      </c>
      <c r="D51" s="16">
        <v>100000</v>
      </c>
      <c r="E51" s="9">
        <v>891</v>
      </c>
      <c r="F51" s="9" t="str">
        <v>11 PKT891</v>
      </c>
      <c r="G51" s="9">
        <v>100000</v>
      </c>
      <c r="H51" s="9">
        <v>0</v>
      </c>
      <c r="I51" s="13">
        <v>0</v>
      </c>
    </row>
    <row customHeight="true" ht="19" r="52">
      <c r="A52" s="12">
        <v>245</v>
      </c>
      <c r="B52" s="12" t="str">
        <v>55A Nguyễn Văn Lộc</v>
      </c>
      <c r="C52" s="12" t="str">
        <v>55A NVL</v>
      </c>
      <c r="D52" s="16">
        <v>99000</v>
      </c>
      <c r="E52" s="9">
        <v>891</v>
      </c>
      <c r="F52" s="9" t="str">
        <v>55A NVL891</v>
      </c>
      <c r="G52" s="9">
        <v>95000</v>
      </c>
      <c r="H52" s="9">
        <v>4000</v>
      </c>
      <c r="I52" s="13">
        <v>0.042105263157894736</v>
      </c>
    </row>
    <row customHeight="true" ht="19" r="53">
      <c r="A53" s="12">
        <v>247</v>
      </c>
      <c r="B53" s="12" t="str">
        <v>1371 Phạm Văn Thuận</v>
      </c>
      <c r="C53" s="12" t="str">
        <v>1371 PVT</v>
      </c>
      <c r="D53" s="16">
        <v>104000</v>
      </c>
      <c r="E53" s="9">
        <v>891</v>
      </c>
      <c r="F53" s="9" t="str">
        <v>1371 PVT891</v>
      </c>
      <c r="G53" s="9">
        <v>101999.99999999999</v>
      </c>
      <c r="H53" s="9">
        <v>2000.0000000000146</v>
      </c>
      <c r="I53" s="13">
        <v>0.019607843137255047</v>
      </c>
    </row>
    <row customHeight="true" ht="19" r="54">
      <c r="A54" s="12">
        <v>249</v>
      </c>
      <c r="B54" s="12" t="str">
        <v>1146 Kha Vạn Cân</v>
      </c>
      <c r="C54" s="12" t="str">
        <v>1146 KVC</v>
      </c>
      <c r="D54" s="16">
        <v>94000</v>
      </c>
      <c r="E54" s="9">
        <v>891</v>
      </c>
      <c r="F54" s="9" t="str">
        <v>1146 KVC891</v>
      </c>
      <c r="G54" s="9">
        <v>94000</v>
      </c>
      <c r="H54" s="9">
        <v>0</v>
      </c>
      <c r="I54" s="13">
        <v>0</v>
      </c>
    </row>
    <row customHeight="true" ht="19" r="55">
      <c r="A55" s="12">
        <v>250</v>
      </c>
      <c r="B55" s="12" t="str">
        <v>173 Thanh Nhàn</v>
      </c>
      <c r="C55" s="12" t="str">
        <v>173 TN</v>
      </c>
      <c r="D55" s="16">
        <v>102000</v>
      </c>
      <c r="E55" s="9">
        <v>891</v>
      </c>
      <c r="F55" s="9" t="str">
        <v>173 TN891</v>
      </c>
      <c r="G55" s="9">
        <v>100000</v>
      </c>
      <c r="H55" s="9">
        <v>2000</v>
      </c>
      <c r="I55" s="13">
        <v>0.02</v>
      </c>
    </row>
    <row customHeight="true" ht="19" r="56">
      <c r="A56" s="12">
        <v>274</v>
      </c>
      <c r="B56" s="12" t="str">
        <v>32 Nguyễn Ảnh Thủ</v>
      </c>
      <c r="C56" s="12" t="str">
        <v>32 NAT</v>
      </c>
      <c r="D56" s="16">
        <v>108000</v>
      </c>
      <c r="E56" s="9">
        <v>891</v>
      </c>
      <c r="F56" s="9" t="str">
        <v>32 NAT891</v>
      </c>
      <c r="G56" s="9">
        <v>103000</v>
      </c>
      <c r="H56" s="9">
        <v>5000</v>
      </c>
      <c r="I56" s="13">
        <v>0.04854368932038835</v>
      </c>
    </row>
    <row customHeight="true" ht="19" r="57">
      <c r="A57" s="12">
        <v>302</v>
      </c>
      <c r="B57" s="12" t="str">
        <v>362 Ngô Gia Tự</v>
      </c>
      <c r="C57" s="12" t="str">
        <v>362 NGT BN</v>
      </c>
      <c r="D57" s="16">
        <v>94000</v>
      </c>
      <c r="E57" s="9">
        <v>891</v>
      </c>
      <c r="F57" s="9" t="str">
        <v>362 NGT BN891</v>
      </c>
      <c r="G57" s="9">
        <v>94000</v>
      </c>
      <c r="H57" s="9">
        <v>0</v>
      </c>
      <c r="I57" s="13">
        <v>0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8"/>
    <col collapsed="false" customWidth="true" hidden="false" max="6" min="6" style="0" width="22"/>
    <col collapsed="false" customWidth="true" hidden="false" max="7" min="7" style="0" width="10"/>
    <col collapsed="false" customWidth="true" hidden="false" max="8" min="8" style="0" width="12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9"/>
    <col collapsed="false" customWidth="true" hidden="false" max="19" min="19" style="0" width="17"/>
    <col collapsed="false" customWidth="true" hidden="false" max="20" min="20" style="0" width="17"/>
    <col collapsed="false" customWidth="true" hidden="false" max="21" min="21" style="0" width="17"/>
    <col collapsed="false" customWidth="true" hidden="false" max="22" min="22" style="0" width="17"/>
    <col collapsed="false" customWidth="true" hidden="false" max="23" min="23" style="0" width="17"/>
    <col collapsed="false" customWidth="true" hidden="false" max="24" min="24" style="0" width="17"/>
    <col collapsed="false" customWidth="true" hidden="true" max="24" min="24" style="0" width="17"/>
    <col collapsed="false" customWidth="true" hidden="false" max="25" min="25" style="0" width="17"/>
    <col collapsed="false" customWidth="true" hidden="true" max="25" min="25" style="0" width="17"/>
    <col collapsed="false" customWidth="true" hidden="false" max="26" min="26" style="0" width="17"/>
    <col collapsed="false" customWidth="true" hidden="false" max="27" min="27" style="0" width="17"/>
    <col collapsed="false" customWidth="true" hidden="false" max="28" min="28" style="0" width="17"/>
  </cols>
  <sheetData>
    <row customHeight="true" ht="53" r="1">
      <c r="A1" s="24" t="str">
        <v>SalonID</v>
      </c>
      <c r="B1" s="24" t="str">
        <v>Tên Salon</v>
      </c>
      <c r="C1" s="24" t="str">
        <v>Mã Salon</v>
      </c>
      <c r="D1" s="24" t="str">
        <v>Tỉnh/TP</v>
      </c>
      <c r="E1" s="24" t="str">
        <v>Cụm</v>
      </c>
      <c r="F1" s="24" t="str">
        <v>Loại Cụm</v>
      </c>
      <c r="G1" s="24" t="str">
        <v>CPI</v>
      </c>
      <c r="H1" s="24" t="str">
        <v>CPI Level</v>
      </c>
      <c r="I1" s="24" t="str">
        <v>EPI</v>
      </c>
      <c r="J1" s="24" t="str">
        <v>EPI Level</v>
      </c>
      <c r="K1" s="24" t="str">
        <v>Giá Hiện Tại</v>
      </c>
      <c r="L1" s="24" t="str">
        <v>WTP Sàn (L)</v>
      </c>
      <c r="M1" s="24" t="str">
        <v>WTP Trần (H)</v>
      </c>
      <c r="N1" s="24" t="str">
        <v>Hệ Số α_low</v>
      </c>
      <c r="O1" s="24" t="str">
        <v>Hệ Số α_high</v>
      </c>
      <c r="P1" s="24" t="str">
        <v>P_min (Khung Dưới)</v>
      </c>
      <c r="Q1" s="24" t="str">
        <v>P_max (Khung Trên)</v>
      </c>
      <c r="R1" s="24" t="str">
        <v>Khung Giá Đề Xuất</v>
      </c>
      <c r="S1" s="24" t="str">
        <v>KB1: Hút Traffic</v>
      </c>
      <c r="T1" s="24" t="str">
        <v>KB2: Tăng AOV</v>
      </c>
      <c r="U1" s="24" t="str">
        <v>KB3: Cân Bằng</v>
      </c>
      <c r="V1" s="24" t="str">
        <v>KB4: Giảm Quá Tải</v>
      </c>
      <c r="W1" s="24" t="str">
        <v>GDTM Đề xuất - KB3 - Cân Bằng</v>
      </c>
      <c r="X1" s="31" t="str">
        <v>ID dv</v>
      </c>
      <c r="Y1" s="25"/>
      <c r="Z1" s="25" t="str">
        <v>Giá hiện tại</v>
      </c>
      <c r="AA1" s="25" t="str">
        <v>Chênh lệch giá cũ</v>
      </c>
      <c r="AB1" s="27" t="str">
        <v>%</v>
      </c>
    </row>
    <row customHeight="true" ht="19" r="2">
      <c r="A2" s="12">
        <v>2</v>
      </c>
      <c r="B2" s="12" t="str">
        <v>346 Khâm Thiên</v>
      </c>
      <c r="C2" s="12" t="str">
        <v>346 KT</v>
      </c>
      <c r="D2" s="12" t="str">
        <v>Hà Nội</v>
      </c>
      <c r="E2" s="12">
        <v>3</v>
      </c>
      <c r="F2" s="12" t="str">
        <v>Cụm gốc</v>
      </c>
      <c r="G2" s="8">
        <v>0.6615</v>
      </c>
      <c r="H2" s="18" t="str">
        <v>Cao</v>
      </c>
      <c r="I2" s="8">
        <v>0.471</v>
      </c>
      <c r="J2" s="18" t="str">
        <v>Cao</v>
      </c>
      <c r="K2" s="12">
        <v>378000</v>
      </c>
      <c r="L2" s="14">
        <v>251000</v>
      </c>
      <c r="M2" s="14">
        <v>351000</v>
      </c>
      <c r="N2" s="8">
        <v>0.35</v>
      </c>
      <c r="O2" s="8">
        <v>0.55</v>
      </c>
      <c r="P2" s="11">
        <v>286000</v>
      </c>
      <c r="Q2" s="11">
        <v>306000</v>
      </c>
      <c r="R2" s="15" t="str">
        <v>286k - 306k</v>
      </c>
      <c r="S2" s="12">
        <v>286000</v>
      </c>
      <c r="T2" s="12">
        <v>306000</v>
      </c>
      <c r="U2" s="12">
        <v>296000</v>
      </c>
      <c r="V2" s="12">
        <v>303000</v>
      </c>
      <c r="W2" s="9">
        <f>U2</f>
      </c>
      <c r="X2" s="28">
        <v>1009</v>
      </c>
      <c r="Y2" s="9">
        <f>C2&amp;X2</f>
      </c>
      <c r="Z2" s="9">
        <f>VLOOKUP(Y2,'Giá Uốn hiện tại'!$E:$F,2,0)</f>
      </c>
      <c r="AA2" s="9">
        <f>W2-Z2</f>
      </c>
      <c r="AB2" s="13">
        <f>AA2/Z2</f>
      </c>
    </row>
    <row customHeight="true" ht="19" r="3">
      <c r="A3" s="12">
        <v>11</v>
      </c>
      <c r="B3" s="12" t="str">
        <v>8 Châu Văn Liêm</v>
      </c>
      <c r="C3" s="12" t="str">
        <v>8 CVL</v>
      </c>
      <c r="D3" s="12" t="str">
        <v>Hồ Chí Minh</v>
      </c>
      <c r="E3" s="12">
        <v>22</v>
      </c>
      <c r="F3" s="12" t="str">
        <v>Cụm mới (cùng tỉnh)</v>
      </c>
      <c r="G3" s="8">
        <v>0.5672</v>
      </c>
      <c r="H3" s="10" t="str">
        <v>Trung</v>
      </c>
      <c r="I3" s="8">
        <v>0.3932</v>
      </c>
      <c r="J3" s="17" t="str">
        <v>Thấp</v>
      </c>
      <c r="K3" s="12">
        <v>394000</v>
      </c>
      <c r="L3" s="14">
        <v>202000</v>
      </c>
      <c r="M3" s="14">
        <v>300000</v>
      </c>
      <c r="N3" s="8">
        <v>0.25</v>
      </c>
      <c r="O3" s="8">
        <v>0.5</v>
      </c>
      <c r="P3" s="11">
        <v>226000</v>
      </c>
      <c r="Q3" s="11">
        <v>251000</v>
      </c>
      <c r="R3" s="15" t="str">
        <v>226k - 251k</v>
      </c>
      <c r="S3" s="12">
        <v>226000</v>
      </c>
      <c r="T3" s="12">
        <v>251000</v>
      </c>
      <c r="U3" s="12">
        <v>239000</v>
      </c>
      <c r="V3" s="12">
        <v>247000</v>
      </c>
      <c r="W3" s="9">
        <f>U3</f>
      </c>
      <c r="X3" s="28">
        <v>1009</v>
      </c>
      <c r="Y3" s="9">
        <f>C3&amp;X3</f>
      </c>
      <c r="Z3" s="9">
        <f>VLOOKUP(Y3,'Giá Uốn hiện tại'!$E:$F,2,0)</f>
      </c>
      <c r="AA3" s="9">
        <f>W3-Z3</f>
      </c>
      <c r="AB3" s="13">
        <f>AA3/Z3</f>
      </c>
    </row>
    <row customHeight="true" ht="19" r="4">
      <c r="A4" s="12">
        <v>12</v>
      </c>
      <c r="B4" s="12" t="str">
        <v>12 Lê Đức Thọ</v>
      </c>
      <c r="C4" s="12" t="str">
        <v>12 LDT</v>
      </c>
      <c r="D4" s="12" t="str">
        <v>Hồ Chí Minh</v>
      </c>
      <c r="E4" s="12">
        <v>15</v>
      </c>
      <c r="F4" s="12" t="str">
        <v>Cụm gốc</v>
      </c>
      <c r="G4" s="8">
        <v>0.7678</v>
      </c>
      <c r="H4" s="18" t="str">
        <v>Cao</v>
      </c>
      <c r="I4" s="8">
        <v>0.4194</v>
      </c>
      <c r="J4" s="10" t="str">
        <v>Trung</v>
      </c>
      <c r="K4" s="12">
        <v>424000</v>
      </c>
      <c r="L4" s="14">
        <v>251000</v>
      </c>
      <c r="M4" s="14">
        <v>366000</v>
      </c>
      <c r="N4" s="8">
        <v>0.25</v>
      </c>
      <c r="O4" s="8">
        <v>0.45</v>
      </c>
      <c r="P4" s="11">
        <v>280000</v>
      </c>
      <c r="Q4" s="11">
        <v>303000</v>
      </c>
      <c r="R4" s="15" t="str">
        <v>280k - 303k</v>
      </c>
      <c r="S4" s="12">
        <v>280000</v>
      </c>
      <c r="T4" s="12">
        <v>303000</v>
      </c>
      <c r="U4" s="12">
        <v>291000</v>
      </c>
      <c r="V4" s="12">
        <v>299000</v>
      </c>
      <c r="W4" s="9">
        <f>U4</f>
      </c>
      <c r="X4" s="28">
        <v>1009</v>
      </c>
      <c r="Y4" s="9">
        <f>C4&amp;X4</f>
      </c>
      <c r="Z4" s="9">
        <f>VLOOKUP(Y4,'Giá Uốn hiện tại'!$E:$F,2,0)</f>
      </c>
      <c r="AA4" s="9">
        <f>W4-Z4</f>
      </c>
      <c r="AB4" s="13">
        <f>AA4/Z4</f>
      </c>
    </row>
    <row customHeight="true" ht="19" r="5">
      <c r="A5" s="12">
        <v>20</v>
      </c>
      <c r="B5" s="12" t="str">
        <v>382 Nguyễn Trãi</v>
      </c>
      <c r="C5" s="12" t="str">
        <v>382 NT</v>
      </c>
      <c r="D5" s="12" t="str">
        <v>Hà Nội</v>
      </c>
      <c r="E5" s="12">
        <v>5</v>
      </c>
      <c r="F5" s="12" t="str">
        <v>Cụm gốc</v>
      </c>
      <c r="G5" s="8">
        <v>0.5809</v>
      </c>
      <c r="H5" s="10" t="str">
        <v>Trung</v>
      </c>
      <c r="I5" s="8">
        <v>0.5018</v>
      </c>
      <c r="J5" s="18" t="str">
        <v>Cao</v>
      </c>
      <c r="K5" s="12">
        <v>394000</v>
      </c>
      <c r="L5" s="14">
        <v>198000</v>
      </c>
      <c r="M5" s="14">
        <v>298000</v>
      </c>
      <c r="N5" s="8">
        <v>0.55</v>
      </c>
      <c r="O5" s="8">
        <v>0.8</v>
      </c>
      <c r="P5" s="11">
        <v>253000</v>
      </c>
      <c r="Q5" s="11">
        <v>278000</v>
      </c>
      <c r="R5" s="15" t="str">
        <v>253k - 278k</v>
      </c>
      <c r="S5" s="12">
        <v>253000</v>
      </c>
      <c r="T5" s="12">
        <v>278000</v>
      </c>
      <c r="U5" s="12">
        <v>266000</v>
      </c>
      <c r="V5" s="12">
        <v>274000</v>
      </c>
      <c r="W5" s="9">
        <f>U5</f>
      </c>
      <c r="X5" s="28">
        <v>1009</v>
      </c>
      <c r="Y5" s="9">
        <f>C5&amp;X5</f>
      </c>
      <c r="Z5" s="9">
        <f>VLOOKUP(Y5,'Giá Uốn hiện tại'!$E:$F,2,0)</f>
      </c>
      <c r="AA5" s="9">
        <f>W5-Z5</f>
      </c>
      <c r="AB5" s="13">
        <f>AA5/Z5</f>
      </c>
    </row>
    <row customHeight="true" ht="19" r="6">
      <c r="A6" s="12">
        <v>21</v>
      </c>
      <c r="B6" s="12" t="str">
        <v>575 Âu Cơ</v>
      </c>
      <c r="C6" s="12" t="str">
        <v>575 AC</v>
      </c>
      <c r="D6" s="12" t="str">
        <v>Hồ Chí Minh</v>
      </c>
      <c r="E6" s="12">
        <v>18</v>
      </c>
      <c r="F6" s="12" t="str">
        <v>Cụm gốc</v>
      </c>
      <c r="G6" s="8">
        <v>0.644</v>
      </c>
      <c r="H6" s="18" t="str">
        <v>Cao</v>
      </c>
      <c r="I6" s="8">
        <v>0.4483</v>
      </c>
      <c r="J6" s="10" t="str">
        <v>Trung</v>
      </c>
      <c r="K6" s="12">
        <v>378000</v>
      </c>
      <c r="L6" s="14">
        <v>201000</v>
      </c>
      <c r="M6" s="14">
        <v>300000</v>
      </c>
      <c r="N6" s="8">
        <v>0.25</v>
      </c>
      <c r="O6" s="8">
        <v>0.45</v>
      </c>
      <c r="P6" s="11">
        <v>226000</v>
      </c>
      <c r="Q6" s="11">
        <v>246000</v>
      </c>
      <c r="R6" s="15" t="str">
        <v>226k - 246k</v>
      </c>
      <c r="S6" s="12">
        <v>226000</v>
      </c>
      <c r="T6" s="12">
        <v>246000</v>
      </c>
      <c r="U6" s="12">
        <v>236000</v>
      </c>
      <c r="V6" s="12">
        <v>243000</v>
      </c>
      <c r="W6" s="9">
        <f>U6</f>
      </c>
      <c r="X6" s="28">
        <v>1009</v>
      </c>
      <c r="Y6" s="9">
        <f>C6&amp;X6</f>
      </c>
      <c r="Z6" s="9">
        <f>VLOOKUP(Y6,'Giá Uốn hiện tại'!$E:$F,2,0)</f>
      </c>
      <c r="AA6" s="9">
        <f>W6-Z6</f>
      </c>
      <c r="AB6" s="13">
        <f>AA6/Z6</f>
      </c>
    </row>
    <row customHeight="true" ht="19" r="7">
      <c r="A7" s="12">
        <v>22</v>
      </c>
      <c r="B7" s="12" t="str">
        <v>927  Hậu Giang</v>
      </c>
      <c r="C7" s="12" t="str">
        <v>927 HG</v>
      </c>
      <c r="D7" s="12" t="str">
        <v>Hồ Chí Minh</v>
      </c>
      <c r="E7" s="12">
        <v>22</v>
      </c>
      <c r="F7" s="12" t="str">
        <v>Cụm mới (cùng tỉnh)</v>
      </c>
      <c r="G7" s="8">
        <v>0.6209</v>
      </c>
      <c r="H7" s="18" t="str">
        <v>Cao</v>
      </c>
      <c r="I7" s="8">
        <v>0.432</v>
      </c>
      <c r="J7" s="10" t="str">
        <v>Trung</v>
      </c>
      <c r="K7" s="12" t="str"/>
      <c r="L7" s="14">
        <v>202000</v>
      </c>
      <c r="M7" s="14">
        <v>300000</v>
      </c>
      <c r="N7" s="8">
        <v>0.25</v>
      </c>
      <c r="O7" s="8">
        <v>0.45</v>
      </c>
      <c r="P7" s="11">
        <v>226000</v>
      </c>
      <c r="Q7" s="11">
        <v>246000</v>
      </c>
      <c r="R7" s="15" t="str">
        <v>226k - 246k</v>
      </c>
      <c r="S7" s="12">
        <v>226000</v>
      </c>
      <c r="T7" s="12">
        <v>246000</v>
      </c>
      <c r="U7" s="12">
        <v>236000</v>
      </c>
      <c r="V7" s="12">
        <v>243000</v>
      </c>
      <c r="W7" s="9">
        <f>U7</f>
      </c>
      <c r="X7" s="28">
        <v>1009</v>
      </c>
      <c r="Y7" s="9">
        <f>C7&amp;X7</f>
      </c>
      <c r="Z7" s="9">
        <f>VLOOKUP(Y7,'Giá Uốn hiện tại'!$E:$F,2,0)</f>
      </c>
      <c r="AA7" s="9">
        <f>W7-Z7</f>
      </c>
      <c r="AB7" s="13">
        <f>AA7/Z7</f>
      </c>
    </row>
    <row customHeight="true" ht="19" r="8">
      <c r="A8" s="12">
        <v>39</v>
      </c>
      <c r="B8" s="12" t="str">
        <v>151 Cầu Giấy, Q. CG</v>
      </c>
      <c r="C8" s="12" t="str">
        <v>151 CG</v>
      </c>
      <c r="D8" s="12" t="str">
        <v>Hà Nội</v>
      </c>
      <c r="E8" s="12">
        <v>1</v>
      </c>
      <c r="F8" s="12" t="str">
        <v>Cụm gốc</v>
      </c>
      <c r="G8" s="8">
        <v>0.6444</v>
      </c>
      <c r="H8" s="18" t="str">
        <v>Cao</v>
      </c>
      <c r="I8" s="8">
        <v>0.4063</v>
      </c>
      <c r="J8" s="17" t="str">
        <v>Thấp</v>
      </c>
      <c r="K8" s="12">
        <v>378000</v>
      </c>
      <c r="L8" s="14">
        <v>249000</v>
      </c>
      <c r="M8" s="14">
        <v>398000</v>
      </c>
      <c r="N8" s="8">
        <v>0.15</v>
      </c>
      <c r="O8" s="8">
        <v>0.35</v>
      </c>
      <c r="P8" s="11">
        <v>271000</v>
      </c>
      <c r="Q8" s="11">
        <v>301000</v>
      </c>
      <c r="R8" s="15" t="str">
        <v>271k - 301k</v>
      </c>
      <c r="S8" s="12">
        <v>271000</v>
      </c>
      <c r="T8" s="12">
        <v>301000</v>
      </c>
      <c r="U8" s="12">
        <v>286000</v>
      </c>
      <c r="V8" s="12">
        <v>297000</v>
      </c>
      <c r="W8" s="9">
        <f>U8</f>
      </c>
      <c r="X8" s="28">
        <v>1009</v>
      </c>
      <c r="Y8" s="9">
        <f>C8&amp;X8</f>
      </c>
      <c r="Z8" s="9">
        <f>VLOOKUP(Y8,'Giá Uốn hiện tại'!$E:$F,2,0)</f>
      </c>
      <c r="AA8" s="9">
        <f>W8-Z8</f>
      </c>
      <c r="AB8" s="13">
        <f>AA8/Z8</f>
      </c>
    </row>
    <row customHeight="true" ht="19" r="9">
      <c r="A9" s="12">
        <v>44</v>
      </c>
      <c r="B9" s="12" t="str">
        <v>103 Trần Não</v>
      </c>
      <c r="C9" s="12" t="str">
        <v>103 TN</v>
      </c>
      <c r="D9" s="12" t="str">
        <v>Hồ Chí Minh</v>
      </c>
      <c r="E9" s="12">
        <v>24</v>
      </c>
      <c r="F9" s="12" t="str">
        <v>Cụm mới (cùng tỉnh)</v>
      </c>
      <c r="G9" s="8">
        <v>0.5591</v>
      </c>
      <c r="H9" s="10" t="str">
        <v>Trung</v>
      </c>
      <c r="I9" s="8">
        <v>0.4948</v>
      </c>
      <c r="J9" s="18" t="str">
        <v>Cao</v>
      </c>
      <c r="K9" s="12">
        <v>378000</v>
      </c>
      <c r="L9" s="14">
        <v>201000</v>
      </c>
      <c r="M9" s="14">
        <v>349000</v>
      </c>
      <c r="N9" s="8">
        <v>0.55</v>
      </c>
      <c r="O9" s="8">
        <v>0.8</v>
      </c>
      <c r="P9" s="11">
        <v>282000</v>
      </c>
      <c r="Q9" s="11">
        <v>319000</v>
      </c>
      <c r="R9" s="15" t="str">
        <v>282k - 319k</v>
      </c>
      <c r="S9" s="12">
        <v>282000</v>
      </c>
      <c r="T9" s="12">
        <v>319000</v>
      </c>
      <c r="U9" s="12">
        <v>301000</v>
      </c>
      <c r="V9" s="12">
        <v>314000</v>
      </c>
      <c r="W9" s="9">
        <f>U9</f>
      </c>
      <c r="X9" s="28">
        <v>1009</v>
      </c>
      <c r="Y9" s="9">
        <f>C9&amp;X9</f>
      </c>
      <c r="Z9" s="9">
        <f>VLOOKUP(Y9,'Giá Uốn hiện tại'!$E:$F,2,0)</f>
      </c>
      <c r="AA9" s="9">
        <f>W9-Z9</f>
      </c>
      <c r="AB9" s="13">
        <f>AA9/Z9</f>
      </c>
    </row>
    <row customHeight="true" ht="19" r="10">
      <c r="A10" s="12">
        <v>45</v>
      </c>
      <c r="B10" s="12" t="str">
        <v>25 Tôn Đản</v>
      </c>
      <c r="C10" s="12" t="str">
        <v>25 TD</v>
      </c>
      <c r="D10" s="12" t="str">
        <v>Hồ Chí Minh</v>
      </c>
      <c r="E10" s="12">
        <v>24</v>
      </c>
      <c r="F10" s="12" t="str">
        <v>Cụm mới (cùng tỉnh)</v>
      </c>
      <c r="G10" s="8">
        <v>0.6313</v>
      </c>
      <c r="H10" s="18" t="str">
        <v>Cao</v>
      </c>
      <c r="I10" s="8">
        <v>0.4649</v>
      </c>
      <c r="J10" s="18" t="str">
        <v>Cao</v>
      </c>
      <c r="K10" s="12">
        <v>394000</v>
      </c>
      <c r="L10" s="14">
        <v>201000</v>
      </c>
      <c r="M10" s="14">
        <v>349000</v>
      </c>
      <c r="N10" s="8">
        <v>0.35</v>
      </c>
      <c r="O10" s="8">
        <v>0.55</v>
      </c>
      <c r="P10" s="11">
        <v>253000</v>
      </c>
      <c r="Q10" s="11">
        <v>282000</v>
      </c>
      <c r="R10" s="15" t="str">
        <v>253k - 282k</v>
      </c>
      <c r="S10" s="12">
        <v>253000</v>
      </c>
      <c r="T10" s="12">
        <v>282000</v>
      </c>
      <c r="U10" s="12">
        <v>268000</v>
      </c>
      <c r="V10" s="12">
        <v>278000</v>
      </c>
      <c r="W10" s="9">
        <f>U10</f>
      </c>
      <c r="X10" s="28">
        <v>1009</v>
      </c>
      <c r="Y10" s="9">
        <f>C10&amp;X10</f>
      </c>
      <c r="Z10" s="9">
        <f>VLOOKUP(Y10,'Giá Uốn hiện tại'!$E:$F,2,0)</f>
      </c>
      <c r="AA10" s="9">
        <f>W10-Z10</f>
      </c>
      <c r="AB10" s="13">
        <f>AA10/Z10</f>
      </c>
    </row>
    <row customHeight="true" ht="19" r="11">
      <c r="A11" s="12">
        <v>46</v>
      </c>
      <c r="B11" s="12" t="str">
        <v>483 Thống Nhất</v>
      </c>
      <c r="C11" s="12" t="str">
        <v>483 TN</v>
      </c>
      <c r="D11" s="12" t="str">
        <v>Không xác định</v>
      </c>
      <c r="E11" s="12">
        <v>14</v>
      </c>
      <c r="F11" s="12" t="str">
        <v>Cụm gốc</v>
      </c>
      <c r="G11" s="8">
        <v>0.5299</v>
      </c>
      <c r="H11" s="10" t="str">
        <v>Trung</v>
      </c>
      <c r="I11" s="8">
        <v>0.4186</v>
      </c>
      <c r="J11" s="10" t="str">
        <v>Trung</v>
      </c>
      <c r="K11" s="12">
        <v>378000</v>
      </c>
      <c r="L11" s="14">
        <v>202000</v>
      </c>
      <c r="M11" s="14">
        <v>300000</v>
      </c>
      <c r="N11" s="8">
        <v>0.4</v>
      </c>
      <c r="O11" s="8">
        <v>0.65</v>
      </c>
      <c r="P11" s="11">
        <v>241000</v>
      </c>
      <c r="Q11" s="11">
        <v>266000</v>
      </c>
      <c r="R11" s="15" t="str">
        <v>241k - 266k</v>
      </c>
      <c r="S11" s="12">
        <v>241000</v>
      </c>
      <c r="T11" s="12">
        <v>266000</v>
      </c>
      <c r="U11" s="12">
        <v>253000</v>
      </c>
      <c r="V11" s="12">
        <v>262000</v>
      </c>
      <c r="W11" s="9">
        <f>U11</f>
      </c>
      <c r="X11" s="28">
        <v>1009</v>
      </c>
      <c r="Y11" s="9">
        <f>C11&amp;X11</f>
      </c>
      <c r="Z11" s="9">
        <f>VLOOKUP(Y11,'Giá Uốn hiện tại'!$E:$F,2,0)</f>
      </c>
      <c r="AA11" s="9">
        <f>W11-Z11</f>
      </c>
      <c r="AB11" s="13">
        <f>AA11/Z11</f>
      </c>
    </row>
    <row customHeight="true" ht="19" r="12">
      <c r="A12" s="12">
        <v>47</v>
      </c>
      <c r="B12" s="12" t="str">
        <v>708 Lê Trọng Tấn</v>
      </c>
      <c r="C12" s="12" t="str">
        <v>708 LTT</v>
      </c>
      <c r="D12" s="12" t="str">
        <v>Hồ Chí Minh</v>
      </c>
      <c r="E12" s="12">
        <v>25</v>
      </c>
      <c r="F12" s="12" t="str">
        <v>Cụm mới (cùng tỉnh)</v>
      </c>
      <c r="G12" s="8">
        <v>0.5578</v>
      </c>
      <c r="H12" s="10" t="str">
        <v>Trung</v>
      </c>
      <c r="I12" s="8">
        <v>0.3585</v>
      </c>
      <c r="J12" s="17" t="str">
        <v>Thấp</v>
      </c>
      <c r="K12" s="12">
        <v>424000</v>
      </c>
      <c r="L12" s="14">
        <v>248000</v>
      </c>
      <c r="M12" s="14">
        <v>299000</v>
      </c>
      <c r="N12" s="8">
        <v>0.25</v>
      </c>
      <c r="O12" s="8">
        <v>0.5</v>
      </c>
      <c r="P12" s="11">
        <v>261000</v>
      </c>
      <c r="Q12" s="11">
        <v>274000</v>
      </c>
      <c r="R12" s="15" t="str">
        <v>261k - 274k</v>
      </c>
      <c r="S12" s="12">
        <v>261000</v>
      </c>
      <c r="T12" s="12">
        <v>274000</v>
      </c>
      <c r="U12" s="12">
        <v>267000</v>
      </c>
      <c r="V12" s="12">
        <v>272000</v>
      </c>
      <c r="W12" s="9">
        <f>U12</f>
      </c>
      <c r="X12" s="28">
        <v>1009</v>
      </c>
      <c r="Y12" s="9">
        <f>C12&amp;X12</f>
      </c>
      <c r="Z12" s="9">
        <f>VLOOKUP(Y12,'Giá Uốn hiện tại'!$E:$F,2,0)</f>
      </c>
      <c r="AA12" s="9">
        <f>W12-Z12</f>
      </c>
      <c r="AB12" s="13">
        <f>AA12/Z12</f>
      </c>
    </row>
    <row customHeight="true" ht="19" r="13">
      <c r="A13" s="12">
        <v>51</v>
      </c>
      <c r="B13" s="12" t="str">
        <v>420 Huỳnh Tấn Phát</v>
      </c>
      <c r="C13" s="12" t="str">
        <v>420 HTP</v>
      </c>
      <c r="D13" s="12" t="str">
        <v>Hồ Chí Minh</v>
      </c>
      <c r="E13" s="12">
        <v>21</v>
      </c>
      <c r="F13" s="12" t="str">
        <v>Cụm gốc</v>
      </c>
      <c r="G13" s="8">
        <v>0.5667</v>
      </c>
      <c r="H13" s="10" t="str">
        <v>Trung</v>
      </c>
      <c r="I13" s="8">
        <v>0.42</v>
      </c>
      <c r="J13" s="10" t="str">
        <v>Trung</v>
      </c>
      <c r="K13" s="12">
        <v>424000</v>
      </c>
      <c r="L13" s="14">
        <v>204000</v>
      </c>
      <c r="M13" s="14">
        <v>298000</v>
      </c>
      <c r="N13" s="8">
        <v>0.4</v>
      </c>
      <c r="O13" s="8">
        <v>0.65</v>
      </c>
      <c r="P13" s="11">
        <v>242000</v>
      </c>
      <c r="Q13" s="11">
        <v>265000</v>
      </c>
      <c r="R13" s="15" t="str">
        <v>242k - 265k</v>
      </c>
      <c r="S13" s="12">
        <v>242000</v>
      </c>
      <c r="T13" s="12">
        <v>265000</v>
      </c>
      <c r="U13" s="12">
        <v>253000</v>
      </c>
      <c r="V13" s="12">
        <v>262000</v>
      </c>
      <c r="W13" s="9">
        <f>U13</f>
      </c>
      <c r="X13" s="28">
        <v>1009</v>
      </c>
      <c r="Y13" s="9">
        <f>C13&amp;X13</f>
      </c>
      <c r="Z13" s="9">
        <f>VLOOKUP(Y13,'Giá Uốn hiện tại'!$E:$F,2,0)</f>
      </c>
      <c r="AA13" s="9">
        <f>W13-Z13</f>
      </c>
      <c r="AB13" s="13">
        <f>AA13/Z13</f>
      </c>
    </row>
    <row customHeight="true" ht="19" r="14">
      <c r="A14" s="12">
        <v>52</v>
      </c>
      <c r="B14" s="12" t="str">
        <v>451 Phạm Văn Thuận</v>
      </c>
      <c r="C14" s="12" t="str">
        <v>451 PVT</v>
      </c>
      <c r="D14" s="12" t="str">
        <v>Đồng Nai</v>
      </c>
      <c r="E14" s="12">
        <v>12</v>
      </c>
      <c r="F14" s="12" t="str">
        <v>Cụm gốc</v>
      </c>
      <c r="G14" s="8">
        <v>0.5405</v>
      </c>
      <c r="H14" s="10" t="str">
        <v>Trung</v>
      </c>
      <c r="I14" s="8">
        <v>0.3055</v>
      </c>
      <c r="J14" s="17" t="str">
        <v>Thấp</v>
      </c>
      <c r="K14" s="12">
        <v>394000</v>
      </c>
      <c r="L14" s="14">
        <v>201000</v>
      </c>
      <c r="M14" s="14">
        <v>299000</v>
      </c>
      <c r="N14" s="8">
        <v>0.25</v>
      </c>
      <c r="O14" s="8">
        <v>0.5</v>
      </c>
      <c r="P14" s="11">
        <v>226000</v>
      </c>
      <c r="Q14" s="11">
        <v>250000</v>
      </c>
      <c r="R14" s="15" t="str">
        <v>226k - 250k</v>
      </c>
      <c r="S14" s="12">
        <v>226000</v>
      </c>
      <c r="T14" s="12">
        <v>250000</v>
      </c>
      <c r="U14" s="12">
        <v>238000</v>
      </c>
      <c r="V14" s="12">
        <v>246000</v>
      </c>
      <c r="W14" s="9">
        <f>U14</f>
      </c>
      <c r="X14" s="28">
        <v>1009</v>
      </c>
      <c r="Y14" s="9">
        <f>C14&amp;X14</f>
      </c>
      <c r="Z14" s="9">
        <f>VLOOKUP(Y14,'Giá Uốn hiện tại'!$E:$F,2,0)</f>
      </c>
      <c r="AA14" s="9">
        <f>W14-Z14</f>
      </c>
      <c r="AB14" s="13">
        <f>AA14/Z14</f>
      </c>
    </row>
    <row customHeight="true" ht="19" r="15">
      <c r="A15" s="12">
        <v>58</v>
      </c>
      <c r="B15" s="12" t="str">
        <v>730 Tỉnh lộ 10</v>
      </c>
      <c r="C15" s="12" t="str">
        <v>730 TL10</v>
      </c>
      <c r="D15" s="12" t="str">
        <v>Hồ Chí Minh</v>
      </c>
      <c r="E15" s="12">
        <v>22</v>
      </c>
      <c r="F15" s="12" t="str">
        <v>Cụm mới (cùng tỉnh)</v>
      </c>
      <c r="G15" s="8">
        <v>0.5145</v>
      </c>
      <c r="H15" s="10" t="str">
        <v>Trung</v>
      </c>
      <c r="I15" s="8">
        <v>0.4168</v>
      </c>
      <c r="J15" s="10" t="str">
        <v>Trung</v>
      </c>
      <c r="K15" s="12">
        <v>424000</v>
      </c>
      <c r="L15" s="14">
        <v>202000</v>
      </c>
      <c r="M15" s="14">
        <v>300000</v>
      </c>
      <c r="N15" s="8">
        <v>0.4</v>
      </c>
      <c r="O15" s="8">
        <v>0.65</v>
      </c>
      <c r="P15" s="11">
        <v>241000</v>
      </c>
      <c r="Q15" s="11">
        <v>266000</v>
      </c>
      <c r="R15" s="15" t="str">
        <v>241k - 266k</v>
      </c>
      <c r="S15" s="12">
        <v>241000</v>
      </c>
      <c r="T15" s="12">
        <v>266000</v>
      </c>
      <c r="U15" s="12">
        <v>253000</v>
      </c>
      <c r="V15" s="12">
        <v>262000</v>
      </c>
      <c r="W15" s="9">
        <f>U15</f>
      </c>
      <c r="X15" s="28">
        <v>1009</v>
      </c>
      <c r="Y15" s="9">
        <f>C15&amp;X15</f>
      </c>
      <c r="Z15" s="9">
        <f>VLOOKUP(Y15,'Giá Uốn hiện tại'!$E:$F,2,0)</f>
      </c>
      <c r="AA15" s="9">
        <f>W15-Z15</f>
      </c>
      <c r="AB15" s="13">
        <f>AA15/Z15</f>
      </c>
    </row>
    <row customHeight="true" ht="19" r="16">
      <c r="A16" s="12">
        <v>60</v>
      </c>
      <c r="B16" s="12" t="str">
        <v>80 Phú Lợi</v>
      </c>
      <c r="C16" s="12" t="str">
        <v>80 PL BD</v>
      </c>
      <c r="D16" s="12" t="str">
        <v>Bình Dương</v>
      </c>
      <c r="E16" s="12">
        <v>11</v>
      </c>
      <c r="F16" s="12" t="str">
        <v>Cụm gốc</v>
      </c>
      <c r="G16" s="8">
        <v>0.5268</v>
      </c>
      <c r="H16" s="10" t="str">
        <v>Trung</v>
      </c>
      <c r="I16" s="8">
        <v>0.366</v>
      </c>
      <c r="J16" s="17" t="str">
        <v>Thấp</v>
      </c>
      <c r="K16" s="12">
        <v>424000</v>
      </c>
      <c r="L16" s="14">
        <v>297000</v>
      </c>
      <c r="M16" s="14">
        <v>332000</v>
      </c>
      <c r="N16" s="8">
        <v>0.25</v>
      </c>
      <c r="O16" s="8">
        <v>0.5</v>
      </c>
      <c r="P16" s="11">
        <v>306000</v>
      </c>
      <c r="Q16" s="11">
        <v>314000</v>
      </c>
      <c r="R16" s="15" t="str">
        <v>306k - 314k</v>
      </c>
      <c r="S16" s="12">
        <v>306000</v>
      </c>
      <c r="T16" s="12">
        <v>314000</v>
      </c>
      <c r="U16" s="12">
        <v>310000</v>
      </c>
      <c r="V16" s="12">
        <v>313000</v>
      </c>
      <c r="W16" s="9">
        <f>U16</f>
      </c>
      <c r="X16" s="28">
        <v>1009</v>
      </c>
      <c r="Y16" s="9">
        <f>C16&amp;X16</f>
      </c>
      <c r="Z16" s="9">
        <f>VLOOKUP(Y16,'Giá Uốn hiện tại'!$E:$F,2,0)</f>
      </c>
      <c r="AA16" s="9">
        <f>W16-Z16</f>
      </c>
      <c r="AB16" s="13">
        <f>AA16/Z16</f>
      </c>
    </row>
    <row customHeight="true" ht="19" r="17">
      <c r="A17" s="12">
        <v>61</v>
      </c>
      <c r="B17" s="12" t="str">
        <v>1180 Quang Trung</v>
      </c>
      <c r="C17" s="12" t="str">
        <v>1180 QT</v>
      </c>
      <c r="D17" s="12" t="str">
        <v>Hồ Chí Minh</v>
      </c>
      <c r="E17" s="12">
        <v>25</v>
      </c>
      <c r="F17" s="12" t="str">
        <v>Cụm mới (cùng tỉnh)</v>
      </c>
      <c r="G17" s="8">
        <v>0.6374</v>
      </c>
      <c r="H17" s="18" t="str">
        <v>Cao</v>
      </c>
      <c r="I17" s="8">
        <v>0.3781</v>
      </c>
      <c r="J17" s="17" t="str">
        <v>Thấp</v>
      </c>
      <c r="K17" s="12">
        <v>394000</v>
      </c>
      <c r="L17" s="14">
        <v>248000</v>
      </c>
      <c r="M17" s="14">
        <v>299000</v>
      </c>
      <c r="N17" s="8">
        <v>0.15</v>
      </c>
      <c r="O17" s="8">
        <v>0.35</v>
      </c>
      <c r="P17" s="11">
        <v>256000</v>
      </c>
      <c r="Q17" s="11">
        <v>266000</v>
      </c>
      <c r="R17" s="15" t="str">
        <v>256k - 266k</v>
      </c>
      <c r="S17" s="12">
        <v>256000</v>
      </c>
      <c r="T17" s="12">
        <v>266000</v>
      </c>
      <c r="U17" s="12">
        <v>261000</v>
      </c>
      <c r="V17" s="12">
        <v>264000</v>
      </c>
      <c r="W17" s="9">
        <f>U17</f>
      </c>
      <c r="X17" s="28">
        <v>1009</v>
      </c>
      <c r="Y17" s="9">
        <f>C17&amp;X17</f>
      </c>
      <c r="Z17" s="9">
        <f>VLOOKUP(Y17,'Giá Uốn hiện tại'!$E:$F,2,0)</f>
      </c>
      <c r="AA17" s="9">
        <f>W17-Z17</f>
      </c>
      <c r="AB17" s="13">
        <f>AA17/Z17</f>
      </c>
    </row>
    <row customHeight="true" ht="19" r="18">
      <c r="A18" s="12">
        <v>63</v>
      </c>
      <c r="B18" s="12" t="str">
        <v>29 Hiệp Bình</v>
      </c>
      <c r="C18" s="12" t="str">
        <v>29 HB</v>
      </c>
      <c r="D18" s="12" t="str">
        <v>Hồ Chí Minh</v>
      </c>
      <c r="E18" s="12">
        <v>23</v>
      </c>
      <c r="F18" s="12" t="str">
        <v>Cụm mới (cùng tỉnh)</v>
      </c>
      <c r="G18" s="8">
        <v>0.5142</v>
      </c>
      <c r="H18" s="10" t="str">
        <v>Trung</v>
      </c>
      <c r="I18" s="8">
        <v>0.379</v>
      </c>
      <c r="J18" s="17" t="str">
        <v>Thấp</v>
      </c>
      <c r="K18" s="12">
        <v>378000</v>
      </c>
      <c r="L18" s="14">
        <v>201000</v>
      </c>
      <c r="M18" s="14">
        <v>299000</v>
      </c>
      <c r="N18" s="8">
        <v>0.25</v>
      </c>
      <c r="O18" s="8">
        <v>0.5</v>
      </c>
      <c r="P18" s="11">
        <v>226000</v>
      </c>
      <c r="Q18" s="11">
        <v>250000</v>
      </c>
      <c r="R18" s="15" t="str">
        <v>226k - 250k</v>
      </c>
      <c r="S18" s="12">
        <v>226000</v>
      </c>
      <c r="T18" s="12">
        <v>250000</v>
      </c>
      <c r="U18" s="12">
        <v>238000</v>
      </c>
      <c r="V18" s="12">
        <v>246000</v>
      </c>
      <c r="W18" s="9">
        <f>U18</f>
      </c>
      <c r="X18" s="28">
        <v>1009</v>
      </c>
      <c r="Y18" s="9">
        <f>C18&amp;X18</f>
      </c>
      <c r="Z18" s="9">
        <f>VLOOKUP(Y18,'Giá Uốn hiện tại'!$E:$F,2,0)</f>
      </c>
      <c r="AA18" s="9">
        <f>W18-Z18</f>
      </c>
      <c r="AB18" s="13">
        <f>AA18/Z18</f>
      </c>
    </row>
    <row customHeight="true" ht="19" r="19">
      <c r="A19" s="12">
        <v>65</v>
      </c>
      <c r="B19" s="12" t="str">
        <v>255 Nguyễn An Ninh</v>
      </c>
      <c r="C19" s="12" t="str">
        <v>255 NAN</v>
      </c>
      <c r="D19" s="12" t="str">
        <v>Bình Dương</v>
      </c>
      <c r="E19" s="12">
        <v>27</v>
      </c>
      <c r="F19" s="12" t="str">
        <v>Cụm mới (cùng tỉnh)</v>
      </c>
      <c r="G19" s="8">
        <v>0.5626</v>
      </c>
      <c r="H19" s="10" t="str">
        <v>Trung</v>
      </c>
      <c r="I19" s="8">
        <v>0.3909</v>
      </c>
      <c r="J19" s="17" t="str">
        <v>Thấp</v>
      </c>
      <c r="K19" s="12">
        <v>384000</v>
      </c>
      <c r="L19" s="14">
        <v>201000</v>
      </c>
      <c r="M19" s="14">
        <v>299000</v>
      </c>
      <c r="N19" s="8">
        <v>0.25</v>
      </c>
      <c r="O19" s="8">
        <v>0.5</v>
      </c>
      <c r="P19" s="11">
        <v>226000</v>
      </c>
      <c r="Q19" s="11">
        <v>250000</v>
      </c>
      <c r="R19" s="15" t="str">
        <v>226k - 250k</v>
      </c>
      <c r="S19" s="12">
        <v>226000</v>
      </c>
      <c r="T19" s="12">
        <v>250000</v>
      </c>
      <c r="U19" s="12">
        <v>238000</v>
      </c>
      <c r="V19" s="12">
        <v>246000</v>
      </c>
      <c r="W19" s="9">
        <f>U19</f>
      </c>
      <c r="X19" s="28">
        <v>1009</v>
      </c>
      <c r="Y19" s="9">
        <f>C19&amp;X19</f>
      </c>
      <c r="Z19" s="9">
        <f>VLOOKUP(Y19,'Giá Uốn hiện tại'!$E:$F,2,0)</f>
      </c>
      <c r="AA19" s="9">
        <f>W19-Z19</f>
      </c>
      <c r="AB19" s="13">
        <f>AA19/Z19</f>
      </c>
    </row>
    <row customHeight="true" ht="19" r="20">
      <c r="A20" s="12">
        <v>69</v>
      </c>
      <c r="B20" s="12" t="str">
        <v>312 Lê Văn Sỹ</v>
      </c>
      <c r="C20" s="12" t="str">
        <v>312 LVS</v>
      </c>
      <c r="D20" s="12" t="str">
        <v>Không xác định</v>
      </c>
      <c r="E20" s="12">
        <v>16</v>
      </c>
      <c r="F20" s="12" t="str">
        <v>Cụm gốc</v>
      </c>
      <c r="G20" s="8">
        <v>0.6377</v>
      </c>
      <c r="H20" s="18" t="str">
        <v>Cao</v>
      </c>
      <c r="I20" s="8">
        <v>0.4263</v>
      </c>
      <c r="J20" s="10" t="str">
        <v>Trung</v>
      </c>
      <c r="K20" s="12">
        <v>424000</v>
      </c>
      <c r="L20" s="14">
        <v>249000</v>
      </c>
      <c r="M20" s="14">
        <v>349000</v>
      </c>
      <c r="N20" s="8">
        <v>0.25</v>
      </c>
      <c r="O20" s="8">
        <v>0.45</v>
      </c>
      <c r="P20" s="11">
        <v>274000</v>
      </c>
      <c r="Q20" s="11">
        <v>294000</v>
      </c>
      <c r="R20" s="15" t="str">
        <v>274k - 294k</v>
      </c>
      <c r="S20" s="12">
        <v>274000</v>
      </c>
      <c r="T20" s="12">
        <v>294000</v>
      </c>
      <c r="U20" s="12">
        <v>284000</v>
      </c>
      <c r="V20" s="12">
        <v>291000</v>
      </c>
      <c r="W20" s="9">
        <f>U20</f>
      </c>
      <c r="X20" s="28">
        <v>1009</v>
      </c>
      <c r="Y20" s="9">
        <f>C20&amp;X20</f>
      </c>
      <c r="Z20" s="9">
        <f>VLOOKUP(Y20,'Giá Uốn hiện tại'!$E:$F,2,0)</f>
      </c>
      <c r="AA20" s="9">
        <f>W20-Z20</f>
      </c>
      <c r="AB20" s="13">
        <f>AA20/Z20</f>
      </c>
    </row>
    <row customHeight="true" ht="19" r="21">
      <c r="A21" s="12">
        <v>72</v>
      </c>
      <c r="B21" s="12" t="str">
        <v>113 Trần Hưng Đạo</v>
      </c>
      <c r="C21" s="12" t="str">
        <v>113 THD AG</v>
      </c>
      <c r="D21" s="12" t="str">
        <v>An Giang</v>
      </c>
      <c r="E21" s="12" t="str"/>
      <c r="F21" s="12" t="str">
        <v>Độc lập (1 salon trong tỉnh)</v>
      </c>
      <c r="G21" s="8">
        <v>0.4261</v>
      </c>
      <c r="H21" s="10" t="str">
        <v>Trung</v>
      </c>
      <c r="I21" s="8">
        <v>0.2966</v>
      </c>
      <c r="J21" s="17" t="str">
        <v>Thấp</v>
      </c>
      <c r="K21" s="12">
        <v>424000</v>
      </c>
      <c r="L21" s="14">
        <v>143000</v>
      </c>
      <c r="M21" s="14">
        <v>298000</v>
      </c>
      <c r="N21" s="8">
        <v>0.25</v>
      </c>
      <c r="O21" s="8">
        <v>0.5</v>
      </c>
      <c r="P21" s="11">
        <v>182000</v>
      </c>
      <c r="Q21" s="11">
        <v>220000</v>
      </c>
      <c r="R21" s="15" t="str">
        <v>182k - 220k</v>
      </c>
      <c r="S21" s="12">
        <v>182000</v>
      </c>
      <c r="T21" s="12">
        <v>220000</v>
      </c>
      <c r="U21" s="12">
        <v>201000</v>
      </c>
      <c r="V21" s="12">
        <v>215000</v>
      </c>
      <c r="W21" s="9">
        <f>U21</f>
      </c>
      <c r="X21" s="28">
        <v>1009</v>
      </c>
      <c r="Y21" s="9">
        <f>C21&amp;X21</f>
      </c>
      <c r="Z21" s="9">
        <f>VLOOKUP(Y21,'Giá Uốn hiện tại'!$E:$F,2,0)</f>
      </c>
      <c r="AA21" s="9">
        <f>W21-Z21</f>
      </c>
      <c r="AB21" s="13">
        <f>AA21/Z21</f>
      </c>
    </row>
    <row customHeight="true" ht="19" r="22">
      <c r="A22" s="12">
        <v>85</v>
      </c>
      <c r="B22" s="12" t="str" xml:space="preserve">
        <v> 363 Lương Ngọc Quyến</v>
      </c>
      <c r="C22" s="12" t="str">
        <v>363 LNQ TN</v>
      </c>
      <c r="D22" s="12" t="str">
        <v>Thái Nguyên</v>
      </c>
      <c r="E22" s="12" t="str"/>
      <c r="F22" s="12" t="str">
        <v>Độc lập (1 salon trong tỉnh)</v>
      </c>
      <c r="G22" s="8">
        <v>0.5119</v>
      </c>
      <c r="H22" s="10" t="str">
        <v>Trung</v>
      </c>
      <c r="I22" s="8">
        <v>0.3665</v>
      </c>
      <c r="J22" s="17" t="str">
        <v>Thấp</v>
      </c>
      <c r="K22" s="12">
        <v>424000</v>
      </c>
      <c r="L22" s="14">
        <v>200000</v>
      </c>
      <c r="M22" s="14">
        <v>298000</v>
      </c>
      <c r="N22" s="8">
        <v>0.25</v>
      </c>
      <c r="O22" s="8">
        <v>0.5</v>
      </c>
      <c r="P22" s="11">
        <v>224000</v>
      </c>
      <c r="Q22" s="11">
        <v>249000</v>
      </c>
      <c r="R22" s="15" t="str">
        <v>224k - 249k</v>
      </c>
      <c r="S22" s="12">
        <v>224000</v>
      </c>
      <c r="T22" s="12">
        <v>249000</v>
      </c>
      <c r="U22" s="12">
        <v>237000</v>
      </c>
      <c r="V22" s="12">
        <v>245000</v>
      </c>
      <c r="W22" s="9">
        <f>U22</f>
      </c>
      <c r="X22" s="28">
        <v>1009</v>
      </c>
      <c r="Y22" s="9">
        <f>C22&amp;X22</f>
      </c>
      <c r="Z22" s="9">
        <f>VLOOKUP(Y22,'Giá Uốn hiện tại'!$E:$F,2,0)</f>
      </c>
      <c r="AA22" s="9">
        <f>W22-Z22</f>
      </c>
      <c r="AB22" s="13">
        <f>AA22/Z22</f>
      </c>
    </row>
    <row customHeight="true" ht="19" r="23">
      <c r="A23" s="12">
        <v>106</v>
      </c>
      <c r="B23" s="12" t="str">
        <v>76 Phan Văn Hớn</v>
      </c>
      <c r="C23" s="12" t="str">
        <v>76 PVH</v>
      </c>
      <c r="D23" s="12" t="str">
        <v>Hồ Chí Minh</v>
      </c>
      <c r="E23" s="12">
        <v>25</v>
      </c>
      <c r="F23" s="12" t="str">
        <v>Cụm mới (cùng tỉnh)</v>
      </c>
      <c r="G23" s="8">
        <v>0.4969</v>
      </c>
      <c r="H23" s="10" t="str">
        <v>Trung</v>
      </c>
      <c r="I23" s="8">
        <v>0.37</v>
      </c>
      <c r="J23" s="17" t="str">
        <v>Thấp</v>
      </c>
      <c r="K23" s="12">
        <v>394000</v>
      </c>
      <c r="L23" s="14">
        <v>248000</v>
      </c>
      <c r="M23" s="14">
        <v>299000</v>
      </c>
      <c r="N23" s="8">
        <v>0.25</v>
      </c>
      <c r="O23" s="8">
        <v>0.5</v>
      </c>
      <c r="P23" s="11">
        <v>261000</v>
      </c>
      <c r="Q23" s="11">
        <v>274000</v>
      </c>
      <c r="R23" s="15" t="str">
        <v>261k - 274k</v>
      </c>
      <c r="S23" s="12">
        <v>261000</v>
      </c>
      <c r="T23" s="12">
        <v>274000</v>
      </c>
      <c r="U23" s="12">
        <v>267000</v>
      </c>
      <c r="V23" s="12">
        <v>272000</v>
      </c>
      <c r="W23" s="9">
        <f>U23</f>
      </c>
      <c r="X23" s="28">
        <v>1009</v>
      </c>
      <c r="Y23" s="9">
        <f>C23&amp;X23</f>
      </c>
      <c r="Z23" s="9">
        <f>VLOOKUP(Y23,'Giá Uốn hiện tại'!$E:$F,2,0)</f>
      </c>
      <c r="AA23" s="9">
        <f>W23-Z23</f>
      </c>
      <c r="AB23" s="13">
        <f>AA23/Z23</f>
      </c>
    </row>
    <row customHeight="true" ht="19" r="24">
      <c r="A24" s="12">
        <v>141</v>
      </c>
      <c r="B24" s="12" t="str">
        <v>236 Dương Bá Trạc</v>
      </c>
      <c r="C24" s="12" t="str">
        <v>236 DBT</v>
      </c>
      <c r="D24" s="12" t="str">
        <v>Hồ Chí Minh</v>
      </c>
      <c r="E24" s="12">
        <v>20</v>
      </c>
      <c r="F24" s="12" t="str">
        <v>Cụm gốc</v>
      </c>
      <c r="G24" s="8">
        <v>0.6503</v>
      </c>
      <c r="H24" s="18" t="str">
        <v>Cao</v>
      </c>
      <c r="I24" s="8">
        <v>0.4151</v>
      </c>
      <c r="J24" s="10" t="str">
        <v>Trung</v>
      </c>
      <c r="K24" s="12">
        <v>378000</v>
      </c>
      <c r="L24" s="14">
        <v>202000</v>
      </c>
      <c r="M24" s="14">
        <v>299000</v>
      </c>
      <c r="N24" s="8">
        <v>0.25</v>
      </c>
      <c r="O24" s="8">
        <v>0.45</v>
      </c>
      <c r="P24" s="11">
        <v>226000</v>
      </c>
      <c r="Q24" s="11">
        <v>246000</v>
      </c>
      <c r="R24" s="15" t="str">
        <v>226k - 246k</v>
      </c>
      <c r="S24" s="12">
        <v>226000</v>
      </c>
      <c r="T24" s="12">
        <v>246000</v>
      </c>
      <c r="U24" s="12">
        <v>236000</v>
      </c>
      <c r="V24" s="12">
        <v>243000</v>
      </c>
      <c r="W24" s="9">
        <f>U24</f>
      </c>
      <c r="X24" s="28">
        <v>1009</v>
      </c>
      <c r="Y24" s="9">
        <f>C24&amp;X24</f>
      </c>
      <c r="Z24" s="9">
        <f>VLOOKUP(Y24,'Giá Uốn hiện tại'!$E:$F,2,0)</f>
      </c>
      <c r="AA24" s="9">
        <f>W24-Z24</f>
      </c>
      <c r="AB24" s="13">
        <f>AA24/Z24</f>
      </c>
    </row>
    <row customHeight="true" ht="19" r="25">
      <c r="A25" s="12">
        <v>143</v>
      </c>
      <c r="B25" s="12" t="str">
        <v>10 Trần Phú</v>
      </c>
      <c r="C25" s="12" t="str">
        <v>10 TP</v>
      </c>
      <c r="D25" s="12" t="str">
        <v>Hà Nội</v>
      </c>
      <c r="E25" s="12">
        <v>7</v>
      </c>
      <c r="F25" s="12" t="str">
        <v>Cụm gốc</v>
      </c>
      <c r="G25" s="8">
        <v>0.6802</v>
      </c>
      <c r="H25" s="18" t="str">
        <v>Cao</v>
      </c>
      <c r="I25" s="8">
        <v>0.446</v>
      </c>
      <c r="J25" s="10" t="str">
        <v>Trung</v>
      </c>
      <c r="K25" s="12">
        <v>424000</v>
      </c>
      <c r="L25" s="14">
        <v>202000</v>
      </c>
      <c r="M25" s="14">
        <v>319000</v>
      </c>
      <c r="N25" s="8">
        <v>0.25</v>
      </c>
      <c r="O25" s="8">
        <v>0.45</v>
      </c>
      <c r="P25" s="11">
        <v>231000</v>
      </c>
      <c r="Q25" s="11">
        <v>255000</v>
      </c>
      <c r="R25" s="15" t="str">
        <v>231k - 255k</v>
      </c>
      <c r="S25" s="12">
        <v>231000</v>
      </c>
      <c r="T25" s="12">
        <v>255000</v>
      </c>
      <c r="U25" s="12">
        <v>243000</v>
      </c>
      <c r="V25" s="12">
        <v>251000</v>
      </c>
      <c r="W25" s="9">
        <f>U25</f>
      </c>
      <c r="X25" s="28">
        <v>1009</v>
      </c>
      <c r="Y25" s="9">
        <f>C25&amp;X25</f>
      </c>
      <c r="Z25" s="9">
        <f>VLOOKUP(Y25,'Giá Uốn hiện tại'!$E:$F,2,0)</f>
      </c>
      <c r="AA25" s="9">
        <f>W25-Z25</f>
      </c>
      <c r="AB25" s="13">
        <f>AA25/Z25</f>
      </c>
    </row>
    <row customHeight="true" ht="19" r="26">
      <c r="A26" s="12">
        <v>144</v>
      </c>
      <c r="B26" s="12" t="str">
        <v>168 Nguyễn Văn Cừ</v>
      </c>
      <c r="C26" s="12" t="str">
        <v>168 NVC</v>
      </c>
      <c r="D26" s="12" t="str">
        <v>Hà Nội</v>
      </c>
      <c r="E26" s="12">
        <v>29</v>
      </c>
      <c r="F26" s="12" t="str">
        <v>Cụm mới (cùng tỉnh)</v>
      </c>
      <c r="G26" s="8">
        <v>0.5388</v>
      </c>
      <c r="H26" s="10" t="str">
        <v>Trung</v>
      </c>
      <c r="I26" s="8">
        <v>0.4732</v>
      </c>
      <c r="J26" s="18" t="str">
        <v>Cao</v>
      </c>
      <c r="K26" s="12">
        <v>379000</v>
      </c>
      <c r="L26" s="14">
        <v>297000</v>
      </c>
      <c r="M26" s="14">
        <v>401000</v>
      </c>
      <c r="N26" s="8">
        <v>0.55</v>
      </c>
      <c r="O26" s="8">
        <v>0.8</v>
      </c>
      <c r="P26" s="11">
        <v>354000</v>
      </c>
      <c r="Q26" s="11">
        <v>380000</v>
      </c>
      <c r="R26" s="15" t="str">
        <v>354k - 380k</v>
      </c>
      <c r="S26" s="12">
        <v>354000</v>
      </c>
      <c r="T26" s="12">
        <v>380000</v>
      </c>
      <c r="U26" s="12">
        <v>367000</v>
      </c>
      <c r="V26" s="12">
        <v>376000</v>
      </c>
      <c r="W26" s="9">
        <f>U26</f>
      </c>
      <c r="X26" s="28">
        <v>1009</v>
      </c>
      <c r="Y26" s="9">
        <f>C26&amp;X26</f>
      </c>
      <c r="Z26" s="9">
        <f>VLOOKUP(Y26,'Giá Uốn hiện tại'!$E:$F,2,0)</f>
      </c>
      <c r="AA26" s="9">
        <f>W26-Z26</f>
      </c>
      <c r="AB26" s="13">
        <f>AA26/Z26</f>
      </c>
    </row>
    <row customHeight="true" ht="19" r="27">
      <c r="A27" s="12">
        <v>145</v>
      </c>
      <c r="B27" s="12" t="str">
        <v>237 Nguyễn Thị Thập</v>
      </c>
      <c r="C27" s="12" t="str">
        <v>237 NTT</v>
      </c>
      <c r="D27" s="12" t="str">
        <v>Hồ Chí Minh</v>
      </c>
      <c r="E27" s="12">
        <v>21</v>
      </c>
      <c r="F27" s="12" t="str">
        <v>Cụm gốc</v>
      </c>
      <c r="G27" s="8">
        <v>0.7782</v>
      </c>
      <c r="H27" s="18" t="str">
        <v>Cao</v>
      </c>
      <c r="I27" s="8">
        <v>0.4394</v>
      </c>
      <c r="J27" s="10" t="str">
        <v>Trung</v>
      </c>
      <c r="K27" s="12">
        <v>424000</v>
      </c>
      <c r="L27" s="14">
        <v>204000</v>
      </c>
      <c r="M27" s="14">
        <v>298000</v>
      </c>
      <c r="N27" s="8">
        <v>0.25</v>
      </c>
      <c r="O27" s="8">
        <v>0.45</v>
      </c>
      <c r="P27" s="11">
        <v>228000</v>
      </c>
      <c r="Q27" s="11">
        <v>246000</v>
      </c>
      <c r="R27" s="15" t="str">
        <v>228k - 246k</v>
      </c>
      <c r="S27" s="12">
        <v>228000</v>
      </c>
      <c r="T27" s="12">
        <v>246000</v>
      </c>
      <c r="U27" s="12">
        <v>237000</v>
      </c>
      <c r="V27" s="12">
        <v>243000</v>
      </c>
      <c r="W27" s="9">
        <f>U27</f>
      </c>
      <c r="X27" s="28">
        <v>1009</v>
      </c>
      <c r="Y27" s="9">
        <f>C27&amp;X27</f>
      </c>
      <c r="Z27" s="9">
        <f>VLOOKUP(Y27,'Giá Uốn hiện tại'!$E:$F,2,0)</f>
      </c>
      <c r="AA27" s="9">
        <f>W27-Z27</f>
      </c>
      <c r="AB27" s="13">
        <f>AA27/Z27</f>
      </c>
    </row>
    <row customHeight="true" ht="19" r="28">
      <c r="A28" s="12">
        <v>146</v>
      </c>
      <c r="B28" s="12" t="str">
        <v>109 Trần Quốc Hoàn</v>
      </c>
      <c r="C28" s="12" t="str">
        <v>109 TQH</v>
      </c>
      <c r="D28" s="12" t="str">
        <v>Hà Nội</v>
      </c>
      <c r="E28" s="12">
        <v>1</v>
      </c>
      <c r="F28" s="12" t="str">
        <v>Cụm gốc</v>
      </c>
      <c r="G28" s="8">
        <v>0.6773</v>
      </c>
      <c r="H28" s="18" t="str">
        <v>Cao</v>
      </c>
      <c r="I28" s="8">
        <v>0.4359</v>
      </c>
      <c r="J28" s="10" t="str">
        <v>Trung</v>
      </c>
      <c r="K28" s="12">
        <v>378000</v>
      </c>
      <c r="L28" s="14">
        <v>249000</v>
      </c>
      <c r="M28" s="14">
        <v>398000</v>
      </c>
      <c r="N28" s="8">
        <v>0.25</v>
      </c>
      <c r="O28" s="8">
        <v>0.45</v>
      </c>
      <c r="P28" s="11">
        <v>286000</v>
      </c>
      <c r="Q28" s="11">
        <v>316000</v>
      </c>
      <c r="R28" s="15" t="str">
        <v>286k - 316k</v>
      </c>
      <c r="S28" s="12">
        <v>286000</v>
      </c>
      <c r="T28" s="12">
        <v>316000</v>
      </c>
      <c r="U28" s="12">
        <v>301000</v>
      </c>
      <c r="V28" s="12">
        <v>312000</v>
      </c>
      <c r="W28" s="9">
        <f>U28</f>
      </c>
      <c r="X28" s="28">
        <v>1009</v>
      </c>
      <c r="Y28" s="9">
        <f>C28&amp;X28</f>
      </c>
      <c r="Z28" s="9">
        <f>VLOOKUP(Y28,'Giá Uốn hiện tại'!$E:$F,2,0)</f>
      </c>
      <c r="AA28" s="9">
        <f>W28-Z28</f>
      </c>
      <c r="AB28" s="13">
        <f>AA28/Z28</f>
      </c>
    </row>
    <row customHeight="true" ht="19" r="29">
      <c r="A29" s="12">
        <v>147</v>
      </c>
      <c r="B29" s="12" t="str">
        <v>99 Tân Sơn Nhì</v>
      </c>
      <c r="C29" s="12" t="str">
        <v>99 TSN</v>
      </c>
      <c r="D29" s="12" t="str">
        <v>Hồ Chí Minh</v>
      </c>
      <c r="E29" s="12">
        <v>18</v>
      </c>
      <c r="F29" s="12" t="str">
        <v>Cụm gốc</v>
      </c>
      <c r="G29" s="8">
        <v>0.6664</v>
      </c>
      <c r="H29" s="18" t="str">
        <v>Cao</v>
      </c>
      <c r="I29" s="8">
        <v>0.4415</v>
      </c>
      <c r="J29" s="10" t="str">
        <v>Trung</v>
      </c>
      <c r="K29" s="12">
        <v>424000</v>
      </c>
      <c r="L29" s="14">
        <v>201000</v>
      </c>
      <c r="M29" s="14">
        <v>300000</v>
      </c>
      <c r="N29" s="8">
        <v>0.25</v>
      </c>
      <c r="O29" s="8">
        <v>0.45</v>
      </c>
      <c r="P29" s="11">
        <v>226000</v>
      </c>
      <c r="Q29" s="11">
        <v>246000</v>
      </c>
      <c r="R29" s="15" t="str">
        <v>226k - 246k</v>
      </c>
      <c r="S29" s="12">
        <v>226000</v>
      </c>
      <c r="T29" s="12">
        <v>246000</v>
      </c>
      <c r="U29" s="12">
        <v>236000</v>
      </c>
      <c r="V29" s="12">
        <v>243000</v>
      </c>
      <c r="W29" s="9">
        <f>U29</f>
      </c>
      <c r="X29" s="28">
        <v>1009</v>
      </c>
      <c r="Y29" s="9">
        <f>C29&amp;X29</f>
      </c>
      <c r="Z29" s="9">
        <f>VLOOKUP(Y29,'Giá Uốn hiện tại'!$E:$F,2,0)</f>
      </c>
      <c r="AA29" s="9">
        <f>W29-Z29</f>
      </c>
      <c r="AB29" s="13">
        <f>AA29/Z29</f>
      </c>
    </row>
    <row customHeight="true" ht="19" r="30">
      <c r="A30" s="12">
        <v>182</v>
      </c>
      <c r="B30" s="12" t="str">
        <v>186 Đinh Tiên Hoàng</v>
      </c>
      <c r="C30" s="12" t="str">
        <v>186 DTH</v>
      </c>
      <c r="D30" s="12" t="str">
        <v>Hồ Chí Minh</v>
      </c>
      <c r="E30" s="12">
        <v>24</v>
      </c>
      <c r="F30" s="12" t="str">
        <v>Cụm mới (cùng tỉnh)</v>
      </c>
      <c r="G30" s="8">
        <v>0.6312</v>
      </c>
      <c r="H30" s="18" t="str">
        <v>Cao</v>
      </c>
      <c r="I30" s="8">
        <v>0.4414</v>
      </c>
      <c r="J30" s="10" t="str">
        <v>Trung</v>
      </c>
      <c r="K30" s="12">
        <v>424000</v>
      </c>
      <c r="L30" s="14">
        <v>201000</v>
      </c>
      <c r="M30" s="14">
        <v>349000</v>
      </c>
      <c r="N30" s="8">
        <v>0.25</v>
      </c>
      <c r="O30" s="8">
        <v>0.45</v>
      </c>
      <c r="P30" s="11">
        <v>238000</v>
      </c>
      <c r="Q30" s="11">
        <v>268000</v>
      </c>
      <c r="R30" s="15" t="str">
        <v>238k - 268k</v>
      </c>
      <c r="S30" s="12">
        <v>238000</v>
      </c>
      <c r="T30" s="12">
        <v>268000</v>
      </c>
      <c r="U30" s="12">
        <v>253000</v>
      </c>
      <c r="V30" s="12">
        <v>263000</v>
      </c>
      <c r="W30" s="9">
        <f>U30</f>
      </c>
      <c r="X30" s="28">
        <v>1009</v>
      </c>
      <c r="Y30" s="9">
        <f>C30&amp;X30</f>
      </c>
      <c r="Z30" s="9">
        <f>VLOOKUP(Y30,'Giá Uốn hiện tại'!$E:$F,2,0)</f>
      </c>
      <c r="AA30" s="9">
        <f>W30-Z30</f>
      </c>
      <c r="AB30" s="13">
        <f>AA30/Z30</f>
      </c>
    </row>
    <row customHeight="true" ht="19" r="31">
      <c r="A31" s="12">
        <v>184</v>
      </c>
      <c r="B31" s="12" t="str">
        <v>36 đường N1, KCN Mỹ Phước 1</v>
      </c>
      <c r="C31" s="12" t="str">
        <v>36 N1 BD</v>
      </c>
      <c r="D31" s="12" t="str">
        <v>Bình Dương</v>
      </c>
      <c r="E31" s="12">
        <v>27</v>
      </c>
      <c r="F31" s="12" t="str">
        <v>Cụm mới (cùng tỉnh)</v>
      </c>
      <c r="G31" s="8">
        <v>0.553</v>
      </c>
      <c r="H31" s="10" t="str">
        <v>Trung</v>
      </c>
      <c r="I31" s="8">
        <v>0.3126</v>
      </c>
      <c r="J31" s="17" t="str">
        <v>Thấp</v>
      </c>
      <c r="K31" s="12">
        <v>424000</v>
      </c>
      <c r="L31" s="14">
        <v>201000</v>
      </c>
      <c r="M31" s="14">
        <v>299000</v>
      </c>
      <c r="N31" s="8">
        <v>0.25</v>
      </c>
      <c r="O31" s="8">
        <v>0.5</v>
      </c>
      <c r="P31" s="11">
        <v>226000</v>
      </c>
      <c r="Q31" s="11">
        <v>250000</v>
      </c>
      <c r="R31" s="15" t="str">
        <v>226k - 250k</v>
      </c>
      <c r="S31" s="12">
        <v>226000</v>
      </c>
      <c r="T31" s="12">
        <v>250000</v>
      </c>
      <c r="U31" s="12">
        <v>238000</v>
      </c>
      <c r="V31" s="12">
        <v>246000</v>
      </c>
      <c r="W31" s="9">
        <f>U31</f>
      </c>
      <c r="X31" s="28">
        <v>1009</v>
      </c>
      <c r="Y31" s="9">
        <f>C31&amp;X31</f>
      </c>
      <c r="Z31" s="9">
        <f>VLOOKUP(Y31,'Giá Uốn hiện tại'!$E:$F,2,0)</f>
      </c>
      <c r="AA31" s="9">
        <f>W31-Z31</f>
      </c>
      <c r="AB31" s="13">
        <f>AA31/Z31</f>
      </c>
    </row>
    <row customHeight="true" ht="19" r="32">
      <c r="A32" s="12">
        <v>188</v>
      </c>
      <c r="B32" s="12" t="str">
        <v>190 Hòa Bình</v>
      </c>
      <c r="C32" s="12" t="str">
        <v>190 HB</v>
      </c>
      <c r="D32" s="12" t="str">
        <v>Hồ Chí Minh</v>
      </c>
      <c r="E32" s="12">
        <v>22</v>
      </c>
      <c r="F32" s="12" t="str">
        <v>Cụm mới (cùng tỉnh)</v>
      </c>
      <c r="G32" s="8">
        <v>0.6785</v>
      </c>
      <c r="H32" s="18" t="str">
        <v>Cao</v>
      </c>
      <c r="I32" s="8">
        <v>0.412</v>
      </c>
      <c r="J32" s="17" t="str">
        <v>Thấp</v>
      </c>
      <c r="K32" s="12">
        <v>378000</v>
      </c>
      <c r="L32" s="14">
        <v>202000</v>
      </c>
      <c r="M32" s="14">
        <v>300000</v>
      </c>
      <c r="N32" s="8">
        <v>0.15</v>
      </c>
      <c r="O32" s="8">
        <v>0.35</v>
      </c>
      <c r="P32" s="11">
        <v>217000</v>
      </c>
      <c r="Q32" s="11">
        <v>236000</v>
      </c>
      <c r="R32" s="15" t="str">
        <v>217k - 236k</v>
      </c>
      <c r="S32" s="12">
        <v>217000</v>
      </c>
      <c r="T32" s="12">
        <v>236000</v>
      </c>
      <c r="U32" s="12">
        <v>226000</v>
      </c>
      <c r="V32" s="12">
        <v>233000</v>
      </c>
      <c r="W32" s="9">
        <f>U32</f>
      </c>
      <c r="X32" s="28">
        <v>1009</v>
      </c>
      <c r="Y32" s="9">
        <f>C32&amp;X32</f>
      </c>
      <c r="Z32" s="9">
        <f>VLOOKUP(Y32,'Giá Uốn hiện tại'!$E:$F,2,0)</f>
      </c>
      <c r="AA32" s="9">
        <f>W32-Z32</f>
      </c>
      <c r="AB32" s="13">
        <f>AA32/Z32</f>
      </c>
    </row>
    <row customHeight="true" ht="19" r="33">
      <c r="A33" s="12">
        <v>192</v>
      </c>
      <c r="B33" s="12" t="str">
        <v>264 Lạc Long Quân</v>
      </c>
      <c r="C33" s="12" t="str">
        <v>264 LLQ</v>
      </c>
      <c r="D33" s="12" t="str">
        <v>Hà Nội</v>
      </c>
      <c r="E33" s="12">
        <v>29</v>
      </c>
      <c r="F33" s="12" t="str">
        <v>Cụm mới (cùng tỉnh)</v>
      </c>
      <c r="G33" s="8">
        <v>0.5709</v>
      </c>
      <c r="H33" s="10" t="str">
        <v>Trung</v>
      </c>
      <c r="I33" s="8">
        <v>0.4294</v>
      </c>
      <c r="J33" s="10" t="str">
        <v>Trung</v>
      </c>
      <c r="K33" s="12">
        <v>394000</v>
      </c>
      <c r="L33" s="14">
        <v>297000</v>
      </c>
      <c r="M33" s="14">
        <v>401000</v>
      </c>
      <c r="N33" s="8">
        <v>0.4</v>
      </c>
      <c r="O33" s="8">
        <v>0.65</v>
      </c>
      <c r="P33" s="11">
        <v>339000</v>
      </c>
      <c r="Q33" s="11">
        <v>365000</v>
      </c>
      <c r="R33" s="15" t="str">
        <v>339k - 365k</v>
      </c>
      <c r="S33" s="12">
        <v>339000</v>
      </c>
      <c r="T33" s="12">
        <v>365000</v>
      </c>
      <c r="U33" s="12">
        <v>352000</v>
      </c>
      <c r="V33" s="12">
        <v>361000</v>
      </c>
      <c r="W33" s="9">
        <f>U33</f>
      </c>
      <c r="X33" s="28">
        <v>1009</v>
      </c>
      <c r="Y33" s="9">
        <f>C33&amp;X33</f>
      </c>
      <c r="Z33" s="9">
        <f>VLOOKUP(Y33,'Giá Uốn hiện tại'!$E:$F,2,0)</f>
      </c>
      <c r="AA33" s="9">
        <f>W33-Z33</f>
      </c>
      <c r="AB33" s="13">
        <f>AA33/Z33</f>
      </c>
    </row>
    <row customHeight="true" ht="19" r="34">
      <c r="A34" s="12">
        <v>193</v>
      </c>
      <c r="B34" s="12" t="str">
        <v>145 Tô Hiến Thành</v>
      </c>
      <c r="C34" s="12" t="str">
        <v>145 THT</v>
      </c>
      <c r="D34" s="12" t="str">
        <v>Hồ Chí Minh</v>
      </c>
      <c r="E34" s="12">
        <v>19</v>
      </c>
      <c r="F34" s="12" t="str">
        <v>Cụm gốc</v>
      </c>
      <c r="G34" s="8">
        <v>0.5476</v>
      </c>
      <c r="H34" s="10" t="str">
        <v>Trung</v>
      </c>
      <c r="I34" s="8">
        <v>0.4086</v>
      </c>
      <c r="J34" s="17" t="str">
        <v>Thấp</v>
      </c>
      <c r="K34" s="12">
        <v>424000</v>
      </c>
      <c r="L34" s="14">
        <v>200000</v>
      </c>
      <c r="M34" s="14">
        <v>298000</v>
      </c>
      <c r="N34" s="8">
        <v>0.25</v>
      </c>
      <c r="O34" s="8">
        <v>0.5</v>
      </c>
      <c r="P34" s="11">
        <v>224000</v>
      </c>
      <c r="Q34" s="11">
        <v>249000</v>
      </c>
      <c r="R34" s="15" t="str">
        <v>224k - 249k</v>
      </c>
      <c r="S34" s="12">
        <v>224000</v>
      </c>
      <c r="T34" s="12">
        <v>249000</v>
      </c>
      <c r="U34" s="12">
        <v>237000</v>
      </c>
      <c r="V34" s="12">
        <v>245000</v>
      </c>
      <c r="W34" s="9">
        <f>U34</f>
      </c>
      <c r="X34" s="28">
        <v>1009</v>
      </c>
      <c r="Y34" s="9">
        <f>C34&amp;X34</f>
      </c>
      <c r="Z34" s="9">
        <f>VLOOKUP(Y34,'Giá Uốn hiện tại'!$E:$F,2,0)</f>
      </c>
      <c r="AA34" s="9">
        <f>W34-Z34</f>
      </c>
      <c r="AB34" s="13">
        <f>AA34/Z34</f>
      </c>
    </row>
    <row customHeight="true" ht="19" r="35">
      <c r="A35" s="12">
        <v>194</v>
      </c>
      <c r="B35" s="12" t="str">
        <v>90 Nguyễn Hoàng</v>
      </c>
      <c r="C35" s="12" t="str">
        <v>90 NH</v>
      </c>
      <c r="D35" s="12" t="str">
        <v>Hà Nội</v>
      </c>
      <c r="E35" s="12">
        <v>30</v>
      </c>
      <c r="F35" s="12" t="str">
        <v>Cụm mới (cùng tỉnh)</v>
      </c>
      <c r="G35" s="8">
        <v>0.5705</v>
      </c>
      <c r="H35" s="10" t="str">
        <v>Trung</v>
      </c>
      <c r="I35" s="8">
        <v>0.4028</v>
      </c>
      <c r="J35" s="17" t="str">
        <v>Thấp</v>
      </c>
      <c r="K35" s="12">
        <v>378000</v>
      </c>
      <c r="L35" s="14">
        <v>202000</v>
      </c>
      <c r="M35" s="14">
        <v>299000</v>
      </c>
      <c r="N35" s="8">
        <v>0.25</v>
      </c>
      <c r="O35" s="8">
        <v>0.5</v>
      </c>
      <c r="P35" s="11">
        <v>226000</v>
      </c>
      <c r="Q35" s="11">
        <v>250000</v>
      </c>
      <c r="R35" s="15" t="str">
        <v>226k - 250k</v>
      </c>
      <c r="S35" s="12">
        <v>226000</v>
      </c>
      <c r="T35" s="12">
        <v>250000</v>
      </c>
      <c r="U35" s="12">
        <v>238000</v>
      </c>
      <c r="V35" s="12">
        <v>247000</v>
      </c>
      <c r="W35" s="9">
        <f>U35</f>
      </c>
      <c r="X35" s="28">
        <v>1009</v>
      </c>
      <c r="Y35" s="9">
        <f>C35&amp;X35</f>
      </c>
      <c r="Z35" s="9">
        <f>VLOOKUP(Y35,'Giá Uốn hiện tại'!$E:$F,2,0)</f>
      </c>
      <c r="AA35" s="9">
        <f>W35-Z35</f>
      </c>
      <c r="AB35" s="13">
        <f>AA35/Z35</f>
      </c>
    </row>
    <row customHeight="true" ht="19" r="36">
      <c r="A36" s="12">
        <v>196</v>
      </c>
      <c r="B36" s="12" t="str">
        <v>202 Đội Cấn</v>
      </c>
      <c r="C36" s="12" t="str">
        <v>202 DC</v>
      </c>
      <c r="D36" s="12" t="str">
        <v>Hà Nội</v>
      </c>
      <c r="E36" s="12">
        <v>29</v>
      </c>
      <c r="F36" s="12" t="str">
        <v>Cụm mới (cùng tỉnh)</v>
      </c>
      <c r="G36" s="8">
        <v>0.6433</v>
      </c>
      <c r="H36" s="18" t="str">
        <v>Cao</v>
      </c>
      <c r="I36" s="8">
        <v>0.4706</v>
      </c>
      <c r="J36" s="18" t="str">
        <v>Cao</v>
      </c>
      <c r="K36" s="12">
        <v>428000</v>
      </c>
      <c r="L36" s="14">
        <v>297000</v>
      </c>
      <c r="M36" s="14">
        <v>401000</v>
      </c>
      <c r="N36" s="8">
        <v>0.35</v>
      </c>
      <c r="O36" s="8">
        <v>0.55</v>
      </c>
      <c r="P36" s="11">
        <v>333000</v>
      </c>
      <c r="Q36" s="11">
        <v>354000</v>
      </c>
      <c r="R36" s="15" t="str">
        <v>333k - 354k</v>
      </c>
      <c r="S36" s="12">
        <v>333000</v>
      </c>
      <c r="T36" s="12">
        <v>354000</v>
      </c>
      <c r="U36" s="12">
        <v>344000</v>
      </c>
      <c r="V36" s="12">
        <v>351000</v>
      </c>
      <c r="W36" s="9">
        <f>U36</f>
      </c>
      <c r="X36" s="28">
        <v>1009</v>
      </c>
      <c r="Y36" s="9">
        <f>C36&amp;X36</f>
      </c>
      <c r="Z36" s="9">
        <f>VLOOKUP(Y36,'Giá Uốn hiện tại'!$E:$F,2,0)</f>
      </c>
      <c r="AA36" s="9">
        <f>W36-Z36</f>
      </c>
      <c r="AB36" s="13">
        <f>AA36/Z36</f>
      </c>
    </row>
    <row customHeight="true" ht="19" r="37">
      <c r="A37" s="12">
        <v>197</v>
      </c>
      <c r="B37" s="12" t="str">
        <v>65 Cầu Diễn</v>
      </c>
      <c r="C37" s="12" t="str">
        <v>65 CD</v>
      </c>
      <c r="D37" s="12" t="str">
        <v>Hà Nội</v>
      </c>
      <c r="E37" s="12">
        <v>30</v>
      </c>
      <c r="F37" s="12" t="str">
        <v>Cụm mới (cùng tỉnh)</v>
      </c>
      <c r="G37" s="8">
        <v>0.5089</v>
      </c>
      <c r="H37" s="10" t="str">
        <v>Trung</v>
      </c>
      <c r="I37" s="8">
        <v>0.3908</v>
      </c>
      <c r="J37" s="17" t="str">
        <v>Thấp</v>
      </c>
      <c r="K37" s="12">
        <v>424000</v>
      </c>
      <c r="L37" s="14">
        <v>202000</v>
      </c>
      <c r="M37" s="14">
        <v>299000</v>
      </c>
      <c r="N37" s="8">
        <v>0.25</v>
      </c>
      <c r="O37" s="8">
        <v>0.5</v>
      </c>
      <c r="P37" s="11">
        <v>226000</v>
      </c>
      <c r="Q37" s="11">
        <v>250000</v>
      </c>
      <c r="R37" s="15" t="str">
        <v>226k - 250k</v>
      </c>
      <c r="S37" s="12">
        <v>226000</v>
      </c>
      <c r="T37" s="12">
        <v>250000</v>
      </c>
      <c r="U37" s="12">
        <v>238000</v>
      </c>
      <c r="V37" s="12">
        <v>247000</v>
      </c>
      <c r="W37" s="9">
        <f>U37</f>
      </c>
      <c r="X37" s="28">
        <v>1009</v>
      </c>
      <c r="Y37" s="9">
        <f>C37&amp;X37</f>
      </c>
      <c r="Z37" s="9">
        <f>VLOOKUP(Y37,'Giá Uốn hiện tại'!$E:$F,2,0)</f>
      </c>
      <c r="AA37" s="9">
        <f>W37-Z37</f>
      </c>
      <c r="AB37" s="13">
        <f>AA37/Z37</f>
      </c>
    </row>
    <row customHeight="true" ht="19" r="38">
      <c r="A38" s="12">
        <v>199</v>
      </c>
      <c r="B38" s="12" t="str">
        <v>7 Đỗ Tường Phong</v>
      </c>
      <c r="C38" s="12" t="str">
        <v>7 DTP LA</v>
      </c>
      <c r="D38" s="12" t="str">
        <v>Long An</v>
      </c>
      <c r="E38" s="12" t="str"/>
      <c r="F38" s="12" t="str">
        <v>Độc lập (1 salon trong tỉnh)</v>
      </c>
      <c r="G38" s="8">
        <v>0.5319</v>
      </c>
      <c r="H38" s="10" t="str">
        <v>Trung</v>
      </c>
      <c r="I38" s="8">
        <v>0.3842</v>
      </c>
      <c r="J38" s="17" t="str">
        <v>Thấp</v>
      </c>
      <c r="K38" s="12">
        <v>424000</v>
      </c>
      <c r="L38" s="14">
        <v>200000</v>
      </c>
      <c r="M38" s="14">
        <v>251000</v>
      </c>
      <c r="N38" s="8">
        <v>0.25</v>
      </c>
      <c r="O38" s="8">
        <v>0.5</v>
      </c>
      <c r="P38" s="11">
        <v>213000</v>
      </c>
      <c r="Q38" s="11">
        <v>226000</v>
      </c>
      <c r="R38" s="15" t="str">
        <v>213k - 226k</v>
      </c>
      <c r="S38" s="12">
        <v>213000</v>
      </c>
      <c r="T38" s="12">
        <v>226000</v>
      </c>
      <c r="U38" s="12">
        <v>219000</v>
      </c>
      <c r="V38" s="12">
        <v>224000</v>
      </c>
      <c r="W38" s="9">
        <f>U38</f>
      </c>
      <c r="X38" s="28">
        <v>1009</v>
      </c>
      <c r="Y38" s="9">
        <f>C38&amp;X38</f>
      </c>
      <c r="Z38" s="9">
        <f>VLOOKUP(Y38,'Giá Uốn hiện tại'!$E:$F,2,0)</f>
      </c>
      <c r="AA38" s="9">
        <f>W38-Z38</f>
      </c>
      <c r="AB38" s="13">
        <f>AA38/Z38</f>
      </c>
    </row>
    <row customHeight="true" ht="19" r="39">
      <c r="A39" s="12">
        <v>204</v>
      </c>
      <c r="B39" s="12" t="str">
        <v>401/1 Nguyễn Duy Trinh</v>
      </c>
      <c r="C39" s="12" t="str">
        <v>401/1 NDT</v>
      </c>
      <c r="D39" s="12" t="str">
        <v>Hồ Chí Minh</v>
      </c>
      <c r="E39" s="12">
        <v>23</v>
      </c>
      <c r="F39" s="12" t="str">
        <v>Cụm mới (cùng tỉnh)</v>
      </c>
      <c r="G39" s="8">
        <v>0.5599</v>
      </c>
      <c r="H39" s="10" t="str">
        <v>Trung</v>
      </c>
      <c r="I39" s="8">
        <v>0.3979</v>
      </c>
      <c r="J39" s="17" t="str">
        <v>Thấp</v>
      </c>
      <c r="K39" s="12">
        <v>378000</v>
      </c>
      <c r="L39" s="14">
        <v>201000</v>
      </c>
      <c r="M39" s="14">
        <v>299000</v>
      </c>
      <c r="N39" s="8">
        <v>0.25</v>
      </c>
      <c r="O39" s="8">
        <v>0.5</v>
      </c>
      <c r="P39" s="11">
        <v>226000</v>
      </c>
      <c r="Q39" s="11">
        <v>250000</v>
      </c>
      <c r="R39" s="15" t="str">
        <v>226k - 250k</v>
      </c>
      <c r="S39" s="12">
        <v>226000</v>
      </c>
      <c r="T39" s="12">
        <v>250000</v>
      </c>
      <c r="U39" s="12">
        <v>238000</v>
      </c>
      <c r="V39" s="12">
        <v>246000</v>
      </c>
      <c r="W39" s="9">
        <f>U39</f>
      </c>
      <c r="X39" s="28">
        <v>1009</v>
      </c>
      <c r="Y39" s="9">
        <f>C39&amp;X39</f>
      </c>
      <c r="Z39" s="9">
        <f>VLOOKUP(Y39,'Giá Uốn hiện tại'!$E:$F,2,0)</f>
      </c>
      <c r="AA39" s="9">
        <f>W39-Z39</f>
      </c>
      <c r="AB39" s="13">
        <f>AA39/Z39</f>
      </c>
    </row>
    <row customHeight="true" ht="19" r="40">
      <c r="A40" s="12">
        <v>205</v>
      </c>
      <c r="B40" s="12" t="str">
        <v>341 Xô Viết Nghệ Tĩnh</v>
      </c>
      <c r="C40" s="12" t="str">
        <v>341 XVNT</v>
      </c>
      <c r="D40" s="12" t="str">
        <v>Hồ Chí Minh</v>
      </c>
      <c r="E40" s="12">
        <v>17</v>
      </c>
      <c r="F40" s="12" t="str">
        <v>Cụm gốc</v>
      </c>
      <c r="G40" s="8">
        <v>0.6578</v>
      </c>
      <c r="H40" s="18" t="str">
        <v>Cao</v>
      </c>
      <c r="I40" s="8">
        <v>0.3726</v>
      </c>
      <c r="J40" s="17" t="str">
        <v>Thấp</v>
      </c>
      <c r="K40" s="12">
        <v>378000</v>
      </c>
      <c r="L40" s="14">
        <v>202000</v>
      </c>
      <c r="M40" s="14">
        <v>350000</v>
      </c>
      <c r="N40" s="8">
        <v>0.15</v>
      </c>
      <c r="O40" s="8">
        <v>0.35</v>
      </c>
      <c r="P40" s="11">
        <v>224000</v>
      </c>
      <c r="Q40" s="11">
        <v>254000</v>
      </c>
      <c r="R40" s="15" t="str">
        <v>224k - 254k</v>
      </c>
      <c r="S40" s="12">
        <v>224000</v>
      </c>
      <c r="T40" s="12">
        <v>254000</v>
      </c>
      <c r="U40" s="12">
        <v>239000</v>
      </c>
      <c r="V40" s="12">
        <v>249000</v>
      </c>
      <c r="W40" s="9">
        <f>U40</f>
      </c>
      <c r="X40" s="28">
        <v>1009</v>
      </c>
      <c r="Y40" s="9">
        <f>C40&amp;X40</f>
      </c>
      <c r="Z40" s="9">
        <f>VLOOKUP(Y40,'Giá Uốn hiện tại'!$E:$F,2,0)</f>
      </c>
      <c r="AA40" s="9">
        <f>W40-Z40</f>
      </c>
      <c r="AB40" s="13">
        <f>AA40/Z40</f>
      </c>
    </row>
    <row customHeight="true" ht="19" r="41">
      <c r="A41" s="12">
        <v>210</v>
      </c>
      <c r="B41" s="12" t="str">
        <v>148B Trương Định</v>
      </c>
      <c r="C41" s="12" t="str">
        <v>148 TD</v>
      </c>
      <c r="D41" s="12" t="str">
        <v>Hà Nội</v>
      </c>
      <c r="E41" s="12">
        <v>6</v>
      </c>
      <c r="F41" s="12" t="str">
        <v>Cụm gốc</v>
      </c>
      <c r="G41" s="8">
        <v>0.6448</v>
      </c>
      <c r="H41" s="18" t="str">
        <v>Cao</v>
      </c>
      <c r="I41" s="8">
        <v>0.361</v>
      </c>
      <c r="J41" s="17" t="str">
        <v>Thấp</v>
      </c>
      <c r="K41" s="12">
        <v>424000</v>
      </c>
      <c r="L41" s="14">
        <v>289000</v>
      </c>
      <c r="M41" s="14">
        <v>353000</v>
      </c>
      <c r="N41" s="8">
        <v>0.15</v>
      </c>
      <c r="O41" s="8">
        <v>0.35</v>
      </c>
      <c r="P41" s="11">
        <v>299000</v>
      </c>
      <c r="Q41" s="11">
        <v>311000</v>
      </c>
      <c r="R41" s="15" t="str">
        <v>299k - 311k</v>
      </c>
      <c r="S41" s="12">
        <v>299000</v>
      </c>
      <c r="T41" s="12">
        <v>311000</v>
      </c>
      <c r="U41" s="12">
        <v>305000</v>
      </c>
      <c r="V41" s="12">
        <v>309000</v>
      </c>
      <c r="W41" s="9">
        <f>U41</f>
      </c>
      <c r="X41" s="28">
        <v>1009</v>
      </c>
      <c r="Y41" s="9">
        <f>C41&amp;X41</f>
      </c>
      <c r="Z41" s="9">
        <f>VLOOKUP(Y41,'Giá Uốn hiện tại'!$E:$F,2,0)</f>
      </c>
      <c r="AA41" s="9">
        <f>W41-Z41</f>
      </c>
      <c r="AB41" s="13">
        <f>AA41/Z41</f>
      </c>
    </row>
    <row customHeight="true" ht="19" r="42">
      <c r="A42" s="12">
        <v>212</v>
      </c>
      <c r="B42" s="12" t="str">
        <v>58 Nguyễn Văn Cừ</v>
      </c>
      <c r="C42" s="12" t="str">
        <v>58 NVC NA</v>
      </c>
      <c r="D42" s="12" t="str">
        <v>Nghệ An</v>
      </c>
      <c r="E42" s="12">
        <v>10</v>
      </c>
      <c r="F42" s="12" t="str">
        <v>Cụm gốc</v>
      </c>
      <c r="G42" s="8">
        <v>0.5736</v>
      </c>
      <c r="H42" s="10" t="str">
        <v>Trung</v>
      </c>
      <c r="I42" s="8">
        <v>0.3468</v>
      </c>
      <c r="J42" s="17" t="str">
        <v>Thấp</v>
      </c>
      <c r="K42" s="12">
        <v>394000</v>
      </c>
      <c r="L42" s="14">
        <v>298000</v>
      </c>
      <c r="M42" s="14">
        <v>353000</v>
      </c>
      <c r="N42" s="8">
        <v>0.25</v>
      </c>
      <c r="O42" s="8">
        <v>0.5</v>
      </c>
      <c r="P42" s="11">
        <v>312000</v>
      </c>
      <c r="Q42" s="11">
        <v>326000</v>
      </c>
      <c r="R42" s="15" t="str">
        <v>312k - 326k</v>
      </c>
      <c r="S42" s="12">
        <v>312000</v>
      </c>
      <c r="T42" s="12">
        <v>326000</v>
      </c>
      <c r="U42" s="12">
        <v>319000</v>
      </c>
      <c r="V42" s="12">
        <v>323000</v>
      </c>
      <c r="W42" s="9">
        <f>U42</f>
      </c>
      <c r="X42" s="28">
        <v>1009</v>
      </c>
      <c r="Y42" s="9">
        <f>C42&amp;X42</f>
      </c>
      <c r="Z42" s="9">
        <f>VLOOKUP(Y42,'Giá Uốn hiện tại'!$E:$F,2,0)</f>
      </c>
      <c r="AA42" s="9">
        <f>W42-Z42</f>
      </c>
      <c r="AB42" s="13">
        <f>AA42/Z42</f>
      </c>
    </row>
    <row customHeight="true" ht="19" r="43">
      <c r="A43" s="12">
        <v>217</v>
      </c>
      <c r="B43" s="12" t="str">
        <v>Time Garden 25/4</v>
      </c>
      <c r="C43" s="12" t="str">
        <v>TG 25/4 QN</v>
      </c>
      <c r="D43" s="12" t="str">
        <v>Quảng Ninh</v>
      </c>
      <c r="E43" s="12" t="str"/>
      <c r="F43" s="12" t="str">
        <v>Độc lập (1 salon trong tỉnh)</v>
      </c>
      <c r="G43" s="8">
        <v>0.4548</v>
      </c>
      <c r="H43" s="10" t="str">
        <v>Trung</v>
      </c>
      <c r="I43" s="8">
        <v>0.3503</v>
      </c>
      <c r="J43" s="17" t="str">
        <v>Thấp</v>
      </c>
      <c r="K43" s="12">
        <v>424000</v>
      </c>
      <c r="L43" s="14">
        <v>251000</v>
      </c>
      <c r="M43" s="14">
        <v>351000</v>
      </c>
      <c r="N43" s="8">
        <v>0.25</v>
      </c>
      <c r="O43" s="8">
        <v>0.5</v>
      </c>
      <c r="P43" s="11">
        <v>276000</v>
      </c>
      <c r="Q43" s="11">
        <v>301000</v>
      </c>
      <c r="R43" s="15" t="str">
        <v>276k - 301k</v>
      </c>
      <c r="S43" s="12">
        <v>276000</v>
      </c>
      <c r="T43" s="12">
        <v>301000</v>
      </c>
      <c r="U43" s="12">
        <v>288000</v>
      </c>
      <c r="V43" s="12">
        <v>297000</v>
      </c>
      <c r="W43" s="9">
        <f>U43</f>
      </c>
      <c r="X43" s="28">
        <v>1009</v>
      </c>
      <c r="Y43" s="9">
        <f>C43&amp;X43</f>
      </c>
      <c r="Z43" s="9">
        <f>VLOOKUP(Y43,'Giá Uốn hiện tại'!$E:$F,2,0)</f>
      </c>
      <c r="AA43" s="9">
        <f>W43-Z43</f>
      </c>
      <c r="AB43" s="13">
        <f>AA43/Z43</f>
      </c>
    </row>
    <row customHeight="true" ht="19" r="44">
      <c r="A44" s="12">
        <v>228</v>
      </c>
      <c r="B44" s="12" t="str">
        <v>62 Láng Hạ</v>
      </c>
      <c r="C44" s="12" t="str">
        <v>62 LH</v>
      </c>
      <c r="D44" s="12" t="str">
        <v>Hà Nội</v>
      </c>
      <c r="E44" s="12">
        <v>4</v>
      </c>
      <c r="F44" s="12" t="str">
        <v>Cụm gốc</v>
      </c>
      <c r="G44" s="8">
        <v>0.6146</v>
      </c>
      <c r="H44" s="18" t="str">
        <v>Cao</v>
      </c>
      <c r="I44" s="8">
        <v>0.4489</v>
      </c>
      <c r="J44" s="10" t="str">
        <v>Trung</v>
      </c>
      <c r="K44" s="12">
        <v>378000</v>
      </c>
      <c r="L44" s="14">
        <v>201000</v>
      </c>
      <c r="M44" s="14">
        <v>301000</v>
      </c>
      <c r="N44" s="8">
        <v>0.25</v>
      </c>
      <c r="O44" s="8">
        <v>0.45</v>
      </c>
      <c r="P44" s="11">
        <v>226000</v>
      </c>
      <c r="Q44" s="11">
        <v>246000</v>
      </c>
      <c r="R44" s="15" t="str">
        <v>226k - 246k</v>
      </c>
      <c r="S44" s="12">
        <v>226000</v>
      </c>
      <c r="T44" s="12">
        <v>246000</v>
      </c>
      <c r="U44" s="12">
        <v>236000</v>
      </c>
      <c r="V44" s="12">
        <v>243000</v>
      </c>
      <c r="W44" s="9">
        <f>U44</f>
      </c>
      <c r="X44" s="28">
        <v>1009</v>
      </c>
      <c r="Y44" s="9">
        <f>C44&amp;X44</f>
      </c>
      <c r="Z44" s="9">
        <f>VLOOKUP(Y44,'Giá Uốn hiện tại'!$E:$F,2,0)</f>
      </c>
      <c r="AA44" s="9">
        <f>W44-Z44</f>
      </c>
      <c r="AB44" s="13">
        <f>AA44/Z44</f>
      </c>
    </row>
    <row customHeight="true" ht="19" r="45">
      <c r="A45" s="12">
        <v>230</v>
      </c>
      <c r="B45" s="12" t="str">
        <v>290 Quang Trung</v>
      </c>
      <c r="C45" s="12" t="str">
        <v>290 QT TH</v>
      </c>
      <c r="D45" s="12" t="str">
        <v>Thanh Hóa</v>
      </c>
      <c r="E45" s="12" t="str"/>
      <c r="F45" s="12" t="str">
        <v>Độc lập (1 salon trong tỉnh)</v>
      </c>
      <c r="G45" s="8">
        <v>0.46</v>
      </c>
      <c r="H45" s="10" t="str">
        <v>Trung</v>
      </c>
      <c r="I45" s="8">
        <v>0.4386</v>
      </c>
      <c r="J45" s="10" t="str">
        <v>Trung</v>
      </c>
      <c r="K45" s="12">
        <v>424000</v>
      </c>
      <c r="L45" s="14">
        <v>298000</v>
      </c>
      <c r="M45" s="14">
        <v>400000</v>
      </c>
      <c r="N45" s="8">
        <v>0.4</v>
      </c>
      <c r="O45" s="8">
        <v>0.65</v>
      </c>
      <c r="P45" s="11">
        <v>339000</v>
      </c>
      <c r="Q45" s="11">
        <v>364000</v>
      </c>
      <c r="R45" s="15" t="str">
        <v>339k - 364k</v>
      </c>
      <c r="S45" s="12">
        <v>339000</v>
      </c>
      <c r="T45" s="12">
        <v>364000</v>
      </c>
      <c r="U45" s="12">
        <v>352000</v>
      </c>
      <c r="V45" s="12">
        <v>360000</v>
      </c>
      <c r="W45" s="9">
        <f>U45</f>
      </c>
      <c r="X45" s="28">
        <v>1009</v>
      </c>
      <c r="Y45" s="9">
        <f>C45&amp;X45</f>
      </c>
      <c r="Z45" s="9">
        <f>VLOOKUP(Y45,'Giá Uốn hiện tại'!$E:$F,2,0)</f>
      </c>
      <c r="AA45" s="9">
        <f>W45-Z45</f>
      </c>
      <c r="AB45" s="13">
        <f>AA45/Z45</f>
      </c>
    </row>
    <row customHeight="true" ht="19" r="46">
      <c r="A46" s="12">
        <v>231</v>
      </c>
      <c r="B46" s="12" t="str" xml:space="preserve">
        <v>304 Nguyễn Trãi </v>
      </c>
      <c r="C46" s="12" t="str">
        <v>304 NT TH</v>
      </c>
      <c r="D46" s="12" t="str">
        <v>Thanh Hóa</v>
      </c>
      <c r="E46" s="12">
        <v>9</v>
      </c>
      <c r="F46" s="12" t="str">
        <v>Cụm gốc</v>
      </c>
      <c r="G46" s="8">
        <v>0.4811</v>
      </c>
      <c r="H46" s="10" t="str">
        <v>Trung</v>
      </c>
      <c r="I46" s="8">
        <v>0.4096</v>
      </c>
      <c r="J46" s="17" t="str">
        <v>Thấp</v>
      </c>
      <c r="K46" s="12">
        <v>394000</v>
      </c>
      <c r="L46" s="14">
        <v>200000</v>
      </c>
      <c r="M46" s="14">
        <v>298000</v>
      </c>
      <c r="N46" s="8">
        <v>0.25</v>
      </c>
      <c r="O46" s="8">
        <v>0.5</v>
      </c>
      <c r="P46" s="11">
        <v>224000</v>
      </c>
      <c r="Q46" s="11">
        <v>249000</v>
      </c>
      <c r="R46" s="15" t="str">
        <v>224k - 249k</v>
      </c>
      <c r="S46" s="12">
        <v>224000</v>
      </c>
      <c r="T46" s="12">
        <v>249000</v>
      </c>
      <c r="U46" s="12">
        <v>237000</v>
      </c>
      <c r="V46" s="12">
        <v>245000</v>
      </c>
      <c r="W46" s="9">
        <f>U46</f>
      </c>
      <c r="X46" s="28">
        <v>1009</v>
      </c>
      <c r="Y46" s="9">
        <f>C46&amp;X46</f>
      </c>
      <c r="Z46" s="9">
        <f>VLOOKUP(Y46,'Giá Uốn hiện tại'!$E:$F,2,0)</f>
      </c>
      <c r="AA46" s="9">
        <f>W46-Z46</f>
      </c>
      <c r="AB46" s="13">
        <f>AA46/Z46</f>
      </c>
    </row>
    <row customHeight="true" ht="19" r="47">
      <c r="A47" s="12">
        <v>232</v>
      </c>
      <c r="B47" s="12" t="str">
        <v>80 Trần Phú</v>
      </c>
      <c r="C47" s="12" t="str">
        <v>80 TP TH</v>
      </c>
      <c r="D47" s="12" t="str">
        <v>Thanh Hóa</v>
      </c>
      <c r="E47" s="12">
        <v>9</v>
      </c>
      <c r="F47" s="12" t="str">
        <v>Cụm gốc</v>
      </c>
      <c r="G47" s="8">
        <v>0.5226</v>
      </c>
      <c r="H47" s="10" t="str">
        <v>Trung</v>
      </c>
      <c r="I47" s="8">
        <v>0.4058</v>
      </c>
      <c r="J47" s="17" t="str">
        <v>Thấp</v>
      </c>
      <c r="K47" s="12">
        <v>424000</v>
      </c>
      <c r="L47" s="14">
        <v>200000</v>
      </c>
      <c r="M47" s="14">
        <v>298000</v>
      </c>
      <c r="N47" s="8">
        <v>0.25</v>
      </c>
      <c r="O47" s="8">
        <v>0.5</v>
      </c>
      <c r="P47" s="11">
        <v>224000</v>
      </c>
      <c r="Q47" s="11">
        <v>249000</v>
      </c>
      <c r="R47" s="15" t="str">
        <v>224k - 249k</v>
      </c>
      <c r="S47" s="12">
        <v>224000</v>
      </c>
      <c r="T47" s="12">
        <v>249000</v>
      </c>
      <c r="U47" s="12">
        <v>237000</v>
      </c>
      <c r="V47" s="12">
        <v>245000</v>
      </c>
      <c r="W47" s="9">
        <f>U47</f>
      </c>
      <c r="X47" s="28">
        <v>1009</v>
      </c>
      <c r="Y47" s="9">
        <f>C47&amp;X47</f>
      </c>
      <c r="Z47" s="9">
        <f>VLOOKUP(Y47,'Giá Uốn hiện tại'!$E:$F,2,0)</f>
      </c>
      <c r="AA47" s="9">
        <f>W47-Z47</f>
      </c>
      <c r="AB47" s="13">
        <f>AA47/Z47</f>
      </c>
    </row>
    <row customHeight="true" ht="19" r="48">
      <c r="A48" s="12">
        <v>233</v>
      </c>
      <c r="B48" s="12" t="str">
        <v>595 Bà Triệu</v>
      </c>
      <c r="C48" s="12" t="str">
        <v>595 BT TH</v>
      </c>
      <c r="D48" s="12" t="str">
        <v>Thanh Hóa</v>
      </c>
      <c r="E48" s="12">
        <v>9</v>
      </c>
      <c r="F48" s="12" t="str">
        <v>Cụm gốc</v>
      </c>
      <c r="G48" s="8">
        <v>0.5387</v>
      </c>
      <c r="H48" s="10" t="str">
        <v>Trung</v>
      </c>
      <c r="I48" s="8">
        <v>0.4489</v>
      </c>
      <c r="J48" s="10" t="str">
        <v>Trung</v>
      </c>
      <c r="K48" s="12">
        <v>378000</v>
      </c>
      <c r="L48" s="14">
        <v>200000</v>
      </c>
      <c r="M48" s="14">
        <v>298000</v>
      </c>
      <c r="N48" s="8">
        <v>0.4</v>
      </c>
      <c r="O48" s="8">
        <v>0.65</v>
      </c>
      <c r="P48" s="11">
        <v>239000</v>
      </c>
      <c r="Q48" s="11">
        <v>264000</v>
      </c>
      <c r="R48" s="15" t="str">
        <v>239k - 264k</v>
      </c>
      <c r="S48" s="12">
        <v>239000</v>
      </c>
      <c r="T48" s="12">
        <v>264000</v>
      </c>
      <c r="U48" s="12">
        <v>251000</v>
      </c>
      <c r="V48" s="12">
        <v>260000</v>
      </c>
      <c r="W48" s="9">
        <f>U48</f>
      </c>
      <c r="X48" s="28">
        <v>1009</v>
      </c>
      <c r="Y48" s="9">
        <f>C48&amp;X48</f>
      </c>
      <c r="Z48" s="9">
        <f>VLOOKUP(Y48,'Giá Uốn hiện tại'!$E:$F,2,0)</f>
      </c>
      <c r="AA48" s="9">
        <f>W48-Z48</f>
      </c>
      <c r="AB48" s="13">
        <f>AA48/Z48</f>
      </c>
    </row>
    <row customHeight="true" ht="19" r="49">
      <c r="A49" s="12">
        <v>239</v>
      </c>
      <c r="B49" s="12" t="str" xml:space="preserve">
        <v>186 Quang Trung </v>
      </c>
      <c r="C49" s="12" t="str">
        <v>186 QT</v>
      </c>
      <c r="D49" s="12" t="str">
        <v>Hà Nội</v>
      </c>
      <c r="E49" s="12">
        <v>8</v>
      </c>
      <c r="F49" s="12" t="str">
        <v>Cụm gốc</v>
      </c>
      <c r="G49" s="8">
        <v>0.5104</v>
      </c>
      <c r="H49" s="10" t="str">
        <v>Trung</v>
      </c>
      <c r="I49" s="8">
        <v>0.3918</v>
      </c>
      <c r="J49" s="17" t="str">
        <v>Thấp</v>
      </c>
      <c r="K49" s="12">
        <v>394000</v>
      </c>
      <c r="L49" s="14">
        <v>250000</v>
      </c>
      <c r="M49" s="14">
        <v>302000</v>
      </c>
      <c r="N49" s="8">
        <v>0.25</v>
      </c>
      <c r="O49" s="8">
        <v>0.5</v>
      </c>
      <c r="P49" s="11">
        <v>263000</v>
      </c>
      <c r="Q49" s="11">
        <v>276000</v>
      </c>
      <c r="R49" s="15" t="str">
        <v>263k - 276k</v>
      </c>
      <c r="S49" s="12">
        <v>263000</v>
      </c>
      <c r="T49" s="12">
        <v>276000</v>
      </c>
      <c r="U49" s="12">
        <v>270000</v>
      </c>
      <c r="V49" s="12">
        <v>274000</v>
      </c>
      <c r="W49" s="9">
        <f>U49</f>
      </c>
      <c r="X49" s="28">
        <v>1009</v>
      </c>
      <c r="Y49" s="9">
        <f>C49&amp;X49</f>
      </c>
      <c r="Z49" s="9">
        <f>VLOOKUP(Y49,'Giá Uốn hiện tại'!$E:$F,2,0)</f>
      </c>
      <c r="AA49" s="9">
        <f>W49-Z49</f>
      </c>
      <c r="AB49" s="13">
        <f>AA49/Z49</f>
      </c>
    </row>
    <row customHeight="true" ht="19" r="50">
      <c r="A50" s="12">
        <v>244</v>
      </c>
      <c r="B50" s="12" t="str">
        <v>11 Phan Kế Toại</v>
      </c>
      <c r="C50" s="12" t="str">
        <v>11 PKT</v>
      </c>
      <c r="D50" s="12" t="str">
        <v>Hà Nội</v>
      </c>
      <c r="E50" s="12">
        <v>30</v>
      </c>
      <c r="F50" s="12" t="str">
        <v>Cụm mới (cùng tỉnh)</v>
      </c>
      <c r="G50" s="8">
        <v>0.4456</v>
      </c>
      <c r="H50" s="10" t="str">
        <v>Trung</v>
      </c>
      <c r="I50" s="8">
        <v>0.4357</v>
      </c>
      <c r="J50" s="10" t="str">
        <v>Trung</v>
      </c>
      <c r="K50" s="12">
        <v>384000</v>
      </c>
      <c r="L50" s="14">
        <v>202000</v>
      </c>
      <c r="M50" s="14">
        <v>299000</v>
      </c>
      <c r="N50" s="8">
        <v>0.4</v>
      </c>
      <c r="O50" s="8">
        <v>0.65</v>
      </c>
      <c r="P50" s="11">
        <v>241000</v>
      </c>
      <c r="Q50" s="11">
        <v>265000</v>
      </c>
      <c r="R50" s="15" t="str">
        <v>241k - 265k</v>
      </c>
      <c r="S50" s="12">
        <v>241000</v>
      </c>
      <c r="T50" s="12">
        <v>265000</v>
      </c>
      <c r="U50" s="12">
        <v>253000</v>
      </c>
      <c r="V50" s="12">
        <v>261000</v>
      </c>
      <c r="W50" s="9">
        <f>U50</f>
      </c>
      <c r="X50" s="28">
        <v>1009</v>
      </c>
      <c r="Y50" s="9">
        <f>C50&amp;X50</f>
      </c>
      <c r="Z50" s="9">
        <f>VLOOKUP(Y50,'Giá Uốn hiện tại'!$E:$F,2,0)</f>
      </c>
      <c r="AA50" s="9">
        <f>W50-Z50</f>
      </c>
      <c r="AB50" s="13">
        <f>AA50/Z50</f>
      </c>
    </row>
    <row customHeight="true" ht="19" r="51">
      <c r="A51" s="12">
        <v>245</v>
      </c>
      <c r="B51" s="12" t="str">
        <v>55A Nguyễn Văn Lộc</v>
      </c>
      <c r="C51" s="12" t="str">
        <v>55A NVL</v>
      </c>
      <c r="D51" s="12" t="str">
        <v>Hà Nội</v>
      </c>
      <c r="E51" s="12">
        <v>7</v>
      </c>
      <c r="F51" s="12" t="str">
        <v>Cụm gốc</v>
      </c>
      <c r="G51" s="8">
        <v>0.5529</v>
      </c>
      <c r="H51" s="10" t="str">
        <v>Trung</v>
      </c>
      <c r="I51" s="8">
        <v>0.4737</v>
      </c>
      <c r="J51" s="18" t="str">
        <v>Cao</v>
      </c>
      <c r="K51" s="12">
        <v>424000</v>
      </c>
      <c r="L51" s="14">
        <v>202000</v>
      </c>
      <c r="M51" s="14">
        <v>319000</v>
      </c>
      <c r="N51" s="8">
        <v>0.55</v>
      </c>
      <c r="O51" s="8">
        <v>0.8</v>
      </c>
      <c r="P51" s="11">
        <v>266000</v>
      </c>
      <c r="Q51" s="11">
        <v>296000</v>
      </c>
      <c r="R51" s="15" t="str">
        <v>266k - 296k</v>
      </c>
      <c r="S51" s="12">
        <v>266000</v>
      </c>
      <c r="T51" s="12">
        <v>296000</v>
      </c>
      <c r="U51" s="12">
        <v>281000</v>
      </c>
      <c r="V51" s="12">
        <v>291000</v>
      </c>
      <c r="W51" s="9">
        <f>U51</f>
      </c>
      <c r="X51" s="28">
        <v>1009</v>
      </c>
      <c r="Y51" s="9">
        <f>C51&amp;X51</f>
      </c>
      <c r="Z51" s="9">
        <f>VLOOKUP(Y51,'Giá Uốn hiện tại'!$E:$F,2,0)</f>
      </c>
      <c r="AA51" s="9">
        <f>W51-Z51</f>
      </c>
      <c r="AB51" s="13">
        <f>AA51/Z51</f>
      </c>
    </row>
    <row customHeight="true" ht="19" r="52">
      <c r="A52" s="12">
        <v>247</v>
      </c>
      <c r="B52" s="12" t="str">
        <v>1371 Phạm Văn Thuận</v>
      </c>
      <c r="C52" s="12" t="str">
        <v>1371 PVT</v>
      </c>
      <c r="D52" s="12" t="str">
        <v>Đồng Nai</v>
      </c>
      <c r="E52" s="12">
        <v>12</v>
      </c>
      <c r="F52" s="12" t="str">
        <v>Cụm gốc</v>
      </c>
      <c r="G52" s="8">
        <v>0.5754</v>
      </c>
      <c r="H52" s="10" t="str">
        <v>Trung</v>
      </c>
      <c r="I52" s="8">
        <v>0.3136</v>
      </c>
      <c r="J52" s="17" t="str">
        <v>Thấp</v>
      </c>
      <c r="K52" s="12">
        <v>424000</v>
      </c>
      <c r="L52" s="14">
        <v>201000</v>
      </c>
      <c r="M52" s="14">
        <v>299000</v>
      </c>
      <c r="N52" s="8">
        <v>0.25</v>
      </c>
      <c r="O52" s="8">
        <v>0.5</v>
      </c>
      <c r="P52" s="11">
        <v>226000</v>
      </c>
      <c r="Q52" s="11">
        <v>250000</v>
      </c>
      <c r="R52" s="15" t="str">
        <v>226k - 250k</v>
      </c>
      <c r="S52" s="12">
        <v>226000</v>
      </c>
      <c r="T52" s="12">
        <v>250000</v>
      </c>
      <c r="U52" s="12">
        <v>238000</v>
      </c>
      <c r="V52" s="12">
        <v>246000</v>
      </c>
      <c r="W52" s="9">
        <f>U52</f>
      </c>
      <c r="X52" s="28">
        <v>1009</v>
      </c>
      <c r="Y52" s="9">
        <f>C52&amp;X52</f>
      </c>
      <c r="Z52" s="9">
        <f>VLOOKUP(Y52,'Giá Uốn hiện tại'!$E:$F,2,0)</f>
      </c>
      <c r="AA52" s="9">
        <f>W52-Z52</f>
      </c>
      <c r="AB52" s="13">
        <f>AA52/Z52</f>
      </c>
    </row>
    <row customHeight="true" ht="19" r="53">
      <c r="A53" s="12">
        <v>249</v>
      </c>
      <c r="B53" s="12" t="str">
        <v>1146 Kha Vạn Cân</v>
      </c>
      <c r="C53" s="12" t="str">
        <v>1146 KVC</v>
      </c>
      <c r="D53" s="12" t="str">
        <v>Hồ Chí Minh</v>
      </c>
      <c r="E53" s="12">
        <v>23</v>
      </c>
      <c r="F53" s="12" t="str">
        <v>Cụm mới (cùng tỉnh)</v>
      </c>
      <c r="G53" s="8">
        <v>0.6701</v>
      </c>
      <c r="H53" s="18" t="str">
        <v>Cao</v>
      </c>
      <c r="I53" s="8">
        <v>0.3804</v>
      </c>
      <c r="J53" s="17" t="str">
        <v>Thấp</v>
      </c>
      <c r="K53" s="12">
        <v>378000</v>
      </c>
      <c r="L53" s="14">
        <v>201000</v>
      </c>
      <c r="M53" s="14">
        <v>299000</v>
      </c>
      <c r="N53" s="8">
        <v>0.15</v>
      </c>
      <c r="O53" s="8">
        <v>0.35</v>
      </c>
      <c r="P53" s="11">
        <v>216000</v>
      </c>
      <c r="Q53" s="11">
        <v>235000</v>
      </c>
      <c r="R53" s="15" t="str">
        <v>216k - 235k</v>
      </c>
      <c r="S53" s="12">
        <v>216000</v>
      </c>
      <c r="T53" s="12">
        <v>235000</v>
      </c>
      <c r="U53" s="12">
        <v>226000</v>
      </c>
      <c r="V53" s="12">
        <v>232000</v>
      </c>
      <c r="W53" s="9">
        <f>U53</f>
      </c>
      <c r="X53" s="28">
        <v>1009</v>
      </c>
      <c r="Y53" s="9">
        <f>C53&amp;X53</f>
      </c>
      <c r="Z53" s="9">
        <f>VLOOKUP(Y53,'Giá Uốn hiện tại'!$E:$F,2,0)</f>
      </c>
      <c r="AA53" s="9">
        <f>W53-Z53</f>
      </c>
      <c r="AB53" s="13">
        <f>AA53/Z53</f>
      </c>
    </row>
    <row customHeight="true" ht="19" r="54">
      <c r="A54" s="12">
        <v>250</v>
      </c>
      <c r="B54" s="12" t="str">
        <v>173 Thanh Nhàn</v>
      </c>
      <c r="C54" s="12" t="str">
        <v>173 TN</v>
      </c>
      <c r="D54" s="12" t="str">
        <v>Hà Nội</v>
      </c>
      <c r="E54" s="12">
        <v>6</v>
      </c>
      <c r="F54" s="12" t="str">
        <v>Cụm gốc</v>
      </c>
      <c r="G54" s="8">
        <v>0.6493</v>
      </c>
      <c r="H54" s="18" t="str">
        <v>Cao</v>
      </c>
      <c r="I54" s="8">
        <v>0.4431</v>
      </c>
      <c r="J54" s="10" t="str">
        <v>Trung</v>
      </c>
      <c r="K54" s="12">
        <v>369000</v>
      </c>
      <c r="L54" s="14">
        <v>289000</v>
      </c>
      <c r="M54" s="14">
        <v>353000</v>
      </c>
      <c r="N54" s="8">
        <v>0.25</v>
      </c>
      <c r="O54" s="8">
        <v>0.45</v>
      </c>
      <c r="P54" s="11">
        <v>305000</v>
      </c>
      <c r="Q54" s="11">
        <v>318000</v>
      </c>
      <c r="R54" s="15" t="str">
        <v>305k - 318k</v>
      </c>
      <c r="S54" s="12">
        <v>305000</v>
      </c>
      <c r="T54" s="12">
        <v>318000</v>
      </c>
      <c r="U54" s="12">
        <v>311000</v>
      </c>
      <c r="V54" s="12">
        <v>316000</v>
      </c>
      <c r="W54" s="9">
        <f>U54</f>
      </c>
      <c r="X54" s="28">
        <v>1009</v>
      </c>
      <c r="Y54" s="9">
        <f>C54&amp;X54</f>
      </c>
      <c r="Z54" s="9">
        <f>VLOOKUP(Y54,'Giá Uốn hiện tại'!$E:$F,2,0)</f>
      </c>
      <c r="AA54" s="9">
        <f>W54-Z54</f>
      </c>
      <c r="AB54" s="13">
        <f>AA54/Z54</f>
      </c>
    </row>
    <row customHeight="true" ht="19" r="55">
      <c r="A55" s="12">
        <v>274</v>
      </c>
      <c r="B55" s="12" t="str">
        <v>32 Nguyễn Ảnh Thủ</v>
      </c>
      <c r="C55" s="12" t="str">
        <v>32 NAT</v>
      </c>
      <c r="D55" s="12" t="str">
        <v>Hồ Chí Minh</v>
      </c>
      <c r="E55" s="12">
        <v>25</v>
      </c>
      <c r="F55" s="12" t="str">
        <v>Cụm mới (cùng tỉnh)</v>
      </c>
      <c r="G55" s="8">
        <v>0.5614</v>
      </c>
      <c r="H55" s="10" t="str">
        <v>Trung</v>
      </c>
      <c r="I55" s="8">
        <v>0.4177</v>
      </c>
      <c r="J55" s="10" t="str">
        <v>Trung</v>
      </c>
      <c r="K55" s="12" t="str"/>
      <c r="L55" s="14">
        <v>248000</v>
      </c>
      <c r="M55" s="14">
        <v>299000</v>
      </c>
      <c r="N55" s="8">
        <v>0.4</v>
      </c>
      <c r="O55" s="8">
        <v>0.65</v>
      </c>
      <c r="P55" s="11">
        <v>268000</v>
      </c>
      <c r="Q55" s="11">
        <v>281000</v>
      </c>
      <c r="R55" s="15" t="str">
        <v>268k - 281k</v>
      </c>
      <c r="S55" s="12">
        <v>268000</v>
      </c>
      <c r="T55" s="12">
        <v>281000</v>
      </c>
      <c r="U55" s="12">
        <v>275000</v>
      </c>
      <c r="V55" s="12">
        <v>279000</v>
      </c>
      <c r="W55" s="9">
        <f>U55</f>
      </c>
      <c r="X55" s="28">
        <v>1009</v>
      </c>
      <c r="Y55" s="9">
        <f>C55&amp;X55</f>
      </c>
      <c r="Z55" s="9">
        <f>VLOOKUP(Y55,'Giá Uốn hiện tại'!$E:$F,2,0)</f>
      </c>
      <c r="AA55" s="9">
        <f>W55-Z55</f>
      </c>
      <c r="AB55" s="13">
        <f>AA55/Z55</f>
      </c>
    </row>
    <row customHeight="true" ht="19" r="56">
      <c r="A56" s="12">
        <v>302</v>
      </c>
      <c r="B56" s="12" t="str">
        <v>362 Ngô Gia Tự</v>
      </c>
      <c r="C56" s="12" t="str">
        <v>362 NGT BN</v>
      </c>
      <c r="D56" s="12" t="str">
        <v>Bắc Ninh</v>
      </c>
      <c r="E56" s="12">
        <v>32</v>
      </c>
      <c r="F56" s="12" t="str">
        <v>Cụm mới (cùng tỉnh)</v>
      </c>
      <c r="G56" s="8">
        <v>0.5219</v>
      </c>
      <c r="H56" s="10" t="str">
        <v>Trung</v>
      </c>
      <c r="I56" s="8">
        <v>0.4295</v>
      </c>
      <c r="J56" s="10" t="str">
        <v>Trung</v>
      </c>
      <c r="K56" s="12">
        <v>378000</v>
      </c>
      <c r="L56" s="14">
        <v>201000</v>
      </c>
      <c r="M56" s="14">
        <v>369000</v>
      </c>
      <c r="N56" s="8">
        <v>0.4</v>
      </c>
      <c r="O56" s="8">
        <v>0.65</v>
      </c>
      <c r="P56" s="11">
        <v>268000</v>
      </c>
      <c r="Q56" s="11">
        <v>310000</v>
      </c>
      <c r="R56" s="15" t="str">
        <v>268k - 310k</v>
      </c>
      <c r="S56" s="12">
        <v>268000</v>
      </c>
      <c r="T56" s="12">
        <v>310000</v>
      </c>
      <c r="U56" s="12">
        <v>289000</v>
      </c>
      <c r="V56" s="12">
        <v>304000</v>
      </c>
      <c r="W56" s="9">
        <f>U56</f>
      </c>
      <c r="X56" s="28">
        <v>1009</v>
      </c>
      <c r="Y56" s="9">
        <f>C56&amp;X56</f>
      </c>
      <c r="Z56" s="9">
        <f>VLOOKUP(Y56,'Giá Uốn hiện tại'!$E:$F,2,0)</f>
      </c>
      <c r="AA56" s="9">
        <f>W56-Z56</f>
      </c>
      <c r="AB56" s="13">
        <f>AA56/Z56</f>
      </c>
    </row>
    <row r="57">
      <c r="X57" s="28"/>
      <c r="Y57" s="9"/>
      <c r="Z57" s="9"/>
      <c r="AA57" s="9"/>
      <c r="AB57" s="13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7"/>
    <col collapsed="false" customWidth="true" hidden="false" max="5" min="5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</cols>
  <sheetData>
    <row customHeight="true" ht="53" r="1">
      <c r="A1" s="24" t="str">
        <v>SalonID</v>
      </c>
      <c r="B1" s="24" t="str">
        <v>Tên Salon</v>
      </c>
      <c r="C1" s="24" t="str">
        <v>Mã Salon</v>
      </c>
      <c r="D1" s="24" t="str">
        <v>Giá mới</v>
      </c>
      <c r="E1" s="31" t="str">
        <v>ID dv</v>
      </c>
      <c r="F1" s="31" t="str">
        <v>Tên dịch vụ</v>
      </c>
      <c r="G1" s="25"/>
      <c r="H1" s="25" t="str">
        <v>Giá hiện tại</v>
      </c>
      <c r="I1" s="25" t="str">
        <v>Chênh lệch giá cũ</v>
      </c>
      <c r="J1" s="27" t="str">
        <v>%</v>
      </c>
    </row>
    <row customHeight="true" ht="19" r="2">
      <c r="A2" s="12">
        <v>2</v>
      </c>
      <c r="B2" s="12" t="str">
        <v>346 Khâm Thiên</v>
      </c>
      <c r="C2" s="12" t="str">
        <v>346 KT</v>
      </c>
      <c r="D2" s="9">
        <v>296000</v>
      </c>
      <c r="E2" s="28">
        <v>1009</v>
      </c>
      <c r="F2" t="str">
        <v>(NEW) Uốn/Duỗi/Định hình full đầu tạo form vào nếp tự nhiên</v>
      </c>
      <c r="G2" s="9" t="str">
        <v>346 KT1009</v>
      </c>
      <c r="H2" s="9">
        <v>416000</v>
      </c>
      <c r="I2" s="9">
        <v>-120000</v>
      </c>
      <c r="J2" s="13">
        <v>-0.28846153846153844</v>
      </c>
    </row>
    <row customHeight="true" ht="19" r="3">
      <c r="A3" s="12">
        <v>11</v>
      </c>
      <c r="B3" s="12" t="str">
        <v>8 Châu Văn Liêm</v>
      </c>
      <c r="C3" s="12" t="str">
        <v>8 CVL</v>
      </c>
      <c r="D3" s="9">
        <v>239000</v>
      </c>
      <c r="E3" s="28">
        <v>1009</v>
      </c>
      <c r="F3" t="str">
        <v>(NEW) Uốn/Duỗi/Định hình full đầu tạo form vào nếp tự nhiên</v>
      </c>
      <c r="G3" s="9" t="str">
        <v>8 CVL1009</v>
      </c>
      <c r="H3" s="9">
        <v>396000</v>
      </c>
      <c r="I3" s="9">
        <v>-157000</v>
      </c>
      <c r="J3" s="13">
        <v>-0.39646464646464646</v>
      </c>
    </row>
    <row customHeight="true" ht="19" r="4">
      <c r="A4" s="12">
        <v>12</v>
      </c>
      <c r="B4" s="12" t="str">
        <v>12 Lê Đức Thọ</v>
      </c>
      <c r="C4" s="12" t="str">
        <v>12 LDT</v>
      </c>
      <c r="D4" s="9">
        <v>291000</v>
      </c>
      <c r="E4" s="28">
        <v>1009</v>
      </c>
      <c r="F4" t="str">
        <v>(NEW) Uốn/Duỗi/Định hình full đầu tạo form vào nếp tự nhiên</v>
      </c>
      <c r="G4" s="9" t="str">
        <v>12 LDT1009</v>
      </c>
      <c r="H4" s="9">
        <v>396000</v>
      </c>
      <c r="I4" s="9">
        <v>-105000</v>
      </c>
      <c r="J4" s="13">
        <v>-0.26515151515151514</v>
      </c>
    </row>
    <row customHeight="true" ht="19" r="5">
      <c r="A5" s="12">
        <v>20</v>
      </c>
      <c r="B5" s="12" t="str">
        <v>382 Nguyễn Trãi</v>
      </c>
      <c r="C5" s="12" t="str">
        <v>382 NT</v>
      </c>
      <c r="D5" s="9">
        <v>266000</v>
      </c>
      <c r="E5" s="28">
        <v>1009</v>
      </c>
      <c r="F5" t="str">
        <v>(NEW) Uốn/Duỗi/Định hình full đầu tạo form vào nếp tự nhiên</v>
      </c>
      <c r="G5" s="9" t="str">
        <v>382 NT1009</v>
      </c>
      <c r="H5" s="9">
        <v>396000</v>
      </c>
      <c r="I5" s="9">
        <v>-130000</v>
      </c>
      <c r="J5" s="13">
        <v>-0.3282828282828283</v>
      </c>
    </row>
    <row customHeight="true" ht="19" r="6">
      <c r="A6" s="12">
        <v>21</v>
      </c>
      <c r="B6" s="12" t="str">
        <v>575 Âu Cơ</v>
      </c>
      <c r="C6" s="12" t="str">
        <v>575 AC</v>
      </c>
      <c r="D6" s="9">
        <v>236000</v>
      </c>
      <c r="E6" s="28">
        <v>1009</v>
      </c>
      <c r="F6" t="str">
        <v>(NEW) Uốn/Duỗi/Định hình full đầu tạo form vào nếp tự nhiên</v>
      </c>
      <c r="G6" s="9" t="str">
        <v>575 AC1009</v>
      </c>
      <c r="H6" s="9">
        <v>396000</v>
      </c>
      <c r="I6" s="9">
        <v>-160000</v>
      </c>
      <c r="J6" s="13">
        <v>-0.40404040404040403</v>
      </c>
    </row>
    <row customHeight="true" ht="19" r="7">
      <c r="A7" s="12">
        <v>22</v>
      </c>
      <c r="B7" s="12" t="str">
        <v>927  Hậu Giang</v>
      </c>
      <c r="C7" s="12" t="str">
        <v>927 HG</v>
      </c>
      <c r="D7" s="9">
        <v>236000</v>
      </c>
      <c r="E7" s="28">
        <v>1009</v>
      </c>
      <c r="F7" t="str">
        <v>(NEW) Uốn/Duỗi/Định hình full đầu tạo form vào nếp tự nhiên</v>
      </c>
      <c r="G7" s="9" t="str">
        <v>927 HG1009</v>
      </c>
      <c r="H7" s="9">
        <v>396000</v>
      </c>
      <c r="I7" s="9">
        <v>-160000</v>
      </c>
      <c r="J7" s="13">
        <v>-0.40404040404040403</v>
      </c>
    </row>
    <row customHeight="true" ht="19" r="8">
      <c r="A8" s="12">
        <v>39</v>
      </c>
      <c r="B8" s="12" t="str">
        <v>151 Cầu Giấy, Q. CG</v>
      </c>
      <c r="C8" s="12" t="str">
        <v>151 CG</v>
      </c>
      <c r="D8" s="9">
        <v>286000</v>
      </c>
      <c r="E8" s="28">
        <v>1009</v>
      </c>
      <c r="F8" t="str">
        <v>(NEW) Uốn/Duỗi/Định hình full đầu tạo form vào nếp tự nhiên</v>
      </c>
      <c r="G8" s="9" t="str">
        <v>151 CG1009</v>
      </c>
      <c r="H8" s="9">
        <v>396000</v>
      </c>
      <c r="I8" s="9">
        <v>-110000</v>
      </c>
      <c r="J8" s="13">
        <v>-0.2777777777777778</v>
      </c>
    </row>
    <row customHeight="true" ht="19" r="9">
      <c r="A9" s="12">
        <v>44</v>
      </c>
      <c r="B9" s="12" t="str">
        <v>103 Trần Não</v>
      </c>
      <c r="C9" s="12" t="str">
        <v>103 TN</v>
      </c>
      <c r="D9" s="9">
        <v>301000</v>
      </c>
      <c r="E9" s="28">
        <v>1009</v>
      </c>
      <c r="F9" t="str">
        <v>(NEW) Uốn/Duỗi/Định hình full đầu tạo form vào nếp tự nhiên</v>
      </c>
      <c r="G9" s="9" t="str">
        <v>103 TN1009</v>
      </c>
      <c r="H9" s="9">
        <v>406000</v>
      </c>
      <c r="I9" s="9">
        <v>-105000</v>
      </c>
      <c r="J9" s="13">
        <v>-0.25862068965517243</v>
      </c>
    </row>
    <row customHeight="true" ht="19" r="10">
      <c r="A10" s="12">
        <v>45</v>
      </c>
      <c r="B10" s="12" t="str">
        <v>25 Tôn Đản</v>
      </c>
      <c r="C10" s="12" t="str">
        <v>25 TD</v>
      </c>
      <c r="D10" s="9">
        <v>268000</v>
      </c>
      <c r="E10" s="28">
        <v>1009</v>
      </c>
      <c r="F10" t="str">
        <v>(NEW) Uốn/Duỗi/Định hình full đầu tạo form vào nếp tự nhiên</v>
      </c>
      <c r="G10" s="9" t="str">
        <v>25 TD1009</v>
      </c>
      <c r="H10" s="9">
        <v>416000</v>
      </c>
      <c r="I10" s="9">
        <v>-148000</v>
      </c>
      <c r="J10" s="13">
        <v>-0.3557692307692308</v>
      </c>
    </row>
    <row customHeight="true" ht="19" r="11">
      <c r="A11" s="12">
        <v>46</v>
      </c>
      <c r="B11" s="12" t="str">
        <v>483 Thống Nhất</v>
      </c>
      <c r="C11" s="12" t="str">
        <v>483 TN</v>
      </c>
      <c r="D11" s="9">
        <v>253000</v>
      </c>
      <c r="E11" s="28">
        <v>1009</v>
      </c>
      <c r="F11" t="str">
        <v>(NEW) Uốn/Duỗi/Định hình full đầu tạo form vào nếp tự nhiên</v>
      </c>
      <c r="G11" s="9" t="str">
        <v>483 TN1009</v>
      </c>
      <c r="H11" s="9">
        <v>396000</v>
      </c>
      <c r="I11" s="9">
        <v>-143000</v>
      </c>
      <c r="J11" s="13">
        <v>-0.3611111111111111</v>
      </c>
    </row>
    <row customHeight="true" ht="19" r="12">
      <c r="A12" s="12">
        <v>47</v>
      </c>
      <c r="B12" s="12" t="str">
        <v>708 Lê Trọng Tấn</v>
      </c>
      <c r="C12" s="12" t="str">
        <v>708 LTT</v>
      </c>
      <c r="D12" s="9">
        <v>267000</v>
      </c>
      <c r="E12" s="28">
        <v>1009</v>
      </c>
      <c r="F12" t="str">
        <v>(NEW) Uốn/Duỗi/Định hình full đầu tạo form vào nếp tự nhiên</v>
      </c>
      <c r="G12" s="9" t="str">
        <v>708 LTT1009</v>
      </c>
      <c r="H12" s="9">
        <v>396000</v>
      </c>
      <c r="I12" s="9">
        <v>-129000</v>
      </c>
      <c r="J12" s="13">
        <v>-0.32575757575757575</v>
      </c>
    </row>
    <row customHeight="true" ht="19" r="13">
      <c r="A13" s="12">
        <v>51</v>
      </c>
      <c r="B13" s="12" t="str">
        <v>420 Huỳnh Tấn Phát</v>
      </c>
      <c r="C13" s="12" t="str">
        <v>420 HTP</v>
      </c>
      <c r="D13" s="9">
        <v>253000</v>
      </c>
      <c r="E13" s="28">
        <v>1009</v>
      </c>
      <c r="F13" t="str">
        <v>(NEW) Uốn/Duỗi/Định hình full đầu tạo form vào nếp tự nhiên</v>
      </c>
      <c r="G13" s="9" t="str">
        <v>420 HTP1009</v>
      </c>
      <c r="H13" s="9">
        <v>396000</v>
      </c>
      <c r="I13" s="9">
        <v>-143000</v>
      </c>
      <c r="J13" s="13">
        <v>-0.3611111111111111</v>
      </c>
    </row>
    <row customHeight="true" ht="19" r="14">
      <c r="A14" s="12">
        <v>52</v>
      </c>
      <c r="B14" s="12" t="str">
        <v>451 Phạm Văn Thuận</v>
      </c>
      <c r="C14" s="12" t="str">
        <v>451 PVT</v>
      </c>
      <c r="D14" s="9">
        <v>238000</v>
      </c>
      <c r="E14" s="28">
        <v>1009</v>
      </c>
      <c r="F14" t="str">
        <v>(NEW) Uốn/Duỗi/Định hình full đầu tạo form vào nếp tự nhiên</v>
      </c>
      <c r="G14" s="9" t="str">
        <v>451 PVT1009</v>
      </c>
      <c r="H14" s="9">
        <v>396000</v>
      </c>
      <c r="I14" s="9">
        <v>-158000</v>
      </c>
      <c r="J14" s="13">
        <v>-0.398989898989899</v>
      </c>
    </row>
    <row customHeight="true" ht="19" r="15">
      <c r="A15" s="12">
        <v>58</v>
      </c>
      <c r="B15" s="12" t="str">
        <v>730 Tỉnh lộ 10</v>
      </c>
      <c r="C15" s="12" t="str">
        <v>730 TL10</v>
      </c>
      <c r="D15" s="9">
        <v>253000</v>
      </c>
      <c r="E15" s="28">
        <v>1009</v>
      </c>
      <c r="F15" t="str">
        <v>(NEW) Uốn/Duỗi/Định hình full đầu tạo form vào nếp tự nhiên</v>
      </c>
      <c r="G15" s="9" t="str">
        <v>730 TL101009</v>
      </c>
      <c r="H15" s="9">
        <v>396000</v>
      </c>
      <c r="I15" s="9">
        <v>-143000</v>
      </c>
      <c r="J15" s="13">
        <v>-0.3611111111111111</v>
      </c>
    </row>
    <row customHeight="true" ht="19" r="16">
      <c r="A16" s="12">
        <v>60</v>
      </c>
      <c r="B16" s="12" t="str">
        <v>80 Phú Lợi</v>
      </c>
      <c r="C16" s="12" t="str">
        <v>80 PL BD</v>
      </c>
      <c r="D16" s="9">
        <v>310000</v>
      </c>
      <c r="E16" s="28">
        <v>1009</v>
      </c>
      <c r="F16" t="str">
        <v>(NEW) Uốn/Duỗi/Định hình full đầu tạo form vào nếp tự nhiên</v>
      </c>
      <c r="G16" s="9" t="str">
        <v>80 PL BD1009</v>
      </c>
      <c r="H16" s="9">
        <v>396000</v>
      </c>
      <c r="I16" s="9">
        <v>-86000</v>
      </c>
      <c r="J16" s="13">
        <v>-0.21717171717171718</v>
      </c>
    </row>
    <row customHeight="true" ht="19" r="17">
      <c r="A17" s="12">
        <v>61</v>
      </c>
      <c r="B17" s="12" t="str">
        <v>1180 Quang Trung</v>
      </c>
      <c r="C17" s="12" t="str">
        <v>1180 QT</v>
      </c>
      <c r="D17" s="9">
        <v>261000</v>
      </c>
      <c r="E17" s="28">
        <v>1009</v>
      </c>
      <c r="F17" t="str">
        <v>(NEW) Uốn/Duỗi/Định hình full đầu tạo form vào nếp tự nhiên</v>
      </c>
      <c r="G17" s="9" t="str">
        <v>1180 QT1009</v>
      </c>
      <c r="H17" s="9">
        <v>396000</v>
      </c>
      <c r="I17" s="9">
        <v>-135000</v>
      </c>
      <c r="J17" s="13">
        <v>-0.3409090909090909</v>
      </c>
    </row>
    <row customHeight="true" ht="19" r="18">
      <c r="A18" s="12">
        <v>63</v>
      </c>
      <c r="B18" s="12" t="str">
        <v>29 Hiệp Bình</v>
      </c>
      <c r="C18" s="12" t="str">
        <v>29 HB</v>
      </c>
      <c r="D18" s="9">
        <v>238000</v>
      </c>
      <c r="E18" s="28">
        <v>1009</v>
      </c>
      <c r="F18" t="str">
        <v>(NEW) Uốn/Duỗi/Định hình full đầu tạo form vào nếp tự nhiên</v>
      </c>
      <c r="G18" s="9" t="str">
        <v>29 HB1009</v>
      </c>
      <c r="H18" s="9">
        <v>396000</v>
      </c>
      <c r="I18" s="9">
        <v>-158000</v>
      </c>
      <c r="J18" s="13">
        <v>-0.398989898989899</v>
      </c>
    </row>
    <row customHeight="true" ht="19" r="19">
      <c r="A19" s="12">
        <v>65</v>
      </c>
      <c r="B19" s="12" t="str">
        <v>255 Nguyễn An Ninh</v>
      </c>
      <c r="C19" s="12" t="str">
        <v>255 NAN</v>
      </c>
      <c r="D19" s="9">
        <v>238000</v>
      </c>
      <c r="E19" s="28">
        <v>1009</v>
      </c>
      <c r="F19" t="str">
        <v>(NEW) Uốn/Duỗi/Định hình full đầu tạo form vào nếp tự nhiên</v>
      </c>
      <c r="G19" s="9" t="str">
        <v>255 NAN1009</v>
      </c>
      <c r="H19" s="9">
        <v>396000</v>
      </c>
      <c r="I19" s="9">
        <v>-158000</v>
      </c>
      <c r="J19" s="13">
        <v>-0.398989898989899</v>
      </c>
    </row>
    <row customHeight="true" ht="19" r="20">
      <c r="A20" s="12">
        <v>69</v>
      </c>
      <c r="B20" s="12" t="str">
        <v>312 Lê Văn Sỹ</v>
      </c>
      <c r="C20" s="12" t="str">
        <v>312 LVS</v>
      </c>
      <c r="D20" s="9">
        <v>284000</v>
      </c>
      <c r="E20" s="28">
        <v>1009</v>
      </c>
      <c r="F20" t="str">
        <v>(NEW) Uốn/Duỗi/Định hình full đầu tạo form vào nếp tự nhiên</v>
      </c>
      <c r="G20" s="9" t="str">
        <v>312 LVS1009</v>
      </c>
      <c r="H20" s="9">
        <v>396000</v>
      </c>
      <c r="I20" s="9">
        <v>-112000</v>
      </c>
      <c r="J20" s="13">
        <v>-0.2828282828282828</v>
      </c>
    </row>
    <row customHeight="true" ht="19" r="21">
      <c r="A21" s="12">
        <v>72</v>
      </c>
      <c r="B21" s="12" t="str">
        <v>113 Trần Hưng Đạo</v>
      </c>
      <c r="C21" s="12" t="str">
        <v>113 THD AG</v>
      </c>
      <c r="D21" s="9">
        <v>201000</v>
      </c>
      <c r="E21" s="28">
        <v>1009</v>
      </c>
      <c r="F21" t="str">
        <v>(NEW) Uốn/Duỗi/Định hình full đầu tạo form vào nếp tự nhiên</v>
      </c>
      <c r="G21" s="9" t="str">
        <v>113 THD AG1009</v>
      </c>
      <c r="H21" s="9">
        <v>396000</v>
      </c>
      <c r="I21" s="9">
        <v>-195000</v>
      </c>
      <c r="J21" s="13">
        <v>-0.49242424242424243</v>
      </c>
    </row>
    <row customHeight="true" ht="19" r="22">
      <c r="A22" s="12">
        <v>85</v>
      </c>
      <c r="B22" s="12" t="str" xml:space="preserve">
        <v> 363 Lương Ngọc Quyến</v>
      </c>
      <c r="C22" s="12" t="str">
        <v>363 LNQ TN</v>
      </c>
      <c r="D22" s="9">
        <v>237000</v>
      </c>
      <c r="E22" s="28">
        <v>1009</v>
      </c>
      <c r="F22" t="str">
        <v>(NEW) Uốn/Duỗi/Định hình full đầu tạo form vào nếp tự nhiên</v>
      </c>
      <c r="G22" s="9" t="str">
        <v>363 LNQ TN1009</v>
      </c>
      <c r="H22" s="9">
        <v>416000</v>
      </c>
      <c r="I22" s="9">
        <v>-179000</v>
      </c>
      <c r="J22" s="13">
        <v>-0.43028846153846156</v>
      </c>
    </row>
    <row customHeight="true" ht="19" r="23">
      <c r="A23" s="12">
        <v>106</v>
      </c>
      <c r="B23" s="12" t="str">
        <v>76 Phan Văn Hớn</v>
      </c>
      <c r="C23" s="12" t="str">
        <v>76 PVH</v>
      </c>
      <c r="D23" s="9">
        <v>267000</v>
      </c>
      <c r="E23" s="28">
        <v>1009</v>
      </c>
      <c r="F23" t="str">
        <v>(NEW) Uốn/Duỗi/Định hình full đầu tạo form vào nếp tự nhiên</v>
      </c>
      <c r="G23" s="9" t="str">
        <v>76 PVH1009</v>
      </c>
      <c r="H23" s="9">
        <v>396000</v>
      </c>
      <c r="I23" s="9">
        <v>-129000</v>
      </c>
      <c r="J23" s="13">
        <v>-0.32575757575757575</v>
      </c>
    </row>
    <row customHeight="true" ht="19" r="24">
      <c r="A24" s="12">
        <v>141</v>
      </c>
      <c r="B24" s="12" t="str">
        <v>236 Dương Bá Trạc</v>
      </c>
      <c r="C24" s="12" t="str">
        <v>236 DBT</v>
      </c>
      <c r="D24" s="9">
        <v>236000</v>
      </c>
      <c r="E24" s="28">
        <v>1009</v>
      </c>
      <c r="F24" t="str">
        <v>(NEW) Uốn/Duỗi/Định hình full đầu tạo form vào nếp tự nhiên</v>
      </c>
      <c r="G24" s="9" t="str">
        <v>236 DBT1009</v>
      </c>
      <c r="H24" s="9">
        <v>396000</v>
      </c>
      <c r="I24" s="9">
        <v>-160000</v>
      </c>
      <c r="J24" s="13">
        <v>-0.40404040404040403</v>
      </c>
    </row>
    <row customHeight="true" ht="19" r="25">
      <c r="A25" s="12">
        <v>143</v>
      </c>
      <c r="B25" s="12" t="str">
        <v>10 Trần Phú</v>
      </c>
      <c r="C25" s="12" t="str">
        <v>10 TP</v>
      </c>
      <c r="D25" s="9">
        <v>243000</v>
      </c>
      <c r="E25" s="28">
        <v>1009</v>
      </c>
      <c r="F25" t="str">
        <v>(NEW) Uốn/Duỗi/Định hình full đầu tạo form vào nếp tự nhiên</v>
      </c>
      <c r="G25" s="9" t="str">
        <v>10 TP1009</v>
      </c>
      <c r="H25" s="9">
        <v>396000</v>
      </c>
      <c r="I25" s="9">
        <v>-153000</v>
      </c>
      <c r="J25" s="13">
        <v>-0.38636363636363635</v>
      </c>
    </row>
    <row customHeight="true" ht="19" r="26">
      <c r="A26" s="12">
        <v>144</v>
      </c>
      <c r="B26" s="12" t="str">
        <v>168 Nguyễn Văn Cừ</v>
      </c>
      <c r="C26" s="12" t="str">
        <v>168 NVC</v>
      </c>
      <c r="D26" s="9">
        <v>367000</v>
      </c>
      <c r="E26" s="28">
        <v>1009</v>
      </c>
      <c r="F26" t="str">
        <v>(NEW) Uốn/Duỗi/Định hình full đầu tạo form vào nếp tự nhiên</v>
      </c>
      <c r="G26" s="9" t="str">
        <v>168 NVC1009</v>
      </c>
      <c r="H26" s="9">
        <v>416000</v>
      </c>
      <c r="I26" s="9">
        <v>-49000</v>
      </c>
      <c r="J26" s="13">
        <v>-0.11778846153846154</v>
      </c>
    </row>
    <row customHeight="true" ht="19" r="27">
      <c r="A27" s="12">
        <v>145</v>
      </c>
      <c r="B27" s="12" t="str">
        <v>237 Nguyễn Thị Thập</v>
      </c>
      <c r="C27" s="12" t="str">
        <v>237 NTT</v>
      </c>
      <c r="D27" s="9">
        <v>237000</v>
      </c>
      <c r="E27" s="28">
        <v>1009</v>
      </c>
      <c r="F27" t="str">
        <v>(NEW) Uốn/Duỗi/Định hình full đầu tạo form vào nếp tự nhiên</v>
      </c>
      <c r="G27" s="9" t="str">
        <v>237 NTT1009</v>
      </c>
      <c r="H27" s="9">
        <v>396000</v>
      </c>
      <c r="I27" s="9">
        <v>-159000</v>
      </c>
      <c r="J27" s="13">
        <v>-0.4015151515151515</v>
      </c>
    </row>
    <row customHeight="true" ht="19" r="28">
      <c r="A28" s="12">
        <v>146</v>
      </c>
      <c r="B28" s="12" t="str">
        <v>109 Trần Quốc Hoàn</v>
      </c>
      <c r="C28" s="12" t="str">
        <v>109 TQH</v>
      </c>
      <c r="D28" s="9">
        <v>301000</v>
      </c>
      <c r="E28" s="28">
        <v>1009</v>
      </c>
      <c r="F28" t="str">
        <v>(NEW) Uốn/Duỗi/Định hình full đầu tạo form vào nếp tự nhiên</v>
      </c>
      <c r="G28" s="9" t="str">
        <v>109 TQH1009</v>
      </c>
      <c r="H28" s="9">
        <v>396000</v>
      </c>
      <c r="I28" s="9">
        <v>-95000</v>
      </c>
      <c r="J28" s="13">
        <v>-0.2398989898989899</v>
      </c>
    </row>
    <row customHeight="true" ht="19" r="29">
      <c r="A29" s="12">
        <v>147</v>
      </c>
      <c r="B29" s="12" t="str">
        <v>99 Tân Sơn Nhì</v>
      </c>
      <c r="C29" s="12" t="str">
        <v>99 TSN</v>
      </c>
      <c r="D29" s="9">
        <v>236000</v>
      </c>
      <c r="E29" s="28">
        <v>1009</v>
      </c>
      <c r="F29" t="str">
        <v>(NEW) Uốn/Duỗi/Định hình full đầu tạo form vào nếp tự nhiên</v>
      </c>
      <c r="G29" s="9" t="str">
        <v>99 TSN1009</v>
      </c>
      <c r="H29" s="9">
        <v>396000</v>
      </c>
      <c r="I29" s="9">
        <v>-160000</v>
      </c>
      <c r="J29" s="13">
        <v>-0.40404040404040403</v>
      </c>
    </row>
    <row customHeight="true" ht="19" r="30">
      <c r="A30" s="12">
        <v>182</v>
      </c>
      <c r="B30" s="12" t="str">
        <v>186 Đinh Tiên Hoàng</v>
      </c>
      <c r="C30" s="12" t="str">
        <v>186 DTH</v>
      </c>
      <c r="D30" s="9">
        <v>253000</v>
      </c>
      <c r="E30" s="28">
        <v>1009</v>
      </c>
      <c r="F30" t="str">
        <v>(NEW) Uốn/Duỗi/Định hình full đầu tạo form vào nếp tự nhiên</v>
      </c>
      <c r="G30" s="9" t="str">
        <v>186 DTH1009</v>
      </c>
      <c r="H30" s="9">
        <v>396000</v>
      </c>
      <c r="I30" s="9">
        <v>-143000</v>
      </c>
      <c r="J30" s="13">
        <v>-0.3611111111111111</v>
      </c>
    </row>
    <row customHeight="true" ht="19" r="31">
      <c r="A31" s="12">
        <v>184</v>
      </c>
      <c r="B31" s="12" t="str">
        <v>36 đường N1, KCN Mỹ Phước 1</v>
      </c>
      <c r="C31" s="12" t="str">
        <v>36 N1 BD</v>
      </c>
      <c r="D31" s="9">
        <v>238000</v>
      </c>
      <c r="E31" s="28">
        <v>1009</v>
      </c>
      <c r="F31" t="str">
        <v>(NEW) Uốn/Duỗi/Định hình full đầu tạo form vào nếp tự nhiên</v>
      </c>
      <c r="G31" s="9" t="str">
        <v>36 N1 BD1009</v>
      </c>
      <c r="H31" s="9">
        <v>396000</v>
      </c>
      <c r="I31" s="9">
        <v>-158000</v>
      </c>
      <c r="J31" s="13">
        <v>-0.398989898989899</v>
      </c>
    </row>
    <row customHeight="true" ht="19" r="32">
      <c r="A32" s="12">
        <v>188</v>
      </c>
      <c r="B32" s="12" t="str">
        <v>190 Hòa Bình</v>
      </c>
      <c r="C32" s="12" t="str">
        <v>190 HB</v>
      </c>
      <c r="D32" s="9">
        <v>226000</v>
      </c>
      <c r="E32" s="28">
        <v>1009</v>
      </c>
      <c r="F32" t="str">
        <v>(NEW) Uốn/Duỗi/Định hình full đầu tạo form vào nếp tự nhiên</v>
      </c>
      <c r="G32" s="9" t="str">
        <v>190 HB1009</v>
      </c>
      <c r="H32" s="9">
        <v>396000</v>
      </c>
      <c r="I32" s="9">
        <v>-170000</v>
      </c>
      <c r="J32" s="13">
        <v>-0.4292929292929293</v>
      </c>
    </row>
    <row customHeight="true" ht="19" r="33">
      <c r="A33" s="12">
        <v>192</v>
      </c>
      <c r="B33" s="12" t="str">
        <v>264 Lạc Long Quân</v>
      </c>
      <c r="C33" s="12" t="str">
        <v>264 LLQ</v>
      </c>
      <c r="D33" s="9">
        <v>352000</v>
      </c>
      <c r="E33" s="28">
        <v>1009</v>
      </c>
      <c r="F33" t="str">
        <v>(NEW) Uốn/Duỗi/Định hình full đầu tạo form vào nếp tự nhiên</v>
      </c>
      <c r="G33" s="9" t="str">
        <v>264 LLQ1009</v>
      </c>
      <c r="H33" s="9">
        <v>396000</v>
      </c>
      <c r="I33" s="9">
        <v>-44000</v>
      </c>
      <c r="J33" s="13">
        <v>-0.1111111111111111</v>
      </c>
    </row>
    <row customHeight="true" ht="19" r="34">
      <c r="A34" s="12">
        <v>193</v>
      </c>
      <c r="B34" s="12" t="str">
        <v>145 Tô Hiến Thành</v>
      </c>
      <c r="C34" s="12" t="str">
        <v>145 THT</v>
      </c>
      <c r="D34" s="9">
        <v>237000</v>
      </c>
      <c r="E34" s="28">
        <v>1009</v>
      </c>
      <c r="F34" t="str">
        <v>(NEW) Uốn/Duỗi/Định hình full đầu tạo form vào nếp tự nhiên</v>
      </c>
      <c r="G34" s="9" t="str">
        <v>145 THT1009</v>
      </c>
      <c r="H34" s="9">
        <v>396000</v>
      </c>
      <c r="I34" s="9">
        <v>-159000</v>
      </c>
      <c r="J34" s="13">
        <v>-0.4015151515151515</v>
      </c>
    </row>
    <row customHeight="true" ht="19" r="35">
      <c r="A35" s="12">
        <v>194</v>
      </c>
      <c r="B35" s="12" t="str">
        <v>90 Nguyễn Hoàng</v>
      </c>
      <c r="C35" s="12" t="str">
        <v>90 NH</v>
      </c>
      <c r="D35" s="9">
        <v>238000</v>
      </c>
      <c r="E35" s="28">
        <v>1009</v>
      </c>
      <c r="F35" t="str">
        <v>(NEW) Uốn/Duỗi/Định hình full đầu tạo form vào nếp tự nhiên</v>
      </c>
      <c r="G35" s="9" t="str">
        <v>90 NH1009</v>
      </c>
      <c r="H35" s="9">
        <v>396000</v>
      </c>
      <c r="I35" s="9">
        <v>-158000</v>
      </c>
      <c r="J35" s="13">
        <v>-0.398989898989899</v>
      </c>
    </row>
    <row customHeight="true" ht="19" r="36">
      <c r="A36" s="12">
        <v>196</v>
      </c>
      <c r="B36" s="12" t="str">
        <v>202 Đội Cấn</v>
      </c>
      <c r="C36" s="12" t="str">
        <v>202 DC</v>
      </c>
      <c r="D36" s="9">
        <v>344000</v>
      </c>
      <c r="E36" s="28">
        <v>1009</v>
      </c>
      <c r="F36" t="str">
        <v>(NEW) Uốn/Duỗi/Định hình full đầu tạo form vào nếp tự nhiên</v>
      </c>
      <c r="G36" s="9" t="str">
        <v>202 DC1009</v>
      </c>
      <c r="H36" s="9">
        <v>396000</v>
      </c>
      <c r="I36" s="9">
        <v>-52000</v>
      </c>
      <c r="J36" s="13">
        <v>-0.13131313131313133</v>
      </c>
    </row>
    <row customHeight="true" ht="19" r="37">
      <c r="A37" s="12">
        <v>197</v>
      </c>
      <c r="B37" s="12" t="str">
        <v>65 Cầu Diễn</v>
      </c>
      <c r="C37" s="12" t="str">
        <v>65 CD</v>
      </c>
      <c r="D37" s="9">
        <v>238000</v>
      </c>
      <c r="E37" s="28">
        <v>1009</v>
      </c>
      <c r="F37" t="str">
        <v>(NEW) Uốn/Duỗi/Định hình full đầu tạo form vào nếp tự nhiên</v>
      </c>
      <c r="G37" s="9" t="str">
        <v>65 CD1009</v>
      </c>
      <c r="H37" s="9">
        <v>416000</v>
      </c>
      <c r="I37" s="9">
        <v>-178000</v>
      </c>
      <c r="J37" s="13">
        <v>-0.42788461538461536</v>
      </c>
    </row>
    <row customHeight="true" ht="19" r="38">
      <c r="A38" s="12">
        <v>199</v>
      </c>
      <c r="B38" s="12" t="str">
        <v>7 Đỗ Tường Phong</v>
      </c>
      <c r="C38" s="12" t="str">
        <v>7 DTP LA</v>
      </c>
      <c r="D38" s="9">
        <v>219000</v>
      </c>
      <c r="E38" s="28">
        <v>1009</v>
      </c>
      <c r="F38" t="str">
        <v>(NEW) Uốn/Duỗi/Định hình full đầu tạo form vào nếp tự nhiên</v>
      </c>
      <c r="G38" s="9" t="str">
        <v>7 DTP LA1009</v>
      </c>
      <c r="H38" s="9">
        <v>396000</v>
      </c>
      <c r="I38" s="9">
        <v>-177000</v>
      </c>
      <c r="J38" s="13">
        <v>-0.44696969696969696</v>
      </c>
    </row>
    <row customHeight="true" ht="19" r="39">
      <c r="A39" s="12">
        <v>204</v>
      </c>
      <c r="B39" s="12" t="str">
        <v>401/1 Nguyễn Duy Trinh</v>
      </c>
      <c r="C39" s="12" t="str">
        <v>401/1 NDT</v>
      </c>
      <c r="D39" s="9">
        <v>238000</v>
      </c>
      <c r="E39" s="28">
        <v>1009</v>
      </c>
      <c r="F39" t="str">
        <v>(NEW) Uốn/Duỗi/Định hình full đầu tạo form vào nếp tự nhiên</v>
      </c>
      <c r="G39" s="9" t="str">
        <v>401/1 NDT1009</v>
      </c>
      <c r="H39" s="9">
        <v>396000</v>
      </c>
      <c r="I39" s="9">
        <v>-158000</v>
      </c>
      <c r="J39" s="13">
        <v>-0.398989898989899</v>
      </c>
    </row>
    <row customHeight="true" ht="19" r="40">
      <c r="A40" s="12">
        <v>205</v>
      </c>
      <c r="B40" s="12" t="str">
        <v>341 Xô Viết Nghệ Tĩnh</v>
      </c>
      <c r="C40" s="12" t="str">
        <v>341 XVNT</v>
      </c>
      <c r="D40" s="9">
        <v>239000</v>
      </c>
      <c r="E40" s="28">
        <v>1009</v>
      </c>
      <c r="F40" t="str">
        <v>(NEW) Uốn/Duỗi/Định hình full đầu tạo form vào nếp tự nhiên</v>
      </c>
      <c r="G40" s="9" t="str">
        <v>341 XVNT1009</v>
      </c>
      <c r="H40" s="9">
        <v>396000</v>
      </c>
      <c r="I40" s="9">
        <v>-157000</v>
      </c>
      <c r="J40" s="13">
        <v>-0.39646464646464646</v>
      </c>
    </row>
    <row customHeight="true" ht="19" r="41">
      <c r="A41" s="12">
        <v>210</v>
      </c>
      <c r="B41" s="12" t="str">
        <v>148B Trương Định</v>
      </c>
      <c r="C41" s="12" t="str">
        <v>148 TD</v>
      </c>
      <c r="D41" s="9">
        <v>305000</v>
      </c>
      <c r="E41" s="28">
        <v>1009</v>
      </c>
      <c r="F41" t="str">
        <v>(NEW) Uốn/Duỗi/Định hình full đầu tạo form vào nếp tự nhiên</v>
      </c>
      <c r="G41" s="9" t="str">
        <v>148 TD1009</v>
      </c>
      <c r="H41" s="9">
        <v>396000</v>
      </c>
      <c r="I41" s="9">
        <v>-91000</v>
      </c>
      <c r="J41" s="13">
        <v>-0.2297979797979798</v>
      </c>
    </row>
    <row customHeight="true" ht="19" r="42">
      <c r="A42" s="12">
        <v>212</v>
      </c>
      <c r="B42" s="12" t="str">
        <v>58 Nguyễn Văn Cừ</v>
      </c>
      <c r="C42" s="12" t="str">
        <v>58 NVC NA</v>
      </c>
      <c r="D42" s="9">
        <v>319000</v>
      </c>
      <c r="E42" s="28">
        <v>1009</v>
      </c>
      <c r="F42" t="str">
        <v>(NEW) Uốn/Duỗi/Định hình full đầu tạo form vào nếp tự nhiên</v>
      </c>
      <c r="G42" s="9" t="str">
        <v>58 NVC NA1009</v>
      </c>
      <c r="H42" s="9">
        <v>396000</v>
      </c>
      <c r="I42" s="9">
        <v>-77000</v>
      </c>
      <c r="J42" s="13">
        <v>-0.19444444444444445</v>
      </c>
    </row>
    <row customHeight="true" ht="19" r="43">
      <c r="A43" s="12">
        <v>217</v>
      </c>
      <c r="B43" s="12" t="str">
        <v>Time Garden 25/4</v>
      </c>
      <c r="C43" s="12" t="str">
        <v>TG 25/4 QN</v>
      </c>
      <c r="D43" s="9">
        <v>288000</v>
      </c>
      <c r="E43" s="28">
        <v>1009</v>
      </c>
      <c r="F43" t="str">
        <v>(NEW) Uốn/Duỗi/Định hình full đầu tạo form vào nếp tự nhiên</v>
      </c>
      <c r="G43" s="9" t="str">
        <v>TG 25/4 QN1009</v>
      </c>
      <c r="H43" s="9">
        <v>396000</v>
      </c>
      <c r="I43" s="9">
        <v>-108000</v>
      </c>
      <c r="J43" s="13">
        <v>-0.2727272727272727</v>
      </c>
    </row>
    <row customHeight="true" ht="19" r="44">
      <c r="A44" s="12">
        <v>228</v>
      </c>
      <c r="B44" s="12" t="str">
        <v>62 Láng Hạ</v>
      </c>
      <c r="C44" s="12" t="str">
        <v>62 LH</v>
      </c>
      <c r="D44" s="9">
        <v>236000</v>
      </c>
      <c r="E44" s="28">
        <v>1009</v>
      </c>
      <c r="F44" t="str">
        <v>(NEW) Uốn/Duỗi/Định hình full đầu tạo form vào nếp tự nhiên</v>
      </c>
      <c r="G44" s="9" t="str">
        <v>62 LH1009</v>
      </c>
      <c r="H44" s="9">
        <v>396000</v>
      </c>
      <c r="I44" s="9">
        <v>-160000</v>
      </c>
      <c r="J44" s="13">
        <v>-0.40404040404040403</v>
      </c>
    </row>
    <row customHeight="true" ht="19" r="45">
      <c r="A45" s="12">
        <v>230</v>
      </c>
      <c r="B45" s="12" t="str">
        <v>290 Quang Trung</v>
      </c>
      <c r="C45" s="12" t="str">
        <v>290 QT TH</v>
      </c>
      <c r="D45" s="9">
        <v>352000</v>
      </c>
      <c r="E45" s="28">
        <v>1009</v>
      </c>
      <c r="F45" t="str">
        <v>(NEW) Uốn/Duỗi/Định hình full đầu tạo form vào nếp tự nhiên</v>
      </c>
      <c r="G45" s="9" t="str">
        <v>290 QT TH1009</v>
      </c>
      <c r="H45" s="9">
        <v>396000</v>
      </c>
      <c r="I45" s="9">
        <v>-44000</v>
      </c>
      <c r="J45" s="13">
        <v>-0.1111111111111111</v>
      </c>
    </row>
    <row customHeight="true" ht="19" r="46">
      <c r="A46" s="12">
        <v>231</v>
      </c>
      <c r="B46" s="12" t="str" xml:space="preserve">
        <v>304 Nguyễn Trãi </v>
      </c>
      <c r="C46" s="12" t="str">
        <v>304 NT TH</v>
      </c>
      <c r="D46" s="9">
        <v>237000</v>
      </c>
      <c r="E46" s="28">
        <v>1009</v>
      </c>
      <c r="F46" t="str">
        <v>(NEW) Uốn/Duỗi/Định hình full đầu tạo form vào nếp tự nhiên</v>
      </c>
      <c r="G46" s="9" t="str">
        <v>304 NT TH1009</v>
      </c>
      <c r="H46" s="9">
        <v>396000</v>
      </c>
      <c r="I46" s="9">
        <v>-159000</v>
      </c>
      <c r="J46" s="13">
        <v>-0.4015151515151515</v>
      </c>
    </row>
    <row customHeight="true" ht="19" r="47">
      <c r="A47" s="12">
        <v>232</v>
      </c>
      <c r="B47" s="12" t="str">
        <v>80 Trần Phú</v>
      </c>
      <c r="C47" s="12" t="str">
        <v>80 TP TH</v>
      </c>
      <c r="D47" s="9">
        <v>237000</v>
      </c>
      <c r="E47" s="28">
        <v>1009</v>
      </c>
      <c r="F47" t="str">
        <v>(NEW) Uốn/Duỗi/Định hình full đầu tạo form vào nếp tự nhiên</v>
      </c>
      <c r="G47" s="9" t="str">
        <v>80 TP TH1009</v>
      </c>
      <c r="H47" s="9">
        <v>396000</v>
      </c>
      <c r="I47" s="9">
        <v>-159000</v>
      </c>
      <c r="J47" s="13">
        <v>-0.4015151515151515</v>
      </c>
    </row>
    <row customHeight="true" ht="19" r="48">
      <c r="A48" s="12">
        <v>233</v>
      </c>
      <c r="B48" s="12" t="str">
        <v>595 Bà Triệu</v>
      </c>
      <c r="C48" s="12" t="str">
        <v>595 BT TH</v>
      </c>
      <c r="D48" s="9">
        <v>251000</v>
      </c>
      <c r="E48" s="28">
        <v>1009</v>
      </c>
      <c r="F48" t="str">
        <v>(NEW) Uốn/Duỗi/Định hình full đầu tạo form vào nếp tự nhiên</v>
      </c>
      <c r="G48" s="9" t="str">
        <v>595 BT TH1009</v>
      </c>
      <c r="H48" s="9">
        <v>396000</v>
      </c>
      <c r="I48" s="9">
        <v>-145000</v>
      </c>
      <c r="J48" s="13">
        <v>-0.3661616161616162</v>
      </c>
    </row>
    <row customHeight="true" ht="19" r="49">
      <c r="A49" s="12">
        <v>239</v>
      </c>
      <c r="B49" s="12" t="str" xml:space="preserve">
        <v>186 Quang Trung </v>
      </c>
      <c r="C49" s="12" t="str">
        <v>186 QT</v>
      </c>
      <c r="D49" s="9">
        <v>270000</v>
      </c>
      <c r="E49" s="28">
        <v>1009</v>
      </c>
      <c r="F49" t="str">
        <v>(NEW) Uốn/Duỗi/Định hình full đầu tạo form vào nếp tự nhiên</v>
      </c>
      <c r="G49" s="9" t="str">
        <v>186 QT1009</v>
      </c>
      <c r="H49" s="9">
        <v>396000</v>
      </c>
      <c r="I49" s="9">
        <v>-126000</v>
      </c>
      <c r="J49" s="13">
        <v>-0.3181818181818182</v>
      </c>
    </row>
    <row customHeight="true" ht="19" r="50">
      <c r="A50" s="12">
        <v>244</v>
      </c>
      <c r="B50" s="12" t="str">
        <v>11 Phan Kế Toại</v>
      </c>
      <c r="C50" s="12" t="str">
        <v>11 PKT</v>
      </c>
      <c r="D50" s="9">
        <v>253000</v>
      </c>
      <c r="E50" s="28">
        <v>1009</v>
      </c>
      <c r="F50" t="str">
        <v>(NEW) Uốn/Duỗi/Định hình full đầu tạo form vào nếp tự nhiên</v>
      </c>
      <c r="G50" s="9" t="str">
        <v>11 PKT1009</v>
      </c>
      <c r="H50" s="9">
        <v>396000</v>
      </c>
      <c r="I50" s="9">
        <v>-143000</v>
      </c>
      <c r="J50" s="13">
        <v>-0.3611111111111111</v>
      </c>
    </row>
    <row customHeight="true" ht="19" r="51">
      <c r="A51" s="12">
        <v>245</v>
      </c>
      <c r="B51" s="12" t="str">
        <v>55A Nguyễn Văn Lộc</v>
      </c>
      <c r="C51" s="12" t="str">
        <v>55A NVL</v>
      </c>
      <c r="D51" s="9">
        <v>281000</v>
      </c>
      <c r="E51" s="28">
        <v>1009</v>
      </c>
      <c r="F51" t="str">
        <v>(NEW) Uốn/Duỗi/Định hình full đầu tạo form vào nếp tự nhiên</v>
      </c>
      <c r="G51" s="9" t="str">
        <v>55A NVL1009</v>
      </c>
      <c r="H51" s="9">
        <v>396000</v>
      </c>
      <c r="I51" s="9">
        <v>-115000</v>
      </c>
      <c r="J51" s="13">
        <v>-0.2904040404040404</v>
      </c>
    </row>
    <row customHeight="true" ht="19" r="52">
      <c r="A52" s="12">
        <v>247</v>
      </c>
      <c r="B52" s="12" t="str">
        <v>1371 Phạm Văn Thuận</v>
      </c>
      <c r="C52" s="12" t="str">
        <v>1371 PVT</v>
      </c>
      <c r="D52" s="9">
        <v>238000</v>
      </c>
      <c r="E52" s="28">
        <v>1009</v>
      </c>
      <c r="F52" t="str">
        <v>(NEW) Uốn/Duỗi/Định hình full đầu tạo form vào nếp tự nhiên</v>
      </c>
      <c r="G52" s="9" t="str">
        <v>1371 PVT1009</v>
      </c>
      <c r="H52" s="9">
        <v>396000</v>
      </c>
      <c r="I52" s="9">
        <v>-158000</v>
      </c>
      <c r="J52" s="13">
        <v>-0.398989898989899</v>
      </c>
    </row>
    <row customHeight="true" ht="19" r="53">
      <c r="A53" s="12">
        <v>249</v>
      </c>
      <c r="B53" s="12" t="str">
        <v>1146 Kha Vạn Cân</v>
      </c>
      <c r="C53" s="12" t="str">
        <v>1146 KVC</v>
      </c>
      <c r="D53" s="9">
        <v>226000</v>
      </c>
      <c r="E53" s="28">
        <v>1009</v>
      </c>
      <c r="F53" t="str">
        <v>(NEW) Uốn/Duỗi/Định hình full đầu tạo form vào nếp tự nhiên</v>
      </c>
      <c r="G53" s="9" t="str">
        <v>1146 KVC1009</v>
      </c>
      <c r="H53" s="9">
        <v>396000</v>
      </c>
      <c r="I53" s="9">
        <v>-170000</v>
      </c>
      <c r="J53" s="13">
        <v>-0.4292929292929293</v>
      </c>
    </row>
    <row customHeight="true" ht="19" r="54">
      <c r="A54" s="12">
        <v>250</v>
      </c>
      <c r="B54" s="12" t="str">
        <v>173 Thanh Nhàn</v>
      </c>
      <c r="C54" s="12" t="str">
        <v>173 TN</v>
      </c>
      <c r="D54" s="9">
        <v>311000</v>
      </c>
      <c r="E54" s="28">
        <v>1009</v>
      </c>
      <c r="F54" t="str">
        <v>(NEW) Uốn/Duỗi/Định hình full đầu tạo form vào nếp tự nhiên</v>
      </c>
      <c r="G54" s="9" t="str">
        <v>173 TN1009</v>
      </c>
      <c r="H54" s="9">
        <v>396000</v>
      </c>
      <c r="I54" s="9">
        <v>-85000</v>
      </c>
      <c r="J54" s="13">
        <v>-0.21464646464646464</v>
      </c>
    </row>
    <row customHeight="true" ht="19" r="55">
      <c r="A55" s="12">
        <v>274</v>
      </c>
      <c r="B55" s="12" t="str">
        <v>32 Nguyễn Ảnh Thủ</v>
      </c>
      <c r="C55" s="12" t="str">
        <v>32 NAT</v>
      </c>
      <c r="D55" s="9">
        <v>275000</v>
      </c>
      <c r="E55" s="28">
        <v>1009</v>
      </c>
      <c r="F55" t="str">
        <v>(NEW) Uốn/Duỗi/Định hình full đầu tạo form vào nếp tự nhiên</v>
      </c>
      <c r="G55" s="9" t="str">
        <v>32 NAT1009</v>
      </c>
      <c r="H55" s="9">
        <v>396000</v>
      </c>
      <c r="I55" s="9">
        <v>-121000</v>
      </c>
      <c r="J55" s="13">
        <v>-0.3055555555555556</v>
      </c>
    </row>
    <row customHeight="true" ht="19" r="56">
      <c r="A56" s="12">
        <v>302</v>
      </c>
      <c r="B56" s="12" t="str">
        <v>362 Ngô Gia Tự</v>
      </c>
      <c r="C56" s="12" t="str">
        <v>362 NGT BN</v>
      </c>
      <c r="D56" s="9">
        <v>289000</v>
      </c>
      <c r="E56" s="28">
        <v>1009</v>
      </c>
      <c r="F56" t="str">
        <v>(NEW) Uốn/Duỗi/Định hình full đầu tạo form vào nếp tự nhiên</v>
      </c>
      <c r="G56" s="9" t="str">
        <v>362 NGT BN1009</v>
      </c>
      <c r="H56" s="9">
        <v>396000</v>
      </c>
      <c r="I56" s="9">
        <v>-107000</v>
      </c>
      <c r="J56" s="13">
        <v>-0.2702020202020202</v>
      </c>
    </row>
    <row r="57">
      <c r="E57" s="28"/>
      <c r="G57" s="9"/>
      <c r="H57" s="9"/>
      <c r="I57" s="9"/>
      <c r="J57" s="13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8"/>
    <col collapsed="false" customWidth="true" hidden="false" max="6" min="6" style="0" width="22"/>
    <col collapsed="false" customWidth="true" hidden="false" max="7" min="7" style="0" width="10"/>
    <col collapsed="false" customWidth="true" hidden="false" max="8" min="8" style="0" width="12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9"/>
    <col collapsed="false" customWidth="true" hidden="false" max="19" min="19" style="0" width="17"/>
    <col collapsed="false" customWidth="true" hidden="false" max="20" min="20" style="0" width="17"/>
    <col collapsed="false" customWidth="true" hidden="false" max="21" min="21" style="0" width="17"/>
    <col collapsed="false" customWidth="true" hidden="false" max="22" min="22" style="0" width="17"/>
    <col collapsed="false" customWidth="true" hidden="false" max="23" min="23" style="0" width="17"/>
    <col collapsed="false" customWidth="true" hidden="false" max="24" min="24" style="0" width="17"/>
    <col collapsed="false" customWidth="true" hidden="true" max="24" min="24" style="0" width="17"/>
    <col collapsed="false" customWidth="true" hidden="false" max="25" min="25" style="0" width="17"/>
    <col collapsed="false" customWidth="true" hidden="true" max="25" min="25" style="0" width="17"/>
    <col collapsed="false" customWidth="true" hidden="false" max="26" min="26" style="0" width="17"/>
    <col collapsed="false" customWidth="true" hidden="false" max="27" min="27" style="0" width="17"/>
    <col collapsed="false" customWidth="true" hidden="false" max="28" min="28" style="0" width="17"/>
  </cols>
  <sheetData>
    <row customHeight="true" ht="34" r="1">
      <c r="A1" s="24" t="str">
        <v>SalonID</v>
      </c>
      <c r="B1" s="24" t="str">
        <v>Tên Salon</v>
      </c>
      <c r="C1" s="24" t="str">
        <v>Mã Salon</v>
      </c>
      <c r="D1" s="24" t="str">
        <v>Tỉnh/TP</v>
      </c>
      <c r="E1" s="24" t="str">
        <v>Cụm</v>
      </c>
      <c r="F1" s="24" t="str">
        <v>Loại Cụm</v>
      </c>
      <c r="G1" s="24" t="str">
        <v>CPI</v>
      </c>
      <c r="H1" s="24" t="str">
        <v>CPI Level</v>
      </c>
      <c r="I1" s="24" t="str">
        <v>EPI</v>
      </c>
      <c r="J1" s="24" t="str">
        <v>EPI Level</v>
      </c>
      <c r="K1" s="24" t="str">
        <v>Giá Hiện Tại</v>
      </c>
      <c r="L1" s="24" t="str">
        <v>WTP Sàn (L)</v>
      </c>
      <c r="M1" s="24" t="str">
        <v>WTP Trần (H)</v>
      </c>
      <c r="N1" s="24" t="str">
        <v>Hệ Số α_low</v>
      </c>
      <c r="O1" s="24" t="str">
        <v>Hệ Số α_high</v>
      </c>
      <c r="P1" s="24" t="str">
        <v>P_min (Khung Dưới)</v>
      </c>
      <c r="Q1" s="24" t="str">
        <v>P_max (Khung Trên)</v>
      </c>
      <c r="R1" s="24" t="str">
        <v>Khung Giá Đề Xuất</v>
      </c>
      <c r="S1" s="24" t="str">
        <v>KB1: Hút Traffic</v>
      </c>
      <c r="T1" s="24" t="str">
        <v>KB2: Tăng AOV</v>
      </c>
      <c r="U1" s="24" t="str">
        <v>KB3: Cân Bằng</v>
      </c>
      <c r="V1" s="24" t="str">
        <v>KB4: Giảm Quá Tải</v>
      </c>
      <c r="W1" s="25" t="str">
        <v>GDTM đề xuất = KB1: Hút Traffic</v>
      </c>
      <c r="X1" s="25" t="str">
        <v>ID dv</v>
      </c>
      <c r="Y1" s="25"/>
      <c r="Z1" s="25" t="str">
        <v>Giá hiện tại</v>
      </c>
      <c r="AA1" s="25" t="str">
        <v>Chênh lệch giá cũ</v>
      </c>
      <c r="AB1" s="27" t="str">
        <v>%</v>
      </c>
    </row>
    <row customHeight="true" ht="27" r="2">
      <c r="A2" s="12">
        <v>2</v>
      </c>
      <c r="B2" s="12" t="str">
        <v>346 Khâm Thiên</v>
      </c>
      <c r="C2" s="12" t="str">
        <v>346 KT</v>
      </c>
      <c r="D2" s="12" t="str">
        <v>Hà Nội</v>
      </c>
      <c r="E2" s="12">
        <v>3</v>
      </c>
      <c r="F2" s="12" t="str">
        <v>Cụm gốc</v>
      </c>
      <c r="G2" s="8">
        <v>0.6615</v>
      </c>
      <c r="H2" s="18" t="str">
        <v>Cao</v>
      </c>
      <c r="I2" s="8">
        <v>0.471</v>
      </c>
      <c r="J2" s="18" t="str">
        <v>Cao</v>
      </c>
      <c r="K2" s="12">
        <v>218000</v>
      </c>
      <c r="L2" s="14">
        <v>205000</v>
      </c>
      <c r="M2" s="14">
        <v>349000</v>
      </c>
      <c r="N2" s="8">
        <v>0.35</v>
      </c>
      <c r="O2" s="8">
        <v>0.55</v>
      </c>
      <c r="P2" s="11">
        <v>255000</v>
      </c>
      <c r="Q2" s="11">
        <v>284000</v>
      </c>
      <c r="R2" s="15" t="str">
        <v>255k - 284k</v>
      </c>
      <c r="S2" s="12">
        <v>255000</v>
      </c>
      <c r="T2" s="12">
        <v>284000</v>
      </c>
      <c r="U2" s="12">
        <v>270000</v>
      </c>
      <c r="V2" s="12">
        <v>280000</v>
      </c>
      <c r="W2" s="9">
        <f>S2</f>
      </c>
      <c r="X2" s="9">
        <v>960</v>
      </c>
      <c r="Y2" s="9">
        <f>C2&amp;X2</f>
      </c>
      <c r="Z2" s="9">
        <f>VLOOKUP(Y2,'Giá Uốn hiện tại'!$E:$F,2,0)</f>
      </c>
      <c r="AA2" s="9">
        <f>W2-Z2</f>
      </c>
      <c r="AB2" s="13">
        <f>AA2/Z2</f>
      </c>
    </row>
    <row customHeight="true" ht="19" r="3">
      <c r="A3" s="12">
        <v>11</v>
      </c>
      <c r="B3" s="12" t="str">
        <v>8 Châu Văn Liêm</v>
      </c>
      <c r="C3" s="12" t="str">
        <v>8 CVL</v>
      </c>
      <c r="D3" s="12" t="str">
        <v>Hồ Chí Minh</v>
      </c>
      <c r="E3" s="12">
        <v>22</v>
      </c>
      <c r="F3" s="12" t="str">
        <v>Cụm mới (cùng tỉnh)</v>
      </c>
      <c r="G3" s="8">
        <v>0.5672</v>
      </c>
      <c r="H3" s="10" t="str">
        <v>Trung</v>
      </c>
      <c r="I3" s="8">
        <v>0.3932</v>
      </c>
      <c r="J3" s="17" t="str">
        <v>Thấp</v>
      </c>
      <c r="K3" s="12">
        <v>229000</v>
      </c>
      <c r="L3" s="14">
        <v>201000</v>
      </c>
      <c r="M3" s="14">
        <v>299000</v>
      </c>
      <c r="N3" s="8">
        <v>0.25</v>
      </c>
      <c r="O3" s="8">
        <v>0.5</v>
      </c>
      <c r="P3" s="11">
        <v>226000</v>
      </c>
      <c r="Q3" s="11">
        <v>250000</v>
      </c>
      <c r="R3" s="15" t="str">
        <v>226k - 250k</v>
      </c>
      <c r="S3" s="12">
        <v>226000</v>
      </c>
      <c r="T3" s="12">
        <v>250000</v>
      </c>
      <c r="U3" s="12">
        <v>238000</v>
      </c>
      <c r="V3" s="12">
        <v>246000</v>
      </c>
      <c r="W3" s="9">
        <f>S3</f>
      </c>
      <c r="X3" s="9">
        <v>960</v>
      </c>
      <c r="Y3" s="9">
        <f>C3&amp;X3</f>
      </c>
      <c r="Z3" s="9">
        <f>VLOOKUP(Y3,'Giá Uốn hiện tại'!$E:$F,2,0)</f>
      </c>
      <c r="AA3" s="9">
        <f>W3-Z3</f>
      </c>
      <c r="AB3" s="13">
        <f>AA3/Z3</f>
      </c>
    </row>
    <row customHeight="true" ht="19" r="4">
      <c r="A4" s="12">
        <v>12</v>
      </c>
      <c r="B4" s="12" t="str">
        <v>12 Lê Đức Thọ</v>
      </c>
      <c r="C4" s="12" t="str">
        <v>12 LDT</v>
      </c>
      <c r="D4" s="12" t="str">
        <v>Hồ Chí Minh</v>
      </c>
      <c r="E4" s="12">
        <v>15</v>
      </c>
      <c r="F4" s="12" t="str">
        <v>Cụm gốc</v>
      </c>
      <c r="G4" s="8">
        <v>0.7678</v>
      </c>
      <c r="H4" s="18" t="str">
        <v>Cao</v>
      </c>
      <c r="I4" s="8">
        <v>0.4194</v>
      </c>
      <c r="J4" s="10" t="str">
        <v>Trung</v>
      </c>
      <c r="K4" s="12">
        <v>218000</v>
      </c>
      <c r="L4" s="14">
        <v>203000</v>
      </c>
      <c r="M4" s="14">
        <v>300000</v>
      </c>
      <c r="N4" s="8">
        <v>0.25</v>
      </c>
      <c r="O4" s="8">
        <v>0.45</v>
      </c>
      <c r="P4" s="11">
        <v>227000</v>
      </c>
      <c r="Q4" s="11">
        <v>247000</v>
      </c>
      <c r="R4" s="15" t="str">
        <v>227k - 247k</v>
      </c>
      <c r="S4" s="12">
        <v>227000</v>
      </c>
      <c r="T4" s="12">
        <v>247000</v>
      </c>
      <c r="U4" s="12">
        <v>237000</v>
      </c>
      <c r="V4" s="12">
        <v>244000</v>
      </c>
      <c r="W4" s="9">
        <f>S4</f>
      </c>
      <c r="X4" s="9">
        <v>960</v>
      </c>
      <c r="Y4" s="9">
        <f>C4&amp;X4</f>
      </c>
      <c r="Z4" s="9">
        <f>VLOOKUP(Y4,'Giá Uốn hiện tại'!$E:$F,2,0)</f>
      </c>
      <c r="AA4" s="9">
        <f>W4-Z4</f>
      </c>
      <c r="AB4" s="13">
        <f>AA4/Z4</f>
      </c>
    </row>
    <row customHeight="true" ht="19" r="5">
      <c r="A5" s="12">
        <v>20</v>
      </c>
      <c r="B5" s="12" t="str">
        <v>382 Nguyễn Trãi</v>
      </c>
      <c r="C5" s="12" t="str">
        <v>382 NT</v>
      </c>
      <c r="D5" s="12" t="str">
        <v>Hà Nội</v>
      </c>
      <c r="E5" s="12">
        <v>5</v>
      </c>
      <c r="F5" s="12" t="str">
        <v>Cụm gốc</v>
      </c>
      <c r="G5" s="8">
        <v>0.5809</v>
      </c>
      <c r="H5" s="10" t="str">
        <v>Trung</v>
      </c>
      <c r="I5" s="8">
        <v>0.5018</v>
      </c>
      <c r="J5" s="18" t="str">
        <v>Cao</v>
      </c>
      <c r="K5" s="12">
        <v>229000</v>
      </c>
      <c r="L5" s="14">
        <v>202000</v>
      </c>
      <c r="M5" s="14">
        <v>328000</v>
      </c>
      <c r="N5" s="8">
        <v>0.55</v>
      </c>
      <c r="O5" s="8">
        <v>0.8</v>
      </c>
      <c r="P5" s="11">
        <v>271000</v>
      </c>
      <c r="Q5" s="11">
        <v>303000</v>
      </c>
      <c r="R5" s="15" t="str">
        <v>271k - 303k</v>
      </c>
      <c r="S5" s="12">
        <v>271000</v>
      </c>
      <c r="T5" s="12">
        <v>303000</v>
      </c>
      <c r="U5" s="12">
        <v>287000</v>
      </c>
      <c r="V5" s="12">
        <v>298000</v>
      </c>
      <c r="W5" s="9">
        <f>S5</f>
      </c>
      <c r="X5" s="9">
        <v>960</v>
      </c>
      <c r="Y5" s="9">
        <f>C5&amp;X5</f>
      </c>
      <c r="Z5" s="9">
        <f>VLOOKUP(Y5,'Giá Uốn hiện tại'!$E:$F,2,0)</f>
      </c>
      <c r="AA5" s="9">
        <f>W5-Z5</f>
      </c>
      <c r="AB5" s="13">
        <f>AA5/Z5</f>
      </c>
    </row>
    <row customHeight="true" ht="19" r="6">
      <c r="A6" s="12">
        <v>21</v>
      </c>
      <c r="B6" s="12" t="str">
        <v>575 Âu Cơ</v>
      </c>
      <c r="C6" s="12" t="str">
        <v>575 AC</v>
      </c>
      <c r="D6" s="12" t="str">
        <v>Hồ Chí Minh</v>
      </c>
      <c r="E6" s="12">
        <v>18</v>
      </c>
      <c r="F6" s="12" t="str">
        <v>Cụm gốc</v>
      </c>
      <c r="G6" s="8">
        <v>0.644</v>
      </c>
      <c r="H6" s="18" t="str">
        <v>Cao</v>
      </c>
      <c r="I6" s="8">
        <v>0.4483</v>
      </c>
      <c r="J6" s="10" t="str">
        <v>Trung</v>
      </c>
      <c r="K6" s="12">
        <v>218000</v>
      </c>
      <c r="L6" s="14">
        <v>200000</v>
      </c>
      <c r="M6" s="14">
        <v>299000</v>
      </c>
      <c r="N6" s="8">
        <v>0.25</v>
      </c>
      <c r="O6" s="8">
        <v>0.45</v>
      </c>
      <c r="P6" s="11">
        <v>225000</v>
      </c>
      <c r="Q6" s="11">
        <v>245000</v>
      </c>
      <c r="R6" s="15" t="str">
        <v>225k - 245k</v>
      </c>
      <c r="S6" s="12">
        <v>225000</v>
      </c>
      <c r="T6" s="12">
        <v>245000</v>
      </c>
      <c r="U6" s="12">
        <v>235000</v>
      </c>
      <c r="V6" s="12">
        <v>242000</v>
      </c>
      <c r="W6" s="9">
        <f>S6</f>
      </c>
      <c r="X6" s="9">
        <v>960</v>
      </c>
      <c r="Y6" s="9">
        <f>C6&amp;X6</f>
      </c>
      <c r="Z6" s="9">
        <f>VLOOKUP(Y6,'Giá Uốn hiện tại'!$E:$F,2,0)</f>
      </c>
      <c r="AA6" s="9">
        <f>W6-Z6</f>
      </c>
      <c r="AB6" s="13">
        <f>AA6/Z6</f>
      </c>
    </row>
    <row customHeight="true" ht="19" r="7">
      <c r="A7" s="12">
        <v>22</v>
      </c>
      <c r="B7" s="12" t="str">
        <v>927  Hậu Giang</v>
      </c>
      <c r="C7" s="12" t="str">
        <v>927 HG</v>
      </c>
      <c r="D7" s="12" t="str">
        <v>Hồ Chí Minh</v>
      </c>
      <c r="E7" s="12">
        <v>22</v>
      </c>
      <c r="F7" s="12" t="str">
        <v>Cụm mới (cùng tỉnh)</v>
      </c>
      <c r="G7" s="8">
        <v>0.6209</v>
      </c>
      <c r="H7" s="18" t="str">
        <v>Cao</v>
      </c>
      <c r="I7" s="8">
        <v>0.432</v>
      </c>
      <c r="J7" s="10" t="str">
        <v>Trung</v>
      </c>
      <c r="K7" s="12" t="str"/>
      <c r="L7" s="14">
        <v>201000</v>
      </c>
      <c r="M7" s="14">
        <v>299000</v>
      </c>
      <c r="N7" s="8">
        <v>0.25</v>
      </c>
      <c r="O7" s="8">
        <v>0.45</v>
      </c>
      <c r="P7" s="11">
        <v>226000</v>
      </c>
      <c r="Q7" s="11">
        <v>245000</v>
      </c>
      <c r="R7" s="15" t="str">
        <v>226k - 245k</v>
      </c>
      <c r="S7" s="12">
        <v>226000</v>
      </c>
      <c r="T7" s="12">
        <v>245000</v>
      </c>
      <c r="U7" s="12">
        <v>235000</v>
      </c>
      <c r="V7" s="12">
        <v>242000</v>
      </c>
      <c r="W7" s="9">
        <f>S7</f>
      </c>
      <c r="X7" s="9">
        <v>960</v>
      </c>
      <c r="Y7" s="9">
        <f>C7&amp;X7</f>
      </c>
      <c r="Z7" s="9">
        <f>VLOOKUP(Y7,'Giá Uốn hiện tại'!$E:$F,2,0)</f>
      </c>
      <c r="AA7" s="9">
        <f>W7-Z7</f>
      </c>
      <c r="AB7" s="13">
        <f>AA7/Z7</f>
      </c>
    </row>
    <row customHeight="true" ht="19" r="8">
      <c r="A8" s="12">
        <v>39</v>
      </c>
      <c r="B8" s="12" t="str">
        <v>151 Cầu Giấy, Q. CG</v>
      </c>
      <c r="C8" s="12" t="str">
        <v>151 CG</v>
      </c>
      <c r="D8" s="12" t="str">
        <v>Hà Nội</v>
      </c>
      <c r="E8" s="12">
        <v>1</v>
      </c>
      <c r="F8" s="12" t="str">
        <v>Cụm gốc</v>
      </c>
      <c r="G8" s="8">
        <v>0.6444</v>
      </c>
      <c r="H8" s="18" t="str">
        <v>Cao</v>
      </c>
      <c r="I8" s="8">
        <v>0.4063</v>
      </c>
      <c r="J8" s="17" t="str">
        <v>Thấp</v>
      </c>
      <c r="K8" s="12">
        <v>218000</v>
      </c>
      <c r="L8" s="14">
        <v>250000</v>
      </c>
      <c r="M8" s="14">
        <v>346000</v>
      </c>
      <c r="N8" s="8">
        <v>0.15</v>
      </c>
      <c r="O8" s="8">
        <v>0.35</v>
      </c>
      <c r="P8" s="11">
        <v>264000</v>
      </c>
      <c r="Q8" s="11">
        <v>284000</v>
      </c>
      <c r="R8" s="15" t="str">
        <v>264k - 284k</v>
      </c>
      <c r="S8" s="12">
        <v>264000</v>
      </c>
      <c r="T8" s="12">
        <v>284000</v>
      </c>
      <c r="U8" s="12">
        <v>274000</v>
      </c>
      <c r="V8" s="12">
        <v>281000</v>
      </c>
      <c r="W8" s="9">
        <f>S8</f>
      </c>
      <c r="X8" s="9">
        <v>960</v>
      </c>
      <c r="Y8" s="9">
        <f>C8&amp;X8</f>
      </c>
      <c r="Z8" s="9">
        <f>VLOOKUP(Y8,'Giá Uốn hiện tại'!$E:$F,2,0)</f>
      </c>
      <c r="AA8" s="9">
        <f>W8-Z8</f>
      </c>
      <c r="AB8" s="13">
        <f>AA8/Z8</f>
      </c>
    </row>
    <row customHeight="true" ht="19" r="9">
      <c r="A9" s="12">
        <v>44</v>
      </c>
      <c r="B9" s="12" t="str">
        <v>103 Trần Não</v>
      </c>
      <c r="C9" s="12" t="str">
        <v>103 TN</v>
      </c>
      <c r="D9" s="12" t="str">
        <v>Hồ Chí Minh</v>
      </c>
      <c r="E9" s="12">
        <v>24</v>
      </c>
      <c r="F9" s="12" t="str">
        <v>Cụm mới (cùng tỉnh)</v>
      </c>
      <c r="G9" s="8">
        <v>0.5591</v>
      </c>
      <c r="H9" s="10" t="str">
        <v>Trung</v>
      </c>
      <c r="I9" s="8">
        <v>0.4948</v>
      </c>
      <c r="J9" s="18" t="str">
        <v>Cao</v>
      </c>
      <c r="K9" s="12">
        <v>218000</v>
      </c>
      <c r="L9" s="14">
        <v>203000</v>
      </c>
      <c r="M9" s="14">
        <v>299000</v>
      </c>
      <c r="N9" s="8">
        <v>0.55</v>
      </c>
      <c r="O9" s="8">
        <v>0.8</v>
      </c>
      <c r="P9" s="11">
        <v>256000</v>
      </c>
      <c r="Q9" s="11">
        <v>280000</v>
      </c>
      <c r="R9" s="15" t="str">
        <v>256k - 280k</v>
      </c>
      <c r="S9" s="12">
        <v>256000</v>
      </c>
      <c r="T9" s="12">
        <v>280000</v>
      </c>
      <c r="U9" s="12">
        <v>268000</v>
      </c>
      <c r="V9" s="12">
        <v>276000</v>
      </c>
      <c r="W9" s="9">
        <f>S9</f>
      </c>
      <c r="X9" s="9">
        <v>960</v>
      </c>
      <c r="Y9" s="9">
        <f>C9&amp;X9</f>
      </c>
      <c r="Z9" s="9">
        <f>VLOOKUP(Y9,'Giá Uốn hiện tại'!$E:$F,2,0)</f>
      </c>
      <c r="AA9" s="9">
        <f>W9-Z9</f>
      </c>
      <c r="AB9" s="13">
        <f>AA9/Z9</f>
      </c>
    </row>
    <row customHeight="true" ht="19" r="10">
      <c r="A10" s="12">
        <v>45</v>
      </c>
      <c r="B10" s="12" t="str">
        <v>25 Tôn Đản</v>
      </c>
      <c r="C10" s="12" t="str">
        <v>25 TD</v>
      </c>
      <c r="D10" s="12" t="str">
        <v>Hồ Chí Minh</v>
      </c>
      <c r="E10" s="12">
        <v>24</v>
      </c>
      <c r="F10" s="12" t="str">
        <v>Cụm mới (cùng tỉnh)</v>
      </c>
      <c r="G10" s="8">
        <v>0.6313</v>
      </c>
      <c r="H10" s="18" t="str">
        <v>Cao</v>
      </c>
      <c r="I10" s="8">
        <v>0.4649</v>
      </c>
      <c r="J10" s="18" t="str">
        <v>Cao</v>
      </c>
      <c r="K10" s="12">
        <v>218000</v>
      </c>
      <c r="L10" s="14">
        <v>203000</v>
      </c>
      <c r="M10" s="14">
        <v>299000</v>
      </c>
      <c r="N10" s="8">
        <v>0.35</v>
      </c>
      <c r="O10" s="8">
        <v>0.55</v>
      </c>
      <c r="P10" s="11">
        <v>237000</v>
      </c>
      <c r="Q10" s="11">
        <v>256000</v>
      </c>
      <c r="R10" s="15" t="str">
        <v>237k - 256k</v>
      </c>
      <c r="S10" s="12">
        <v>237000</v>
      </c>
      <c r="T10" s="12">
        <v>256000</v>
      </c>
      <c r="U10" s="12">
        <v>246000</v>
      </c>
      <c r="V10" s="12">
        <v>253000</v>
      </c>
      <c r="W10" s="9">
        <f>S10</f>
      </c>
      <c r="X10" s="9">
        <v>960</v>
      </c>
      <c r="Y10" s="9">
        <f>C10&amp;X10</f>
      </c>
      <c r="Z10" s="9">
        <f>VLOOKUP(Y10,'Giá Uốn hiện tại'!$E:$F,2,0)</f>
      </c>
      <c r="AA10" s="9">
        <f>W10-Z10</f>
      </c>
      <c r="AB10" s="13">
        <f>AA10/Z10</f>
      </c>
    </row>
    <row customHeight="true" ht="19" r="11">
      <c r="A11" s="12">
        <v>46</v>
      </c>
      <c r="B11" s="12" t="str">
        <v>483 Thống Nhất</v>
      </c>
      <c r="C11" s="12" t="str">
        <v>483 TN</v>
      </c>
      <c r="D11" s="12" t="str">
        <v>Không xác định</v>
      </c>
      <c r="E11" s="12">
        <v>14</v>
      </c>
      <c r="F11" s="12" t="str">
        <v>Cụm gốc</v>
      </c>
      <c r="G11" s="8">
        <v>0.5299</v>
      </c>
      <c r="H11" s="10" t="str">
        <v>Trung</v>
      </c>
      <c r="I11" s="8">
        <v>0.4186</v>
      </c>
      <c r="J11" s="10" t="str">
        <v>Trung</v>
      </c>
      <c r="K11" s="12">
        <v>218000</v>
      </c>
      <c r="L11" s="14">
        <v>204000</v>
      </c>
      <c r="M11" s="14">
        <v>301000</v>
      </c>
      <c r="N11" s="8">
        <v>0.4</v>
      </c>
      <c r="O11" s="8">
        <v>0.65</v>
      </c>
      <c r="P11" s="11">
        <v>243000</v>
      </c>
      <c r="Q11" s="11">
        <v>267000</v>
      </c>
      <c r="R11" s="15" t="str">
        <v>243k - 267k</v>
      </c>
      <c r="S11" s="12">
        <v>243000</v>
      </c>
      <c r="T11" s="12">
        <v>267000</v>
      </c>
      <c r="U11" s="12">
        <v>255000</v>
      </c>
      <c r="V11" s="12">
        <v>263000</v>
      </c>
      <c r="W11" s="9">
        <f>S11</f>
      </c>
      <c r="X11" s="9">
        <v>960</v>
      </c>
      <c r="Y11" s="9">
        <f>C11&amp;X11</f>
      </c>
      <c r="Z11" s="9">
        <f>VLOOKUP(Y11,'Giá Uốn hiện tại'!$E:$F,2,0)</f>
      </c>
      <c r="AA11" s="9">
        <f>W11-Z11</f>
      </c>
      <c r="AB11" s="13">
        <f>AA11/Z11</f>
      </c>
    </row>
    <row customHeight="true" ht="19" r="12">
      <c r="A12" s="12">
        <v>47</v>
      </c>
      <c r="B12" s="12" t="str">
        <v>708 Lê Trọng Tấn</v>
      </c>
      <c r="C12" s="12" t="str">
        <v>708 LTT</v>
      </c>
      <c r="D12" s="12" t="str">
        <v>Hồ Chí Minh</v>
      </c>
      <c r="E12" s="12">
        <v>25</v>
      </c>
      <c r="F12" s="12" t="str">
        <v>Cụm mới (cùng tỉnh)</v>
      </c>
      <c r="G12" s="8">
        <v>0.5578</v>
      </c>
      <c r="H12" s="10" t="str">
        <v>Trung</v>
      </c>
      <c r="I12" s="8">
        <v>0.3585</v>
      </c>
      <c r="J12" s="17" t="str">
        <v>Thấp</v>
      </c>
      <c r="K12" s="12">
        <v>218000</v>
      </c>
      <c r="L12" s="14">
        <v>204000</v>
      </c>
      <c r="M12" s="14">
        <v>302000</v>
      </c>
      <c r="N12" s="8">
        <v>0.25</v>
      </c>
      <c r="O12" s="8">
        <v>0.5</v>
      </c>
      <c r="P12" s="11">
        <v>228000</v>
      </c>
      <c r="Q12" s="11">
        <v>253000</v>
      </c>
      <c r="R12" s="15" t="str">
        <v>228k - 253k</v>
      </c>
      <c r="S12" s="12">
        <v>228000</v>
      </c>
      <c r="T12" s="12">
        <v>253000</v>
      </c>
      <c r="U12" s="12">
        <v>241000</v>
      </c>
      <c r="V12" s="12">
        <v>249000</v>
      </c>
      <c r="W12" s="9">
        <f>S12</f>
      </c>
      <c r="X12" s="9">
        <v>960</v>
      </c>
      <c r="Y12" s="9">
        <f>C12&amp;X12</f>
      </c>
      <c r="Z12" s="9">
        <f>VLOOKUP(Y12,'Giá Uốn hiện tại'!$E:$F,2,0)</f>
      </c>
      <c r="AA12" s="9">
        <f>W12-Z12</f>
      </c>
      <c r="AB12" s="13">
        <f>AA12/Z12</f>
      </c>
    </row>
    <row customHeight="true" ht="19" r="13">
      <c r="A13" s="12">
        <v>51</v>
      </c>
      <c r="B13" s="12" t="str">
        <v>420 Huỳnh Tấn Phát</v>
      </c>
      <c r="C13" s="12" t="str">
        <v>420 HTP</v>
      </c>
      <c r="D13" s="12" t="str">
        <v>Hồ Chí Minh</v>
      </c>
      <c r="E13" s="12">
        <v>21</v>
      </c>
      <c r="F13" s="12" t="str">
        <v>Cụm gốc</v>
      </c>
      <c r="G13" s="8">
        <v>0.5667</v>
      </c>
      <c r="H13" s="10" t="str">
        <v>Trung</v>
      </c>
      <c r="I13" s="8">
        <v>0.42</v>
      </c>
      <c r="J13" s="10" t="str">
        <v>Trung</v>
      </c>
      <c r="K13" s="12">
        <v>218000</v>
      </c>
      <c r="L13" s="14">
        <v>203000</v>
      </c>
      <c r="M13" s="14">
        <v>299000</v>
      </c>
      <c r="N13" s="8">
        <v>0.4</v>
      </c>
      <c r="O13" s="8">
        <v>0.65</v>
      </c>
      <c r="P13" s="11">
        <v>241000</v>
      </c>
      <c r="Q13" s="11">
        <v>265000</v>
      </c>
      <c r="R13" s="15" t="str">
        <v>241k - 265k</v>
      </c>
      <c r="S13" s="12">
        <v>241000</v>
      </c>
      <c r="T13" s="12">
        <v>265000</v>
      </c>
      <c r="U13" s="12">
        <v>253000</v>
      </c>
      <c r="V13" s="12">
        <v>262000</v>
      </c>
      <c r="W13" s="9">
        <f>S13</f>
      </c>
      <c r="X13" s="9">
        <v>960</v>
      </c>
      <c r="Y13" s="9">
        <f>C13&amp;X13</f>
      </c>
      <c r="Z13" s="9">
        <f>VLOOKUP(Y13,'Giá Uốn hiện tại'!$E:$F,2,0)</f>
      </c>
      <c r="AA13" s="9">
        <f>W13-Z13</f>
      </c>
      <c r="AB13" s="13">
        <f>AA13/Z13</f>
      </c>
    </row>
    <row customHeight="true" ht="19" r="14">
      <c r="A14" s="12">
        <v>52</v>
      </c>
      <c r="B14" s="12" t="str">
        <v>451 Phạm Văn Thuận</v>
      </c>
      <c r="C14" s="12" t="str">
        <v>451 PVT</v>
      </c>
      <c r="D14" s="12" t="str">
        <v>Đồng Nai</v>
      </c>
      <c r="E14" s="12">
        <v>12</v>
      </c>
      <c r="F14" s="12" t="str">
        <v>Cụm gốc</v>
      </c>
      <c r="G14" s="8">
        <v>0.5405</v>
      </c>
      <c r="H14" s="10" t="str">
        <v>Trung</v>
      </c>
      <c r="I14" s="8">
        <v>0.3055</v>
      </c>
      <c r="J14" s="17" t="str">
        <v>Thấp</v>
      </c>
      <c r="K14" s="12">
        <v>218000</v>
      </c>
      <c r="L14" s="14">
        <v>181000</v>
      </c>
      <c r="M14" s="14">
        <v>297000</v>
      </c>
      <c r="N14" s="8">
        <v>0.25</v>
      </c>
      <c r="O14" s="8">
        <v>0.5</v>
      </c>
      <c r="P14" s="11">
        <v>210000</v>
      </c>
      <c r="Q14" s="11">
        <v>239000</v>
      </c>
      <c r="R14" s="15" t="str">
        <v>210k - 239k</v>
      </c>
      <c r="S14" s="12">
        <v>210000</v>
      </c>
      <c r="T14" s="12">
        <v>239000</v>
      </c>
      <c r="U14" s="12">
        <v>224000</v>
      </c>
      <c r="V14" s="12">
        <v>235000</v>
      </c>
      <c r="W14" s="9">
        <f>S14</f>
      </c>
      <c r="X14" s="9">
        <v>960</v>
      </c>
      <c r="Y14" s="9">
        <f>C14&amp;X14</f>
      </c>
      <c r="Z14" s="9">
        <f>VLOOKUP(Y14,'Giá Uốn hiện tại'!$E:$F,2,0)</f>
      </c>
      <c r="AA14" s="9">
        <f>W14-Z14</f>
      </c>
      <c r="AB14" s="13">
        <f>AA14/Z14</f>
      </c>
    </row>
    <row customHeight="true" ht="19" r="15">
      <c r="A15" s="12">
        <v>58</v>
      </c>
      <c r="B15" s="12" t="str">
        <v>730 Tỉnh lộ 10</v>
      </c>
      <c r="C15" s="12" t="str">
        <v>730 TL10</v>
      </c>
      <c r="D15" s="12" t="str">
        <v>Hồ Chí Minh</v>
      </c>
      <c r="E15" s="12">
        <v>22</v>
      </c>
      <c r="F15" s="12" t="str">
        <v>Cụm mới (cùng tỉnh)</v>
      </c>
      <c r="G15" s="8">
        <v>0.5145</v>
      </c>
      <c r="H15" s="10" t="str">
        <v>Trung</v>
      </c>
      <c r="I15" s="8">
        <v>0.4168</v>
      </c>
      <c r="J15" s="10" t="str">
        <v>Trung</v>
      </c>
      <c r="K15" s="12">
        <v>218000</v>
      </c>
      <c r="L15" s="14">
        <v>201000</v>
      </c>
      <c r="M15" s="14">
        <v>299000</v>
      </c>
      <c r="N15" s="8">
        <v>0.4</v>
      </c>
      <c r="O15" s="8">
        <v>0.65</v>
      </c>
      <c r="P15" s="11">
        <v>240000</v>
      </c>
      <c r="Q15" s="11">
        <v>265000</v>
      </c>
      <c r="R15" s="15" t="str">
        <v>240k - 265k</v>
      </c>
      <c r="S15" s="12">
        <v>240000</v>
      </c>
      <c r="T15" s="12">
        <v>265000</v>
      </c>
      <c r="U15" s="12">
        <v>252000</v>
      </c>
      <c r="V15" s="12">
        <v>261000</v>
      </c>
      <c r="W15" s="9">
        <f>S15</f>
      </c>
      <c r="X15" s="9">
        <v>960</v>
      </c>
      <c r="Y15" s="9">
        <f>C15&amp;X15</f>
      </c>
      <c r="Z15" s="9">
        <f>VLOOKUP(Y15,'Giá Uốn hiện tại'!$E:$F,2,0)</f>
      </c>
      <c r="AA15" s="9">
        <f>W15-Z15</f>
      </c>
      <c r="AB15" s="13">
        <f>AA15/Z15</f>
      </c>
    </row>
    <row customHeight="true" ht="19" r="16">
      <c r="A16" s="12">
        <v>60</v>
      </c>
      <c r="B16" s="12" t="str">
        <v>80 Phú Lợi</v>
      </c>
      <c r="C16" s="12" t="str">
        <v>80 PL BD</v>
      </c>
      <c r="D16" s="12" t="str">
        <v>Bình Dương</v>
      </c>
      <c r="E16" s="12">
        <v>11</v>
      </c>
      <c r="F16" s="12" t="str">
        <v>Cụm gốc</v>
      </c>
      <c r="G16" s="8">
        <v>0.5268</v>
      </c>
      <c r="H16" s="10" t="str">
        <v>Trung</v>
      </c>
      <c r="I16" s="8">
        <v>0.366</v>
      </c>
      <c r="J16" s="17" t="str">
        <v>Thấp</v>
      </c>
      <c r="K16" s="12">
        <v>218000</v>
      </c>
      <c r="L16" s="14">
        <v>249000</v>
      </c>
      <c r="M16" s="14">
        <v>351000</v>
      </c>
      <c r="N16" s="8">
        <v>0.25</v>
      </c>
      <c r="O16" s="8">
        <v>0.5</v>
      </c>
      <c r="P16" s="11">
        <v>274000</v>
      </c>
      <c r="Q16" s="11">
        <v>300000</v>
      </c>
      <c r="R16" s="15" t="str">
        <v>274k - 300k</v>
      </c>
      <c r="S16" s="12">
        <v>274000</v>
      </c>
      <c r="T16" s="12">
        <v>300000</v>
      </c>
      <c r="U16" s="12">
        <v>287000</v>
      </c>
      <c r="V16" s="12">
        <v>296000</v>
      </c>
      <c r="W16" s="9">
        <f>S16</f>
      </c>
      <c r="X16" s="9">
        <v>960</v>
      </c>
      <c r="Y16" s="9">
        <f>C16&amp;X16</f>
      </c>
      <c r="Z16" s="9">
        <f>VLOOKUP(Y16,'Giá Uốn hiện tại'!$E:$F,2,0)</f>
      </c>
      <c r="AA16" s="9">
        <f>W16-Z16</f>
      </c>
      <c r="AB16" s="13">
        <f>AA16/Z16</f>
      </c>
    </row>
    <row customHeight="true" ht="19" r="17">
      <c r="A17" s="12">
        <v>61</v>
      </c>
      <c r="B17" s="12" t="str">
        <v>1180 Quang Trung</v>
      </c>
      <c r="C17" s="12" t="str">
        <v>1180 QT</v>
      </c>
      <c r="D17" s="12" t="str">
        <v>Hồ Chí Minh</v>
      </c>
      <c r="E17" s="12">
        <v>25</v>
      </c>
      <c r="F17" s="12" t="str">
        <v>Cụm mới (cùng tỉnh)</v>
      </c>
      <c r="G17" s="8">
        <v>0.6374</v>
      </c>
      <c r="H17" s="18" t="str">
        <v>Cao</v>
      </c>
      <c r="I17" s="8">
        <v>0.3781</v>
      </c>
      <c r="J17" s="17" t="str">
        <v>Thấp</v>
      </c>
      <c r="K17" s="12">
        <v>229000</v>
      </c>
      <c r="L17" s="14">
        <v>204000</v>
      </c>
      <c r="M17" s="14">
        <v>302000</v>
      </c>
      <c r="N17" s="8">
        <v>0.15</v>
      </c>
      <c r="O17" s="8">
        <v>0.35</v>
      </c>
      <c r="P17" s="11">
        <v>219000</v>
      </c>
      <c r="Q17" s="11">
        <v>238000</v>
      </c>
      <c r="R17" s="15" t="str">
        <v>219k - 238k</v>
      </c>
      <c r="S17" s="12">
        <v>219000</v>
      </c>
      <c r="T17" s="12">
        <v>238000</v>
      </c>
      <c r="U17" s="12">
        <v>228000</v>
      </c>
      <c r="V17" s="12">
        <v>235000</v>
      </c>
      <c r="W17" s="9">
        <f>S17</f>
      </c>
      <c r="X17" s="9">
        <v>960</v>
      </c>
      <c r="Y17" s="9">
        <f>C17&amp;X17</f>
      </c>
      <c r="Z17" s="9">
        <f>VLOOKUP(Y17,'Giá Uốn hiện tại'!$E:$F,2,0)</f>
      </c>
      <c r="AA17" s="9">
        <f>W17-Z17</f>
      </c>
      <c r="AB17" s="13">
        <f>AA17/Z17</f>
      </c>
    </row>
    <row customHeight="true" ht="19" r="18">
      <c r="A18" s="12">
        <v>63</v>
      </c>
      <c r="B18" s="12" t="str">
        <v>29 Hiệp Bình</v>
      </c>
      <c r="C18" s="12" t="str">
        <v>29 HB</v>
      </c>
      <c r="D18" s="12" t="str">
        <v>Hồ Chí Minh</v>
      </c>
      <c r="E18" s="12">
        <v>23</v>
      </c>
      <c r="F18" s="12" t="str">
        <v>Cụm mới (cùng tỉnh)</v>
      </c>
      <c r="G18" s="8">
        <v>0.5142</v>
      </c>
      <c r="H18" s="10" t="str">
        <v>Trung</v>
      </c>
      <c r="I18" s="8">
        <v>0.379</v>
      </c>
      <c r="J18" s="17" t="str">
        <v>Thấp</v>
      </c>
      <c r="K18" s="12">
        <v>218000</v>
      </c>
      <c r="L18" s="14">
        <v>203000</v>
      </c>
      <c r="M18" s="14">
        <v>300000</v>
      </c>
      <c r="N18" s="8">
        <v>0.25</v>
      </c>
      <c r="O18" s="8">
        <v>0.5</v>
      </c>
      <c r="P18" s="11">
        <v>227000</v>
      </c>
      <c r="Q18" s="11">
        <v>252000</v>
      </c>
      <c r="R18" s="15" t="str">
        <v>227k - 252k</v>
      </c>
      <c r="S18" s="12">
        <v>227000</v>
      </c>
      <c r="T18" s="12">
        <v>252000</v>
      </c>
      <c r="U18" s="12">
        <v>239000</v>
      </c>
      <c r="V18" s="12">
        <v>248000</v>
      </c>
      <c r="W18" s="9">
        <f>S18</f>
      </c>
      <c r="X18" s="9">
        <v>960</v>
      </c>
      <c r="Y18" s="9">
        <f>C18&amp;X18</f>
      </c>
      <c r="Z18" s="9">
        <f>VLOOKUP(Y18,'Giá Uốn hiện tại'!$E:$F,2,0)</f>
      </c>
      <c r="AA18" s="9">
        <f>W18-Z18</f>
      </c>
      <c r="AB18" s="13">
        <f>AA18/Z18</f>
      </c>
    </row>
    <row customHeight="true" ht="19" r="19">
      <c r="A19" s="12">
        <v>65</v>
      </c>
      <c r="B19" s="12" t="str">
        <v>255 Nguyễn An Ninh</v>
      </c>
      <c r="C19" s="12" t="str">
        <v>255 NAN</v>
      </c>
      <c r="D19" s="12" t="str">
        <v>Bình Dương</v>
      </c>
      <c r="E19" s="12">
        <v>27</v>
      </c>
      <c r="F19" s="12" t="str">
        <v>Cụm mới (cùng tỉnh)</v>
      </c>
      <c r="G19" s="8">
        <v>0.5626</v>
      </c>
      <c r="H19" s="10" t="str">
        <v>Trung</v>
      </c>
      <c r="I19" s="8">
        <v>0.3909</v>
      </c>
      <c r="J19" s="17" t="str">
        <v>Thấp</v>
      </c>
      <c r="K19" s="12">
        <v>218000</v>
      </c>
      <c r="L19" s="14">
        <v>299000</v>
      </c>
      <c r="M19" s="14">
        <v>348000</v>
      </c>
      <c r="N19" s="8">
        <v>0.25</v>
      </c>
      <c r="O19" s="8">
        <v>0.5</v>
      </c>
      <c r="P19" s="11">
        <v>311000</v>
      </c>
      <c r="Q19" s="11">
        <v>324000</v>
      </c>
      <c r="R19" s="15" t="str">
        <v>311k - 324k</v>
      </c>
      <c r="S19" s="12">
        <v>311000</v>
      </c>
      <c r="T19" s="12">
        <v>324000</v>
      </c>
      <c r="U19" s="12">
        <v>317000</v>
      </c>
      <c r="V19" s="12">
        <v>322000</v>
      </c>
      <c r="W19" s="9">
        <f>S19</f>
      </c>
      <c r="X19" s="9">
        <v>960</v>
      </c>
      <c r="Y19" s="9">
        <f>C19&amp;X19</f>
      </c>
      <c r="Z19" s="9">
        <f>VLOOKUP(Y19,'Giá Uốn hiện tại'!$E:$F,2,0)</f>
      </c>
      <c r="AA19" s="9">
        <f>W19-Z19</f>
      </c>
      <c r="AB19" s="13">
        <f>AA19/Z19</f>
      </c>
    </row>
    <row customHeight="true" ht="19" r="20">
      <c r="A20" s="12">
        <v>69</v>
      </c>
      <c r="B20" s="12" t="str">
        <v>312 Lê Văn Sỹ</v>
      </c>
      <c r="C20" s="12" t="str">
        <v>312 LVS</v>
      </c>
      <c r="D20" s="12" t="str">
        <v>Không xác định</v>
      </c>
      <c r="E20" s="12">
        <v>16</v>
      </c>
      <c r="F20" s="12" t="str">
        <v>Cụm gốc</v>
      </c>
      <c r="G20" s="8">
        <v>0.6377</v>
      </c>
      <c r="H20" s="18" t="str">
        <v>Cao</v>
      </c>
      <c r="I20" s="8">
        <v>0.4263</v>
      </c>
      <c r="J20" s="10" t="str">
        <v>Trung</v>
      </c>
      <c r="K20" s="12">
        <v>218000</v>
      </c>
      <c r="L20" s="14">
        <v>198000</v>
      </c>
      <c r="M20" s="14">
        <v>298000</v>
      </c>
      <c r="N20" s="8">
        <v>0.25</v>
      </c>
      <c r="O20" s="8">
        <v>0.45</v>
      </c>
      <c r="P20" s="11">
        <v>223000</v>
      </c>
      <c r="Q20" s="11">
        <v>243000</v>
      </c>
      <c r="R20" s="15" t="str">
        <v>223k - 243k</v>
      </c>
      <c r="S20" s="12">
        <v>223000</v>
      </c>
      <c r="T20" s="12">
        <v>243000</v>
      </c>
      <c r="U20" s="12">
        <v>233000</v>
      </c>
      <c r="V20" s="12">
        <v>240000</v>
      </c>
      <c r="W20" s="9">
        <f>S20</f>
      </c>
      <c r="X20" s="9">
        <v>960</v>
      </c>
      <c r="Y20" s="9">
        <f>C20&amp;X20</f>
      </c>
      <c r="Z20" s="9">
        <f>VLOOKUP(Y20,'Giá Uốn hiện tại'!$E:$F,2,0)</f>
      </c>
      <c r="AA20" s="9">
        <f>W20-Z20</f>
      </c>
      <c r="AB20" s="13">
        <f>AA20/Z20</f>
      </c>
    </row>
    <row customHeight="true" ht="19" r="21">
      <c r="A21" s="12">
        <v>72</v>
      </c>
      <c r="B21" s="12" t="str">
        <v>113 Trần Hưng Đạo</v>
      </c>
      <c r="C21" s="12" t="str">
        <v>113 THD AG</v>
      </c>
      <c r="D21" s="12" t="str">
        <v>An Giang</v>
      </c>
      <c r="E21" s="12" t="str"/>
      <c r="F21" s="12" t="str">
        <v>Độc lập (1 salon trong tỉnh)</v>
      </c>
      <c r="G21" s="8">
        <v>0.4261</v>
      </c>
      <c r="H21" s="10" t="str">
        <v>Trung</v>
      </c>
      <c r="I21" s="8">
        <v>0.2966</v>
      </c>
      <c r="J21" s="17" t="str">
        <v>Thấp</v>
      </c>
      <c r="K21" s="12">
        <v>218000</v>
      </c>
      <c r="L21" s="14">
        <v>201000</v>
      </c>
      <c r="M21" s="14">
        <v>251000</v>
      </c>
      <c r="N21" s="8">
        <v>0.25</v>
      </c>
      <c r="O21" s="8">
        <v>0.5</v>
      </c>
      <c r="P21" s="11">
        <v>214000</v>
      </c>
      <c r="Q21" s="11">
        <v>226000</v>
      </c>
      <c r="R21" s="15" t="str">
        <v>214k - 226k</v>
      </c>
      <c r="S21" s="12">
        <v>214000</v>
      </c>
      <c r="T21" s="12">
        <v>226000</v>
      </c>
      <c r="U21" s="12">
        <v>220000</v>
      </c>
      <c r="V21" s="12">
        <v>224000</v>
      </c>
      <c r="W21" s="9">
        <f>S21</f>
      </c>
      <c r="X21" s="9">
        <v>960</v>
      </c>
      <c r="Y21" s="9">
        <f>C21&amp;X21</f>
      </c>
      <c r="Z21" s="9">
        <f>VLOOKUP(Y21,'Giá Uốn hiện tại'!$E:$F,2,0)</f>
      </c>
      <c r="AA21" s="9">
        <f>W21-Z21</f>
      </c>
      <c r="AB21" s="13">
        <f>AA21/Z21</f>
      </c>
    </row>
    <row customHeight="true" ht="19" r="22">
      <c r="A22" s="12">
        <v>85</v>
      </c>
      <c r="B22" s="12" t="str" xml:space="preserve">
        <v> 363 Lương Ngọc Quyến</v>
      </c>
      <c r="C22" s="12" t="str">
        <v>363 LNQ TN</v>
      </c>
      <c r="D22" s="12" t="str">
        <v>Thái Nguyên</v>
      </c>
      <c r="E22" s="12" t="str"/>
      <c r="F22" s="12" t="str">
        <v>Độc lập (1 salon trong tỉnh)</v>
      </c>
      <c r="G22" s="8">
        <v>0.5119</v>
      </c>
      <c r="H22" s="10" t="str">
        <v>Trung</v>
      </c>
      <c r="I22" s="8">
        <v>0.3665</v>
      </c>
      <c r="J22" s="17" t="str">
        <v>Thấp</v>
      </c>
      <c r="K22" s="12">
        <v>218000</v>
      </c>
      <c r="L22" s="14">
        <v>297000</v>
      </c>
      <c r="M22" s="14">
        <v>497000</v>
      </c>
      <c r="N22" s="8">
        <v>0.25</v>
      </c>
      <c r="O22" s="8">
        <v>0.5</v>
      </c>
      <c r="P22" s="11">
        <v>347000</v>
      </c>
      <c r="Q22" s="11">
        <v>397000</v>
      </c>
      <c r="R22" s="15" t="str">
        <v>347k - 397k</v>
      </c>
      <c r="S22" s="12">
        <v>347000</v>
      </c>
      <c r="T22" s="12">
        <v>397000</v>
      </c>
      <c r="U22" s="12">
        <v>372000</v>
      </c>
      <c r="V22" s="12">
        <v>390000</v>
      </c>
      <c r="W22" s="9">
        <f>S22</f>
      </c>
      <c r="X22" s="9">
        <v>960</v>
      </c>
      <c r="Y22" s="9">
        <f>C22&amp;X22</f>
      </c>
      <c r="Z22" s="9">
        <f>VLOOKUP(Y22,'Giá Uốn hiện tại'!$E:$F,2,0)</f>
      </c>
      <c r="AA22" s="9">
        <f>W22-Z22</f>
      </c>
      <c r="AB22" s="13">
        <f>AA22/Z22</f>
      </c>
    </row>
    <row customHeight="true" ht="19" r="23">
      <c r="A23" s="12">
        <v>106</v>
      </c>
      <c r="B23" s="12" t="str">
        <v>76 Phan Văn Hớn</v>
      </c>
      <c r="C23" s="12" t="str">
        <v>76 PVH</v>
      </c>
      <c r="D23" s="12" t="str">
        <v>Hồ Chí Minh</v>
      </c>
      <c r="E23" s="12">
        <v>25</v>
      </c>
      <c r="F23" s="12" t="str">
        <v>Cụm mới (cùng tỉnh)</v>
      </c>
      <c r="G23" s="8">
        <v>0.4969</v>
      </c>
      <c r="H23" s="10" t="str">
        <v>Trung</v>
      </c>
      <c r="I23" s="8">
        <v>0.37</v>
      </c>
      <c r="J23" s="17" t="str">
        <v>Thấp</v>
      </c>
      <c r="K23" s="12">
        <v>218000</v>
      </c>
      <c r="L23" s="14">
        <v>204000</v>
      </c>
      <c r="M23" s="14">
        <v>302000</v>
      </c>
      <c r="N23" s="8">
        <v>0.25</v>
      </c>
      <c r="O23" s="8">
        <v>0.5</v>
      </c>
      <c r="P23" s="11">
        <v>228000</v>
      </c>
      <c r="Q23" s="11">
        <v>253000</v>
      </c>
      <c r="R23" s="15" t="str">
        <v>228k - 253k</v>
      </c>
      <c r="S23" s="12">
        <v>228000</v>
      </c>
      <c r="T23" s="12">
        <v>253000</v>
      </c>
      <c r="U23" s="12">
        <v>241000</v>
      </c>
      <c r="V23" s="12">
        <v>249000</v>
      </c>
      <c r="W23" s="9">
        <f>S23</f>
      </c>
      <c r="X23" s="9">
        <v>960</v>
      </c>
      <c r="Y23" s="9">
        <f>C23&amp;X23</f>
      </c>
      <c r="Z23" s="9">
        <f>VLOOKUP(Y23,'Giá Uốn hiện tại'!$E:$F,2,0)</f>
      </c>
      <c r="AA23" s="9">
        <f>W23-Z23</f>
      </c>
      <c r="AB23" s="13">
        <f>AA23/Z23</f>
      </c>
    </row>
    <row customHeight="true" ht="19" r="24">
      <c r="A24" s="12">
        <v>141</v>
      </c>
      <c r="B24" s="12" t="str">
        <v>236 Dương Bá Trạc</v>
      </c>
      <c r="C24" s="12" t="str">
        <v>236 DBT</v>
      </c>
      <c r="D24" s="12" t="str">
        <v>Hồ Chí Minh</v>
      </c>
      <c r="E24" s="12">
        <v>20</v>
      </c>
      <c r="F24" s="12" t="str">
        <v>Cụm gốc</v>
      </c>
      <c r="G24" s="8">
        <v>0.6503</v>
      </c>
      <c r="H24" s="18" t="str">
        <v>Cao</v>
      </c>
      <c r="I24" s="8">
        <v>0.4151</v>
      </c>
      <c r="J24" s="10" t="str">
        <v>Trung</v>
      </c>
      <c r="K24" s="12">
        <v>218000</v>
      </c>
      <c r="L24" s="14">
        <v>203000</v>
      </c>
      <c r="M24" s="14">
        <v>301000</v>
      </c>
      <c r="N24" s="8">
        <v>0.25</v>
      </c>
      <c r="O24" s="8">
        <v>0.45</v>
      </c>
      <c r="P24" s="11">
        <v>228000</v>
      </c>
      <c r="Q24" s="11">
        <v>247000</v>
      </c>
      <c r="R24" s="15" t="str">
        <v>228k - 247k</v>
      </c>
      <c r="S24" s="12">
        <v>228000</v>
      </c>
      <c r="T24" s="12">
        <v>247000</v>
      </c>
      <c r="U24" s="12">
        <v>237000</v>
      </c>
      <c r="V24" s="12">
        <v>244000</v>
      </c>
      <c r="W24" s="9">
        <f>S24</f>
      </c>
      <c r="X24" s="9">
        <v>960</v>
      </c>
      <c r="Y24" s="9">
        <f>C24&amp;X24</f>
      </c>
      <c r="Z24" s="9">
        <f>VLOOKUP(Y24,'Giá Uốn hiện tại'!$E:$F,2,0)</f>
      </c>
      <c r="AA24" s="9">
        <f>W24-Z24</f>
      </c>
      <c r="AB24" s="13">
        <f>AA24/Z24</f>
      </c>
    </row>
    <row customHeight="true" ht="19" r="25">
      <c r="A25" s="12">
        <v>143</v>
      </c>
      <c r="B25" s="12" t="str">
        <v>10 Trần Phú</v>
      </c>
      <c r="C25" s="12" t="str">
        <v>10 TP</v>
      </c>
      <c r="D25" s="12" t="str">
        <v>Hà Nội</v>
      </c>
      <c r="E25" s="12">
        <v>7</v>
      </c>
      <c r="F25" s="12" t="str">
        <v>Cụm gốc</v>
      </c>
      <c r="G25" s="8">
        <v>0.6802</v>
      </c>
      <c r="H25" s="18" t="str">
        <v>Cao</v>
      </c>
      <c r="I25" s="8">
        <v>0.446</v>
      </c>
      <c r="J25" s="10" t="str">
        <v>Trung</v>
      </c>
      <c r="K25" s="12">
        <v>218000</v>
      </c>
      <c r="L25" s="14">
        <v>201000</v>
      </c>
      <c r="M25" s="14">
        <v>298000</v>
      </c>
      <c r="N25" s="8">
        <v>0.25</v>
      </c>
      <c r="O25" s="8">
        <v>0.45</v>
      </c>
      <c r="P25" s="11">
        <v>225000</v>
      </c>
      <c r="Q25" s="11">
        <v>245000</v>
      </c>
      <c r="R25" s="15" t="str">
        <v>225k - 245k</v>
      </c>
      <c r="S25" s="12">
        <v>225000</v>
      </c>
      <c r="T25" s="12">
        <v>245000</v>
      </c>
      <c r="U25" s="12">
        <v>235000</v>
      </c>
      <c r="V25" s="12">
        <v>242000</v>
      </c>
      <c r="W25" s="9">
        <f>S25</f>
      </c>
      <c r="X25" s="9">
        <v>960</v>
      </c>
      <c r="Y25" s="9">
        <f>C25&amp;X25</f>
      </c>
      <c r="Z25" s="9">
        <f>VLOOKUP(Y25,'Giá Uốn hiện tại'!$E:$F,2,0)</f>
      </c>
      <c r="AA25" s="9">
        <f>W25-Z25</f>
      </c>
      <c r="AB25" s="13">
        <f>AA25/Z25</f>
      </c>
    </row>
    <row customHeight="true" ht="19" r="26">
      <c r="A26" s="12">
        <v>144</v>
      </c>
      <c r="B26" s="12" t="str">
        <v>168 Nguyễn Văn Cừ</v>
      </c>
      <c r="C26" s="12" t="str">
        <v>168 NVC</v>
      </c>
      <c r="D26" s="12" t="str">
        <v>Hà Nội</v>
      </c>
      <c r="E26" s="12">
        <v>29</v>
      </c>
      <c r="F26" s="12" t="str">
        <v>Cụm mới (cùng tỉnh)</v>
      </c>
      <c r="G26" s="8">
        <v>0.5388</v>
      </c>
      <c r="H26" s="10" t="str">
        <v>Trung</v>
      </c>
      <c r="I26" s="8">
        <v>0.4732</v>
      </c>
      <c r="J26" s="18" t="str">
        <v>Cao</v>
      </c>
      <c r="K26" s="12">
        <v>229000</v>
      </c>
      <c r="L26" s="14">
        <v>204000</v>
      </c>
      <c r="M26" s="14">
        <v>401000</v>
      </c>
      <c r="N26" s="8">
        <v>0.55</v>
      </c>
      <c r="O26" s="8">
        <v>0.8</v>
      </c>
      <c r="P26" s="11">
        <v>312000</v>
      </c>
      <c r="Q26" s="11">
        <v>362000</v>
      </c>
      <c r="R26" s="15" t="str">
        <v>312k - 362k</v>
      </c>
      <c r="S26" s="12">
        <v>312000</v>
      </c>
      <c r="T26" s="12">
        <v>362000</v>
      </c>
      <c r="U26" s="12">
        <v>337000</v>
      </c>
      <c r="V26" s="12">
        <v>354000</v>
      </c>
      <c r="W26" s="9">
        <f>S26</f>
      </c>
      <c r="X26" s="9">
        <v>960</v>
      </c>
      <c r="Y26" s="9">
        <f>C26&amp;X26</f>
      </c>
      <c r="Z26" s="9">
        <f>VLOOKUP(Y26,'Giá Uốn hiện tại'!$E:$F,2,0)</f>
      </c>
      <c r="AA26" s="9">
        <f>W26-Z26</f>
      </c>
      <c r="AB26" s="13">
        <f>AA26/Z26</f>
      </c>
    </row>
    <row customHeight="true" ht="19" r="27">
      <c r="A27" s="12">
        <v>145</v>
      </c>
      <c r="B27" s="12" t="str">
        <v>237 Nguyễn Thị Thập</v>
      </c>
      <c r="C27" s="12" t="str">
        <v>237 NTT</v>
      </c>
      <c r="D27" s="12" t="str">
        <v>Hồ Chí Minh</v>
      </c>
      <c r="E27" s="12">
        <v>21</v>
      </c>
      <c r="F27" s="12" t="str">
        <v>Cụm gốc</v>
      </c>
      <c r="G27" s="8">
        <v>0.7782</v>
      </c>
      <c r="H27" s="18" t="str">
        <v>Cao</v>
      </c>
      <c r="I27" s="8">
        <v>0.4394</v>
      </c>
      <c r="J27" s="10" t="str">
        <v>Trung</v>
      </c>
      <c r="K27" s="12">
        <v>214000</v>
      </c>
      <c r="L27" s="14">
        <v>203000</v>
      </c>
      <c r="M27" s="14">
        <v>299000</v>
      </c>
      <c r="N27" s="8">
        <v>0.25</v>
      </c>
      <c r="O27" s="8">
        <v>0.45</v>
      </c>
      <c r="P27" s="11">
        <v>227000</v>
      </c>
      <c r="Q27" s="11">
        <v>246000</v>
      </c>
      <c r="R27" s="15" t="str">
        <v>227k - 246k</v>
      </c>
      <c r="S27" s="12">
        <v>227000</v>
      </c>
      <c r="T27" s="12">
        <v>246000</v>
      </c>
      <c r="U27" s="12">
        <v>237000</v>
      </c>
      <c r="V27" s="12">
        <v>243000</v>
      </c>
      <c r="W27" s="9">
        <f>S27</f>
      </c>
      <c r="X27" s="9">
        <v>960</v>
      </c>
      <c r="Y27" s="9">
        <f>C27&amp;X27</f>
      </c>
      <c r="Z27" s="9">
        <f>VLOOKUP(Y27,'Giá Uốn hiện tại'!$E:$F,2,0)</f>
      </c>
      <c r="AA27" s="9">
        <f>W27-Z27</f>
      </c>
      <c r="AB27" s="13">
        <f>AA27/Z27</f>
      </c>
    </row>
    <row customHeight="true" ht="19" r="28">
      <c r="A28" s="12">
        <v>146</v>
      </c>
      <c r="B28" s="12" t="str">
        <v>109 Trần Quốc Hoàn</v>
      </c>
      <c r="C28" s="12" t="str">
        <v>109 TQH</v>
      </c>
      <c r="D28" s="12" t="str">
        <v>Hà Nội</v>
      </c>
      <c r="E28" s="12">
        <v>1</v>
      </c>
      <c r="F28" s="12" t="str">
        <v>Cụm gốc</v>
      </c>
      <c r="G28" s="8">
        <v>0.6773</v>
      </c>
      <c r="H28" s="18" t="str">
        <v>Cao</v>
      </c>
      <c r="I28" s="8">
        <v>0.4359</v>
      </c>
      <c r="J28" s="10" t="str">
        <v>Trung</v>
      </c>
      <c r="K28" s="12">
        <v>218000</v>
      </c>
      <c r="L28" s="14">
        <v>250000</v>
      </c>
      <c r="M28" s="14">
        <v>346000</v>
      </c>
      <c r="N28" s="8">
        <v>0.25</v>
      </c>
      <c r="O28" s="8">
        <v>0.45</v>
      </c>
      <c r="P28" s="11">
        <v>274000</v>
      </c>
      <c r="Q28" s="11">
        <v>293000</v>
      </c>
      <c r="R28" s="15" t="str">
        <v>274k - 293k</v>
      </c>
      <c r="S28" s="12">
        <v>274000</v>
      </c>
      <c r="T28" s="12">
        <v>293000</v>
      </c>
      <c r="U28" s="12">
        <v>284000</v>
      </c>
      <c r="V28" s="12">
        <v>290000</v>
      </c>
      <c r="W28" s="9">
        <f>S28</f>
      </c>
      <c r="X28" s="9">
        <v>960</v>
      </c>
      <c r="Y28" s="9">
        <f>C28&amp;X28</f>
      </c>
      <c r="Z28" s="9">
        <f>VLOOKUP(Y28,'Giá Uốn hiện tại'!$E:$F,2,0)</f>
      </c>
      <c r="AA28" s="9">
        <f>W28-Z28</f>
      </c>
      <c r="AB28" s="13">
        <f>AA28/Z28</f>
      </c>
    </row>
    <row customHeight="true" ht="19" r="29">
      <c r="A29" s="12">
        <v>147</v>
      </c>
      <c r="B29" s="12" t="str">
        <v>99 Tân Sơn Nhì</v>
      </c>
      <c r="C29" s="12" t="str">
        <v>99 TSN</v>
      </c>
      <c r="D29" s="12" t="str">
        <v>Hồ Chí Minh</v>
      </c>
      <c r="E29" s="12">
        <v>18</v>
      </c>
      <c r="F29" s="12" t="str">
        <v>Cụm gốc</v>
      </c>
      <c r="G29" s="8">
        <v>0.6664</v>
      </c>
      <c r="H29" s="18" t="str">
        <v>Cao</v>
      </c>
      <c r="I29" s="8">
        <v>0.4415</v>
      </c>
      <c r="J29" s="10" t="str">
        <v>Trung</v>
      </c>
      <c r="K29" s="12">
        <v>218000</v>
      </c>
      <c r="L29" s="14">
        <v>200000</v>
      </c>
      <c r="M29" s="14">
        <v>299000</v>
      </c>
      <c r="N29" s="8">
        <v>0.25</v>
      </c>
      <c r="O29" s="8">
        <v>0.45</v>
      </c>
      <c r="P29" s="11">
        <v>225000</v>
      </c>
      <c r="Q29" s="11">
        <v>245000</v>
      </c>
      <c r="R29" s="15" t="str">
        <v>225k - 245k</v>
      </c>
      <c r="S29" s="12">
        <v>225000</v>
      </c>
      <c r="T29" s="12">
        <v>245000</v>
      </c>
      <c r="U29" s="12">
        <v>235000</v>
      </c>
      <c r="V29" s="12">
        <v>242000</v>
      </c>
      <c r="W29" s="9">
        <f>S29</f>
      </c>
      <c r="X29" s="9">
        <v>960</v>
      </c>
      <c r="Y29" s="9">
        <f>C29&amp;X29</f>
      </c>
      <c r="Z29" s="9">
        <f>VLOOKUP(Y29,'Giá Uốn hiện tại'!$E:$F,2,0)</f>
      </c>
      <c r="AA29" s="9">
        <f>W29-Z29</f>
      </c>
      <c r="AB29" s="13">
        <f>AA29/Z29</f>
      </c>
    </row>
    <row customHeight="true" ht="19" r="30">
      <c r="A30" s="12">
        <v>182</v>
      </c>
      <c r="B30" s="12" t="str">
        <v>186 Đinh Tiên Hoàng</v>
      </c>
      <c r="C30" s="12" t="str">
        <v>186 DTH</v>
      </c>
      <c r="D30" s="12" t="str">
        <v>Hồ Chí Minh</v>
      </c>
      <c r="E30" s="12">
        <v>24</v>
      </c>
      <c r="F30" s="12" t="str">
        <v>Cụm mới (cùng tỉnh)</v>
      </c>
      <c r="G30" s="8">
        <v>0.6312</v>
      </c>
      <c r="H30" s="18" t="str">
        <v>Cao</v>
      </c>
      <c r="I30" s="8">
        <v>0.4414</v>
      </c>
      <c r="J30" s="10" t="str">
        <v>Trung</v>
      </c>
      <c r="K30" s="12">
        <v>218000</v>
      </c>
      <c r="L30" s="14">
        <v>203000</v>
      </c>
      <c r="M30" s="14">
        <v>299000</v>
      </c>
      <c r="N30" s="8">
        <v>0.25</v>
      </c>
      <c r="O30" s="8">
        <v>0.45</v>
      </c>
      <c r="P30" s="11">
        <v>227000</v>
      </c>
      <c r="Q30" s="11">
        <v>246000</v>
      </c>
      <c r="R30" s="15" t="str">
        <v>227k - 246k</v>
      </c>
      <c r="S30" s="12">
        <v>227000</v>
      </c>
      <c r="T30" s="12">
        <v>246000</v>
      </c>
      <c r="U30" s="12">
        <v>237000</v>
      </c>
      <c r="V30" s="12">
        <v>243000</v>
      </c>
      <c r="W30" s="9">
        <f>S30</f>
      </c>
      <c r="X30" s="9">
        <v>960</v>
      </c>
      <c r="Y30" s="9">
        <f>C30&amp;X30</f>
      </c>
      <c r="Z30" s="9">
        <f>VLOOKUP(Y30,'Giá Uốn hiện tại'!$E:$F,2,0)</f>
      </c>
      <c r="AA30" s="9">
        <f>W30-Z30</f>
      </c>
      <c r="AB30" s="13">
        <f>AA30/Z30</f>
      </c>
    </row>
    <row customHeight="true" ht="19" r="31">
      <c r="A31" s="12">
        <v>184</v>
      </c>
      <c r="B31" s="12" t="str">
        <v>36 đường N1, KCN Mỹ Phước 1</v>
      </c>
      <c r="C31" s="12" t="str">
        <v>36 N1 BD</v>
      </c>
      <c r="D31" s="12" t="str">
        <v>Bình Dương</v>
      </c>
      <c r="E31" s="12">
        <v>27</v>
      </c>
      <c r="F31" s="12" t="str">
        <v>Cụm mới (cùng tỉnh)</v>
      </c>
      <c r="G31" s="8">
        <v>0.553</v>
      </c>
      <c r="H31" s="10" t="str">
        <v>Trung</v>
      </c>
      <c r="I31" s="8">
        <v>0.3126</v>
      </c>
      <c r="J31" s="17" t="str">
        <v>Thấp</v>
      </c>
      <c r="K31" s="12">
        <v>218000</v>
      </c>
      <c r="L31" s="14">
        <v>299000</v>
      </c>
      <c r="M31" s="14">
        <v>348000</v>
      </c>
      <c r="N31" s="8">
        <v>0.25</v>
      </c>
      <c r="O31" s="8">
        <v>0.5</v>
      </c>
      <c r="P31" s="11">
        <v>311000</v>
      </c>
      <c r="Q31" s="11">
        <v>324000</v>
      </c>
      <c r="R31" s="15" t="str">
        <v>311k - 324k</v>
      </c>
      <c r="S31" s="12">
        <v>311000</v>
      </c>
      <c r="T31" s="12">
        <v>324000</v>
      </c>
      <c r="U31" s="12">
        <v>317000</v>
      </c>
      <c r="V31" s="12">
        <v>322000</v>
      </c>
      <c r="W31" s="9">
        <f>S31</f>
      </c>
      <c r="X31" s="9">
        <v>960</v>
      </c>
      <c r="Y31" s="9">
        <f>C31&amp;X31</f>
      </c>
      <c r="Z31" s="9">
        <f>VLOOKUP(Y31,'Giá Uốn hiện tại'!$E:$F,2,0)</f>
      </c>
      <c r="AA31" s="9">
        <f>W31-Z31</f>
      </c>
      <c r="AB31" s="13">
        <f>AA31/Z31</f>
      </c>
    </row>
    <row customHeight="true" ht="19" r="32">
      <c r="A32" s="12">
        <v>188</v>
      </c>
      <c r="B32" s="12" t="str">
        <v>190 Hòa Bình</v>
      </c>
      <c r="C32" s="12" t="str">
        <v>190 HB</v>
      </c>
      <c r="D32" s="12" t="str">
        <v>Hồ Chí Minh</v>
      </c>
      <c r="E32" s="12">
        <v>22</v>
      </c>
      <c r="F32" s="12" t="str">
        <v>Cụm mới (cùng tỉnh)</v>
      </c>
      <c r="G32" s="8">
        <v>0.6785</v>
      </c>
      <c r="H32" s="18" t="str">
        <v>Cao</v>
      </c>
      <c r="I32" s="8">
        <v>0.412</v>
      </c>
      <c r="J32" s="17" t="str">
        <v>Thấp</v>
      </c>
      <c r="K32" s="12">
        <v>218000</v>
      </c>
      <c r="L32" s="14">
        <v>201000</v>
      </c>
      <c r="M32" s="14">
        <v>299000</v>
      </c>
      <c r="N32" s="8">
        <v>0.15</v>
      </c>
      <c r="O32" s="8">
        <v>0.35</v>
      </c>
      <c r="P32" s="11">
        <v>216000</v>
      </c>
      <c r="Q32" s="11">
        <v>235000</v>
      </c>
      <c r="R32" s="15" t="str">
        <v>216k - 235k</v>
      </c>
      <c r="S32" s="12">
        <v>216000</v>
      </c>
      <c r="T32" s="12">
        <v>235000</v>
      </c>
      <c r="U32" s="12">
        <v>226000</v>
      </c>
      <c r="V32" s="12">
        <v>232000</v>
      </c>
      <c r="W32" s="9">
        <f>S32</f>
      </c>
      <c r="X32" s="9">
        <v>960</v>
      </c>
      <c r="Y32" s="9">
        <f>C32&amp;X32</f>
      </c>
      <c r="Z32" s="9">
        <f>VLOOKUP(Y32,'Giá Uốn hiện tại'!$E:$F,2,0)</f>
      </c>
      <c r="AA32" s="9">
        <f>W32-Z32</f>
      </c>
      <c r="AB32" s="13">
        <f>AA32/Z32</f>
      </c>
    </row>
    <row customHeight="true" ht="19" r="33">
      <c r="A33" s="12">
        <v>192</v>
      </c>
      <c r="B33" s="12" t="str">
        <v>264 Lạc Long Quân</v>
      </c>
      <c r="C33" s="12" t="str">
        <v>264 LLQ</v>
      </c>
      <c r="D33" s="12" t="str">
        <v>Hà Nội</v>
      </c>
      <c r="E33" s="12">
        <v>29</v>
      </c>
      <c r="F33" s="12" t="str">
        <v>Cụm mới (cùng tỉnh)</v>
      </c>
      <c r="G33" s="8">
        <v>0.5709</v>
      </c>
      <c r="H33" s="10" t="str">
        <v>Trung</v>
      </c>
      <c r="I33" s="8">
        <v>0.4294</v>
      </c>
      <c r="J33" s="10" t="str">
        <v>Trung</v>
      </c>
      <c r="K33" s="12">
        <v>229000</v>
      </c>
      <c r="L33" s="14">
        <v>204000</v>
      </c>
      <c r="M33" s="14">
        <v>401000</v>
      </c>
      <c r="N33" s="8">
        <v>0.4</v>
      </c>
      <c r="O33" s="8">
        <v>0.65</v>
      </c>
      <c r="P33" s="11">
        <v>283000</v>
      </c>
      <c r="Q33" s="11">
        <v>332000</v>
      </c>
      <c r="R33" s="15" t="str">
        <v>283k - 332k</v>
      </c>
      <c r="S33" s="12">
        <v>283000</v>
      </c>
      <c r="T33" s="12">
        <v>332000</v>
      </c>
      <c r="U33" s="12">
        <v>307000</v>
      </c>
      <c r="V33" s="12">
        <v>325000</v>
      </c>
      <c r="W33" s="9">
        <f>S33</f>
      </c>
      <c r="X33" s="9">
        <v>960</v>
      </c>
      <c r="Y33" s="9">
        <f>C33&amp;X33</f>
      </c>
      <c r="Z33" s="9">
        <f>VLOOKUP(Y33,'Giá Uốn hiện tại'!$E:$F,2,0)</f>
      </c>
      <c r="AA33" s="9">
        <f>W33-Z33</f>
      </c>
      <c r="AB33" s="13">
        <f>AA33/Z33</f>
      </c>
    </row>
    <row customHeight="true" ht="19" r="34">
      <c r="A34" s="12">
        <v>193</v>
      </c>
      <c r="B34" s="12" t="str">
        <v>145 Tô Hiến Thành</v>
      </c>
      <c r="C34" s="12" t="str">
        <v>145 THT</v>
      </c>
      <c r="D34" s="12" t="str">
        <v>Hồ Chí Minh</v>
      </c>
      <c r="E34" s="12">
        <v>19</v>
      </c>
      <c r="F34" s="12" t="str">
        <v>Cụm gốc</v>
      </c>
      <c r="G34" s="8">
        <v>0.5476</v>
      </c>
      <c r="H34" s="10" t="str">
        <v>Trung</v>
      </c>
      <c r="I34" s="8">
        <v>0.4086</v>
      </c>
      <c r="J34" s="17" t="str">
        <v>Thấp</v>
      </c>
      <c r="K34" s="12">
        <v>218000</v>
      </c>
      <c r="L34" s="14">
        <v>202000</v>
      </c>
      <c r="M34" s="14">
        <v>300000</v>
      </c>
      <c r="N34" s="8">
        <v>0.25</v>
      </c>
      <c r="O34" s="8">
        <v>0.5</v>
      </c>
      <c r="P34" s="11">
        <v>226000</v>
      </c>
      <c r="Q34" s="11">
        <v>251000</v>
      </c>
      <c r="R34" s="15" t="str">
        <v>226k - 251k</v>
      </c>
      <c r="S34" s="12">
        <v>226000</v>
      </c>
      <c r="T34" s="12">
        <v>251000</v>
      </c>
      <c r="U34" s="12">
        <v>239000</v>
      </c>
      <c r="V34" s="12">
        <v>247000</v>
      </c>
      <c r="W34" s="9">
        <f>S34</f>
      </c>
      <c r="X34" s="9">
        <v>960</v>
      </c>
      <c r="Y34" s="9">
        <f>C34&amp;X34</f>
      </c>
      <c r="Z34" s="9">
        <f>VLOOKUP(Y34,'Giá Uốn hiện tại'!$E:$F,2,0)</f>
      </c>
      <c r="AA34" s="9">
        <f>W34-Z34</f>
      </c>
      <c r="AB34" s="13">
        <f>AA34/Z34</f>
      </c>
    </row>
    <row customHeight="true" ht="19" r="35">
      <c r="A35" s="12">
        <v>194</v>
      </c>
      <c r="B35" s="12" t="str">
        <v>90 Nguyễn Hoàng</v>
      </c>
      <c r="C35" s="12" t="str">
        <v>90 NH</v>
      </c>
      <c r="D35" s="12" t="str">
        <v>Hà Nội</v>
      </c>
      <c r="E35" s="12">
        <v>30</v>
      </c>
      <c r="F35" s="12" t="str">
        <v>Cụm mới (cùng tỉnh)</v>
      </c>
      <c r="G35" s="8">
        <v>0.5705</v>
      </c>
      <c r="H35" s="10" t="str">
        <v>Trung</v>
      </c>
      <c r="I35" s="8">
        <v>0.4028</v>
      </c>
      <c r="J35" s="17" t="str">
        <v>Thấp</v>
      </c>
      <c r="K35" s="12">
        <v>218000</v>
      </c>
      <c r="L35" s="14">
        <v>204000</v>
      </c>
      <c r="M35" s="14">
        <v>347000</v>
      </c>
      <c r="N35" s="8">
        <v>0.25</v>
      </c>
      <c r="O35" s="8">
        <v>0.5</v>
      </c>
      <c r="P35" s="11">
        <v>240000</v>
      </c>
      <c r="Q35" s="11">
        <v>276000</v>
      </c>
      <c r="R35" s="15" t="str">
        <v>240k - 276k</v>
      </c>
      <c r="S35" s="12">
        <v>240000</v>
      </c>
      <c r="T35" s="12">
        <v>276000</v>
      </c>
      <c r="U35" s="12">
        <v>258000</v>
      </c>
      <c r="V35" s="12">
        <v>270000</v>
      </c>
      <c r="W35" s="9">
        <f>S35</f>
      </c>
      <c r="X35" s="9">
        <v>960</v>
      </c>
      <c r="Y35" s="9">
        <f>C35&amp;X35</f>
      </c>
      <c r="Z35" s="9">
        <f>VLOOKUP(Y35,'Giá Uốn hiện tại'!$E:$F,2,0)</f>
      </c>
      <c r="AA35" s="9">
        <f>W35-Z35</f>
      </c>
      <c r="AB35" s="13">
        <f>AA35/Z35</f>
      </c>
    </row>
    <row customHeight="true" ht="19" r="36">
      <c r="A36" s="12">
        <v>196</v>
      </c>
      <c r="B36" s="12" t="str">
        <v>202 Đội Cấn</v>
      </c>
      <c r="C36" s="12" t="str">
        <v>202 DC</v>
      </c>
      <c r="D36" s="12" t="str">
        <v>Hà Nội</v>
      </c>
      <c r="E36" s="12">
        <v>29</v>
      </c>
      <c r="F36" s="12" t="str">
        <v>Cụm mới (cùng tỉnh)</v>
      </c>
      <c r="G36" s="8">
        <v>0.6433</v>
      </c>
      <c r="H36" s="18" t="str">
        <v>Cao</v>
      </c>
      <c r="I36" s="8">
        <v>0.4706</v>
      </c>
      <c r="J36" s="18" t="str">
        <v>Cao</v>
      </c>
      <c r="K36" s="12">
        <v>229000</v>
      </c>
      <c r="L36" s="14">
        <v>204000</v>
      </c>
      <c r="M36" s="14">
        <v>401000</v>
      </c>
      <c r="N36" s="8">
        <v>0.35</v>
      </c>
      <c r="O36" s="8">
        <v>0.55</v>
      </c>
      <c r="P36" s="11">
        <v>273000</v>
      </c>
      <c r="Q36" s="11">
        <v>312000</v>
      </c>
      <c r="R36" s="15" t="str">
        <v>273k - 312k</v>
      </c>
      <c r="S36" s="12">
        <v>273000</v>
      </c>
      <c r="T36" s="12">
        <v>312000</v>
      </c>
      <c r="U36" s="12">
        <v>293000</v>
      </c>
      <c r="V36" s="12">
        <v>306000</v>
      </c>
      <c r="W36" s="9">
        <f>S36</f>
      </c>
      <c r="X36" s="9">
        <v>960</v>
      </c>
      <c r="Y36" s="9">
        <f>C36&amp;X36</f>
      </c>
      <c r="Z36" s="9">
        <f>VLOOKUP(Y36,'Giá Uốn hiện tại'!$E:$F,2,0)</f>
      </c>
      <c r="AA36" s="9">
        <f>W36-Z36</f>
      </c>
      <c r="AB36" s="13">
        <f>AA36/Z36</f>
      </c>
    </row>
    <row customHeight="true" ht="19" r="37">
      <c r="A37" s="12">
        <v>197</v>
      </c>
      <c r="B37" s="12" t="str">
        <v>65 Cầu Diễn</v>
      </c>
      <c r="C37" s="12" t="str">
        <v>65 CD</v>
      </c>
      <c r="D37" s="12" t="str">
        <v>Hà Nội</v>
      </c>
      <c r="E37" s="12">
        <v>30</v>
      </c>
      <c r="F37" s="12" t="str">
        <v>Cụm mới (cùng tỉnh)</v>
      </c>
      <c r="G37" s="8">
        <v>0.5089</v>
      </c>
      <c r="H37" s="10" t="str">
        <v>Trung</v>
      </c>
      <c r="I37" s="8">
        <v>0.3908</v>
      </c>
      <c r="J37" s="17" t="str">
        <v>Thấp</v>
      </c>
      <c r="K37" s="12">
        <v>218000</v>
      </c>
      <c r="L37" s="14">
        <v>204000</v>
      </c>
      <c r="M37" s="14">
        <v>347000</v>
      </c>
      <c r="N37" s="8">
        <v>0.25</v>
      </c>
      <c r="O37" s="8">
        <v>0.5</v>
      </c>
      <c r="P37" s="11">
        <v>240000</v>
      </c>
      <c r="Q37" s="11">
        <v>276000</v>
      </c>
      <c r="R37" s="15" t="str">
        <v>240k - 276k</v>
      </c>
      <c r="S37" s="12">
        <v>240000</v>
      </c>
      <c r="T37" s="12">
        <v>276000</v>
      </c>
      <c r="U37" s="12">
        <v>258000</v>
      </c>
      <c r="V37" s="12">
        <v>270000</v>
      </c>
      <c r="W37" s="9">
        <f>S37</f>
      </c>
      <c r="X37" s="9">
        <v>960</v>
      </c>
      <c r="Y37" s="9">
        <f>C37&amp;X37</f>
      </c>
      <c r="Z37" s="9">
        <f>VLOOKUP(Y37,'Giá Uốn hiện tại'!$E:$F,2,0)</f>
      </c>
      <c r="AA37" s="9">
        <f>W37-Z37</f>
      </c>
      <c r="AB37" s="13">
        <f>AA37/Z37</f>
      </c>
    </row>
    <row customHeight="true" ht="19" r="38">
      <c r="A38" s="12">
        <v>199</v>
      </c>
      <c r="B38" s="12" t="str">
        <v>7 Đỗ Tường Phong</v>
      </c>
      <c r="C38" s="12" t="str">
        <v>7 DTP LA</v>
      </c>
      <c r="D38" s="12" t="str">
        <v>Long An</v>
      </c>
      <c r="E38" s="12" t="str"/>
      <c r="F38" s="12" t="str">
        <v>Độc lập (1 salon trong tỉnh)</v>
      </c>
      <c r="G38" s="8">
        <v>0.5319</v>
      </c>
      <c r="H38" s="10" t="str">
        <v>Trung</v>
      </c>
      <c r="I38" s="8">
        <v>0.3842</v>
      </c>
      <c r="J38" s="17" t="str">
        <v>Thấp</v>
      </c>
      <c r="K38" s="12">
        <v>218000</v>
      </c>
      <c r="L38" s="14">
        <v>153000</v>
      </c>
      <c r="M38" s="14">
        <v>298000</v>
      </c>
      <c r="N38" s="8">
        <v>0.25</v>
      </c>
      <c r="O38" s="8">
        <v>0.5</v>
      </c>
      <c r="P38" s="11">
        <v>189000</v>
      </c>
      <c r="Q38" s="11">
        <v>226000</v>
      </c>
      <c r="R38" s="15" t="str">
        <v>189k - 226k</v>
      </c>
      <c r="S38" s="12">
        <v>189000</v>
      </c>
      <c r="T38" s="12">
        <v>226000</v>
      </c>
      <c r="U38" s="12">
        <v>207000</v>
      </c>
      <c r="V38" s="12">
        <v>220000</v>
      </c>
      <c r="W38" s="9">
        <f>S38</f>
      </c>
      <c r="X38" s="9">
        <v>960</v>
      </c>
      <c r="Y38" s="9">
        <f>C38&amp;X38</f>
      </c>
      <c r="Z38" s="9">
        <f>VLOOKUP(Y38,'Giá Uốn hiện tại'!$E:$F,2,0)</f>
      </c>
      <c r="AA38" s="9">
        <f>W38-Z38</f>
      </c>
      <c r="AB38" s="13">
        <f>AA38/Z38</f>
      </c>
    </row>
    <row customHeight="true" ht="19" r="39">
      <c r="A39" s="12">
        <v>204</v>
      </c>
      <c r="B39" s="12" t="str">
        <v>401/1 Nguyễn Duy Trinh</v>
      </c>
      <c r="C39" s="12" t="str">
        <v>401/1 NDT</v>
      </c>
      <c r="D39" s="12" t="str">
        <v>Hồ Chí Minh</v>
      </c>
      <c r="E39" s="12">
        <v>23</v>
      </c>
      <c r="F39" s="12" t="str">
        <v>Cụm mới (cùng tỉnh)</v>
      </c>
      <c r="G39" s="8">
        <v>0.5599</v>
      </c>
      <c r="H39" s="10" t="str">
        <v>Trung</v>
      </c>
      <c r="I39" s="8">
        <v>0.3979</v>
      </c>
      <c r="J39" s="17" t="str">
        <v>Thấp</v>
      </c>
      <c r="K39" s="12">
        <v>218000</v>
      </c>
      <c r="L39" s="14">
        <v>203000</v>
      </c>
      <c r="M39" s="14">
        <v>300000</v>
      </c>
      <c r="N39" s="8">
        <v>0.25</v>
      </c>
      <c r="O39" s="8">
        <v>0.5</v>
      </c>
      <c r="P39" s="11">
        <v>227000</v>
      </c>
      <c r="Q39" s="11">
        <v>252000</v>
      </c>
      <c r="R39" s="15" t="str">
        <v>227k - 252k</v>
      </c>
      <c r="S39" s="12">
        <v>227000</v>
      </c>
      <c r="T39" s="12">
        <v>252000</v>
      </c>
      <c r="U39" s="12">
        <v>239000</v>
      </c>
      <c r="V39" s="12">
        <v>248000</v>
      </c>
      <c r="W39" s="9">
        <f>S39</f>
      </c>
      <c r="X39" s="9">
        <v>960</v>
      </c>
      <c r="Y39" s="9">
        <f>C39&amp;X39</f>
      </c>
      <c r="Z39" s="9">
        <f>VLOOKUP(Y39,'Giá Uốn hiện tại'!$E:$F,2,0)</f>
      </c>
      <c r="AA39" s="9">
        <f>W39-Z39</f>
      </c>
      <c r="AB39" s="13">
        <f>AA39/Z39</f>
      </c>
    </row>
    <row customHeight="true" ht="19" r="40">
      <c r="A40" s="12">
        <v>205</v>
      </c>
      <c r="B40" s="12" t="str">
        <v>341 Xô Viết Nghệ Tĩnh</v>
      </c>
      <c r="C40" s="12" t="str">
        <v>341 XVNT</v>
      </c>
      <c r="D40" s="12" t="str">
        <v>Hồ Chí Minh</v>
      </c>
      <c r="E40" s="12">
        <v>17</v>
      </c>
      <c r="F40" s="12" t="str">
        <v>Cụm gốc</v>
      </c>
      <c r="G40" s="8">
        <v>0.6578</v>
      </c>
      <c r="H40" s="18" t="str">
        <v>Cao</v>
      </c>
      <c r="I40" s="8">
        <v>0.3726</v>
      </c>
      <c r="J40" s="17" t="str">
        <v>Thấp</v>
      </c>
      <c r="K40" s="12">
        <v>218000</v>
      </c>
      <c r="L40" s="14">
        <v>297000</v>
      </c>
      <c r="M40" s="14">
        <v>320000</v>
      </c>
      <c r="N40" s="8">
        <v>0.15</v>
      </c>
      <c r="O40" s="8">
        <v>0.35</v>
      </c>
      <c r="P40" s="11">
        <v>300000</v>
      </c>
      <c r="Q40" s="11">
        <v>305000</v>
      </c>
      <c r="R40" s="15" t="str">
        <v>300k - 305k</v>
      </c>
      <c r="S40" s="12">
        <v>300000</v>
      </c>
      <c r="T40" s="12">
        <v>305000</v>
      </c>
      <c r="U40" s="12">
        <v>303000</v>
      </c>
      <c r="V40" s="12">
        <v>304000</v>
      </c>
      <c r="W40" s="9">
        <f>S40</f>
      </c>
      <c r="X40" s="9">
        <v>960</v>
      </c>
      <c r="Y40" s="9">
        <f>C40&amp;X40</f>
      </c>
      <c r="Z40" s="9">
        <f>VLOOKUP(Y40,'Giá Uốn hiện tại'!$E:$F,2,0)</f>
      </c>
      <c r="AA40" s="9">
        <f>W40-Z40</f>
      </c>
      <c r="AB40" s="13">
        <f>AA40/Z40</f>
      </c>
    </row>
    <row customHeight="true" ht="19" r="41">
      <c r="A41" s="12">
        <v>210</v>
      </c>
      <c r="B41" s="12" t="str">
        <v>148B Trương Định</v>
      </c>
      <c r="C41" s="12" t="str">
        <v>148 TD</v>
      </c>
      <c r="D41" s="12" t="str">
        <v>Hà Nội</v>
      </c>
      <c r="E41" s="12">
        <v>6</v>
      </c>
      <c r="F41" s="12" t="str">
        <v>Cụm gốc</v>
      </c>
      <c r="G41" s="8">
        <v>0.6448</v>
      </c>
      <c r="H41" s="18" t="str">
        <v>Cao</v>
      </c>
      <c r="I41" s="8">
        <v>0.361</v>
      </c>
      <c r="J41" s="17" t="str">
        <v>Thấp</v>
      </c>
      <c r="K41" s="12">
        <v>229000</v>
      </c>
      <c r="L41" s="14">
        <v>202000</v>
      </c>
      <c r="M41" s="14">
        <v>299000</v>
      </c>
      <c r="N41" s="8">
        <v>0.15</v>
      </c>
      <c r="O41" s="8">
        <v>0.35</v>
      </c>
      <c r="P41" s="11">
        <v>217000</v>
      </c>
      <c r="Q41" s="11">
        <v>236000</v>
      </c>
      <c r="R41" s="15" t="str">
        <v>217k - 236k</v>
      </c>
      <c r="S41" s="12">
        <v>217000</v>
      </c>
      <c r="T41" s="12">
        <v>236000</v>
      </c>
      <c r="U41" s="12">
        <v>226000</v>
      </c>
      <c r="V41" s="12">
        <v>233000</v>
      </c>
      <c r="W41" s="9">
        <f>S41</f>
      </c>
      <c r="X41" s="9">
        <v>960</v>
      </c>
      <c r="Y41" s="9">
        <f>C41&amp;X41</f>
      </c>
      <c r="Z41" s="9">
        <f>VLOOKUP(Y41,'Giá Uốn hiện tại'!$E:$F,2,0)</f>
      </c>
      <c r="AA41" s="9">
        <f>W41-Z41</f>
      </c>
      <c r="AB41" s="13">
        <f>AA41/Z41</f>
      </c>
    </row>
    <row customHeight="true" ht="19" r="42">
      <c r="A42" s="12">
        <v>212</v>
      </c>
      <c r="B42" s="12" t="str">
        <v>58 Nguyễn Văn Cừ</v>
      </c>
      <c r="C42" s="12" t="str">
        <v>58 NVC NA</v>
      </c>
      <c r="D42" s="12" t="str">
        <v>Nghệ An</v>
      </c>
      <c r="E42" s="12">
        <v>10</v>
      </c>
      <c r="F42" s="12" t="str">
        <v>Cụm gốc</v>
      </c>
      <c r="G42" s="8">
        <v>0.5736</v>
      </c>
      <c r="H42" s="10" t="str">
        <v>Trung</v>
      </c>
      <c r="I42" s="8">
        <v>0.3468</v>
      </c>
      <c r="J42" s="17" t="str">
        <v>Thấp</v>
      </c>
      <c r="K42" s="12">
        <v>229000</v>
      </c>
      <c r="L42" s="14">
        <v>203000</v>
      </c>
      <c r="M42" s="14">
        <v>298000</v>
      </c>
      <c r="N42" s="8">
        <v>0.25</v>
      </c>
      <c r="O42" s="8">
        <v>0.5</v>
      </c>
      <c r="P42" s="11">
        <v>227000</v>
      </c>
      <c r="Q42" s="11">
        <v>250000</v>
      </c>
      <c r="R42" s="15" t="str">
        <v>227k - 250k</v>
      </c>
      <c r="S42" s="12">
        <v>227000</v>
      </c>
      <c r="T42" s="12">
        <v>250000</v>
      </c>
      <c r="U42" s="12">
        <v>239000</v>
      </c>
      <c r="V42" s="12">
        <v>247000</v>
      </c>
      <c r="W42" s="9">
        <f>S42</f>
      </c>
      <c r="X42" s="9">
        <v>960</v>
      </c>
      <c r="Y42" s="9">
        <f>C42&amp;X42</f>
      </c>
      <c r="Z42" s="9">
        <f>VLOOKUP(Y42,'Giá Uốn hiện tại'!$E:$F,2,0)</f>
      </c>
      <c r="AA42" s="9">
        <f>W42-Z42</f>
      </c>
      <c r="AB42" s="13">
        <f>AA42/Z42</f>
      </c>
    </row>
    <row customHeight="true" ht="19" r="43">
      <c r="A43" s="12">
        <v>217</v>
      </c>
      <c r="B43" s="12" t="str">
        <v>Time Garden 25/4</v>
      </c>
      <c r="C43" s="12" t="str">
        <v>TG 25/4 QN</v>
      </c>
      <c r="D43" s="12" t="str">
        <v>Quảng Ninh</v>
      </c>
      <c r="E43" s="12" t="str"/>
      <c r="F43" s="12" t="str">
        <v>Độc lập (1 salon trong tỉnh)</v>
      </c>
      <c r="G43" s="8">
        <v>0.4548</v>
      </c>
      <c r="H43" s="10" t="str">
        <v>Trung</v>
      </c>
      <c r="I43" s="8">
        <v>0.3503</v>
      </c>
      <c r="J43" s="17" t="str">
        <v>Thấp</v>
      </c>
      <c r="K43" s="12">
        <v>218000</v>
      </c>
      <c r="L43" s="14">
        <v>150000</v>
      </c>
      <c r="M43" s="14">
        <v>249000</v>
      </c>
      <c r="N43" s="8">
        <v>0.25</v>
      </c>
      <c r="O43" s="8">
        <v>0.5</v>
      </c>
      <c r="P43" s="11">
        <v>175000</v>
      </c>
      <c r="Q43" s="11">
        <v>200000</v>
      </c>
      <c r="R43" s="15" t="str">
        <v>175k - 200k</v>
      </c>
      <c r="S43" s="12">
        <v>175000</v>
      </c>
      <c r="T43" s="12">
        <v>200000</v>
      </c>
      <c r="U43" s="12">
        <v>187000</v>
      </c>
      <c r="V43" s="12">
        <v>196000</v>
      </c>
      <c r="W43" s="9">
        <f>S43</f>
      </c>
      <c r="X43" s="9">
        <v>960</v>
      </c>
      <c r="Y43" s="9">
        <f>C43&amp;X43</f>
      </c>
      <c r="Z43" s="9">
        <f>VLOOKUP(Y43,'Giá Uốn hiện tại'!$E:$F,2,0)</f>
      </c>
      <c r="AA43" s="9">
        <f>W43-Z43</f>
      </c>
      <c r="AB43" s="13">
        <f>AA43/Z43</f>
      </c>
    </row>
    <row customHeight="true" ht="19" r="44">
      <c r="A44" s="12">
        <v>228</v>
      </c>
      <c r="B44" s="12" t="str">
        <v>62 Láng Hạ</v>
      </c>
      <c r="C44" s="12" t="str">
        <v>62 LH</v>
      </c>
      <c r="D44" s="12" t="str">
        <v>Hà Nội</v>
      </c>
      <c r="E44" s="12">
        <v>4</v>
      </c>
      <c r="F44" s="12" t="str">
        <v>Cụm gốc</v>
      </c>
      <c r="G44" s="8">
        <v>0.6146</v>
      </c>
      <c r="H44" s="18" t="str">
        <v>Cao</v>
      </c>
      <c r="I44" s="8">
        <v>0.4489</v>
      </c>
      <c r="J44" s="10" t="str">
        <v>Trung</v>
      </c>
      <c r="K44" s="12">
        <v>218000</v>
      </c>
      <c r="L44" s="14">
        <v>201000</v>
      </c>
      <c r="M44" s="14">
        <v>299000</v>
      </c>
      <c r="N44" s="8">
        <v>0.25</v>
      </c>
      <c r="O44" s="8">
        <v>0.45</v>
      </c>
      <c r="P44" s="11">
        <v>226000</v>
      </c>
      <c r="Q44" s="11">
        <v>245000</v>
      </c>
      <c r="R44" s="15" t="str">
        <v>226k - 245k</v>
      </c>
      <c r="S44" s="12">
        <v>226000</v>
      </c>
      <c r="T44" s="12">
        <v>245000</v>
      </c>
      <c r="U44" s="12">
        <v>235000</v>
      </c>
      <c r="V44" s="12">
        <v>242000</v>
      </c>
      <c r="W44" s="9">
        <f>S44</f>
      </c>
      <c r="X44" s="9">
        <v>960</v>
      </c>
      <c r="Y44" s="9">
        <f>C44&amp;X44</f>
      </c>
      <c r="Z44" s="9">
        <f>VLOOKUP(Y44,'Giá Uốn hiện tại'!$E:$F,2,0)</f>
      </c>
      <c r="AA44" s="9">
        <f>W44-Z44</f>
      </c>
      <c r="AB44" s="13">
        <f>AA44/Z44</f>
      </c>
    </row>
    <row customHeight="true" ht="19" r="45">
      <c r="A45" s="12">
        <v>230</v>
      </c>
      <c r="B45" s="12" t="str">
        <v>290 Quang Trung</v>
      </c>
      <c r="C45" s="12" t="str">
        <v>290 QT TH</v>
      </c>
      <c r="D45" s="12" t="str">
        <v>Thanh Hóa</v>
      </c>
      <c r="E45" s="12" t="str"/>
      <c r="F45" s="12" t="str">
        <v>Độc lập (1 salon trong tỉnh)</v>
      </c>
      <c r="G45" s="8">
        <v>0.46</v>
      </c>
      <c r="H45" s="10" t="str">
        <v>Trung</v>
      </c>
      <c r="I45" s="8">
        <v>0.4386</v>
      </c>
      <c r="J45" s="10" t="str">
        <v>Trung</v>
      </c>
      <c r="K45" s="12">
        <v>218000</v>
      </c>
      <c r="L45" s="14">
        <v>199000</v>
      </c>
      <c r="M45" s="14">
        <v>298000</v>
      </c>
      <c r="N45" s="8">
        <v>0.4</v>
      </c>
      <c r="O45" s="8">
        <v>0.65</v>
      </c>
      <c r="P45" s="11">
        <v>239000</v>
      </c>
      <c r="Q45" s="11">
        <v>263000</v>
      </c>
      <c r="R45" s="15" t="str">
        <v>239k - 263k</v>
      </c>
      <c r="S45" s="12">
        <v>239000</v>
      </c>
      <c r="T45" s="12">
        <v>263000</v>
      </c>
      <c r="U45" s="12">
        <v>251000</v>
      </c>
      <c r="V45" s="12">
        <v>260000</v>
      </c>
      <c r="W45" s="9">
        <f>S45</f>
      </c>
      <c r="X45" s="9">
        <v>960</v>
      </c>
      <c r="Y45" s="9">
        <f>C45&amp;X45</f>
      </c>
      <c r="Z45" s="9">
        <f>VLOOKUP(Y45,'Giá Uốn hiện tại'!$E:$F,2,0)</f>
      </c>
      <c r="AA45" s="9">
        <f>W45-Z45</f>
      </c>
      <c r="AB45" s="13">
        <f>AA45/Z45</f>
      </c>
    </row>
    <row customHeight="true" ht="19" r="46">
      <c r="A46" s="12">
        <v>231</v>
      </c>
      <c r="B46" s="12" t="str" xml:space="preserve">
        <v>304 Nguyễn Trãi </v>
      </c>
      <c r="C46" s="12" t="str">
        <v>304 NT TH</v>
      </c>
      <c r="D46" s="12" t="str">
        <v>Thanh Hóa</v>
      </c>
      <c r="E46" s="12">
        <v>9</v>
      </c>
      <c r="F46" s="12" t="str">
        <v>Cụm gốc</v>
      </c>
      <c r="G46" s="8">
        <v>0.4811</v>
      </c>
      <c r="H46" s="10" t="str">
        <v>Trung</v>
      </c>
      <c r="I46" s="8">
        <v>0.4096</v>
      </c>
      <c r="J46" s="17" t="str">
        <v>Thấp</v>
      </c>
      <c r="K46" s="12">
        <v>218000</v>
      </c>
      <c r="L46" s="14">
        <v>254000</v>
      </c>
      <c r="M46" s="14">
        <v>401000</v>
      </c>
      <c r="N46" s="8">
        <v>0.25</v>
      </c>
      <c r="O46" s="8">
        <v>0.5</v>
      </c>
      <c r="P46" s="11">
        <v>291000</v>
      </c>
      <c r="Q46" s="11">
        <v>328000</v>
      </c>
      <c r="R46" s="15" t="str">
        <v>291k - 328k</v>
      </c>
      <c r="S46" s="12">
        <v>291000</v>
      </c>
      <c r="T46" s="12">
        <v>328000</v>
      </c>
      <c r="U46" s="12">
        <v>309000</v>
      </c>
      <c r="V46" s="12">
        <v>322000</v>
      </c>
      <c r="W46" s="9">
        <f>S46</f>
      </c>
      <c r="X46" s="9">
        <v>960</v>
      </c>
      <c r="Y46" s="9">
        <f>C46&amp;X46</f>
      </c>
      <c r="Z46" s="9">
        <f>VLOOKUP(Y46,'Giá Uốn hiện tại'!$E:$F,2,0)</f>
      </c>
      <c r="AA46" s="9">
        <f>W46-Z46</f>
      </c>
      <c r="AB46" s="13">
        <f>AA46/Z46</f>
      </c>
    </row>
    <row customHeight="true" ht="19" r="47">
      <c r="A47" s="12">
        <v>232</v>
      </c>
      <c r="B47" s="12" t="str">
        <v>80 Trần Phú</v>
      </c>
      <c r="C47" s="12" t="str">
        <v>80 TP TH</v>
      </c>
      <c r="D47" s="12" t="str">
        <v>Thanh Hóa</v>
      </c>
      <c r="E47" s="12">
        <v>9</v>
      </c>
      <c r="F47" s="12" t="str">
        <v>Cụm gốc</v>
      </c>
      <c r="G47" s="8">
        <v>0.5226</v>
      </c>
      <c r="H47" s="10" t="str">
        <v>Trung</v>
      </c>
      <c r="I47" s="8">
        <v>0.4058</v>
      </c>
      <c r="J47" s="17" t="str">
        <v>Thấp</v>
      </c>
      <c r="K47" s="12">
        <v>229000</v>
      </c>
      <c r="L47" s="14">
        <v>254000</v>
      </c>
      <c r="M47" s="14">
        <v>401000</v>
      </c>
      <c r="N47" s="8">
        <v>0.25</v>
      </c>
      <c r="O47" s="8">
        <v>0.5</v>
      </c>
      <c r="P47" s="11">
        <v>291000</v>
      </c>
      <c r="Q47" s="11">
        <v>328000</v>
      </c>
      <c r="R47" s="15" t="str">
        <v>291k - 328k</v>
      </c>
      <c r="S47" s="12">
        <v>291000</v>
      </c>
      <c r="T47" s="12">
        <v>328000</v>
      </c>
      <c r="U47" s="12">
        <v>309000</v>
      </c>
      <c r="V47" s="12">
        <v>322000</v>
      </c>
      <c r="W47" s="9">
        <f>S47</f>
      </c>
      <c r="X47" s="9">
        <v>960</v>
      </c>
      <c r="Y47" s="9">
        <f>C47&amp;X47</f>
      </c>
      <c r="Z47" s="9">
        <f>VLOOKUP(Y47,'Giá Uốn hiện tại'!$E:$F,2,0)</f>
      </c>
      <c r="AA47" s="9">
        <f>W47-Z47</f>
      </c>
      <c r="AB47" s="13">
        <f>AA47/Z47</f>
      </c>
    </row>
    <row customHeight="true" ht="19" r="48">
      <c r="A48" s="12">
        <v>233</v>
      </c>
      <c r="B48" s="12" t="str">
        <v>595 Bà Triệu</v>
      </c>
      <c r="C48" s="12" t="str">
        <v>595 BT TH</v>
      </c>
      <c r="D48" s="12" t="str">
        <v>Thanh Hóa</v>
      </c>
      <c r="E48" s="12">
        <v>9</v>
      </c>
      <c r="F48" s="12" t="str">
        <v>Cụm gốc</v>
      </c>
      <c r="G48" s="8">
        <v>0.5387</v>
      </c>
      <c r="H48" s="10" t="str">
        <v>Trung</v>
      </c>
      <c r="I48" s="8">
        <v>0.4489</v>
      </c>
      <c r="J48" s="10" t="str">
        <v>Trung</v>
      </c>
      <c r="K48" s="12">
        <v>218000</v>
      </c>
      <c r="L48" s="14">
        <v>254000</v>
      </c>
      <c r="M48" s="14">
        <v>401000</v>
      </c>
      <c r="N48" s="8">
        <v>0.4</v>
      </c>
      <c r="O48" s="8">
        <v>0.65</v>
      </c>
      <c r="P48" s="11">
        <v>313000</v>
      </c>
      <c r="Q48" s="11">
        <v>350000</v>
      </c>
      <c r="R48" s="15" t="str">
        <v>313k - 350k</v>
      </c>
      <c r="S48" s="12">
        <v>313000</v>
      </c>
      <c r="T48" s="12">
        <v>350000</v>
      </c>
      <c r="U48" s="12">
        <v>331000</v>
      </c>
      <c r="V48" s="12">
        <v>344000</v>
      </c>
      <c r="W48" s="9">
        <f>S48</f>
      </c>
      <c r="X48" s="9">
        <v>960</v>
      </c>
      <c r="Y48" s="9">
        <f>C48&amp;X48</f>
      </c>
      <c r="Z48" s="9">
        <f>VLOOKUP(Y48,'Giá Uốn hiện tại'!$E:$F,2,0)</f>
      </c>
      <c r="AA48" s="9">
        <f>W48-Z48</f>
      </c>
      <c r="AB48" s="13">
        <f>AA48/Z48</f>
      </c>
    </row>
    <row customHeight="true" ht="19" r="49">
      <c r="A49" s="12">
        <v>239</v>
      </c>
      <c r="B49" s="12" t="str" xml:space="preserve">
        <v>186 Quang Trung </v>
      </c>
      <c r="C49" s="12" t="str">
        <v>186 QT</v>
      </c>
      <c r="D49" s="12" t="str">
        <v>Hà Nội</v>
      </c>
      <c r="E49" s="12">
        <v>8</v>
      </c>
      <c r="F49" s="12" t="str">
        <v>Cụm gốc</v>
      </c>
      <c r="G49" s="8">
        <v>0.5104</v>
      </c>
      <c r="H49" s="10" t="str">
        <v>Trung</v>
      </c>
      <c r="I49" s="8">
        <v>0.3918</v>
      </c>
      <c r="J49" s="17" t="str">
        <v>Thấp</v>
      </c>
      <c r="K49" s="12">
        <v>229000</v>
      </c>
      <c r="L49" s="14">
        <v>202000</v>
      </c>
      <c r="M49" s="14">
        <v>399000</v>
      </c>
      <c r="N49" s="8">
        <v>0.25</v>
      </c>
      <c r="O49" s="8">
        <v>0.5</v>
      </c>
      <c r="P49" s="11">
        <v>251000</v>
      </c>
      <c r="Q49" s="11">
        <v>300000</v>
      </c>
      <c r="R49" s="15" t="str">
        <v>251k - 300k</v>
      </c>
      <c r="S49" s="12">
        <v>251000</v>
      </c>
      <c r="T49" s="12">
        <v>300000</v>
      </c>
      <c r="U49" s="12">
        <v>276000</v>
      </c>
      <c r="V49" s="12">
        <v>293000</v>
      </c>
      <c r="W49" s="9">
        <f>S49</f>
      </c>
      <c r="X49" s="9">
        <v>960</v>
      </c>
      <c r="Y49" s="9">
        <f>C49&amp;X49</f>
      </c>
      <c r="Z49" s="9">
        <f>VLOOKUP(Y49,'Giá Uốn hiện tại'!$E:$F,2,0)</f>
      </c>
      <c r="AA49" s="9">
        <f>W49-Z49</f>
      </c>
      <c r="AB49" s="13">
        <f>AA49/Z49</f>
      </c>
    </row>
    <row customHeight="true" ht="19" r="50">
      <c r="A50" s="12">
        <v>240</v>
      </c>
      <c r="B50" s="12" t="str">
        <v>68 Lê Nin</v>
      </c>
      <c r="C50" s="12" t="str">
        <v>68 LN NA</v>
      </c>
      <c r="D50" s="12" t="str">
        <v>Nghệ An</v>
      </c>
      <c r="E50" s="12" t="str"/>
      <c r="F50" s="12" t="str">
        <v>Độc lập (1 salon trong tỉnh)</v>
      </c>
      <c r="G50" s="8">
        <v>0.4514</v>
      </c>
      <c r="H50" s="10" t="str">
        <v>Trung</v>
      </c>
      <c r="I50" s="8">
        <v>0.3922</v>
      </c>
      <c r="J50" s="17" t="str">
        <v>Thấp</v>
      </c>
      <c r="K50" s="12">
        <v>218000</v>
      </c>
      <c r="L50" s="14">
        <v>152000</v>
      </c>
      <c r="M50" s="14">
        <v>298000</v>
      </c>
      <c r="N50" s="8">
        <v>0.25</v>
      </c>
      <c r="O50" s="8">
        <v>0.5</v>
      </c>
      <c r="P50" s="11">
        <v>188000</v>
      </c>
      <c r="Q50" s="11">
        <v>225000</v>
      </c>
      <c r="R50" s="15" t="str">
        <v>188k - 225k</v>
      </c>
      <c r="S50" s="12">
        <v>188000</v>
      </c>
      <c r="T50" s="12">
        <v>225000</v>
      </c>
      <c r="U50" s="12">
        <v>207000</v>
      </c>
      <c r="V50" s="12">
        <v>220000</v>
      </c>
      <c r="W50" s="9">
        <f>S50</f>
      </c>
      <c r="X50" s="9">
        <v>960</v>
      </c>
      <c r="Y50" s="9">
        <f>C50&amp;X50</f>
      </c>
      <c r="Z50" s="9">
        <f>VLOOKUP(Y50,'Giá Uốn hiện tại'!$E:$F,2,0)</f>
      </c>
      <c r="AA50" s="9">
        <f>W50-Z50</f>
      </c>
      <c r="AB50" s="13">
        <f>AA50/Z50</f>
      </c>
    </row>
    <row customHeight="true" ht="19" r="51">
      <c r="A51" s="12">
        <v>244</v>
      </c>
      <c r="B51" s="12" t="str">
        <v>11 Phan Kế Toại</v>
      </c>
      <c r="C51" s="12" t="str">
        <v>11 PKT</v>
      </c>
      <c r="D51" s="12" t="str">
        <v>Hà Nội</v>
      </c>
      <c r="E51" s="12">
        <v>30</v>
      </c>
      <c r="F51" s="12" t="str">
        <v>Cụm mới (cùng tỉnh)</v>
      </c>
      <c r="G51" s="8">
        <v>0.4456</v>
      </c>
      <c r="H51" s="10" t="str">
        <v>Trung</v>
      </c>
      <c r="I51" s="8">
        <v>0.4357</v>
      </c>
      <c r="J51" s="10" t="str">
        <v>Trung</v>
      </c>
      <c r="K51" s="12">
        <v>229000</v>
      </c>
      <c r="L51" s="14">
        <v>204000</v>
      </c>
      <c r="M51" s="14">
        <v>347000</v>
      </c>
      <c r="N51" s="8">
        <v>0.4</v>
      </c>
      <c r="O51" s="8">
        <v>0.65</v>
      </c>
      <c r="P51" s="11">
        <v>261000</v>
      </c>
      <c r="Q51" s="11">
        <v>297000</v>
      </c>
      <c r="R51" s="15" t="str">
        <v>261k - 297k</v>
      </c>
      <c r="S51" s="12">
        <v>261000</v>
      </c>
      <c r="T51" s="12">
        <v>297000</v>
      </c>
      <c r="U51" s="12">
        <v>279000</v>
      </c>
      <c r="V51" s="12">
        <v>292000</v>
      </c>
      <c r="W51" s="9">
        <f>S51</f>
      </c>
      <c r="X51" s="9">
        <v>960</v>
      </c>
      <c r="Y51" s="9">
        <f>C51&amp;X51</f>
      </c>
      <c r="Z51" s="9">
        <f>VLOOKUP(Y51,'Giá Uốn hiện tại'!$E:$F,2,0)</f>
      </c>
      <c r="AA51" s="9">
        <f>W51-Z51</f>
      </c>
      <c r="AB51" s="13">
        <f>AA51/Z51</f>
      </c>
    </row>
    <row customHeight="true" ht="19" r="52">
      <c r="A52" s="12">
        <v>245</v>
      </c>
      <c r="B52" s="12" t="str">
        <v>55A Nguyễn Văn Lộc</v>
      </c>
      <c r="C52" s="12" t="str">
        <v>55A NVL</v>
      </c>
      <c r="D52" s="12" t="str">
        <v>Hà Nội</v>
      </c>
      <c r="E52" s="12">
        <v>7</v>
      </c>
      <c r="F52" s="12" t="str">
        <v>Cụm gốc</v>
      </c>
      <c r="G52" s="8">
        <v>0.5529</v>
      </c>
      <c r="H52" s="10" t="str">
        <v>Trung</v>
      </c>
      <c r="I52" s="8">
        <v>0.4737</v>
      </c>
      <c r="J52" s="18" t="str">
        <v>Cao</v>
      </c>
      <c r="K52" s="12">
        <v>218000</v>
      </c>
      <c r="L52" s="14">
        <v>201000</v>
      </c>
      <c r="M52" s="14">
        <v>298000</v>
      </c>
      <c r="N52" s="8">
        <v>0.55</v>
      </c>
      <c r="O52" s="8">
        <v>0.8</v>
      </c>
      <c r="P52" s="11">
        <v>254000</v>
      </c>
      <c r="Q52" s="11">
        <v>279000</v>
      </c>
      <c r="R52" s="15" t="str">
        <v>254k - 279k</v>
      </c>
      <c r="S52" s="12">
        <v>254000</v>
      </c>
      <c r="T52" s="12">
        <v>279000</v>
      </c>
      <c r="U52" s="12">
        <v>266000</v>
      </c>
      <c r="V52" s="12">
        <v>275000</v>
      </c>
      <c r="W52" s="9">
        <f>S52</f>
      </c>
      <c r="X52" s="9">
        <v>960</v>
      </c>
      <c r="Y52" s="9">
        <f>C52&amp;X52</f>
      </c>
      <c r="Z52" s="9">
        <f>VLOOKUP(Y52,'Giá Uốn hiện tại'!$E:$F,2,0)</f>
      </c>
      <c r="AA52" s="9">
        <f>W52-Z52</f>
      </c>
      <c r="AB52" s="13">
        <f>AA52/Z52</f>
      </c>
    </row>
    <row customHeight="true" ht="19" r="53">
      <c r="A53" s="12">
        <v>247</v>
      </c>
      <c r="B53" s="12" t="str">
        <v>1371 Phạm Văn Thuận</v>
      </c>
      <c r="C53" s="12" t="str">
        <v>1371 PVT</v>
      </c>
      <c r="D53" s="12" t="str">
        <v>Đồng Nai</v>
      </c>
      <c r="E53" s="12">
        <v>12</v>
      </c>
      <c r="F53" s="12" t="str">
        <v>Cụm gốc</v>
      </c>
      <c r="G53" s="8">
        <v>0.5754</v>
      </c>
      <c r="H53" s="10" t="str">
        <v>Trung</v>
      </c>
      <c r="I53" s="8">
        <v>0.3136</v>
      </c>
      <c r="J53" s="17" t="str">
        <v>Thấp</v>
      </c>
      <c r="K53" s="12">
        <v>218000</v>
      </c>
      <c r="L53" s="14">
        <v>181000</v>
      </c>
      <c r="M53" s="14">
        <v>297000</v>
      </c>
      <c r="N53" s="8">
        <v>0.25</v>
      </c>
      <c r="O53" s="8">
        <v>0.5</v>
      </c>
      <c r="P53" s="11">
        <v>210000</v>
      </c>
      <c r="Q53" s="11">
        <v>239000</v>
      </c>
      <c r="R53" s="15" t="str">
        <v>210k - 239k</v>
      </c>
      <c r="S53" s="12">
        <v>210000</v>
      </c>
      <c r="T53" s="12">
        <v>239000</v>
      </c>
      <c r="U53" s="12">
        <v>224000</v>
      </c>
      <c r="V53" s="12">
        <v>235000</v>
      </c>
      <c r="W53" s="9">
        <f>S53</f>
      </c>
      <c r="X53" s="9">
        <v>960</v>
      </c>
      <c r="Y53" s="9">
        <f>C53&amp;X53</f>
      </c>
      <c r="Z53" s="9">
        <f>VLOOKUP(Y53,'Giá Uốn hiện tại'!$E:$F,2,0)</f>
      </c>
      <c r="AA53" s="9">
        <f>W53-Z53</f>
      </c>
      <c r="AB53" s="13">
        <f>AA53/Z53</f>
      </c>
    </row>
    <row customHeight="true" ht="19" r="54">
      <c r="A54" s="12">
        <v>249</v>
      </c>
      <c r="B54" s="12" t="str">
        <v>1146 Kha Vạn Cân</v>
      </c>
      <c r="C54" s="12" t="str">
        <v>1146 KVC</v>
      </c>
      <c r="D54" s="12" t="str">
        <v>Hồ Chí Minh</v>
      </c>
      <c r="E54" s="12">
        <v>23</v>
      </c>
      <c r="F54" s="12" t="str">
        <v>Cụm mới (cùng tỉnh)</v>
      </c>
      <c r="G54" s="8">
        <v>0.6701</v>
      </c>
      <c r="H54" s="18" t="str">
        <v>Cao</v>
      </c>
      <c r="I54" s="8">
        <v>0.3804</v>
      </c>
      <c r="J54" s="17" t="str">
        <v>Thấp</v>
      </c>
      <c r="K54" s="12">
        <v>218000</v>
      </c>
      <c r="L54" s="14">
        <v>203000</v>
      </c>
      <c r="M54" s="14">
        <v>300000</v>
      </c>
      <c r="N54" s="8">
        <v>0.15</v>
      </c>
      <c r="O54" s="8">
        <v>0.35</v>
      </c>
      <c r="P54" s="11">
        <v>218000</v>
      </c>
      <c r="Q54" s="11">
        <v>237000</v>
      </c>
      <c r="R54" s="15" t="str">
        <v>218k - 237k</v>
      </c>
      <c r="S54" s="12">
        <v>218000</v>
      </c>
      <c r="T54" s="12">
        <v>237000</v>
      </c>
      <c r="U54" s="12">
        <v>227000</v>
      </c>
      <c r="V54" s="12">
        <v>234000</v>
      </c>
      <c r="W54" s="9">
        <f>S54</f>
      </c>
      <c r="X54" s="9">
        <v>960</v>
      </c>
      <c r="Y54" s="9">
        <f>C54&amp;X54</f>
      </c>
      <c r="Z54" s="9">
        <f>VLOOKUP(Y54,'Giá Uốn hiện tại'!$E:$F,2,0)</f>
      </c>
      <c r="AA54" s="9">
        <f>W54-Z54</f>
      </c>
      <c r="AB54" s="13">
        <f>AA54/Z54</f>
      </c>
    </row>
    <row customHeight="true" ht="19" r="55">
      <c r="A55" s="12">
        <v>250</v>
      </c>
      <c r="B55" s="12" t="str">
        <v>173 Thanh Nhàn</v>
      </c>
      <c r="C55" s="12" t="str">
        <v>173 TN</v>
      </c>
      <c r="D55" s="12" t="str">
        <v>Hà Nội</v>
      </c>
      <c r="E55" s="12">
        <v>6</v>
      </c>
      <c r="F55" s="12" t="str">
        <v>Cụm gốc</v>
      </c>
      <c r="G55" s="8">
        <v>0.6493</v>
      </c>
      <c r="H55" s="18" t="str">
        <v>Cao</v>
      </c>
      <c r="I55" s="8">
        <v>0.4431</v>
      </c>
      <c r="J55" s="10" t="str">
        <v>Trung</v>
      </c>
      <c r="K55" s="12">
        <v>218000</v>
      </c>
      <c r="L55" s="14">
        <v>202000</v>
      </c>
      <c r="M55" s="14">
        <v>299000</v>
      </c>
      <c r="N55" s="8">
        <v>0.25</v>
      </c>
      <c r="O55" s="8">
        <v>0.45</v>
      </c>
      <c r="P55" s="11">
        <v>226000</v>
      </c>
      <c r="Q55" s="11">
        <v>246000</v>
      </c>
      <c r="R55" s="15" t="str">
        <v>226k - 246k</v>
      </c>
      <c r="S55" s="12">
        <v>226000</v>
      </c>
      <c r="T55" s="12">
        <v>246000</v>
      </c>
      <c r="U55" s="12">
        <v>236000</v>
      </c>
      <c r="V55" s="12">
        <v>243000</v>
      </c>
      <c r="W55" s="9">
        <f>S55</f>
      </c>
      <c r="X55" s="9">
        <v>960</v>
      </c>
      <c r="Y55" s="9">
        <f>C55&amp;X55</f>
      </c>
      <c r="Z55" s="9">
        <f>VLOOKUP(Y55,'Giá Uốn hiện tại'!$E:$F,2,0)</f>
      </c>
      <c r="AA55" s="9">
        <f>W55-Z55</f>
      </c>
      <c r="AB55" s="13">
        <f>AA55/Z55</f>
      </c>
    </row>
    <row customHeight="true" ht="19" r="56">
      <c r="A56" s="12">
        <v>274</v>
      </c>
      <c r="B56" s="12" t="str">
        <v>32 Nguyễn Ảnh Thủ</v>
      </c>
      <c r="C56" s="12" t="str">
        <v>32 NAT</v>
      </c>
      <c r="D56" s="12" t="str">
        <v>Hồ Chí Minh</v>
      </c>
      <c r="E56" s="12">
        <v>25</v>
      </c>
      <c r="F56" s="12" t="str">
        <v>Cụm mới (cùng tỉnh)</v>
      </c>
      <c r="G56" s="8">
        <v>0.5614</v>
      </c>
      <c r="H56" s="10" t="str">
        <v>Trung</v>
      </c>
      <c r="I56" s="8">
        <v>0.4177</v>
      </c>
      <c r="J56" s="10" t="str">
        <v>Trung</v>
      </c>
      <c r="K56" s="12" t="str"/>
      <c r="L56" s="14">
        <v>204000</v>
      </c>
      <c r="M56" s="14">
        <v>302000</v>
      </c>
      <c r="N56" s="8">
        <v>0.4</v>
      </c>
      <c r="O56" s="8">
        <v>0.65</v>
      </c>
      <c r="P56" s="11">
        <v>243000</v>
      </c>
      <c r="Q56" s="11">
        <v>268000</v>
      </c>
      <c r="R56" s="15" t="str">
        <v>243k - 268k</v>
      </c>
      <c r="S56" s="12">
        <v>243000</v>
      </c>
      <c r="T56" s="12">
        <v>268000</v>
      </c>
      <c r="U56" s="12">
        <v>255000</v>
      </c>
      <c r="V56" s="12">
        <v>264000</v>
      </c>
      <c r="W56" s="9">
        <f>S56</f>
      </c>
      <c r="X56" s="9">
        <v>960</v>
      </c>
      <c r="Y56" s="9">
        <f>C56&amp;X56</f>
      </c>
      <c r="Z56" s="9">
        <f>VLOOKUP(Y56,'Giá Uốn hiện tại'!$E:$F,2,0)</f>
      </c>
      <c r="AA56" s="9">
        <f>W56-Z56</f>
      </c>
      <c r="AB56" s="13">
        <f>AA56/Z56</f>
      </c>
    </row>
    <row customHeight="true" ht="19" r="57">
      <c r="A57" s="12">
        <v>302</v>
      </c>
      <c r="B57" s="12" t="str">
        <v>362 Ngô Gia Tự</v>
      </c>
      <c r="C57" s="12" t="str">
        <v>362 NGT BN</v>
      </c>
      <c r="D57" s="12" t="str">
        <v>Bắc Ninh</v>
      </c>
      <c r="E57" s="12">
        <v>32</v>
      </c>
      <c r="F57" s="12" t="str">
        <v>Cụm mới (cùng tỉnh)</v>
      </c>
      <c r="G57" s="8">
        <v>0.5219</v>
      </c>
      <c r="H57" s="10" t="str">
        <v>Trung</v>
      </c>
      <c r="I57" s="8">
        <v>0.4295</v>
      </c>
      <c r="J57" s="10" t="str">
        <v>Trung</v>
      </c>
      <c r="K57" s="12">
        <v>218000</v>
      </c>
      <c r="L57" s="14">
        <v>204000</v>
      </c>
      <c r="M57" s="14">
        <v>302000</v>
      </c>
      <c r="N57" s="8">
        <v>0.4</v>
      </c>
      <c r="O57" s="8">
        <v>0.65</v>
      </c>
      <c r="P57" s="11">
        <v>243000</v>
      </c>
      <c r="Q57" s="11">
        <v>268000</v>
      </c>
      <c r="R57" s="15" t="str">
        <v>243k - 268k</v>
      </c>
      <c r="S57" s="12">
        <v>243000</v>
      </c>
      <c r="T57" s="12">
        <v>268000</v>
      </c>
      <c r="U57" s="12">
        <v>255000</v>
      </c>
      <c r="V57" s="12">
        <v>264000</v>
      </c>
      <c r="W57" s="9">
        <f>S57</f>
      </c>
      <c r="X57" s="9">
        <v>960</v>
      </c>
      <c r="Y57" s="9">
        <f>C57&amp;X57</f>
      </c>
      <c r="Z57" s="9">
        <f>VLOOKUP(Y57,'Giá Uốn hiện tại'!$E:$F,2,0)</f>
      </c>
      <c r="AA57" s="9">
        <f>W57-Z57</f>
      </c>
      <c r="AB57" s="13">
        <f>AA57/Z57</f>
      </c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6"/>
    <col collapsed="false" customWidth="true" hidden="false" max="3" min="3" style="0" width="18"/>
    <col collapsed="false" customWidth="true" hidden="false" max="4" min="4" style="0" width="17"/>
    <col collapsed="false" customWidth="true" hidden="false" max="5" min="5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</cols>
  <sheetData>
    <row customHeight="true" ht="34" r="1">
      <c r="A1" s="24" t="str">
        <v>SalonID</v>
      </c>
      <c r="B1" s="24" t="str">
        <v>Tên Salon</v>
      </c>
      <c r="C1" s="24" t="str">
        <v>Mã Salon</v>
      </c>
      <c r="D1" s="25" t="str">
        <v>GDTM đề xuất = KB1: Hút Traffic</v>
      </c>
      <c r="E1" s="25" t="str">
        <v>ID dv</v>
      </c>
      <c r="F1" s="25"/>
      <c r="G1" s="25" t="str">
        <v>Giá hiện tại</v>
      </c>
      <c r="H1" s="25" t="str">
        <v>Chênh lệch giá cũ</v>
      </c>
      <c r="I1" s="27" t="str">
        <v>%</v>
      </c>
    </row>
    <row customHeight="true" ht="27" r="2">
      <c r="A2" s="12">
        <v>2</v>
      </c>
      <c r="B2" s="12" t="str">
        <v>346 Khâm Thiên</v>
      </c>
      <c r="C2" s="12" t="str">
        <v>346 KT</v>
      </c>
      <c r="D2" s="9">
        <v>255000</v>
      </c>
      <c r="E2" s="9">
        <v>960</v>
      </c>
      <c r="F2" s="9" t="str">
        <v>346 KT960</v>
      </c>
      <c r="G2" s="9">
        <v>369000</v>
      </c>
      <c r="H2" s="9">
        <v>-114000</v>
      </c>
      <c r="I2" s="13">
        <v>-0.3089430894308943</v>
      </c>
    </row>
    <row customHeight="true" ht="19" r="3">
      <c r="A3" s="12">
        <v>11</v>
      </c>
      <c r="B3" s="12" t="str">
        <v>8 Châu Văn Liêm</v>
      </c>
      <c r="C3" s="12" t="str">
        <v>8 CVL</v>
      </c>
      <c r="D3" s="9">
        <v>226000</v>
      </c>
      <c r="E3" s="9">
        <v>960</v>
      </c>
      <c r="F3" s="9" t="str">
        <v>8 CVL960</v>
      </c>
      <c r="G3" s="9">
        <v>366000</v>
      </c>
      <c r="H3" s="9">
        <v>-140000</v>
      </c>
      <c r="I3" s="13">
        <v>-0.3825136612021858</v>
      </c>
    </row>
    <row customHeight="true" ht="19" r="4">
      <c r="A4" s="12">
        <v>12</v>
      </c>
      <c r="B4" s="12" t="str">
        <v>12 Lê Đức Thọ</v>
      </c>
      <c r="C4" s="12" t="str">
        <v>12 LDT</v>
      </c>
      <c r="D4" s="9">
        <v>227000</v>
      </c>
      <c r="E4" s="9">
        <v>960</v>
      </c>
      <c r="F4" s="9" t="str">
        <v>12 LDT960</v>
      </c>
      <c r="G4" s="9">
        <v>366000</v>
      </c>
      <c r="H4" s="9">
        <v>-139000</v>
      </c>
      <c r="I4" s="13">
        <v>-0.3797814207650273</v>
      </c>
    </row>
    <row customHeight="true" ht="19" r="5">
      <c r="A5" s="12">
        <v>20</v>
      </c>
      <c r="B5" s="12" t="str">
        <v>382 Nguyễn Trãi</v>
      </c>
      <c r="C5" s="12" t="str">
        <v>382 NT</v>
      </c>
      <c r="D5" s="9">
        <v>271000</v>
      </c>
      <c r="E5" s="9">
        <v>960</v>
      </c>
      <c r="F5" s="9" t="str">
        <v>382 NT960</v>
      </c>
      <c r="G5" s="9">
        <v>369000</v>
      </c>
      <c r="H5" s="9">
        <v>-98000</v>
      </c>
      <c r="I5" s="13">
        <v>-0.26558265582655827</v>
      </c>
    </row>
    <row customHeight="true" ht="19" r="6">
      <c r="A6" s="12">
        <v>21</v>
      </c>
      <c r="B6" s="12" t="str">
        <v>575 Âu Cơ</v>
      </c>
      <c r="C6" s="12" t="str">
        <v>575 AC</v>
      </c>
      <c r="D6" s="9">
        <v>225000</v>
      </c>
      <c r="E6" s="9">
        <v>960</v>
      </c>
      <c r="F6" s="9" t="str">
        <v>575 AC960</v>
      </c>
      <c r="G6" s="9">
        <v>366000</v>
      </c>
      <c r="H6" s="9">
        <v>-141000</v>
      </c>
      <c r="I6" s="13">
        <v>-0.38524590163934425</v>
      </c>
    </row>
    <row customHeight="true" ht="19" r="7">
      <c r="A7" s="12">
        <v>22</v>
      </c>
      <c r="B7" s="12" t="str">
        <v>927  Hậu Giang</v>
      </c>
      <c r="C7" s="12" t="str">
        <v>927 HG</v>
      </c>
      <c r="D7" s="9">
        <v>226000</v>
      </c>
      <c r="E7" s="9">
        <v>960</v>
      </c>
      <c r="F7" s="9" t="str">
        <v>927 HG960</v>
      </c>
      <c r="G7" s="9">
        <v>366000</v>
      </c>
      <c r="H7" s="9">
        <v>-140000</v>
      </c>
      <c r="I7" s="13">
        <v>-0.3825136612021858</v>
      </c>
    </row>
    <row customHeight="true" ht="19" r="8">
      <c r="A8" s="12">
        <v>39</v>
      </c>
      <c r="B8" s="12" t="str">
        <v>151 Cầu Giấy, Q. CG</v>
      </c>
      <c r="C8" s="12" t="str">
        <v>151 CG</v>
      </c>
      <c r="D8" s="9">
        <v>264000</v>
      </c>
      <c r="E8" s="9">
        <v>960</v>
      </c>
      <c r="F8" s="9" t="str">
        <v>151 CG960</v>
      </c>
      <c r="G8" s="9">
        <v>346000</v>
      </c>
      <c r="H8" s="9">
        <v>-82000</v>
      </c>
      <c r="I8" s="13">
        <v>-0.23699421965317918</v>
      </c>
    </row>
    <row customHeight="true" ht="19" r="9">
      <c r="A9" s="12">
        <v>44</v>
      </c>
      <c r="B9" s="12" t="str">
        <v>103 Trần Não</v>
      </c>
      <c r="C9" s="12" t="str">
        <v>103 TN</v>
      </c>
      <c r="D9" s="9">
        <v>256000</v>
      </c>
      <c r="E9" s="9">
        <v>960</v>
      </c>
      <c r="F9" s="9" t="str">
        <v>103 TN960</v>
      </c>
      <c r="G9" s="9">
        <v>369000</v>
      </c>
      <c r="H9" s="9">
        <v>-113000</v>
      </c>
      <c r="I9" s="13">
        <v>-0.3062330623306233</v>
      </c>
    </row>
    <row customHeight="true" ht="19" r="10">
      <c r="A10" s="12">
        <v>45</v>
      </c>
      <c r="B10" s="12" t="str">
        <v>25 Tôn Đản</v>
      </c>
      <c r="C10" s="12" t="str">
        <v>25 TD</v>
      </c>
      <c r="D10" s="9">
        <v>237000</v>
      </c>
      <c r="E10" s="9">
        <v>960</v>
      </c>
      <c r="F10" s="9" t="str">
        <v>25 TD960</v>
      </c>
      <c r="G10" s="9">
        <v>369000</v>
      </c>
      <c r="H10" s="9">
        <v>-132000</v>
      </c>
      <c r="I10" s="13">
        <v>-0.35772357723577236</v>
      </c>
    </row>
    <row customHeight="true" ht="19" r="11">
      <c r="A11" s="12">
        <v>46</v>
      </c>
      <c r="B11" s="12" t="str">
        <v>483 Thống Nhất</v>
      </c>
      <c r="C11" s="12" t="str">
        <v>483 TN</v>
      </c>
      <c r="D11" s="9">
        <v>243000</v>
      </c>
      <c r="E11" s="9">
        <v>960</v>
      </c>
      <c r="F11" s="9" t="str">
        <v>483 TN960</v>
      </c>
      <c r="G11" s="9">
        <v>332000</v>
      </c>
      <c r="H11" s="9">
        <v>-89000</v>
      </c>
      <c r="I11" s="13">
        <v>-0.2680722891566265</v>
      </c>
    </row>
    <row customHeight="true" ht="19" r="12">
      <c r="A12" s="12">
        <v>47</v>
      </c>
      <c r="B12" s="12" t="str">
        <v>708 Lê Trọng Tấn</v>
      </c>
      <c r="C12" s="12" t="str">
        <v>708 LTT</v>
      </c>
      <c r="D12" s="9">
        <v>228000</v>
      </c>
      <c r="E12" s="9">
        <v>960</v>
      </c>
      <c r="F12" s="9" t="str">
        <v>708 LTT960</v>
      </c>
      <c r="G12" s="9">
        <v>346000</v>
      </c>
      <c r="H12" s="9">
        <v>-118000</v>
      </c>
      <c r="I12" s="13">
        <v>-0.34104046242774566</v>
      </c>
    </row>
    <row customHeight="true" ht="19" r="13">
      <c r="A13" s="12">
        <v>51</v>
      </c>
      <c r="B13" s="12" t="str">
        <v>420 Huỳnh Tấn Phát</v>
      </c>
      <c r="C13" s="12" t="str">
        <v>420 HTP</v>
      </c>
      <c r="D13" s="9">
        <v>241000</v>
      </c>
      <c r="E13" s="9">
        <v>960</v>
      </c>
      <c r="F13" s="9" t="str">
        <v>420 HTP960</v>
      </c>
      <c r="G13" s="9">
        <v>366000</v>
      </c>
      <c r="H13" s="9">
        <v>-125000</v>
      </c>
      <c r="I13" s="13">
        <v>-0.34153005464480873</v>
      </c>
    </row>
    <row customHeight="true" ht="19" r="14">
      <c r="A14" s="12">
        <v>52</v>
      </c>
      <c r="B14" s="12" t="str">
        <v>451 Phạm Văn Thuận</v>
      </c>
      <c r="C14" s="12" t="str">
        <v>451 PVT</v>
      </c>
      <c r="D14" s="9">
        <v>210000</v>
      </c>
      <c r="E14" s="9">
        <v>960</v>
      </c>
      <c r="F14" s="9" t="str">
        <v>451 PVT960</v>
      </c>
      <c r="G14" s="9">
        <v>332000</v>
      </c>
      <c r="H14" s="9">
        <v>-122000</v>
      </c>
      <c r="I14" s="13">
        <v>-0.3674698795180723</v>
      </c>
    </row>
    <row customHeight="true" ht="19" r="15">
      <c r="A15" s="12">
        <v>58</v>
      </c>
      <c r="B15" s="12" t="str">
        <v>730 Tỉnh lộ 10</v>
      </c>
      <c r="C15" s="12" t="str">
        <v>730 TL10</v>
      </c>
      <c r="D15" s="9">
        <v>240000</v>
      </c>
      <c r="E15" s="9">
        <v>960</v>
      </c>
      <c r="F15" s="9" t="str">
        <v>730 TL10960</v>
      </c>
      <c r="G15" s="9">
        <v>366000</v>
      </c>
      <c r="H15" s="9">
        <v>-126000</v>
      </c>
      <c r="I15" s="13">
        <v>-0.3442622950819672</v>
      </c>
    </row>
    <row customHeight="true" ht="19" r="16">
      <c r="A16" s="12">
        <v>60</v>
      </c>
      <c r="B16" s="12" t="str">
        <v>80 Phú Lợi</v>
      </c>
      <c r="C16" s="12" t="str">
        <v>80 PL BD</v>
      </c>
      <c r="D16" s="9">
        <v>274000</v>
      </c>
      <c r="E16" s="9">
        <v>960</v>
      </c>
      <c r="F16" s="9" t="str">
        <v>80 PL BD960</v>
      </c>
      <c r="G16" s="9">
        <v>332000</v>
      </c>
      <c r="H16" s="9">
        <v>-58000</v>
      </c>
      <c r="I16" s="13">
        <v>-0.1746987951807229</v>
      </c>
    </row>
    <row customHeight="true" ht="19" r="17">
      <c r="A17" s="12">
        <v>61</v>
      </c>
      <c r="B17" s="12" t="str">
        <v>1180 Quang Trung</v>
      </c>
      <c r="C17" s="12" t="str">
        <v>1180 QT</v>
      </c>
      <c r="D17" s="9">
        <v>219000</v>
      </c>
      <c r="E17" s="9">
        <v>960</v>
      </c>
      <c r="F17" s="9" t="str">
        <v>1180 QT960</v>
      </c>
      <c r="G17" s="9">
        <v>346000</v>
      </c>
      <c r="H17" s="9">
        <v>-127000</v>
      </c>
      <c r="I17" s="13">
        <v>-0.3670520231213873</v>
      </c>
    </row>
    <row customHeight="true" ht="19" r="18">
      <c r="A18" s="12">
        <v>63</v>
      </c>
      <c r="B18" s="12" t="str">
        <v>29 Hiệp Bình</v>
      </c>
      <c r="C18" s="12" t="str">
        <v>29 HB</v>
      </c>
      <c r="D18" s="9">
        <v>227000</v>
      </c>
      <c r="E18" s="9">
        <v>960</v>
      </c>
      <c r="F18" s="9" t="str">
        <v>29 HB960</v>
      </c>
      <c r="G18" s="9">
        <v>346000</v>
      </c>
      <c r="H18" s="9">
        <v>-119000</v>
      </c>
      <c r="I18" s="13">
        <v>-0.3439306358381503</v>
      </c>
    </row>
    <row customHeight="true" ht="19" r="19">
      <c r="A19" s="12">
        <v>65</v>
      </c>
      <c r="B19" s="12" t="str">
        <v>255 Nguyễn An Ninh</v>
      </c>
      <c r="C19" s="12" t="str">
        <v>255 NAN</v>
      </c>
      <c r="D19" s="9">
        <v>311000</v>
      </c>
      <c r="E19" s="9">
        <v>960</v>
      </c>
      <c r="F19" s="9" t="str">
        <v>255 NAN960</v>
      </c>
      <c r="G19" s="9">
        <v>346000</v>
      </c>
      <c r="H19" s="9">
        <v>-35000</v>
      </c>
      <c r="I19" s="13">
        <v>-0.10115606936416185</v>
      </c>
    </row>
    <row customHeight="true" ht="19" r="20">
      <c r="A20" s="12">
        <v>69</v>
      </c>
      <c r="B20" s="12" t="str">
        <v>312 Lê Văn Sỹ</v>
      </c>
      <c r="C20" s="12" t="str">
        <v>312 LVS</v>
      </c>
      <c r="D20" s="9">
        <v>223000</v>
      </c>
      <c r="E20" s="9">
        <v>960</v>
      </c>
      <c r="F20" s="9" t="str">
        <v>312 LVS960</v>
      </c>
      <c r="G20" s="9">
        <v>366000</v>
      </c>
      <c r="H20" s="9">
        <v>-143000</v>
      </c>
      <c r="I20" s="13">
        <v>-0.3907103825136612</v>
      </c>
    </row>
    <row customHeight="true" ht="19" r="21">
      <c r="A21" s="12">
        <v>72</v>
      </c>
      <c r="B21" s="12" t="str">
        <v>113 Trần Hưng Đạo</v>
      </c>
      <c r="C21" s="12" t="str">
        <v>113 THD AG</v>
      </c>
      <c r="D21" s="9">
        <v>214000</v>
      </c>
      <c r="E21" s="9">
        <v>960</v>
      </c>
      <c r="F21" s="9" t="str">
        <v>113 THD AG960</v>
      </c>
      <c r="G21" s="9">
        <v>346000</v>
      </c>
      <c r="H21" s="9">
        <v>-132000</v>
      </c>
      <c r="I21" s="13">
        <v>-0.3815028901734104</v>
      </c>
    </row>
    <row customHeight="true" ht="19" r="22">
      <c r="A22" s="12">
        <v>85</v>
      </c>
      <c r="B22" s="12" t="str" xml:space="preserve">
        <v> 363 Lương Ngọc Quyến</v>
      </c>
      <c r="C22" s="12" t="str">
        <v>363 LNQ TN</v>
      </c>
      <c r="D22" s="9">
        <v>347000</v>
      </c>
      <c r="E22" s="9">
        <v>960</v>
      </c>
      <c r="F22" s="9" t="str">
        <v>363 LNQ TN960</v>
      </c>
      <c r="G22" s="9">
        <v>366000</v>
      </c>
      <c r="H22" s="9">
        <v>-19000</v>
      </c>
      <c r="I22" s="13">
        <v>-0.05191256830601093</v>
      </c>
    </row>
    <row customHeight="true" ht="19" r="23">
      <c r="A23" s="12">
        <v>106</v>
      </c>
      <c r="B23" s="12" t="str">
        <v>76 Phan Văn Hớn</v>
      </c>
      <c r="C23" s="12" t="str">
        <v>76 PVH</v>
      </c>
      <c r="D23" s="9">
        <v>228000</v>
      </c>
      <c r="E23" s="9">
        <v>960</v>
      </c>
      <c r="F23" s="9" t="str">
        <v>76 PVH960</v>
      </c>
      <c r="G23" s="9">
        <v>346000</v>
      </c>
      <c r="H23" s="9">
        <v>-118000</v>
      </c>
      <c r="I23" s="13">
        <v>-0.34104046242774566</v>
      </c>
    </row>
    <row customHeight="true" ht="19" r="24">
      <c r="A24" s="12">
        <v>141</v>
      </c>
      <c r="B24" s="12" t="str">
        <v>236 Dương Bá Trạc</v>
      </c>
      <c r="C24" s="12" t="str">
        <v>236 DBT</v>
      </c>
      <c r="D24" s="9">
        <v>228000</v>
      </c>
      <c r="E24" s="9">
        <v>960</v>
      </c>
      <c r="F24" s="9" t="str">
        <v>236 DBT960</v>
      </c>
      <c r="G24" s="9">
        <v>366000</v>
      </c>
      <c r="H24" s="9">
        <v>-138000</v>
      </c>
      <c r="I24" s="13">
        <v>-0.3770491803278688</v>
      </c>
    </row>
    <row customHeight="true" ht="19" r="25">
      <c r="A25" s="12">
        <v>143</v>
      </c>
      <c r="B25" s="12" t="str">
        <v>10 Trần Phú</v>
      </c>
      <c r="C25" s="12" t="str">
        <v>10 TP</v>
      </c>
      <c r="D25" s="9">
        <v>225000</v>
      </c>
      <c r="E25" s="9">
        <v>960</v>
      </c>
      <c r="F25" s="9" t="str">
        <v>10 TP960</v>
      </c>
      <c r="G25" s="9">
        <v>366000</v>
      </c>
      <c r="H25" s="9">
        <v>-141000</v>
      </c>
      <c r="I25" s="13">
        <v>-0.38524590163934425</v>
      </c>
    </row>
    <row customHeight="true" ht="19" r="26">
      <c r="A26" s="12">
        <v>144</v>
      </c>
      <c r="B26" s="12" t="str">
        <v>168 Nguyễn Văn Cừ</v>
      </c>
      <c r="C26" s="12" t="str">
        <v>168 NVC</v>
      </c>
      <c r="D26" s="9">
        <v>312000</v>
      </c>
      <c r="E26" s="9">
        <v>960</v>
      </c>
      <c r="F26" s="9" t="str">
        <v>168 NVC960</v>
      </c>
      <c r="G26" s="9">
        <v>346000</v>
      </c>
      <c r="H26" s="9">
        <v>-34000</v>
      </c>
      <c r="I26" s="13">
        <v>-0.09826589595375723</v>
      </c>
    </row>
    <row customHeight="true" ht="19" r="27">
      <c r="A27" s="12">
        <v>145</v>
      </c>
      <c r="B27" s="12" t="str">
        <v>237 Nguyễn Thị Thập</v>
      </c>
      <c r="C27" s="12" t="str">
        <v>237 NTT</v>
      </c>
      <c r="D27" s="9">
        <v>227000</v>
      </c>
      <c r="E27" s="9">
        <v>960</v>
      </c>
      <c r="F27" s="9" t="str">
        <v>237 NTT960</v>
      </c>
      <c r="G27" s="9">
        <v>366000</v>
      </c>
      <c r="H27" s="9">
        <v>-139000</v>
      </c>
      <c r="I27" s="13">
        <v>-0.3797814207650273</v>
      </c>
    </row>
    <row customHeight="true" ht="19" r="28">
      <c r="A28" s="12">
        <v>146</v>
      </c>
      <c r="B28" s="12" t="str">
        <v>109 Trần Quốc Hoàn</v>
      </c>
      <c r="C28" s="12" t="str">
        <v>109 TQH</v>
      </c>
      <c r="D28" s="9">
        <v>274000</v>
      </c>
      <c r="E28" s="9">
        <v>960</v>
      </c>
      <c r="F28" s="9" t="str">
        <v>109 TQH960</v>
      </c>
      <c r="G28" s="9">
        <v>366000</v>
      </c>
      <c r="H28" s="9">
        <v>-92000</v>
      </c>
      <c r="I28" s="13">
        <v>-0.25136612021857924</v>
      </c>
    </row>
    <row customHeight="true" ht="19" r="29">
      <c r="A29" s="12">
        <v>147</v>
      </c>
      <c r="B29" s="12" t="str">
        <v>99 Tân Sơn Nhì</v>
      </c>
      <c r="C29" s="12" t="str">
        <v>99 TSN</v>
      </c>
      <c r="D29" s="9">
        <v>225000</v>
      </c>
      <c r="E29" s="9">
        <v>960</v>
      </c>
      <c r="F29" s="9" t="str">
        <v>99 TSN960</v>
      </c>
      <c r="G29" s="9">
        <v>366000</v>
      </c>
      <c r="H29" s="9">
        <v>-141000</v>
      </c>
      <c r="I29" s="13">
        <v>-0.38524590163934425</v>
      </c>
    </row>
    <row customHeight="true" ht="19" r="30">
      <c r="A30" s="12">
        <v>182</v>
      </c>
      <c r="B30" s="12" t="str">
        <v>186 Đinh Tiên Hoàng</v>
      </c>
      <c r="C30" s="12" t="str">
        <v>186 DTH</v>
      </c>
      <c r="D30" s="9">
        <v>227000</v>
      </c>
      <c r="E30" s="9">
        <v>960</v>
      </c>
      <c r="F30" s="9" t="str">
        <v>186 DTH960</v>
      </c>
      <c r="G30" s="9">
        <v>366000</v>
      </c>
      <c r="H30" s="9">
        <v>-139000</v>
      </c>
      <c r="I30" s="13">
        <v>-0.3797814207650273</v>
      </c>
    </row>
    <row customHeight="true" ht="19" r="31">
      <c r="A31" s="12">
        <v>184</v>
      </c>
      <c r="B31" s="12" t="str">
        <v>36 đường N1, KCN Mỹ Phước 1</v>
      </c>
      <c r="C31" s="12" t="str">
        <v>36 N1 BD</v>
      </c>
      <c r="D31" s="9">
        <v>311000</v>
      </c>
      <c r="E31" s="9">
        <v>960</v>
      </c>
      <c r="F31" s="9" t="str">
        <v>36 N1 BD960</v>
      </c>
      <c r="G31" s="9">
        <v>332000</v>
      </c>
      <c r="H31" s="9">
        <v>-21000</v>
      </c>
      <c r="I31" s="13">
        <v>-0.06325301204819277</v>
      </c>
    </row>
    <row customHeight="true" ht="19" r="32">
      <c r="A32" s="12">
        <v>188</v>
      </c>
      <c r="B32" s="12" t="str">
        <v>190 Hòa Bình</v>
      </c>
      <c r="C32" s="12" t="str">
        <v>190 HB</v>
      </c>
      <c r="D32" s="9">
        <v>216000</v>
      </c>
      <c r="E32" s="9">
        <v>960</v>
      </c>
      <c r="F32" s="9" t="str">
        <v>190 HB960</v>
      </c>
      <c r="G32" s="9">
        <v>346000</v>
      </c>
      <c r="H32" s="9">
        <v>-130000</v>
      </c>
      <c r="I32" s="13">
        <v>-0.37572254335260113</v>
      </c>
    </row>
    <row customHeight="true" ht="19" r="33">
      <c r="A33" s="12">
        <v>192</v>
      </c>
      <c r="B33" s="12" t="str">
        <v>264 Lạc Long Quân</v>
      </c>
      <c r="C33" s="12" t="str">
        <v>264 LLQ</v>
      </c>
      <c r="D33" s="9">
        <v>283000</v>
      </c>
      <c r="E33" s="9">
        <v>960</v>
      </c>
      <c r="F33" s="9" t="str">
        <v>264 LLQ960</v>
      </c>
      <c r="G33" s="9">
        <v>332000</v>
      </c>
      <c r="H33" s="9">
        <v>-49000</v>
      </c>
      <c r="I33" s="13">
        <v>-0.14759036144578314</v>
      </c>
    </row>
    <row customHeight="true" ht="19" r="34">
      <c r="A34" s="12">
        <v>193</v>
      </c>
      <c r="B34" s="12" t="str">
        <v>145 Tô Hiến Thành</v>
      </c>
      <c r="C34" s="12" t="str">
        <v>145 THT</v>
      </c>
      <c r="D34" s="9">
        <v>226000</v>
      </c>
      <c r="E34" s="9">
        <v>960</v>
      </c>
      <c r="F34" s="9" t="str">
        <v>145 THT960</v>
      </c>
      <c r="G34" s="9">
        <v>332000</v>
      </c>
      <c r="H34" s="9">
        <v>-106000</v>
      </c>
      <c r="I34" s="13">
        <v>-0.3192771084337349</v>
      </c>
    </row>
    <row customHeight="true" ht="19" r="35">
      <c r="A35" s="12">
        <v>194</v>
      </c>
      <c r="B35" s="12" t="str">
        <v>90 Nguyễn Hoàng</v>
      </c>
      <c r="C35" s="12" t="str">
        <v>90 NH</v>
      </c>
      <c r="D35" s="9">
        <v>240000</v>
      </c>
      <c r="E35" s="9">
        <v>960</v>
      </c>
      <c r="F35" s="9" t="str">
        <v>90 NH960</v>
      </c>
      <c r="G35" s="9">
        <v>346000</v>
      </c>
      <c r="H35" s="9">
        <v>-106000</v>
      </c>
      <c r="I35" s="13">
        <v>-0.3063583815028902</v>
      </c>
    </row>
    <row customHeight="true" ht="19" r="36">
      <c r="A36" s="12">
        <v>196</v>
      </c>
      <c r="B36" s="12" t="str">
        <v>202 Đội Cấn</v>
      </c>
      <c r="C36" s="12" t="str">
        <v>202 DC</v>
      </c>
      <c r="D36" s="9">
        <v>273000</v>
      </c>
      <c r="E36" s="9">
        <v>960</v>
      </c>
      <c r="F36" s="9" t="str">
        <v>202 DC960</v>
      </c>
      <c r="G36" s="9">
        <v>369000</v>
      </c>
      <c r="H36" s="9">
        <v>-96000</v>
      </c>
      <c r="I36" s="13">
        <v>-0.2601626016260163</v>
      </c>
    </row>
    <row customHeight="true" ht="19" r="37">
      <c r="A37" s="12">
        <v>197</v>
      </c>
      <c r="B37" s="12" t="str">
        <v>65 Cầu Diễn</v>
      </c>
      <c r="C37" s="12" t="str">
        <v>65 CD</v>
      </c>
      <c r="D37" s="9">
        <v>240000</v>
      </c>
      <c r="E37" s="9">
        <v>960</v>
      </c>
      <c r="F37" s="9" t="str">
        <v>65 CD960</v>
      </c>
      <c r="G37" s="9">
        <v>366000</v>
      </c>
      <c r="H37" s="9">
        <v>-126000</v>
      </c>
      <c r="I37" s="13">
        <v>-0.3442622950819672</v>
      </c>
    </row>
    <row customHeight="true" ht="19" r="38">
      <c r="A38" s="12">
        <v>199</v>
      </c>
      <c r="B38" s="12" t="str">
        <v>7 Đỗ Tường Phong</v>
      </c>
      <c r="C38" s="12" t="str">
        <v>7 DTP LA</v>
      </c>
      <c r="D38" s="9">
        <v>189000</v>
      </c>
      <c r="E38" s="9">
        <v>960</v>
      </c>
      <c r="F38" s="9" t="str">
        <v>7 DTP LA960</v>
      </c>
      <c r="G38" s="9">
        <v>366000</v>
      </c>
      <c r="H38" s="9">
        <v>-177000</v>
      </c>
      <c r="I38" s="13">
        <v>-0.48360655737704916</v>
      </c>
    </row>
    <row customHeight="true" ht="19" r="39">
      <c r="A39" s="12">
        <v>204</v>
      </c>
      <c r="B39" s="12" t="str">
        <v>401/1 Nguyễn Duy Trinh</v>
      </c>
      <c r="C39" s="12" t="str">
        <v>401/1 NDT</v>
      </c>
      <c r="D39" s="9">
        <v>227000</v>
      </c>
      <c r="E39" s="9">
        <v>960</v>
      </c>
      <c r="F39" s="9" t="str">
        <v>401/1 NDT960</v>
      </c>
      <c r="G39" s="9">
        <v>346000</v>
      </c>
      <c r="H39" s="9">
        <v>-119000</v>
      </c>
      <c r="I39" s="13">
        <v>-0.3439306358381503</v>
      </c>
    </row>
    <row customHeight="true" ht="19" r="40">
      <c r="A40" s="12">
        <v>205</v>
      </c>
      <c r="B40" s="12" t="str">
        <v>341 Xô Viết Nghệ Tĩnh</v>
      </c>
      <c r="C40" s="12" t="str">
        <v>341 XVNT</v>
      </c>
      <c r="D40" s="9">
        <v>300000</v>
      </c>
      <c r="E40" s="9">
        <v>960</v>
      </c>
      <c r="F40" s="9" t="str">
        <v>341 XVNT960</v>
      </c>
      <c r="G40" s="9">
        <v>332000</v>
      </c>
      <c r="H40" s="9">
        <v>-32000</v>
      </c>
      <c r="I40" s="13">
        <v>-0.0963855421686747</v>
      </c>
    </row>
    <row customHeight="true" ht="19" r="41">
      <c r="A41" s="12">
        <v>210</v>
      </c>
      <c r="B41" s="12" t="str">
        <v>148B Trương Định</v>
      </c>
      <c r="C41" s="12" t="str">
        <v>148 TD</v>
      </c>
      <c r="D41" s="9">
        <v>217000</v>
      </c>
      <c r="E41" s="9">
        <v>960</v>
      </c>
      <c r="F41" s="9" t="str">
        <v>148 TD960</v>
      </c>
      <c r="G41" s="9">
        <v>366000</v>
      </c>
      <c r="H41" s="9">
        <v>-149000</v>
      </c>
      <c r="I41" s="13">
        <v>-0.40710382513661203</v>
      </c>
    </row>
    <row customHeight="true" ht="19" r="42">
      <c r="A42" s="12">
        <v>212</v>
      </c>
      <c r="B42" s="12" t="str">
        <v>58 Nguyễn Văn Cừ</v>
      </c>
      <c r="C42" s="12" t="str">
        <v>58 NVC NA</v>
      </c>
      <c r="D42" s="9">
        <v>227000</v>
      </c>
      <c r="E42" s="9">
        <v>960</v>
      </c>
      <c r="F42" s="9" t="str">
        <v>58 NVC NA960</v>
      </c>
      <c r="G42" s="9">
        <v>346000</v>
      </c>
      <c r="H42" s="9">
        <v>-119000</v>
      </c>
      <c r="I42" s="13">
        <v>-0.3439306358381503</v>
      </c>
    </row>
    <row customHeight="true" ht="19" r="43">
      <c r="A43" s="12">
        <v>217</v>
      </c>
      <c r="B43" s="12" t="str">
        <v>Time Garden 25/4</v>
      </c>
      <c r="C43" s="12" t="str">
        <v>TG 25/4 QN</v>
      </c>
      <c r="D43" s="9">
        <v>175000</v>
      </c>
      <c r="E43" s="9">
        <v>960</v>
      </c>
      <c r="F43" s="9" t="str">
        <v>TG 25/4 QN960</v>
      </c>
      <c r="G43" s="9">
        <v>346000</v>
      </c>
      <c r="H43" s="9">
        <v>-171000</v>
      </c>
      <c r="I43" s="13">
        <v>-0.49421965317919075</v>
      </c>
    </row>
    <row customHeight="true" ht="19" r="44">
      <c r="A44" s="12">
        <v>228</v>
      </c>
      <c r="B44" s="12" t="str">
        <v>62 Láng Hạ</v>
      </c>
      <c r="C44" s="12" t="str">
        <v>62 LH</v>
      </c>
      <c r="D44" s="9">
        <v>226000</v>
      </c>
      <c r="E44" s="9">
        <v>960</v>
      </c>
      <c r="F44" s="9" t="str">
        <v>62 LH960</v>
      </c>
      <c r="G44" s="9">
        <v>332000</v>
      </c>
      <c r="H44" s="9">
        <v>-106000</v>
      </c>
      <c r="I44" s="13">
        <v>-0.3192771084337349</v>
      </c>
    </row>
    <row customHeight="true" ht="19" r="45">
      <c r="A45" s="12">
        <v>230</v>
      </c>
      <c r="B45" s="12" t="str">
        <v>290 Quang Trung</v>
      </c>
      <c r="C45" s="12" t="str">
        <v>290 QT TH</v>
      </c>
      <c r="D45" s="9">
        <v>239000</v>
      </c>
      <c r="E45" s="9">
        <v>960</v>
      </c>
      <c r="F45" s="9" t="str">
        <v>290 QT TH960</v>
      </c>
      <c r="G45" s="9">
        <v>369000</v>
      </c>
      <c r="H45" s="9">
        <v>-130000</v>
      </c>
      <c r="I45" s="13">
        <v>-0.3523035230352303</v>
      </c>
    </row>
    <row customHeight="true" ht="19" r="46">
      <c r="A46" s="12">
        <v>231</v>
      </c>
      <c r="B46" s="12" t="str" xml:space="preserve">
        <v>304 Nguyễn Trãi </v>
      </c>
      <c r="C46" s="12" t="str">
        <v>304 NT TH</v>
      </c>
      <c r="D46" s="9">
        <v>291000</v>
      </c>
      <c r="E46" s="9">
        <v>960</v>
      </c>
      <c r="F46" s="9" t="str">
        <v>304 NT TH960</v>
      </c>
      <c r="G46" s="9">
        <v>332000</v>
      </c>
      <c r="H46" s="9">
        <v>-41000</v>
      </c>
      <c r="I46" s="13">
        <v>-0.12349397590361445</v>
      </c>
    </row>
    <row customHeight="true" ht="19" r="47">
      <c r="A47" s="12">
        <v>232</v>
      </c>
      <c r="B47" s="12" t="str">
        <v>80 Trần Phú</v>
      </c>
      <c r="C47" s="12" t="str">
        <v>80 TP TH</v>
      </c>
      <c r="D47" s="9">
        <v>291000</v>
      </c>
      <c r="E47" s="9">
        <v>960</v>
      </c>
      <c r="F47" s="9" t="str">
        <v>80 TP TH960</v>
      </c>
      <c r="G47" s="9">
        <v>332000</v>
      </c>
      <c r="H47" s="9">
        <v>-41000</v>
      </c>
      <c r="I47" s="13">
        <v>-0.12349397590361445</v>
      </c>
    </row>
    <row customHeight="true" ht="19" r="48">
      <c r="A48" s="12">
        <v>233</v>
      </c>
      <c r="B48" s="12" t="str">
        <v>595 Bà Triệu</v>
      </c>
      <c r="C48" s="12" t="str">
        <v>595 BT TH</v>
      </c>
      <c r="D48" s="9">
        <v>313000</v>
      </c>
      <c r="E48" s="9">
        <v>960</v>
      </c>
      <c r="F48" s="9" t="str">
        <v>595 BT TH960</v>
      </c>
      <c r="G48" s="9">
        <v>332000</v>
      </c>
      <c r="H48" s="9">
        <v>-19000</v>
      </c>
      <c r="I48" s="13">
        <v>-0.0572289156626506</v>
      </c>
    </row>
    <row customHeight="true" ht="19" r="49">
      <c r="A49" s="12">
        <v>239</v>
      </c>
      <c r="B49" s="12" t="str" xml:space="preserve">
        <v>186 Quang Trung </v>
      </c>
      <c r="C49" s="12" t="str">
        <v>186 QT</v>
      </c>
      <c r="D49" s="9">
        <v>251000</v>
      </c>
      <c r="E49" s="9">
        <v>960</v>
      </c>
      <c r="F49" s="9" t="str">
        <v>186 QT960</v>
      </c>
      <c r="G49" s="9">
        <v>332000</v>
      </c>
      <c r="H49" s="9">
        <v>-81000</v>
      </c>
      <c r="I49" s="13">
        <v>-0.24397590361445784</v>
      </c>
    </row>
    <row customHeight="true" ht="19" r="50">
      <c r="A50" s="12">
        <v>240</v>
      </c>
      <c r="B50" s="12" t="str">
        <v>68 Lê Nin</v>
      </c>
      <c r="C50" s="12" t="str">
        <v>68 LN NA</v>
      </c>
      <c r="D50" s="9">
        <v>188000</v>
      </c>
      <c r="E50" s="9">
        <v>960</v>
      </c>
      <c r="F50" s="9" t="str">
        <v>68 LN NA960</v>
      </c>
      <c r="G50" s="9">
        <v>332000</v>
      </c>
      <c r="H50" s="9">
        <v>-144000</v>
      </c>
      <c r="I50" s="13">
        <v>-0.43373493975903615</v>
      </c>
    </row>
    <row customHeight="true" ht="19" r="51">
      <c r="A51" s="12">
        <v>244</v>
      </c>
      <c r="B51" s="12" t="str">
        <v>11 Phan Kế Toại</v>
      </c>
      <c r="C51" s="12" t="str">
        <v>11 PKT</v>
      </c>
      <c r="D51" s="9">
        <v>261000</v>
      </c>
      <c r="E51" s="9">
        <v>960</v>
      </c>
      <c r="F51" s="9" t="str">
        <v>11 PKT960</v>
      </c>
      <c r="G51" s="9">
        <v>332000</v>
      </c>
      <c r="H51" s="9">
        <v>-71000</v>
      </c>
      <c r="I51" s="13">
        <v>-0.21385542168674698</v>
      </c>
    </row>
    <row customHeight="true" ht="19" r="52">
      <c r="A52" s="12">
        <v>245</v>
      </c>
      <c r="B52" s="12" t="str">
        <v>55A Nguyễn Văn Lộc</v>
      </c>
      <c r="C52" s="12" t="str">
        <v>55A NVL</v>
      </c>
      <c r="D52" s="9">
        <v>254000</v>
      </c>
      <c r="E52" s="9">
        <v>960</v>
      </c>
      <c r="F52" s="9" t="str">
        <v>55A NVL960</v>
      </c>
      <c r="G52" s="9">
        <v>369000</v>
      </c>
      <c r="H52" s="9">
        <v>-115000</v>
      </c>
      <c r="I52" s="13">
        <v>-0.3116531165311653</v>
      </c>
    </row>
    <row customHeight="true" ht="19" r="53">
      <c r="A53" s="12">
        <v>247</v>
      </c>
      <c r="B53" s="12" t="str">
        <v>1371 Phạm Văn Thuận</v>
      </c>
      <c r="C53" s="12" t="str">
        <v>1371 PVT</v>
      </c>
      <c r="D53" s="9">
        <v>210000</v>
      </c>
      <c r="E53" s="9">
        <v>960</v>
      </c>
      <c r="F53" s="9" t="str">
        <v>1371 PVT960</v>
      </c>
      <c r="G53" s="9">
        <v>346000</v>
      </c>
      <c r="H53" s="9">
        <v>-136000</v>
      </c>
      <c r="I53" s="13">
        <v>-0.3930635838150289</v>
      </c>
    </row>
    <row customHeight="true" ht="19" r="54">
      <c r="A54" s="12">
        <v>249</v>
      </c>
      <c r="B54" s="12" t="str">
        <v>1146 Kha Vạn Cân</v>
      </c>
      <c r="C54" s="12" t="str">
        <v>1146 KVC</v>
      </c>
      <c r="D54" s="9">
        <v>218000</v>
      </c>
      <c r="E54" s="9">
        <v>960</v>
      </c>
      <c r="F54" s="9" t="str">
        <v>1146 KVC960</v>
      </c>
      <c r="G54" s="9">
        <v>346000</v>
      </c>
      <c r="H54" s="9">
        <v>-128000</v>
      </c>
      <c r="I54" s="13">
        <v>-0.3699421965317919</v>
      </c>
    </row>
    <row customHeight="true" ht="19" r="55">
      <c r="A55" s="12">
        <v>250</v>
      </c>
      <c r="B55" s="12" t="str">
        <v>173 Thanh Nhàn</v>
      </c>
      <c r="C55" s="12" t="str">
        <v>173 TN</v>
      </c>
      <c r="D55" s="9">
        <v>226000</v>
      </c>
      <c r="E55" s="9">
        <v>960</v>
      </c>
      <c r="F55" s="9" t="str">
        <v>173 TN960</v>
      </c>
      <c r="G55" s="9">
        <v>366000</v>
      </c>
      <c r="H55" s="9">
        <v>-140000</v>
      </c>
      <c r="I55" s="13">
        <v>-0.3825136612021858</v>
      </c>
    </row>
    <row customHeight="true" ht="19" r="56">
      <c r="A56" s="12">
        <v>274</v>
      </c>
      <c r="B56" s="12" t="str">
        <v>32 Nguyễn Ảnh Thủ</v>
      </c>
      <c r="C56" s="12" t="str">
        <v>32 NAT</v>
      </c>
      <c r="D56" s="9">
        <v>243000</v>
      </c>
      <c r="E56" s="9">
        <v>960</v>
      </c>
      <c r="F56" s="9" t="str">
        <v>32 NAT960</v>
      </c>
      <c r="G56" s="9">
        <v>332000</v>
      </c>
      <c r="H56" s="9">
        <v>-89000</v>
      </c>
      <c r="I56" s="13">
        <v>-0.2680722891566265</v>
      </c>
    </row>
    <row customHeight="true" ht="19" r="57">
      <c r="A57" s="12">
        <v>302</v>
      </c>
      <c r="B57" s="12" t="str">
        <v>362 Ngô Gia Tự</v>
      </c>
      <c r="C57" s="12" t="str">
        <v>362 NGT BN</v>
      </c>
      <c r="D57" s="9">
        <v>243000</v>
      </c>
      <c r="E57" s="9">
        <v>960</v>
      </c>
      <c r="F57" s="9" t="str">
        <v>362 NGT BN960</v>
      </c>
      <c r="G57" s="9">
        <v>366000</v>
      </c>
      <c r="H57" s="9">
        <v>-123000</v>
      </c>
      <c r="I57" s="13">
        <v>-0.3360655737704918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34"/>
    <col collapsed="false" customWidth="true" hidden="false" max="6" min="6" style="0" width="31"/>
  </cols>
  <sheetData>
    <row r="1">
      <c r="A1" s="35" t="str">
        <v>GIÁ DỊCH VỤ CẮT XẢ VÀ CÁC DỊCH VỤ RELAX CÓ CẮT</v>
      </c>
      <c r="B1" s="35"/>
      <c r="C1" s="35"/>
      <c r="D1" s="35"/>
      <c r="E1" s="35"/>
      <c r="F1" s="34"/>
    </row>
    <row r="2">
      <c r="A2" s="35" t="str">
        <v>Salon_name</v>
      </c>
      <c r="B2" s="35" t="str">
        <v>P_Category_name</v>
      </c>
      <c r="C2" s="35" t="str">
        <v>service_id</v>
      </c>
      <c r="D2" s="35"/>
      <c r="E2" s="35" t="str">
        <v>service_name</v>
      </c>
      <c r="F2" s="34" t="str">
        <v>Giá mới điều chỉnh ngày 07/03</v>
      </c>
    </row>
    <row r="3">
      <c r="A3" s="33" t="str">
        <v>10 TP</v>
      </c>
      <c r="B3" s="33" t="str">
        <v>DV_Cắt</v>
      </c>
      <c r="C3" s="33">
        <v>513</v>
      </c>
      <c r="D3" s="33">
        <f>A3&amp;C3</f>
      </c>
      <c r="E3" s="33" t="str">
        <v>[DV] ShineCombo 10 bước Ultra Care 2023</v>
      </c>
      <c r="F3" s="32">
        <v>122000</v>
      </c>
    </row>
    <row r="4">
      <c r="A4" s="33" t="str">
        <v>10 TP</v>
      </c>
      <c r="B4" s="33" t="str">
        <v>DV_Cắt</v>
      </c>
      <c r="C4" s="33">
        <v>891</v>
      </c>
      <c r="D4" s="33">
        <f>A4&amp;C4</f>
      </c>
      <c r="E4" s="33" t="str">
        <v>Cắt xả tạo kiểu</v>
      </c>
      <c r="F4" s="32">
        <v>94000</v>
      </c>
    </row>
    <row r="5">
      <c r="A5" s="33" t="str">
        <v>10 TP</v>
      </c>
      <c r="B5" s="33" t="str">
        <v>DV_Cắt</v>
      </c>
      <c r="C5" s="33">
        <v>1052</v>
      </c>
      <c r="D5" s="33">
        <f>A5&amp;C5</f>
      </c>
      <c r="E5" s="33" t="str">
        <v>Combo 1 - First Class 1</v>
      </c>
      <c r="F5" s="32">
        <v>139000</v>
      </c>
    </row>
    <row r="6">
      <c r="A6" s="33" t="str">
        <v>10 TP</v>
      </c>
      <c r="B6" s="33" t="str">
        <v>DV_Cắt</v>
      </c>
      <c r="C6" s="33">
        <v>1002</v>
      </c>
      <c r="D6" s="33">
        <f>A6&amp;C6</f>
      </c>
      <c r="E6" s="33" t="str">
        <v>Kid Cắt</v>
      </c>
      <c r="F6" s="32">
        <v>75000</v>
      </c>
    </row>
    <row r="7">
      <c r="A7" s="33" t="str">
        <v>10 TP</v>
      </c>
      <c r="B7" s="33" t="str">
        <v>DV_Cắt_Vip</v>
      </c>
      <c r="C7" s="33">
        <v>1047</v>
      </c>
      <c r="D7" s="33">
        <f>A7&amp;C7</f>
      </c>
      <c r="E7" s="33" t="str">
        <v>Cắt Gội Combo 3 - Chăm da</v>
      </c>
      <c r="F7" s="32">
        <v>299000</v>
      </c>
    </row>
    <row r="8">
      <c r="A8" s="33" t="str">
        <v>10 TP</v>
      </c>
      <c r="B8" s="33" t="str">
        <v>DV_Cắt_Vip</v>
      </c>
      <c r="C8" s="33">
        <v>1053</v>
      </c>
      <c r="D8" s="33">
        <f>A8&amp;C8</f>
      </c>
      <c r="E8" s="33" t="str">
        <v>Combo 2 - First Class 2</v>
      </c>
      <c r="F8" s="32">
        <v>239000</v>
      </c>
    </row>
    <row r="9">
      <c r="A9" s="33" t="str">
        <v>10 TP</v>
      </c>
      <c r="B9" s="33" t="str">
        <v>DV_Cắt_Vip</v>
      </c>
      <c r="C9" s="33">
        <v>1054</v>
      </c>
      <c r="D9" s="33">
        <f>A9&amp;C9</f>
      </c>
      <c r="E9" s="33" t="str">
        <v>Combo 3 - First Class 3</v>
      </c>
      <c r="F9" s="32">
        <v>309000</v>
      </c>
    </row>
    <row r="10">
      <c r="A10" s="33" t="str">
        <v>10 TP</v>
      </c>
      <c r="B10" s="33" t="str">
        <v>DV_Cắt_Vip</v>
      </c>
      <c r="C10" s="33">
        <v>1055</v>
      </c>
      <c r="D10" s="33">
        <f>A10&amp;C10</f>
      </c>
      <c r="E10" s="33" t="str">
        <v>Combo 4- First Class 4</v>
      </c>
      <c r="F10" s="32">
        <v>409000</v>
      </c>
    </row>
    <row r="11">
      <c r="A11" s="33" t="str">
        <v>10 TP</v>
      </c>
      <c r="B11" s="33" t="str">
        <v>DV_Cắt_Vip</v>
      </c>
      <c r="C11" s="33">
        <v>1046</v>
      </c>
      <c r="D11" s="33">
        <f>A11&amp;C11</f>
      </c>
      <c r="E11" s="33" t="str">
        <v>Shinecombo 2</v>
      </c>
      <c r="F11" s="32">
        <v>199000</v>
      </c>
    </row>
    <row r="12">
      <c r="A12" s="33" t="str">
        <v>103 TN</v>
      </c>
      <c r="B12" s="33" t="str">
        <v>DV_Cắt</v>
      </c>
      <c r="C12" s="33">
        <v>513</v>
      </c>
      <c r="D12" s="33">
        <f>A12&amp;C12</f>
      </c>
      <c r="E12" s="33" t="str">
        <v>[DV] ShineCombo 10 bước Ultra Care 2023</v>
      </c>
      <c r="F12" s="32">
        <v>122000</v>
      </c>
    </row>
    <row r="13">
      <c r="A13" s="33" t="str">
        <v>103 TN</v>
      </c>
      <c r="B13" s="33" t="str">
        <v>DV_Cắt</v>
      </c>
      <c r="C13" s="33">
        <v>1070</v>
      </c>
      <c r="D13" s="33">
        <f>A13&amp;C13</f>
      </c>
      <c r="E13" s="33" t="str">
        <v>Combo Cắt gội Kid</v>
      </c>
      <c r="F13" s="32">
        <v>100000</v>
      </c>
    </row>
    <row r="14">
      <c r="A14" s="33" t="str">
        <v>103 TN</v>
      </c>
      <c r="B14" s="33" t="str">
        <v>DV_Cắt</v>
      </c>
      <c r="C14" s="33">
        <v>891</v>
      </c>
      <c r="D14" s="33">
        <f>A14&amp;C14</f>
      </c>
      <c r="E14" s="33" t="str">
        <v>Cắt xả tạo kiểu</v>
      </c>
      <c r="F14" s="32">
        <v>95000</v>
      </c>
    </row>
    <row r="15">
      <c r="A15" s="33" t="str">
        <v>103 TN</v>
      </c>
      <c r="B15" s="33" t="str">
        <v>DV_Cắt</v>
      </c>
      <c r="C15" s="33">
        <v>1052</v>
      </c>
      <c r="D15" s="33">
        <f>A15&amp;C15</f>
      </c>
      <c r="E15" s="33" t="str">
        <v>Combo 1 - First Class 1</v>
      </c>
      <c r="F15" s="32">
        <v>139000</v>
      </c>
    </row>
    <row r="16">
      <c r="A16" s="33" t="str">
        <v>103 TN</v>
      </c>
      <c r="B16" s="33" t="str">
        <v>DV_Cắt</v>
      </c>
      <c r="C16" s="33">
        <v>1002</v>
      </c>
      <c r="D16" s="33">
        <f>A16&amp;C16</f>
      </c>
      <c r="E16" s="33" t="str">
        <v>Kid Cắt</v>
      </c>
      <c r="F16" s="32">
        <v>76000</v>
      </c>
    </row>
    <row r="17">
      <c r="A17" s="33" t="str">
        <v>103 TN</v>
      </c>
      <c r="B17" s="33" t="str">
        <v>DV_Cắt_Vip</v>
      </c>
      <c r="C17" s="33">
        <v>1047</v>
      </c>
      <c r="D17" s="33">
        <f>A17&amp;C17</f>
      </c>
      <c r="E17" s="33" t="str">
        <v>Cắt Gội Combo 3 - Chăm da</v>
      </c>
      <c r="F17" s="32">
        <v>300000</v>
      </c>
    </row>
    <row r="18">
      <c r="A18" s="33" t="str">
        <v>103 TN</v>
      </c>
      <c r="B18" s="33" t="str">
        <v>DV_Cắt_Vip</v>
      </c>
      <c r="C18" s="33">
        <v>1065</v>
      </c>
      <c r="D18" s="33">
        <f>A18&amp;C18</f>
      </c>
      <c r="E18" s="33" t="str">
        <v>Cắt Gội Combo 3 - Dưỡng sinh</v>
      </c>
      <c r="F18" s="32">
        <v>300000</v>
      </c>
    </row>
    <row r="19">
      <c r="A19" s="33" t="str">
        <v>103 TN</v>
      </c>
      <c r="B19" s="33" t="str">
        <v>DV_Cắt_Vip</v>
      </c>
      <c r="C19" s="33">
        <v>1053</v>
      </c>
      <c r="D19" s="33">
        <f>A19&amp;C19</f>
      </c>
      <c r="E19" s="33" t="str">
        <v>Combo 2 - First Class 2</v>
      </c>
      <c r="F19" s="32">
        <v>240000</v>
      </c>
    </row>
    <row r="20">
      <c r="A20" s="33" t="str">
        <v>103 TN</v>
      </c>
      <c r="B20" s="33" t="str">
        <v>DV_Cắt_Vip</v>
      </c>
      <c r="C20" s="33">
        <v>1054</v>
      </c>
      <c r="D20" s="33">
        <f>A20&amp;C20</f>
      </c>
      <c r="E20" s="33" t="str">
        <v>Combo 3 - First Class 3</v>
      </c>
      <c r="F20" s="32">
        <v>310000</v>
      </c>
    </row>
    <row r="21">
      <c r="A21" s="33" t="str">
        <v>103 TN</v>
      </c>
      <c r="B21" s="33" t="str">
        <v>DV_Cắt_Vip</v>
      </c>
      <c r="C21" s="33">
        <v>1048</v>
      </c>
      <c r="D21" s="33">
        <f>A21&amp;C21</f>
      </c>
      <c r="E21" s="33" t="str">
        <v>Combo 4</v>
      </c>
      <c r="F21" s="32">
        <v>390000</v>
      </c>
    </row>
    <row r="22">
      <c r="A22" s="33" t="str">
        <v>103 TN</v>
      </c>
      <c r="B22" s="33" t="str">
        <v>DV_Cắt_Vip</v>
      </c>
      <c r="C22" s="33">
        <v>1055</v>
      </c>
      <c r="D22" s="33">
        <f>A22&amp;C22</f>
      </c>
      <c r="E22" s="33" t="str">
        <v>Combo 4- First Class 4</v>
      </c>
      <c r="F22" s="32">
        <v>410000</v>
      </c>
    </row>
    <row r="23">
      <c r="A23" s="33" t="str">
        <v>103 TN</v>
      </c>
      <c r="B23" s="33" t="str">
        <v>DV_Cắt_Vip</v>
      </c>
      <c r="C23" s="33">
        <v>1046</v>
      </c>
      <c r="D23" s="33">
        <f>A23&amp;C23</f>
      </c>
      <c r="E23" s="33" t="str">
        <v>Shinecombo 2</v>
      </c>
      <c r="F23" s="32">
        <v>200000</v>
      </c>
    </row>
    <row r="24">
      <c r="A24" s="33" t="str">
        <v>109 TQH</v>
      </c>
      <c r="B24" s="33" t="str">
        <v>DV_Cắt</v>
      </c>
      <c r="C24" s="33">
        <v>513</v>
      </c>
      <c r="D24" s="33">
        <f>A24&amp;C24</f>
      </c>
      <c r="E24" s="33" t="str">
        <v>[DV] ShineCombo 10 bước Ultra Care 2023</v>
      </c>
      <c r="F24" s="32">
        <v>122000</v>
      </c>
    </row>
    <row r="25">
      <c r="A25" s="33" t="str">
        <v>109 TQH</v>
      </c>
      <c r="B25" s="33" t="str">
        <v>DV_Cắt</v>
      </c>
      <c r="C25" s="33">
        <v>891</v>
      </c>
      <c r="D25" s="33">
        <f>A25&amp;C25</f>
      </c>
      <c r="E25" s="33" t="str">
        <v>Cắt xả tạo kiểu</v>
      </c>
      <c r="F25" s="32">
        <v>94000</v>
      </c>
    </row>
    <row r="26">
      <c r="A26" s="33" t="str">
        <v>109 TQH</v>
      </c>
      <c r="B26" s="33" t="str">
        <v>DV_Cắt</v>
      </c>
      <c r="C26" s="33">
        <v>1002</v>
      </c>
      <c r="D26" s="33">
        <f>A26&amp;C26</f>
      </c>
      <c r="E26" s="33" t="str">
        <v>Kid Cắt</v>
      </c>
      <c r="F26" s="32">
        <v>75000</v>
      </c>
    </row>
    <row r="27">
      <c r="A27" s="33" t="str">
        <v>109 TQH</v>
      </c>
      <c r="B27" s="33" t="str">
        <v>DV_Cắt_Vip</v>
      </c>
      <c r="C27" s="33">
        <v>1047</v>
      </c>
      <c r="D27" s="33">
        <f>A27&amp;C27</f>
      </c>
      <c r="E27" s="33" t="str">
        <v>Cắt Gội Combo 3 - Chăm da</v>
      </c>
      <c r="F27" s="32">
        <v>299000</v>
      </c>
    </row>
    <row r="28">
      <c r="A28" s="33" t="str">
        <v>109 TQH</v>
      </c>
      <c r="B28" s="33" t="str">
        <v>DV_Cắt_Vip</v>
      </c>
      <c r="C28" s="33">
        <v>1065</v>
      </c>
      <c r="D28" s="33">
        <f>A28&amp;C28</f>
      </c>
      <c r="E28" s="33" t="str">
        <v>Cắt Gội Combo 3 - Dưỡng sinh</v>
      </c>
      <c r="F28" s="32">
        <v>299000</v>
      </c>
    </row>
    <row r="29">
      <c r="A29" s="33" t="str">
        <v>109 TQH</v>
      </c>
      <c r="B29" s="33" t="str">
        <v>DV_Cắt_Vip</v>
      </c>
      <c r="C29" s="33">
        <v>1048</v>
      </c>
      <c r="D29" s="33">
        <f>A29&amp;C29</f>
      </c>
      <c r="E29" s="33" t="str">
        <v>Combo 4</v>
      </c>
      <c r="F29" s="32">
        <v>389000</v>
      </c>
    </row>
    <row r="30">
      <c r="A30" s="33" t="str">
        <v>109 TQH</v>
      </c>
      <c r="B30" s="33" t="str">
        <v>DV_Cắt_Vip</v>
      </c>
      <c r="C30" s="33">
        <v>1046</v>
      </c>
      <c r="D30" s="33">
        <f>A30&amp;C30</f>
      </c>
      <c r="E30" s="33" t="str">
        <v>Shinecombo 2</v>
      </c>
      <c r="F30" s="32">
        <v>199000</v>
      </c>
    </row>
    <row r="31">
      <c r="A31" s="33" t="str">
        <v>11 PKT</v>
      </c>
      <c r="B31" s="33" t="str">
        <v>DV_Cắt</v>
      </c>
      <c r="C31" s="33">
        <v>513</v>
      </c>
      <c r="D31" s="33">
        <f>A31&amp;C31</f>
      </c>
      <c r="E31" s="33" t="str">
        <v>[DV] ShineCombo 10 bước Ultra Care 2023</v>
      </c>
      <c r="F31" s="32">
        <v>122000</v>
      </c>
    </row>
    <row r="32">
      <c r="A32" s="33" t="str">
        <v>11 PKT</v>
      </c>
      <c r="B32" s="33" t="str">
        <v>DV_Cắt</v>
      </c>
      <c r="C32" s="33">
        <v>1070</v>
      </c>
      <c r="D32" s="33">
        <f>A32&amp;C32</f>
      </c>
      <c r="E32" s="33" t="str">
        <v>Combo Cắt gội Kid</v>
      </c>
      <c r="F32" s="32">
        <v>100000</v>
      </c>
    </row>
    <row r="33">
      <c r="A33" s="33" t="str">
        <v>11 PKT</v>
      </c>
      <c r="B33" s="33" t="str">
        <v>DV_Cắt</v>
      </c>
      <c r="C33" s="33">
        <v>891</v>
      </c>
      <c r="D33" s="33">
        <f>A33&amp;C33</f>
      </c>
      <c r="E33" s="33" t="str">
        <v>Cắt xả tạo kiểu</v>
      </c>
      <c r="F33" s="32">
        <v>100000</v>
      </c>
    </row>
    <row r="34">
      <c r="A34" s="33" t="str">
        <v>11 PKT</v>
      </c>
      <c r="B34" s="33" t="str">
        <v>DV_Cắt</v>
      </c>
      <c r="C34" s="33">
        <v>1052</v>
      </c>
      <c r="D34" s="33">
        <f>A34&amp;C34</f>
      </c>
      <c r="E34" s="33" t="str">
        <v>Combo 1 - First Class 1</v>
      </c>
      <c r="F34" s="32">
        <v>159000</v>
      </c>
    </row>
    <row r="35">
      <c r="A35" s="33" t="str">
        <v>11 PKT</v>
      </c>
      <c r="B35" s="33" t="str">
        <v>DV_Cắt</v>
      </c>
      <c r="C35" s="33">
        <v>1002</v>
      </c>
      <c r="D35" s="33">
        <f>A35&amp;C35</f>
      </c>
      <c r="E35" s="33" t="str">
        <v>Kid Cắt</v>
      </c>
      <c r="F35" s="32">
        <v>81000</v>
      </c>
    </row>
    <row r="36">
      <c r="A36" s="33" t="str">
        <v>11 PKT</v>
      </c>
      <c r="B36" s="33" t="str">
        <v>DV_Cắt_Vip</v>
      </c>
      <c r="C36" s="33">
        <v>1047</v>
      </c>
      <c r="D36" s="33">
        <f>A36&amp;C36</f>
      </c>
      <c r="E36" s="33" t="str">
        <v>Cắt Gội Combo 3 - Chăm da</v>
      </c>
      <c r="F36" s="32">
        <v>305000</v>
      </c>
    </row>
    <row r="37">
      <c r="A37" s="33" t="str">
        <v>11 PKT</v>
      </c>
      <c r="B37" s="33" t="str">
        <v>DV_Cắt_Vip</v>
      </c>
      <c r="C37" s="33">
        <v>1065</v>
      </c>
      <c r="D37" s="33">
        <f>A37&amp;C37</f>
      </c>
      <c r="E37" s="33" t="str">
        <v>Cắt Gội Combo 3 - Dưỡng sinh</v>
      </c>
      <c r="F37" s="32">
        <v>305000</v>
      </c>
    </row>
    <row r="38">
      <c r="A38" s="33" t="str">
        <v>11 PKT</v>
      </c>
      <c r="B38" s="33" t="str">
        <v>DV_Cắt_Vip</v>
      </c>
      <c r="C38" s="33">
        <v>1053</v>
      </c>
      <c r="D38" s="33">
        <f>A38&amp;C38</f>
      </c>
      <c r="E38" s="33" t="str">
        <v>Combo 2 - First Class 2</v>
      </c>
      <c r="F38" s="32">
        <v>235000</v>
      </c>
    </row>
    <row r="39">
      <c r="A39" s="33" t="str">
        <v>11 PKT</v>
      </c>
      <c r="B39" s="33" t="str">
        <v>DV_Cắt_Vip</v>
      </c>
      <c r="C39" s="33">
        <v>1054</v>
      </c>
      <c r="D39" s="33">
        <f>A39&amp;C39</f>
      </c>
      <c r="E39" s="33" t="str">
        <v>Combo 3 - First Class 3</v>
      </c>
      <c r="F39" s="32">
        <v>305000</v>
      </c>
    </row>
    <row r="40">
      <c r="A40" s="33" t="str">
        <v>11 PKT</v>
      </c>
      <c r="B40" s="33" t="str">
        <v>DV_Cắt_Vip</v>
      </c>
      <c r="C40" s="33">
        <v>1048</v>
      </c>
      <c r="D40" s="33">
        <f>A40&amp;C40</f>
      </c>
      <c r="E40" s="33" t="str">
        <v>Combo 4</v>
      </c>
      <c r="F40" s="32">
        <v>395000</v>
      </c>
    </row>
    <row r="41">
      <c r="A41" s="33" t="str">
        <v>11 PKT</v>
      </c>
      <c r="B41" s="33" t="str">
        <v>DV_Cắt_Vip</v>
      </c>
      <c r="C41" s="33">
        <v>1046</v>
      </c>
      <c r="D41" s="33">
        <f>A41&amp;C41</f>
      </c>
      <c r="E41" s="33" t="str">
        <v>Shinecombo 2</v>
      </c>
      <c r="F41" s="32">
        <v>205000</v>
      </c>
    </row>
    <row r="42">
      <c r="A42" s="33" t="str">
        <v>113 THD AG</v>
      </c>
      <c r="B42" s="33" t="str">
        <v>DV_Cắt</v>
      </c>
      <c r="C42" s="33">
        <v>513</v>
      </c>
      <c r="D42" s="33">
        <f>A42&amp;C42</f>
      </c>
      <c r="E42" s="33" t="str">
        <v>[DV] ShineCombo 10 bước Ultra Care 2023</v>
      </c>
      <c r="F42" s="32">
        <v>122000</v>
      </c>
    </row>
    <row r="43">
      <c r="A43" s="33" t="str">
        <v>113 THD AG</v>
      </c>
      <c r="B43" s="33" t="str">
        <v>DV_Cắt</v>
      </c>
      <c r="C43" s="33">
        <v>891</v>
      </c>
      <c r="D43" s="33">
        <f>A43&amp;C43</f>
      </c>
      <c r="E43" s="33" t="str">
        <v>Cắt xả tạo kiểu</v>
      </c>
      <c r="F43" s="32">
        <v>94000</v>
      </c>
    </row>
    <row r="44">
      <c r="A44" s="33" t="str">
        <v>113 THD AG</v>
      </c>
      <c r="B44" s="33" t="str">
        <v>DV_Cắt</v>
      </c>
      <c r="C44" s="33">
        <v>1002</v>
      </c>
      <c r="D44" s="33">
        <f>A44&amp;C44</f>
      </c>
      <c r="E44" s="33" t="str">
        <v>Kid Cắt</v>
      </c>
      <c r="F44" s="32">
        <v>75000</v>
      </c>
    </row>
    <row r="45">
      <c r="A45" s="33" t="str">
        <v>113 THD AG</v>
      </c>
      <c r="B45" s="33" t="str">
        <v>DV_Cắt_Vip</v>
      </c>
      <c r="C45" s="33">
        <v>1047</v>
      </c>
      <c r="D45" s="33">
        <f>A45&amp;C45</f>
      </c>
      <c r="E45" s="33" t="str">
        <v>Cắt Gội Combo 3 - Chăm da</v>
      </c>
      <c r="F45" s="32">
        <v>299000</v>
      </c>
    </row>
    <row r="46">
      <c r="A46" s="33" t="str">
        <v>113 THD AG</v>
      </c>
      <c r="B46" s="33" t="str">
        <v>DV_Cắt_Vip</v>
      </c>
      <c r="C46" s="33">
        <v>1065</v>
      </c>
      <c r="D46" s="33">
        <f>A46&amp;C46</f>
      </c>
      <c r="E46" s="33" t="str">
        <v>Cắt Gội Combo 3 - Dưỡng sinh</v>
      </c>
      <c r="F46" s="32">
        <v>299000</v>
      </c>
    </row>
    <row r="47">
      <c r="A47" s="33" t="str">
        <v>113 THD AG</v>
      </c>
      <c r="B47" s="33" t="str">
        <v>DV_Cắt_Vip</v>
      </c>
      <c r="C47" s="33">
        <v>1053</v>
      </c>
      <c r="D47" s="33">
        <f>A47&amp;C47</f>
      </c>
      <c r="E47" s="33" t="str">
        <v>Combo 2 - First Class 2</v>
      </c>
      <c r="F47" s="32">
        <v>229000</v>
      </c>
    </row>
    <row r="48">
      <c r="A48" s="33" t="str">
        <v>113 THD AG</v>
      </c>
      <c r="B48" s="33" t="str">
        <v>DV_Cắt_Vip</v>
      </c>
      <c r="C48" s="33">
        <v>1054</v>
      </c>
      <c r="D48" s="33">
        <f>A48&amp;C48</f>
      </c>
      <c r="E48" s="33" t="str">
        <v>Combo 3 - First Class 3</v>
      </c>
      <c r="F48" s="32">
        <v>299000</v>
      </c>
    </row>
    <row r="49">
      <c r="A49" s="33" t="str">
        <v>113 THD AG</v>
      </c>
      <c r="B49" s="33" t="str">
        <v>DV_Cắt_Vip</v>
      </c>
      <c r="C49" s="33">
        <v>1048</v>
      </c>
      <c r="D49" s="33">
        <f>A49&amp;C49</f>
      </c>
      <c r="E49" s="33" t="str">
        <v>Combo 4</v>
      </c>
      <c r="F49" s="32">
        <v>389000</v>
      </c>
    </row>
    <row r="50">
      <c r="A50" s="33" t="str">
        <v>113 THD AG</v>
      </c>
      <c r="B50" s="33" t="str">
        <v>DV_Cắt_Vip</v>
      </c>
      <c r="C50" s="33">
        <v>1150</v>
      </c>
      <c r="D50" s="33">
        <f>A50&amp;C50</f>
      </c>
      <c r="E50" s="33" t="str">
        <v>Combo cắt gội đỉnh cao thư giãn vip</v>
      </c>
      <c r="F50" s="32">
        <v>600000</v>
      </c>
    </row>
    <row r="51">
      <c r="A51" s="33" t="str">
        <v>113 THD AG</v>
      </c>
      <c r="B51" s="33" t="str">
        <v>DV_Cắt_Vip</v>
      </c>
      <c r="C51" s="33">
        <v>1046</v>
      </c>
      <c r="D51" s="33">
        <f>A51&amp;C51</f>
      </c>
      <c r="E51" s="33" t="str">
        <v>Shinecombo 2</v>
      </c>
      <c r="F51" s="32">
        <v>199000</v>
      </c>
    </row>
    <row r="52">
      <c r="A52" s="33" t="str">
        <v>1146 KVC</v>
      </c>
      <c r="B52" s="33" t="str">
        <v>DV_Cắt</v>
      </c>
      <c r="C52" s="33">
        <v>513</v>
      </c>
      <c r="D52" s="33">
        <f>A52&amp;C52</f>
      </c>
      <c r="E52" s="33" t="str">
        <v>[DV] ShineCombo 10 bước Ultra Care 2023</v>
      </c>
      <c r="F52" s="32">
        <v>122000</v>
      </c>
    </row>
    <row r="53">
      <c r="A53" s="33" t="str">
        <v>1146 KVC</v>
      </c>
      <c r="B53" s="33" t="str">
        <v>DV_Cắt</v>
      </c>
      <c r="C53" s="33">
        <v>891</v>
      </c>
      <c r="D53" s="33">
        <f>A53&amp;C53</f>
      </c>
      <c r="E53" s="33" t="str">
        <v>Cắt xả tạo kiểu</v>
      </c>
      <c r="F53" s="32">
        <v>94000</v>
      </c>
    </row>
    <row r="54">
      <c r="A54" s="33" t="str">
        <v>1146 KVC</v>
      </c>
      <c r="B54" s="33" t="str">
        <v>DV_Cắt</v>
      </c>
      <c r="C54" s="33">
        <v>1002</v>
      </c>
      <c r="D54" s="33">
        <f>A54&amp;C54</f>
      </c>
      <c r="E54" s="33" t="str">
        <v>Kid Cắt</v>
      </c>
      <c r="F54" s="32">
        <v>75000</v>
      </c>
    </row>
    <row r="55">
      <c r="A55" s="33" t="str">
        <v>1146 KVC</v>
      </c>
      <c r="B55" s="33" t="str">
        <v>DV_Cắt_Vip</v>
      </c>
      <c r="C55" s="33">
        <v>1047</v>
      </c>
      <c r="D55" s="33">
        <f>A55&amp;C55</f>
      </c>
      <c r="E55" s="33" t="str">
        <v>Cắt Gội Combo 3 - Chăm da</v>
      </c>
      <c r="F55" s="32">
        <v>299000</v>
      </c>
    </row>
    <row r="56">
      <c r="A56" s="33" t="str">
        <v>1146 KVC</v>
      </c>
      <c r="B56" s="33" t="str">
        <v>DV_Cắt_Vip</v>
      </c>
      <c r="C56" s="33">
        <v>1048</v>
      </c>
      <c r="D56" s="33">
        <f>A56&amp;C56</f>
      </c>
      <c r="E56" s="33" t="str">
        <v>Combo 4</v>
      </c>
      <c r="F56" s="32">
        <v>389000</v>
      </c>
    </row>
    <row r="57">
      <c r="A57" s="33" t="str">
        <v>1146 KVC</v>
      </c>
      <c r="B57" s="33" t="str">
        <v>DV_Cắt_Vip</v>
      </c>
      <c r="C57" s="33">
        <v>1150</v>
      </c>
      <c r="D57" s="33">
        <f>A57&amp;C57</f>
      </c>
      <c r="E57" s="33" t="str">
        <v>Combo cắt gội đỉnh cao thư giãn vip</v>
      </c>
      <c r="F57" s="32">
        <v>500000</v>
      </c>
    </row>
    <row r="58">
      <c r="A58" s="33" t="str">
        <v>1146 KVC</v>
      </c>
      <c r="B58" s="33" t="str">
        <v>DV_Cắt_Vip</v>
      </c>
      <c r="C58" s="33">
        <v>1046</v>
      </c>
      <c r="D58" s="33">
        <f>A58&amp;C58</f>
      </c>
      <c r="E58" s="33" t="str">
        <v>Shinecombo 2</v>
      </c>
      <c r="F58" s="32">
        <v>199000</v>
      </c>
    </row>
    <row r="59">
      <c r="A59" s="33" t="str">
        <v>116 TK</v>
      </c>
      <c r="B59" s="33" t="str">
        <v>DV_Cắt</v>
      </c>
      <c r="C59" s="33">
        <v>513</v>
      </c>
      <c r="D59" s="33">
        <f>A59&amp;C59</f>
      </c>
      <c r="E59" s="33" t="str">
        <v>[DV] ShineCombo 10 bước Ultra Care 2023</v>
      </c>
      <c r="F59" s="32">
        <v>122000</v>
      </c>
    </row>
    <row r="60">
      <c r="A60" s="33" t="str">
        <v>116 TK</v>
      </c>
      <c r="B60" s="33" t="str">
        <v>DV_Cắt</v>
      </c>
      <c r="C60" s="33">
        <v>891</v>
      </c>
      <c r="D60" s="33">
        <f>A60&amp;C60</f>
      </c>
      <c r="E60" s="33" t="str">
        <v>Cắt xả tạo kiểu</v>
      </c>
      <c r="F60" s="32">
        <v>94000</v>
      </c>
    </row>
    <row r="61">
      <c r="A61" s="33" t="str">
        <v>116 TK</v>
      </c>
      <c r="B61" s="33" t="str">
        <v>DV_Cắt</v>
      </c>
      <c r="C61" s="33">
        <v>1052</v>
      </c>
      <c r="D61" s="33">
        <f>A61&amp;C61</f>
      </c>
      <c r="E61" s="33" t="str">
        <v>Combo 1 - First Class 1</v>
      </c>
      <c r="F61" s="32">
        <v>159000</v>
      </c>
    </row>
    <row r="62">
      <c r="A62" s="33" t="str">
        <v>116 TK</v>
      </c>
      <c r="B62" s="33" t="str">
        <v>DV_Cắt</v>
      </c>
      <c r="C62" s="33">
        <v>1070</v>
      </c>
      <c r="D62" s="33">
        <f>A62&amp;C62</f>
      </c>
      <c r="E62" s="33" t="str">
        <v>Combo Cắt gội Kid</v>
      </c>
      <c r="F62" s="32">
        <v>100000</v>
      </c>
    </row>
    <row r="63">
      <c r="A63" s="33" t="str">
        <v>116 TK</v>
      </c>
      <c r="B63" s="33" t="str">
        <v>DV_Cắt</v>
      </c>
      <c r="C63" s="33">
        <v>1002</v>
      </c>
      <c r="D63" s="33">
        <f>A63&amp;C63</f>
      </c>
      <c r="E63" s="33" t="str">
        <v>Kid Cắt</v>
      </c>
      <c r="F63" s="32">
        <v>75000</v>
      </c>
    </row>
    <row r="64">
      <c r="A64" s="33" t="str">
        <v>116 TK</v>
      </c>
      <c r="B64" s="33" t="str">
        <v>DV_Cắt_Vip</v>
      </c>
      <c r="C64" s="33">
        <v>1047</v>
      </c>
      <c r="D64" s="33">
        <f>A64&amp;C64</f>
      </c>
      <c r="E64" s="33" t="str">
        <v>Cắt Gội Combo 3 - Chăm da</v>
      </c>
      <c r="F64" s="32">
        <v>299000</v>
      </c>
    </row>
    <row r="65">
      <c r="A65" s="33" t="str">
        <v>116 TK</v>
      </c>
      <c r="B65" s="33" t="str">
        <v>DV_Cắt_Vip</v>
      </c>
      <c r="C65" s="33">
        <v>1065</v>
      </c>
      <c r="D65" s="33">
        <f>A65&amp;C65</f>
      </c>
      <c r="E65" s="33" t="str">
        <v>Cắt Gội Combo 3 - Dưỡng sinh</v>
      </c>
      <c r="F65" s="32">
        <v>299000</v>
      </c>
    </row>
    <row r="66">
      <c r="A66" s="33" t="str">
        <v>116 TK</v>
      </c>
      <c r="B66" s="33" t="str">
        <v>DV_Cắt_Vip</v>
      </c>
      <c r="C66" s="33">
        <v>1064</v>
      </c>
      <c r="D66" s="33">
        <f>A66&amp;C66</f>
      </c>
      <c r="E66" s="33" t="str">
        <v>Cắt Gội Combo 5 - Dưỡng sinh</v>
      </c>
      <c r="F66" s="32">
        <v>459000</v>
      </c>
    </row>
    <row r="67">
      <c r="A67" s="33" t="str">
        <v>116 TK</v>
      </c>
      <c r="B67" s="33" t="str">
        <v>DV_Cắt_Vip</v>
      </c>
      <c r="C67" s="33">
        <v>1054</v>
      </c>
      <c r="D67" s="33">
        <f>A67&amp;C67</f>
      </c>
      <c r="E67" s="33" t="str">
        <v>Combo 3 - First Class 3</v>
      </c>
      <c r="F67" s="32">
        <v>299000</v>
      </c>
    </row>
    <row r="68">
      <c r="A68" s="33" t="str">
        <v>116 TK</v>
      </c>
      <c r="B68" s="33" t="str">
        <v>DV_Cắt_Vip</v>
      </c>
      <c r="C68" s="33">
        <v>1048</v>
      </c>
      <c r="D68" s="33">
        <f>A68&amp;C68</f>
      </c>
      <c r="E68" s="33" t="str">
        <v>Combo 4</v>
      </c>
      <c r="F68" s="32">
        <v>389000</v>
      </c>
    </row>
    <row r="69">
      <c r="A69" s="33" t="str">
        <v>116 TK</v>
      </c>
      <c r="B69" s="33" t="str">
        <v>DV_Cắt_Vip</v>
      </c>
      <c r="C69" s="33">
        <v>1046</v>
      </c>
      <c r="D69" s="33">
        <f>A69&amp;C69</f>
      </c>
      <c r="E69" s="33" t="str">
        <v>Shinecombo 2</v>
      </c>
      <c r="F69" s="32">
        <v>199000</v>
      </c>
    </row>
    <row r="70">
      <c r="A70" s="33" t="str">
        <v>1180 QT</v>
      </c>
      <c r="B70" s="33" t="str">
        <v>DV_Cắt</v>
      </c>
      <c r="C70" s="33">
        <v>513</v>
      </c>
      <c r="D70" s="33">
        <f>A70&amp;C70</f>
      </c>
      <c r="E70" s="33" t="str">
        <v>[DV] ShineCombo 10 bước Ultra Care 2023</v>
      </c>
      <c r="F70" s="32">
        <v>122000</v>
      </c>
    </row>
    <row r="71">
      <c r="A71" s="33" t="str">
        <v>1180 QT</v>
      </c>
      <c r="B71" s="33" t="str">
        <v>DV_Cắt</v>
      </c>
      <c r="C71" s="33">
        <v>891</v>
      </c>
      <c r="D71" s="33">
        <f>A71&amp;C71</f>
      </c>
      <c r="E71" s="33" t="str">
        <v>Cắt xả tạo kiểu</v>
      </c>
      <c r="F71" s="32">
        <v>103000</v>
      </c>
    </row>
    <row r="72">
      <c r="A72" s="33" t="str">
        <v>1180 QT</v>
      </c>
      <c r="B72" s="33" t="str">
        <v>DV_Cắt</v>
      </c>
      <c r="C72" s="33">
        <v>1052</v>
      </c>
      <c r="D72" s="33">
        <f>A72&amp;C72</f>
      </c>
      <c r="E72" s="33" t="str">
        <v>Combo 1 - First Class 1</v>
      </c>
      <c r="F72" s="32">
        <v>139000</v>
      </c>
    </row>
    <row r="73">
      <c r="A73" s="33" t="str">
        <v>1180 QT</v>
      </c>
      <c r="B73" s="33" t="str">
        <v>DV_Cắt</v>
      </c>
      <c r="C73" s="33">
        <v>1002</v>
      </c>
      <c r="D73" s="33">
        <f>A73&amp;C73</f>
      </c>
      <c r="E73" s="33" t="str">
        <v>Kid Cắt</v>
      </c>
      <c r="F73" s="32">
        <v>84000</v>
      </c>
    </row>
    <row r="74">
      <c r="A74" s="33" t="str">
        <v>1180 QT</v>
      </c>
      <c r="B74" s="33" t="str">
        <v>DV_Cắt_Vip</v>
      </c>
      <c r="C74" s="33">
        <v>1064</v>
      </c>
      <c r="D74" s="33">
        <f>A74&amp;C74</f>
      </c>
      <c r="E74" s="33" t="str">
        <v>Cắt Gội Combo 5 - Dưỡng sinh</v>
      </c>
      <c r="F74" s="32">
        <v>468000</v>
      </c>
    </row>
    <row r="75">
      <c r="A75" s="33" t="str">
        <v>1180 QT</v>
      </c>
      <c r="B75" s="33" t="str">
        <v>DV_Cắt_Vip</v>
      </c>
      <c r="C75" s="33">
        <v>1053</v>
      </c>
      <c r="D75" s="33">
        <f>A75&amp;C75</f>
      </c>
      <c r="E75" s="33" t="str">
        <v>Combo 2 - First Class 2</v>
      </c>
      <c r="F75" s="32">
        <v>248000</v>
      </c>
    </row>
    <row r="76">
      <c r="A76" s="33" t="str">
        <v>1180 QT</v>
      </c>
      <c r="B76" s="33" t="str">
        <v>DV_Cắt_Vip</v>
      </c>
      <c r="C76" s="33">
        <v>1054</v>
      </c>
      <c r="D76" s="33">
        <f>A76&amp;C76</f>
      </c>
      <c r="E76" s="33" t="str">
        <v>Combo 3 - First Class 3</v>
      </c>
      <c r="F76" s="32">
        <v>318000</v>
      </c>
    </row>
    <row r="77">
      <c r="A77" s="33" t="str">
        <v>1180 QT</v>
      </c>
      <c r="B77" s="33" t="str">
        <v>DV_Cắt_Vip</v>
      </c>
      <c r="C77" s="33">
        <v>1048</v>
      </c>
      <c r="D77" s="33">
        <f>A77&amp;C77</f>
      </c>
      <c r="E77" s="33" t="str">
        <v>Combo 4</v>
      </c>
      <c r="F77" s="32">
        <v>398000</v>
      </c>
    </row>
    <row r="78">
      <c r="A78" s="33" t="str">
        <v>1180 QT</v>
      </c>
      <c r="B78" s="33" t="str">
        <v>DV_Cắt_Vip</v>
      </c>
      <c r="C78" s="33">
        <v>1055</v>
      </c>
      <c r="D78" s="33">
        <f>A78&amp;C78</f>
      </c>
      <c r="E78" s="33" t="str">
        <v>Combo 4- First Class 4</v>
      </c>
      <c r="F78" s="32">
        <v>418000</v>
      </c>
    </row>
    <row r="79">
      <c r="A79" s="33" t="str">
        <v>1180 QT</v>
      </c>
      <c r="B79" s="33" t="str">
        <v>DV_Cắt_Vip</v>
      </c>
      <c r="C79" s="33">
        <v>1046</v>
      </c>
      <c r="D79" s="33">
        <f>A79&amp;C79</f>
      </c>
      <c r="E79" s="33" t="str">
        <v>Shinecombo 2</v>
      </c>
      <c r="F79" s="32">
        <v>208000</v>
      </c>
    </row>
    <row r="80">
      <c r="A80" s="33" t="str">
        <v>12 LDT</v>
      </c>
      <c r="B80" s="33" t="str">
        <v>DV_Cắt</v>
      </c>
      <c r="C80" s="33">
        <v>513</v>
      </c>
      <c r="D80" s="33">
        <f>A80&amp;C80</f>
      </c>
      <c r="E80" s="33" t="str">
        <v>[DV] ShineCombo 10 bước Ultra Care 2023</v>
      </c>
      <c r="F80" s="32">
        <v>122000</v>
      </c>
    </row>
    <row r="81">
      <c r="A81" s="33" t="str">
        <v>12 LDT</v>
      </c>
      <c r="B81" s="33" t="str">
        <v>DV_Cắt</v>
      </c>
      <c r="C81" s="33">
        <v>1070</v>
      </c>
      <c r="D81" s="33">
        <f>A81&amp;C81</f>
      </c>
      <c r="E81" s="33" t="str">
        <v>Combo Cắt gội Kid</v>
      </c>
      <c r="F81" s="32">
        <v>100000</v>
      </c>
    </row>
    <row r="82">
      <c r="A82" s="33" t="str">
        <v>12 LDT</v>
      </c>
      <c r="B82" s="33" t="str">
        <v>DV_Cắt</v>
      </c>
      <c r="C82" s="33">
        <v>891</v>
      </c>
      <c r="D82" s="33">
        <f>A82&amp;C82</f>
      </c>
      <c r="E82" s="33" t="str">
        <v>Cắt xả tạo kiểu</v>
      </c>
      <c r="F82" s="32">
        <v>103000</v>
      </c>
    </row>
    <row r="83">
      <c r="A83" s="33" t="str">
        <v>12 LDT</v>
      </c>
      <c r="B83" s="33" t="str">
        <v>DV_Cắt</v>
      </c>
      <c r="C83" s="33">
        <v>1052</v>
      </c>
      <c r="D83" s="33">
        <f>A83&amp;C83</f>
      </c>
      <c r="E83" s="33" t="str">
        <v>Combo 1 - First Class 1</v>
      </c>
      <c r="F83" s="32">
        <v>139000</v>
      </c>
    </row>
    <row r="84">
      <c r="A84" s="33" t="str">
        <v>12 LDT</v>
      </c>
      <c r="B84" s="33" t="str">
        <v>DV_Cắt</v>
      </c>
      <c r="C84" s="33">
        <v>1002</v>
      </c>
      <c r="D84" s="33">
        <f>A84&amp;C84</f>
      </c>
      <c r="E84" s="33" t="str">
        <v>Kid Cắt</v>
      </c>
      <c r="F84" s="32">
        <v>84000</v>
      </c>
    </row>
    <row r="85">
      <c r="A85" s="33" t="str">
        <v>12 LDT</v>
      </c>
      <c r="B85" s="33" t="str">
        <v>DV_Cắt_Vip</v>
      </c>
      <c r="C85" s="33">
        <v>1047</v>
      </c>
      <c r="D85" s="33">
        <f>A85&amp;C85</f>
      </c>
      <c r="E85" s="33" t="str">
        <v>Cắt Gội Combo 3 - Chăm da</v>
      </c>
      <c r="F85" s="32">
        <v>308000</v>
      </c>
    </row>
    <row r="86">
      <c r="A86" s="33" t="str">
        <v>12 LDT</v>
      </c>
      <c r="B86" s="33" t="str">
        <v>DV_Cắt_Vip</v>
      </c>
      <c r="C86" s="33">
        <v>1064</v>
      </c>
      <c r="D86" s="33">
        <f>A86&amp;C86</f>
      </c>
      <c r="E86" s="33" t="str">
        <v>Cắt Gội Combo 5 - Dưỡng sinh</v>
      </c>
      <c r="F86" s="32">
        <v>468000</v>
      </c>
    </row>
    <row r="87">
      <c r="A87" s="33" t="str">
        <v>12 LDT</v>
      </c>
      <c r="B87" s="33" t="str">
        <v>DV_Cắt_Vip</v>
      </c>
      <c r="C87" s="33">
        <v>1053</v>
      </c>
      <c r="D87" s="33">
        <f>A87&amp;C87</f>
      </c>
      <c r="E87" s="33" t="str">
        <v>Combo 2 - First Class 2</v>
      </c>
      <c r="F87" s="32">
        <v>248000</v>
      </c>
    </row>
    <row r="88">
      <c r="A88" s="33" t="str">
        <v>12 LDT</v>
      </c>
      <c r="B88" s="33" t="str">
        <v>DV_Cắt_Vip</v>
      </c>
      <c r="C88" s="33">
        <v>1054</v>
      </c>
      <c r="D88" s="33">
        <f>A88&amp;C88</f>
      </c>
      <c r="E88" s="33" t="str">
        <v>Combo 3 - First Class 3</v>
      </c>
      <c r="F88" s="32">
        <v>318000</v>
      </c>
    </row>
    <row r="89">
      <c r="A89" s="33" t="str">
        <v>12 LDT</v>
      </c>
      <c r="B89" s="33" t="str">
        <v>DV_Cắt_Vip</v>
      </c>
      <c r="C89" s="33">
        <v>1048</v>
      </c>
      <c r="D89" s="33">
        <f>A89&amp;C89</f>
      </c>
      <c r="E89" s="33" t="str">
        <v>Combo 4</v>
      </c>
      <c r="F89" s="32">
        <v>398000</v>
      </c>
    </row>
    <row r="90">
      <c r="A90" s="33" t="str">
        <v>12 LDT</v>
      </c>
      <c r="B90" s="33" t="str">
        <v>DV_Cắt_Vip</v>
      </c>
      <c r="C90" s="33">
        <v>1055</v>
      </c>
      <c r="D90" s="33">
        <f>A90&amp;C90</f>
      </c>
      <c r="E90" s="33" t="str">
        <v>Combo 4- First Class 4</v>
      </c>
      <c r="F90" s="32">
        <v>418000</v>
      </c>
    </row>
    <row r="91">
      <c r="A91" s="33" t="str">
        <v>12 LDT</v>
      </c>
      <c r="B91" s="33" t="str">
        <v>DV_Cắt_Vip</v>
      </c>
      <c r="C91" s="33">
        <v>1046</v>
      </c>
      <c r="D91" s="33">
        <f>A91&amp;C91</f>
      </c>
      <c r="E91" s="33" t="str">
        <v>Shinecombo 2</v>
      </c>
      <c r="F91" s="32">
        <v>208000</v>
      </c>
    </row>
    <row r="92">
      <c r="A92" s="33" t="str">
        <v>1371 PVT</v>
      </c>
      <c r="B92" s="33" t="str">
        <v>DV_Cắt</v>
      </c>
      <c r="C92" s="33">
        <v>513</v>
      </c>
      <c r="D92" s="33">
        <f>A92&amp;C92</f>
      </c>
      <c r="E92" s="33" t="str">
        <v>[DV] ShineCombo 10 bước Ultra Care 2023</v>
      </c>
      <c r="F92" s="32">
        <v>122000</v>
      </c>
    </row>
    <row r="93">
      <c r="A93" s="33" t="str">
        <v>1371 PVT</v>
      </c>
      <c r="B93" s="33" t="str">
        <v>DV_Cắt</v>
      </c>
      <c r="C93" s="33">
        <v>1070</v>
      </c>
      <c r="D93" s="33">
        <f>A93&amp;C93</f>
      </c>
      <c r="E93" s="33" t="str">
        <v>Combo Cắt gội Kid</v>
      </c>
      <c r="F93" s="32">
        <v>100000</v>
      </c>
    </row>
    <row r="94">
      <c r="A94" s="33" t="str">
        <v>1371 PVT</v>
      </c>
      <c r="B94" s="33" t="str">
        <v>DV_Cắt</v>
      </c>
      <c r="C94" s="33">
        <v>891</v>
      </c>
      <c r="D94" s="33">
        <f>A94&amp;C94</f>
      </c>
      <c r="E94" s="33" t="str">
        <v>Cắt xả tạo kiểu</v>
      </c>
      <c r="F94" s="32">
        <v>101999.99999999999</v>
      </c>
    </row>
    <row r="95">
      <c r="A95" s="33" t="str">
        <v>1371 PVT</v>
      </c>
      <c r="B95" s="33" t="str">
        <v>DV_Cắt</v>
      </c>
      <c r="C95" s="33">
        <v>1002</v>
      </c>
      <c r="D95" s="33">
        <f>A95&amp;C95</f>
      </c>
      <c r="E95" s="33" t="str">
        <v>Kid Cắt</v>
      </c>
      <c r="F95" s="32">
        <v>82999.99999999999</v>
      </c>
    </row>
    <row r="96">
      <c r="A96" s="33" t="str">
        <v>1371 PVT</v>
      </c>
      <c r="B96" s="33" t="str">
        <v>DV_Cắt_Vip</v>
      </c>
      <c r="C96" s="33">
        <v>1047</v>
      </c>
      <c r="D96" s="33">
        <f>A96&amp;C96</f>
      </c>
      <c r="E96" s="33" t="str">
        <v>Cắt Gội Combo 3 - Chăm da</v>
      </c>
      <c r="F96" s="32">
        <v>287000</v>
      </c>
    </row>
    <row r="97">
      <c r="A97" s="33" t="str">
        <v>1371 PVT</v>
      </c>
      <c r="B97" s="33" t="str">
        <v>DV_Cắt_Vip</v>
      </c>
      <c r="C97" s="33">
        <v>1048</v>
      </c>
      <c r="D97" s="33">
        <f>A97&amp;C97</f>
      </c>
      <c r="E97" s="33" t="str">
        <v>Combo 4</v>
      </c>
      <c r="F97" s="32">
        <v>397000</v>
      </c>
    </row>
    <row r="98">
      <c r="A98" s="33" t="str">
        <v>1371 PVT</v>
      </c>
      <c r="B98" s="33" t="str">
        <v>DV_Cắt_Vip</v>
      </c>
      <c r="C98" s="33">
        <v>1150</v>
      </c>
      <c r="D98" s="33">
        <f>A98&amp;C98</f>
      </c>
      <c r="E98" s="33" t="str">
        <v>Combo cắt gội đỉnh cao thư giãn vip</v>
      </c>
      <c r="F98" s="32">
        <v>508000</v>
      </c>
    </row>
    <row r="99">
      <c r="A99" s="33" t="str">
        <v>1371 PVT</v>
      </c>
      <c r="B99" s="33" t="str">
        <v>DV_Cắt_Vip</v>
      </c>
      <c r="C99" s="33">
        <v>1046</v>
      </c>
      <c r="D99" s="33">
        <f>A99&amp;C99</f>
      </c>
      <c r="E99" s="33" t="str">
        <v>Shinecombo 2</v>
      </c>
      <c r="F99" s="32">
        <v>177000</v>
      </c>
    </row>
    <row r="100">
      <c r="A100" s="33" t="str">
        <v>145 THT</v>
      </c>
      <c r="B100" s="33" t="str">
        <v>DV_Cắt</v>
      </c>
      <c r="C100" s="33">
        <v>513</v>
      </c>
      <c r="D100" s="33">
        <f>A100&amp;C100</f>
      </c>
      <c r="E100" s="33" t="str">
        <v>[DV] ShineCombo 10 bước Ultra Care 2023</v>
      </c>
      <c r="F100" s="32">
        <v>122000</v>
      </c>
    </row>
    <row r="101">
      <c r="A101" s="33" t="str">
        <v>145 THT</v>
      </c>
      <c r="B101" s="33" t="str">
        <v>DV_Cắt</v>
      </c>
      <c r="C101" s="33">
        <v>891</v>
      </c>
      <c r="D101" s="33">
        <f>A101&amp;C101</f>
      </c>
      <c r="E101" s="33" t="str">
        <v>Cắt xả tạo kiểu</v>
      </c>
      <c r="F101" s="32">
        <v>94000</v>
      </c>
    </row>
    <row r="102">
      <c r="A102" s="33" t="str">
        <v>145 THT</v>
      </c>
      <c r="B102" s="33" t="str">
        <v>DV_Cắt</v>
      </c>
      <c r="C102" s="33">
        <v>1052</v>
      </c>
      <c r="D102" s="33">
        <f>A102&amp;C102</f>
      </c>
      <c r="E102" s="33" t="str">
        <v>Combo 1 - First Class 1</v>
      </c>
      <c r="F102" s="32">
        <v>159000</v>
      </c>
    </row>
    <row r="103">
      <c r="A103" s="33" t="str">
        <v>145 THT</v>
      </c>
      <c r="B103" s="33" t="str">
        <v>DV_Cắt</v>
      </c>
      <c r="C103" s="33">
        <v>1070</v>
      </c>
      <c r="D103" s="33">
        <f>A103&amp;C103</f>
      </c>
      <c r="E103" s="33" t="str">
        <v>Combo Cắt gội Kid</v>
      </c>
      <c r="F103" s="32">
        <v>100000</v>
      </c>
    </row>
    <row r="104">
      <c r="A104" s="33" t="str">
        <v>145 THT</v>
      </c>
      <c r="B104" s="33" t="str">
        <v>DV_Cắt</v>
      </c>
      <c r="C104" s="33">
        <v>1002</v>
      </c>
      <c r="D104" s="33">
        <f>A104&amp;C104</f>
      </c>
      <c r="E104" s="33" t="str">
        <v>Kid Cắt</v>
      </c>
      <c r="F104" s="32">
        <v>75000</v>
      </c>
    </row>
    <row r="105">
      <c r="A105" s="33" t="str">
        <v>145 THT</v>
      </c>
      <c r="B105" s="33" t="str">
        <v>DV_Cắt_Vip</v>
      </c>
      <c r="C105" s="33">
        <v>1047</v>
      </c>
      <c r="D105" s="33">
        <f>A105&amp;C105</f>
      </c>
      <c r="E105" s="33" t="str">
        <v>Cắt Gội Combo 3 - Chăm da</v>
      </c>
      <c r="F105" s="32">
        <v>299000</v>
      </c>
    </row>
    <row r="106">
      <c r="A106" s="33" t="str">
        <v>145 THT</v>
      </c>
      <c r="B106" s="33" t="str">
        <v>DV_Cắt_Vip</v>
      </c>
      <c r="C106" s="33">
        <v>1065</v>
      </c>
      <c r="D106" s="33">
        <f>A106&amp;C106</f>
      </c>
      <c r="E106" s="33" t="str">
        <v>Cắt Gội Combo 3 - Dưỡng sinh</v>
      </c>
      <c r="F106" s="32">
        <v>299000</v>
      </c>
    </row>
    <row r="107">
      <c r="A107" s="33" t="str">
        <v>145 THT</v>
      </c>
      <c r="B107" s="33" t="str">
        <v>DV_Cắt_Vip</v>
      </c>
      <c r="C107" s="33">
        <v>1049</v>
      </c>
      <c r="D107" s="33">
        <f>A107&amp;C107</f>
      </c>
      <c r="E107" s="33" t="str">
        <v>Cắt Gội Combo 5 - Chăm da</v>
      </c>
      <c r="F107" s="32">
        <v>399000</v>
      </c>
    </row>
    <row r="108">
      <c r="A108" s="33" t="str">
        <v>145 THT</v>
      </c>
      <c r="B108" s="33" t="str">
        <v>DV_Cắt_Vip</v>
      </c>
      <c r="C108" s="33">
        <v>1064</v>
      </c>
      <c r="D108" s="33">
        <f>A108&amp;C108</f>
      </c>
      <c r="E108" s="33" t="str">
        <v>Cắt Gội Combo 5 - Dưỡng sinh</v>
      </c>
      <c r="F108" s="32">
        <v>459000</v>
      </c>
    </row>
    <row r="109">
      <c r="A109" s="33" t="str">
        <v>145 THT</v>
      </c>
      <c r="B109" s="33" t="str">
        <v>DV_Cắt_Vip</v>
      </c>
      <c r="C109" s="33">
        <v>1054</v>
      </c>
      <c r="D109" s="33">
        <f>A109&amp;C109</f>
      </c>
      <c r="E109" s="33" t="str">
        <v>Combo 3 - First Class 3</v>
      </c>
      <c r="F109" s="32">
        <v>299000</v>
      </c>
    </row>
    <row r="110">
      <c r="A110" s="33" t="str">
        <v>145 THT</v>
      </c>
      <c r="B110" s="33" t="str">
        <v>DV_Cắt_Vip</v>
      </c>
      <c r="C110" s="33">
        <v>1048</v>
      </c>
      <c r="D110" s="33">
        <f>A110&amp;C110</f>
      </c>
      <c r="E110" s="33" t="str">
        <v>Combo 4</v>
      </c>
      <c r="F110" s="32">
        <v>389000</v>
      </c>
    </row>
    <row r="111">
      <c r="A111" s="33" t="str">
        <v>145 THT</v>
      </c>
      <c r="B111" s="33" t="str">
        <v>DV_Cắt_Vip</v>
      </c>
      <c r="C111" s="33">
        <v>1046</v>
      </c>
      <c r="D111" s="33">
        <f>A111&amp;C111</f>
      </c>
      <c r="E111" s="33" t="str">
        <v>Shinecombo 2</v>
      </c>
      <c r="F111" s="32">
        <v>199000</v>
      </c>
    </row>
    <row r="112">
      <c r="A112" s="33" t="str">
        <v>148 TD</v>
      </c>
      <c r="B112" s="33" t="str">
        <v>DV_Cắt</v>
      </c>
      <c r="C112" s="33">
        <v>513</v>
      </c>
      <c r="D112" s="33">
        <f>A112&amp;C112</f>
      </c>
      <c r="E112" s="33" t="str">
        <v>[DV] ShineCombo 10 bước Ultra Care 2023</v>
      </c>
      <c r="F112" s="32">
        <v>122000</v>
      </c>
    </row>
    <row r="113">
      <c r="A113" s="33" t="str">
        <v>148 TD</v>
      </c>
      <c r="B113" s="33" t="str">
        <v>DV_Cắt</v>
      </c>
      <c r="C113" s="33">
        <v>1070</v>
      </c>
      <c r="D113" s="33">
        <f>A113&amp;C113</f>
      </c>
      <c r="E113" s="33" t="str">
        <v>Combo Cắt gội Kid</v>
      </c>
      <c r="F113" s="32">
        <v>100000</v>
      </c>
    </row>
    <row r="114">
      <c r="A114" s="33" t="str">
        <v>148 TD</v>
      </c>
      <c r="B114" s="33" t="str">
        <v>DV_Cắt</v>
      </c>
      <c r="C114" s="33">
        <v>891</v>
      </c>
      <c r="D114" s="33">
        <f>A114&amp;C114</f>
      </c>
      <c r="E114" s="33" t="str">
        <v>Cắt xả tạo kiểu</v>
      </c>
      <c r="F114" s="32">
        <v>96000</v>
      </c>
    </row>
    <row r="115">
      <c r="A115" s="33" t="str">
        <v>148 TD</v>
      </c>
      <c r="B115" s="33" t="str">
        <v>DV_Cắt</v>
      </c>
      <c r="C115" s="33">
        <v>1052</v>
      </c>
      <c r="D115" s="33">
        <f>A115&amp;C115</f>
      </c>
      <c r="E115" s="33" t="str">
        <v>Combo 1 - First Class 1</v>
      </c>
      <c r="F115" s="32">
        <v>159000</v>
      </c>
    </row>
    <row r="116">
      <c r="A116" s="33" t="str">
        <v>148 TD</v>
      </c>
      <c r="B116" s="33" t="str">
        <v>DV_Cắt</v>
      </c>
      <c r="C116" s="33">
        <v>1002</v>
      </c>
      <c r="D116" s="33">
        <f>A116&amp;C116</f>
      </c>
      <c r="E116" s="33" t="str">
        <v>Kid Cắt</v>
      </c>
      <c r="F116" s="32">
        <v>76999.99999999999</v>
      </c>
    </row>
    <row r="117">
      <c r="A117" s="33" t="str">
        <v>148 TD</v>
      </c>
      <c r="B117" s="33" t="str">
        <v>DV_Cắt_Vip</v>
      </c>
      <c r="C117" s="33">
        <v>1047</v>
      </c>
      <c r="D117" s="33">
        <f>A117&amp;C117</f>
      </c>
      <c r="E117" s="33" t="str">
        <v>Cắt Gội Combo 3 - Chăm da</v>
      </c>
      <c r="F117" s="32">
        <v>301000</v>
      </c>
    </row>
    <row r="118">
      <c r="A118" s="33" t="str">
        <v>148 TD</v>
      </c>
      <c r="B118" s="33" t="str">
        <v>DV_Cắt_Vip</v>
      </c>
      <c r="C118" s="33">
        <v>1065</v>
      </c>
      <c r="D118" s="33">
        <f>A118&amp;C118</f>
      </c>
      <c r="E118" s="33" t="str">
        <v>Cắt Gội Combo 3 - Dưỡng sinh</v>
      </c>
      <c r="F118" s="32">
        <v>301000</v>
      </c>
    </row>
    <row r="119">
      <c r="A119" s="33" t="str">
        <v>148 TD</v>
      </c>
      <c r="B119" s="33" t="str">
        <v>DV_Cắt_Vip</v>
      </c>
      <c r="C119" s="33">
        <v>1053</v>
      </c>
      <c r="D119" s="33">
        <f>A119&amp;C119</f>
      </c>
      <c r="E119" s="33" t="str">
        <v>Combo 2 - First Class 2</v>
      </c>
      <c r="F119" s="32">
        <v>241000</v>
      </c>
    </row>
    <row r="120">
      <c r="A120" s="33" t="str">
        <v>148 TD</v>
      </c>
      <c r="B120" s="33" t="str">
        <v>DV_Cắt_Vip</v>
      </c>
      <c r="C120" s="33">
        <v>1048</v>
      </c>
      <c r="D120" s="33">
        <f>A120&amp;C120</f>
      </c>
      <c r="E120" s="33" t="str">
        <v>Combo 4</v>
      </c>
      <c r="F120" s="32">
        <v>391000</v>
      </c>
    </row>
    <row r="121">
      <c r="A121" s="33" t="str">
        <v>148 TD</v>
      </c>
      <c r="B121" s="33" t="str">
        <v>DV_Cắt_Vip</v>
      </c>
      <c r="C121" s="33">
        <v>1046</v>
      </c>
      <c r="D121" s="33">
        <f>A121&amp;C121</f>
      </c>
      <c r="E121" s="33" t="str">
        <v>Shinecombo 2</v>
      </c>
      <c r="F121" s="32">
        <v>201000</v>
      </c>
    </row>
    <row r="122">
      <c r="A122" s="33" t="str">
        <v>151 CG</v>
      </c>
      <c r="B122" s="33" t="str">
        <v>DV_Cắt</v>
      </c>
      <c r="C122" s="33">
        <v>513</v>
      </c>
      <c r="D122" s="33">
        <f>A122&amp;C122</f>
      </c>
      <c r="E122" s="33" t="str">
        <v>[DV] ShineCombo 10 bước Ultra Care 2023</v>
      </c>
      <c r="F122" s="32">
        <v>122000</v>
      </c>
    </row>
    <row r="123">
      <c r="A123" s="33" t="str">
        <v>151 CG</v>
      </c>
      <c r="B123" s="33" t="str">
        <v>DV_Cắt</v>
      </c>
      <c r="C123" s="33">
        <v>891</v>
      </c>
      <c r="D123" s="33">
        <f>A123&amp;C123</f>
      </c>
      <c r="E123" s="33" t="str">
        <v>Cắt xả tạo kiểu</v>
      </c>
      <c r="F123" s="32">
        <v>94000</v>
      </c>
    </row>
    <row r="124">
      <c r="A124" s="33" t="str">
        <v>151 CG</v>
      </c>
      <c r="B124" s="33" t="str">
        <v>DV_Cắt</v>
      </c>
      <c r="C124" s="33">
        <v>1070</v>
      </c>
      <c r="D124" s="33">
        <f>A124&amp;C124</f>
      </c>
      <c r="E124" s="33" t="str">
        <v>Combo Cắt gội Kid</v>
      </c>
      <c r="F124" s="32">
        <v>100000</v>
      </c>
    </row>
    <row r="125">
      <c r="A125" s="33" t="str">
        <v>151 CG</v>
      </c>
      <c r="B125" s="33" t="str">
        <v>DV_Cắt</v>
      </c>
      <c r="C125" s="33">
        <v>1002</v>
      </c>
      <c r="D125" s="33">
        <f>A125&amp;C125</f>
      </c>
      <c r="E125" s="33" t="str">
        <v>Kid Cắt</v>
      </c>
      <c r="F125" s="32">
        <v>75000</v>
      </c>
    </row>
    <row r="126">
      <c r="A126" s="33" t="str">
        <v>151 CG</v>
      </c>
      <c r="B126" s="33" t="str">
        <v>DV_Cắt_Vip</v>
      </c>
      <c r="C126" s="33">
        <v>1047</v>
      </c>
      <c r="D126" s="33">
        <f>A126&amp;C126</f>
      </c>
      <c r="E126" s="33" t="str">
        <v>Cắt Gội Combo 3 - Chăm da</v>
      </c>
      <c r="F126" s="32">
        <v>299000</v>
      </c>
    </row>
    <row r="127">
      <c r="A127" s="33" t="str">
        <v>151 CG</v>
      </c>
      <c r="B127" s="33" t="str">
        <v>DV_Cắt_Vip</v>
      </c>
      <c r="C127" s="33">
        <v>1048</v>
      </c>
      <c r="D127" s="33">
        <f>A127&amp;C127</f>
      </c>
      <c r="E127" s="33" t="str">
        <v>Combo 4</v>
      </c>
      <c r="F127" s="32">
        <v>389000</v>
      </c>
    </row>
    <row r="128">
      <c r="A128" s="33" t="str">
        <v>151 CG</v>
      </c>
      <c r="B128" s="33" t="str">
        <v>DV_Cắt_Vip</v>
      </c>
      <c r="C128" s="33">
        <v>1046</v>
      </c>
      <c r="D128" s="33">
        <f>A128&amp;C128</f>
      </c>
      <c r="E128" s="33" t="str">
        <v>Shinecombo 2</v>
      </c>
      <c r="F128" s="32">
        <v>199000</v>
      </c>
    </row>
    <row r="129">
      <c r="A129" s="33" t="str">
        <v>168 NVC</v>
      </c>
      <c r="B129" s="33" t="str">
        <v>DV_Cắt</v>
      </c>
      <c r="C129" s="33">
        <v>513</v>
      </c>
      <c r="D129" s="33">
        <f>A129&amp;C129</f>
      </c>
      <c r="E129" s="33" t="str">
        <v>[DV] ShineCombo 10 bước Ultra Care 2023</v>
      </c>
      <c r="F129" s="32">
        <v>122000</v>
      </c>
    </row>
    <row r="130">
      <c r="A130" s="33" t="str">
        <v>168 NVC</v>
      </c>
      <c r="B130" s="33" t="str">
        <v>DV_Cắt</v>
      </c>
      <c r="C130" s="33">
        <v>1070</v>
      </c>
      <c r="D130" s="33">
        <f>A130&amp;C130</f>
      </c>
      <c r="E130" s="33" t="str">
        <v>Combo Cắt gội Kid</v>
      </c>
      <c r="F130" s="32">
        <v>100000</v>
      </c>
    </row>
    <row r="131">
      <c r="A131" s="33" t="str">
        <v>168 NVC</v>
      </c>
      <c r="B131" s="33" t="str">
        <v>DV_Cắt</v>
      </c>
      <c r="C131" s="33">
        <v>891</v>
      </c>
      <c r="D131" s="33">
        <f>A131&amp;C131</f>
      </c>
      <c r="E131" s="33" t="str">
        <v>Cắt xả tạo kiểu</v>
      </c>
      <c r="F131" s="32">
        <v>103000</v>
      </c>
    </row>
    <row r="132">
      <c r="A132" s="33" t="str">
        <v>168 NVC</v>
      </c>
      <c r="B132" s="33" t="str">
        <v>DV_Cắt</v>
      </c>
      <c r="C132" s="33">
        <v>1052</v>
      </c>
      <c r="D132" s="33">
        <f>A132&amp;C132</f>
      </c>
      <c r="E132" s="33" t="str">
        <v>Combo 1 - First Class 1</v>
      </c>
      <c r="F132" s="32">
        <v>139000</v>
      </c>
    </row>
    <row r="133">
      <c r="A133" s="33" t="str">
        <v>168 NVC</v>
      </c>
      <c r="B133" s="33" t="str">
        <v>DV_Cắt</v>
      </c>
      <c r="C133" s="33">
        <v>1002</v>
      </c>
      <c r="D133" s="33">
        <f>A133&amp;C133</f>
      </c>
      <c r="E133" s="33" t="str">
        <v>Kid Cắt</v>
      </c>
      <c r="F133" s="32">
        <v>84000</v>
      </c>
    </row>
    <row r="134">
      <c r="A134" s="33" t="str">
        <v>168 NVC</v>
      </c>
      <c r="B134" s="33" t="str">
        <v>DV_Cắt_Vip</v>
      </c>
      <c r="C134" s="33">
        <v>1047</v>
      </c>
      <c r="D134" s="33">
        <f>A134&amp;C134</f>
      </c>
      <c r="E134" s="33" t="str">
        <v>Cắt Gội Combo 3 - Chăm da</v>
      </c>
      <c r="F134" s="32">
        <v>308000</v>
      </c>
    </row>
    <row r="135">
      <c r="A135" s="33" t="str">
        <v>168 NVC</v>
      </c>
      <c r="B135" s="33" t="str">
        <v>DV_Cắt_Vip</v>
      </c>
      <c r="C135" s="33">
        <v>1065</v>
      </c>
      <c r="D135" s="33">
        <f>A135&amp;C135</f>
      </c>
      <c r="E135" s="33" t="str">
        <v>Cắt Gội Combo 3 - Dưỡng sinh</v>
      </c>
      <c r="F135" s="32">
        <v>308000</v>
      </c>
    </row>
    <row r="136">
      <c r="A136" s="33" t="str">
        <v>168 NVC</v>
      </c>
      <c r="B136" s="33" t="str">
        <v>DV_Cắt_Vip</v>
      </c>
      <c r="C136" s="33">
        <v>1053</v>
      </c>
      <c r="D136" s="33">
        <f>A136&amp;C136</f>
      </c>
      <c r="E136" s="33" t="str">
        <v>Combo 2 - First Class 2</v>
      </c>
      <c r="F136" s="32">
        <v>248000</v>
      </c>
    </row>
    <row r="137">
      <c r="A137" s="33" t="str">
        <v>168 NVC</v>
      </c>
      <c r="B137" s="33" t="str">
        <v>DV_Cắt_Vip</v>
      </c>
      <c r="C137" s="33">
        <v>1054</v>
      </c>
      <c r="D137" s="33">
        <f>A137&amp;C137</f>
      </c>
      <c r="E137" s="33" t="str">
        <v>Combo 3 - First Class 3</v>
      </c>
      <c r="F137" s="32">
        <v>318000</v>
      </c>
    </row>
    <row r="138">
      <c r="A138" s="33" t="str">
        <v>168 NVC</v>
      </c>
      <c r="B138" s="33" t="str">
        <v>DV_Cắt_Vip</v>
      </c>
      <c r="C138" s="33">
        <v>1048</v>
      </c>
      <c r="D138" s="33">
        <f>A138&amp;C138</f>
      </c>
      <c r="E138" s="33" t="str">
        <v>Combo 4</v>
      </c>
      <c r="F138" s="32">
        <v>398000</v>
      </c>
    </row>
    <row r="139">
      <c r="A139" s="33" t="str">
        <v>168 NVC</v>
      </c>
      <c r="B139" s="33" t="str">
        <v>DV_Cắt_Vip</v>
      </c>
      <c r="C139" s="33">
        <v>1055</v>
      </c>
      <c r="D139" s="33">
        <f>A139&amp;C139</f>
      </c>
      <c r="E139" s="33" t="str">
        <v>Combo 4- First Class 4</v>
      </c>
      <c r="F139" s="32">
        <v>418000</v>
      </c>
    </row>
    <row r="140">
      <c r="A140" s="33" t="str">
        <v>168 NVC</v>
      </c>
      <c r="B140" s="33" t="str">
        <v>DV_Cắt_Vip</v>
      </c>
      <c r="C140" s="33">
        <v>1046</v>
      </c>
      <c r="D140" s="33">
        <f>A140&amp;C140</f>
      </c>
      <c r="E140" s="33" t="str">
        <v>Shinecombo 2</v>
      </c>
      <c r="F140" s="32">
        <v>208000</v>
      </c>
    </row>
    <row r="141">
      <c r="A141" s="33" t="str">
        <v>173 TN</v>
      </c>
      <c r="B141" s="33" t="str">
        <v>DV_Cắt</v>
      </c>
      <c r="C141" s="33">
        <v>513</v>
      </c>
      <c r="D141" s="33">
        <f>A141&amp;C141</f>
      </c>
      <c r="E141" s="33" t="str">
        <v>[DV] ShineCombo 10 bước Ultra Care 2023</v>
      </c>
      <c r="F141" s="32">
        <v>122000</v>
      </c>
    </row>
    <row r="142">
      <c r="A142" s="33" t="str">
        <v>173 TN</v>
      </c>
      <c r="B142" s="33" t="str">
        <v>DV_Cắt</v>
      </c>
      <c r="C142" s="33">
        <v>1070</v>
      </c>
      <c r="D142" s="33">
        <f>A142&amp;C142</f>
      </c>
      <c r="E142" s="33" t="str">
        <v>Combo Cắt gội Kid</v>
      </c>
      <c r="F142" s="32">
        <v>100000</v>
      </c>
    </row>
    <row r="143">
      <c r="A143" s="33" t="str">
        <v>173 TN</v>
      </c>
      <c r="B143" s="33" t="str">
        <v>DV_Cắt</v>
      </c>
      <c r="C143" s="33">
        <v>891</v>
      </c>
      <c r="D143" s="33">
        <f>A143&amp;C143</f>
      </c>
      <c r="E143" s="33" t="str">
        <v>Cắt xả tạo kiểu</v>
      </c>
      <c r="F143" s="32">
        <v>100000</v>
      </c>
    </row>
    <row r="144">
      <c r="A144" s="33" t="str">
        <v>173 TN</v>
      </c>
      <c r="B144" s="33" t="str">
        <v>DV_Cắt</v>
      </c>
      <c r="C144" s="33">
        <v>1052</v>
      </c>
      <c r="D144" s="33">
        <f>A144&amp;C144</f>
      </c>
      <c r="E144" s="33" t="str">
        <v>Combo 1 - First Class 1</v>
      </c>
      <c r="F144" s="32">
        <v>139000</v>
      </c>
    </row>
    <row r="145">
      <c r="A145" s="33" t="str">
        <v>173 TN</v>
      </c>
      <c r="B145" s="33" t="str">
        <v>DV_Cắt</v>
      </c>
      <c r="C145" s="33">
        <v>1002</v>
      </c>
      <c r="D145" s="33">
        <f>A145&amp;C145</f>
      </c>
      <c r="E145" s="33" t="str">
        <v>Kid Cắt</v>
      </c>
      <c r="F145" s="32">
        <v>81000</v>
      </c>
    </row>
    <row r="146">
      <c r="A146" s="33" t="str">
        <v>173 TN</v>
      </c>
      <c r="B146" s="33" t="str">
        <v>DV_Cắt_Vip</v>
      </c>
      <c r="C146" s="33">
        <v>1047</v>
      </c>
      <c r="D146" s="33">
        <f>A146&amp;C146</f>
      </c>
      <c r="E146" s="33" t="str">
        <v>Cắt Gội Combo 3 - Chăm da</v>
      </c>
      <c r="F146" s="32">
        <v>305000</v>
      </c>
    </row>
    <row r="147">
      <c r="A147" s="33" t="str">
        <v>173 TN</v>
      </c>
      <c r="B147" s="33" t="str">
        <v>DV_Cắt_Vip</v>
      </c>
      <c r="C147" s="33">
        <v>1053</v>
      </c>
      <c r="D147" s="33">
        <f>A147&amp;C147</f>
      </c>
      <c r="E147" s="33" t="str">
        <v>Combo 2 - First Class 2</v>
      </c>
      <c r="F147" s="32">
        <v>235000</v>
      </c>
    </row>
    <row r="148">
      <c r="A148" s="33" t="str">
        <v>173 TN</v>
      </c>
      <c r="B148" s="33" t="str">
        <v>DV_Cắt_Vip</v>
      </c>
      <c r="C148" s="33">
        <v>1054</v>
      </c>
      <c r="D148" s="33">
        <f>A148&amp;C148</f>
      </c>
      <c r="E148" s="33" t="str">
        <v>Combo 3 - First Class 3</v>
      </c>
      <c r="F148" s="32">
        <v>305000</v>
      </c>
    </row>
    <row r="149">
      <c r="A149" s="33" t="str">
        <v>173 TN</v>
      </c>
      <c r="B149" s="33" t="str">
        <v>DV_Cắt_Vip</v>
      </c>
      <c r="C149" s="33">
        <v>1048</v>
      </c>
      <c r="D149" s="33">
        <f>A149&amp;C149</f>
      </c>
      <c r="E149" s="33" t="str">
        <v>Combo 4</v>
      </c>
      <c r="F149" s="32">
        <v>395000</v>
      </c>
    </row>
    <row r="150">
      <c r="A150" s="33" t="str">
        <v>173 TN</v>
      </c>
      <c r="B150" s="33" t="str">
        <v>DV_Cắt_Vip</v>
      </c>
      <c r="C150" s="33">
        <v>1046</v>
      </c>
      <c r="D150" s="33">
        <f>A150&amp;C150</f>
      </c>
      <c r="E150" s="33" t="str">
        <v>Shinecombo 2</v>
      </c>
      <c r="F150" s="32">
        <v>205000</v>
      </c>
    </row>
    <row r="151">
      <c r="A151" s="33" t="str">
        <v>186 DTH</v>
      </c>
      <c r="B151" s="33" t="str">
        <v>DV_Cắt</v>
      </c>
      <c r="C151" s="33">
        <v>513</v>
      </c>
      <c r="D151" s="33">
        <f>A151&amp;C151</f>
      </c>
      <c r="E151" s="33" t="str">
        <v>[DV] ShineCombo 10 bước Ultra Care 2023</v>
      </c>
      <c r="F151" s="32">
        <v>122000</v>
      </c>
    </row>
    <row r="152">
      <c r="A152" s="33" t="str">
        <v>186 DTH</v>
      </c>
      <c r="B152" s="33" t="str">
        <v>DV_Cắt</v>
      </c>
      <c r="C152" s="33">
        <v>891</v>
      </c>
      <c r="D152" s="33">
        <f>A152&amp;C152</f>
      </c>
      <c r="E152" s="33" t="str">
        <v>Cắt xả tạo kiểu</v>
      </c>
      <c r="F152" s="32">
        <v>94000</v>
      </c>
    </row>
    <row r="153">
      <c r="A153" s="33" t="str">
        <v>186 DTH</v>
      </c>
      <c r="B153" s="33" t="str">
        <v>DV_Cắt</v>
      </c>
      <c r="C153" s="33">
        <v>1052</v>
      </c>
      <c r="D153" s="33">
        <f>A153&amp;C153</f>
      </c>
      <c r="E153" s="33" t="str">
        <v>Combo 1 - First Class 1</v>
      </c>
      <c r="F153" s="32">
        <v>139000</v>
      </c>
    </row>
    <row r="154">
      <c r="A154" s="33" t="str">
        <v>186 DTH</v>
      </c>
      <c r="B154" s="33" t="str">
        <v>DV_Cắt</v>
      </c>
      <c r="C154" s="33">
        <v>1070</v>
      </c>
      <c r="D154" s="33">
        <f>A154&amp;C154</f>
      </c>
      <c r="E154" s="33" t="str">
        <v>Combo Cắt gội Kid</v>
      </c>
      <c r="F154" s="32">
        <v>100000</v>
      </c>
    </row>
    <row r="155">
      <c r="A155" s="33" t="str">
        <v>186 DTH</v>
      </c>
      <c r="B155" s="33" t="str">
        <v>DV_Cắt</v>
      </c>
      <c r="C155" s="33">
        <v>1242</v>
      </c>
      <c r="D155" s="33">
        <f>A155&amp;C155</f>
      </c>
      <c r="E155" s="33" t="str">
        <v>combo cắt gội tiện lợi</v>
      </c>
      <c r="F155" s="32">
        <v>199000</v>
      </c>
    </row>
    <row r="156">
      <c r="A156" s="33" t="str">
        <v>186 DTH</v>
      </c>
      <c r="B156" s="33" t="str">
        <v>DV_Cắt</v>
      </c>
      <c r="C156" s="33">
        <v>1002</v>
      </c>
      <c r="D156" s="33">
        <f>A156&amp;C156</f>
      </c>
      <c r="E156" s="33" t="str">
        <v>Kid Cắt</v>
      </c>
      <c r="F156" s="32">
        <v>75000</v>
      </c>
    </row>
    <row r="157">
      <c r="A157" s="33" t="str">
        <v>186 DTH</v>
      </c>
      <c r="B157" s="33" t="str">
        <v>DV_Cắt_Vip</v>
      </c>
      <c r="C157" s="33">
        <v>1047</v>
      </c>
      <c r="D157" s="33">
        <f>A157&amp;C157</f>
      </c>
      <c r="E157" s="33" t="str">
        <v>Cắt Gội Combo 3 - Chăm da</v>
      </c>
      <c r="F157" s="32">
        <v>299000</v>
      </c>
    </row>
    <row r="158">
      <c r="A158" s="33" t="str">
        <v>186 DTH</v>
      </c>
      <c r="B158" s="33" t="str">
        <v>DV_Cắt_Vip</v>
      </c>
      <c r="C158" s="33">
        <v>1048</v>
      </c>
      <c r="D158" s="33">
        <f>A158&amp;C158</f>
      </c>
      <c r="E158" s="33" t="str">
        <v>Combo 4</v>
      </c>
      <c r="F158" s="32">
        <v>389000</v>
      </c>
    </row>
    <row r="159">
      <c r="A159" s="33" t="str">
        <v>186 DTH</v>
      </c>
      <c r="B159" s="33" t="str">
        <v>DV_Cắt_Vip</v>
      </c>
      <c r="C159" s="33">
        <v>1046</v>
      </c>
      <c r="D159" s="33">
        <f>A159&amp;C159</f>
      </c>
      <c r="E159" s="33" t="str">
        <v>Shinecombo 2</v>
      </c>
      <c r="F159" s="32">
        <v>199000</v>
      </c>
    </row>
    <row r="160">
      <c r="A160" s="33" t="str">
        <v>186 QT</v>
      </c>
      <c r="B160" s="33" t="str">
        <v>DV_Cắt</v>
      </c>
      <c r="C160" s="33">
        <v>513</v>
      </c>
      <c r="D160" s="33">
        <f>A160&amp;C160</f>
      </c>
      <c r="E160" s="33" t="str">
        <v>[DV] ShineCombo 10 bước Ultra Care 2023</v>
      </c>
      <c r="F160" s="32">
        <v>122000</v>
      </c>
    </row>
    <row r="161">
      <c r="A161" s="33" t="str">
        <v>186 QT</v>
      </c>
      <c r="B161" s="33" t="str">
        <v>DV_Cắt</v>
      </c>
      <c r="C161" s="33">
        <v>1070</v>
      </c>
      <c r="D161" s="33">
        <f>A161&amp;C161</f>
      </c>
      <c r="E161" s="33" t="str">
        <v>Combo Cắt gội Kid</v>
      </c>
      <c r="F161" s="32">
        <v>100000</v>
      </c>
    </row>
    <row r="162">
      <c r="A162" s="33" t="str">
        <v>186 QT</v>
      </c>
      <c r="B162" s="33" t="str">
        <v>DV_Cắt</v>
      </c>
      <c r="C162" s="33">
        <v>891</v>
      </c>
      <c r="D162" s="33">
        <f>A162&amp;C162</f>
      </c>
      <c r="E162" s="33" t="str">
        <v>Cắt xả tạo kiểu</v>
      </c>
      <c r="F162" s="32">
        <v>103000</v>
      </c>
    </row>
    <row r="163">
      <c r="A163" s="33" t="str">
        <v>186 QT</v>
      </c>
      <c r="B163" s="33" t="str">
        <v>DV_Cắt</v>
      </c>
      <c r="C163" s="33">
        <v>1002</v>
      </c>
      <c r="D163" s="33">
        <f>A163&amp;C163</f>
      </c>
      <c r="E163" s="33" t="str">
        <v>Kid Cắt</v>
      </c>
      <c r="F163" s="32">
        <v>84000</v>
      </c>
    </row>
    <row r="164">
      <c r="A164" s="33" t="str">
        <v>186 QT</v>
      </c>
      <c r="B164" s="33" t="str">
        <v>DV_Cắt_Vip</v>
      </c>
      <c r="C164" s="33">
        <v>1047</v>
      </c>
      <c r="D164" s="33">
        <f>A164&amp;C164</f>
      </c>
      <c r="E164" s="33" t="str">
        <v>Cắt Gội Combo 3 - Chăm da</v>
      </c>
      <c r="F164" s="32">
        <v>308000</v>
      </c>
    </row>
    <row r="165">
      <c r="A165" s="33" t="str">
        <v>186 QT</v>
      </c>
      <c r="B165" s="33" t="str">
        <v>DV_Cắt_Vip</v>
      </c>
      <c r="C165" s="33">
        <v>1054</v>
      </c>
      <c r="D165" s="33">
        <f>A165&amp;C165</f>
      </c>
      <c r="E165" s="33" t="str">
        <v>Combo 3 - First Class 3</v>
      </c>
      <c r="F165" s="32">
        <v>308000</v>
      </c>
    </row>
    <row r="166">
      <c r="A166" s="33" t="str">
        <v>186 QT</v>
      </c>
      <c r="B166" s="33" t="str">
        <v>DV_Cắt_Vip</v>
      </c>
      <c r="C166" s="33">
        <v>1048</v>
      </c>
      <c r="D166" s="33">
        <f>A166&amp;C166</f>
      </c>
      <c r="E166" s="33" t="str">
        <v>Combo 4</v>
      </c>
      <c r="F166" s="32">
        <v>398000</v>
      </c>
    </row>
    <row r="167">
      <c r="A167" s="33" t="str">
        <v>186 QT</v>
      </c>
      <c r="B167" s="33" t="str">
        <v>DV_Cắt_Vip</v>
      </c>
      <c r="C167" s="33">
        <v>1046</v>
      </c>
      <c r="D167" s="33">
        <f>A167&amp;C167</f>
      </c>
      <c r="E167" s="33" t="str">
        <v>Shinecombo 2</v>
      </c>
      <c r="F167" s="32">
        <v>208000</v>
      </c>
    </row>
    <row r="168">
      <c r="A168" s="33" t="str">
        <v>190 HB</v>
      </c>
      <c r="B168" s="33" t="str">
        <v>DV_Cắt</v>
      </c>
      <c r="C168" s="33">
        <v>513</v>
      </c>
      <c r="D168" s="33">
        <f>A168&amp;C168</f>
      </c>
      <c r="E168" s="33" t="str">
        <v>[DV] ShineCombo 10 bước Ultra Care 2023</v>
      </c>
      <c r="F168" s="32">
        <v>122000</v>
      </c>
    </row>
    <row r="169">
      <c r="A169" s="33" t="str">
        <v>190 HB</v>
      </c>
      <c r="B169" s="33" t="str">
        <v>DV_Cắt</v>
      </c>
      <c r="C169" s="33">
        <v>1070</v>
      </c>
      <c r="D169" s="33">
        <f>A169&amp;C169</f>
      </c>
      <c r="E169" s="33" t="str">
        <v>Combo Cắt gội Kid</v>
      </c>
      <c r="F169" s="32">
        <v>100000</v>
      </c>
    </row>
    <row r="170">
      <c r="A170" s="33" t="str">
        <v>190 HB</v>
      </c>
      <c r="B170" s="33" t="str">
        <v>DV_Cắt</v>
      </c>
      <c r="C170" s="33">
        <v>891</v>
      </c>
      <c r="D170" s="33">
        <f>A170&amp;C170</f>
      </c>
      <c r="E170" s="33" t="str">
        <v>Cắt xả tạo kiểu</v>
      </c>
      <c r="F170" s="32">
        <v>100000</v>
      </c>
    </row>
    <row r="171">
      <c r="A171" s="33" t="str">
        <v>190 HB</v>
      </c>
      <c r="B171" s="33" t="str">
        <v>DV_Cắt</v>
      </c>
      <c r="C171" s="33">
        <v>1002</v>
      </c>
      <c r="D171" s="33">
        <f>A171&amp;C171</f>
      </c>
      <c r="E171" s="33" t="str">
        <v>Kid Cắt</v>
      </c>
      <c r="F171" s="32">
        <v>81000</v>
      </c>
    </row>
    <row r="172">
      <c r="A172" s="33" t="str">
        <v>190 HB</v>
      </c>
      <c r="B172" s="33" t="str">
        <v>DV_Cắt_Vip</v>
      </c>
      <c r="C172" s="33">
        <v>1047</v>
      </c>
      <c r="D172" s="33">
        <f>A172&amp;C172</f>
      </c>
      <c r="E172" s="33" t="str">
        <v>Cắt Gội Combo 3 - Chăm da</v>
      </c>
      <c r="F172" s="32">
        <v>305000</v>
      </c>
    </row>
    <row r="173">
      <c r="A173" s="33" t="str">
        <v>190 HB</v>
      </c>
      <c r="B173" s="33" t="str">
        <v>DV_Cắt_Vip</v>
      </c>
      <c r="C173" s="33">
        <v>1048</v>
      </c>
      <c r="D173" s="33">
        <f>A173&amp;C173</f>
      </c>
      <c r="E173" s="33" t="str">
        <v>Combo 4</v>
      </c>
      <c r="F173" s="32">
        <v>395000</v>
      </c>
    </row>
    <row r="174">
      <c r="A174" s="33" t="str">
        <v>190 HB</v>
      </c>
      <c r="B174" s="33" t="str">
        <v>DV_Cắt_Vip</v>
      </c>
      <c r="C174" s="33">
        <v>1194</v>
      </c>
      <c r="D174" s="33">
        <f>A174&amp;C174</f>
      </c>
      <c r="E174" s="33" t="str">
        <v>Combo Best choice</v>
      </c>
      <c r="F174" s="32">
        <v>305000</v>
      </c>
    </row>
    <row r="175">
      <c r="A175" s="33" t="str">
        <v>190 HB</v>
      </c>
      <c r="B175" s="33" t="str">
        <v>DV_Cắt_Vip</v>
      </c>
      <c r="C175" s="33">
        <v>1046</v>
      </c>
      <c r="D175" s="33">
        <f>A175&amp;C175</f>
      </c>
      <c r="E175" s="33" t="str">
        <v>Shinecombo 2</v>
      </c>
      <c r="F175" s="32">
        <v>205000</v>
      </c>
    </row>
    <row r="176">
      <c r="A176" s="33" t="str">
        <v>202 DC</v>
      </c>
      <c r="B176" s="33" t="str">
        <v>DV_Cắt</v>
      </c>
      <c r="C176" s="33">
        <v>513</v>
      </c>
      <c r="D176" s="33">
        <f>A176&amp;C176</f>
      </c>
      <c r="E176" s="33" t="str">
        <v>[DV] ShineCombo 10 bước Ultra Care 2023</v>
      </c>
      <c r="F176" s="32">
        <v>122000</v>
      </c>
    </row>
    <row r="177">
      <c r="A177" s="33" t="str">
        <v>202 DC</v>
      </c>
      <c r="B177" s="33" t="str">
        <v>DV_Cắt</v>
      </c>
      <c r="C177" s="33">
        <v>1070</v>
      </c>
      <c r="D177" s="33">
        <f>A177&amp;C177</f>
      </c>
      <c r="E177" s="33" t="str">
        <v>Combo Cắt gội Kid</v>
      </c>
      <c r="F177" s="32">
        <v>100000</v>
      </c>
    </row>
    <row r="178">
      <c r="A178" s="33" t="str">
        <v>202 DC</v>
      </c>
      <c r="B178" s="33" t="str">
        <v>DV_Cắt</v>
      </c>
      <c r="C178" s="33">
        <v>891</v>
      </c>
      <c r="D178" s="33">
        <f>A178&amp;C178</f>
      </c>
      <c r="E178" s="33" t="str">
        <v>Cắt xả tạo kiểu</v>
      </c>
      <c r="F178" s="32">
        <v>103000</v>
      </c>
    </row>
    <row r="179">
      <c r="A179" s="33" t="str">
        <v>202 DC</v>
      </c>
      <c r="B179" s="33" t="str">
        <v>DV_Cắt</v>
      </c>
      <c r="C179" s="33">
        <v>1002</v>
      </c>
      <c r="D179" s="33">
        <f>A179&amp;C179</f>
      </c>
      <c r="E179" s="33" t="str">
        <v>Kid Cắt</v>
      </c>
      <c r="F179" s="32">
        <v>84000</v>
      </c>
    </row>
    <row r="180">
      <c r="A180" s="33" t="str">
        <v>202 DC</v>
      </c>
      <c r="B180" s="33" t="str">
        <v>DV_Cắt_Vip</v>
      </c>
      <c r="C180" s="33">
        <v>1047</v>
      </c>
      <c r="D180" s="33">
        <f>A180&amp;C180</f>
      </c>
      <c r="E180" s="33" t="str">
        <v>Cắt Gội Combo 3 - Chăm da</v>
      </c>
      <c r="F180" s="32">
        <v>308000</v>
      </c>
    </row>
    <row r="181">
      <c r="A181" s="33" t="str">
        <v>202 DC</v>
      </c>
      <c r="B181" s="33" t="str">
        <v>DV_Cắt_Vip</v>
      </c>
      <c r="C181" s="33">
        <v>1065</v>
      </c>
      <c r="D181" s="33">
        <f>A181&amp;C181</f>
      </c>
      <c r="E181" s="33" t="str">
        <v>Cắt Gội Combo 3 - Dưỡng sinh</v>
      </c>
      <c r="F181" s="32">
        <v>308000</v>
      </c>
    </row>
    <row r="182">
      <c r="A182" s="33" t="str">
        <v>202 DC</v>
      </c>
      <c r="B182" s="33" t="str">
        <v>DV_Cắt_Vip</v>
      </c>
      <c r="C182" s="33">
        <v>1048</v>
      </c>
      <c r="D182" s="33">
        <f>A182&amp;C182</f>
      </c>
      <c r="E182" s="33" t="str">
        <v>Combo 4</v>
      </c>
      <c r="F182" s="32">
        <v>398000</v>
      </c>
    </row>
    <row r="183">
      <c r="A183" s="33" t="str">
        <v>202 DC</v>
      </c>
      <c r="B183" s="33" t="str">
        <v>DV_Cắt_Vip</v>
      </c>
      <c r="C183" s="33">
        <v>1046</v>
      </c>
      <c r="D183" s="33">
        <f>A183&amp;C183</f>
      </c>
      <c r="E183" s="33" t="str">
        <v>Shinecombo 2</v>
      </c>
      <c r="F183" s="32">
        <v>208000</v>
      </c>
    </row>
    <row r="184">
      <c r="A184" s="33" t="str">
        <v>236 DBT</v>
      </c>
      <c r="B184" s="33" t="str">
        <v>DV_Cắt</v>
      </c>
      <c r="C184" s="33">
        <v>513</v>
      </c>
      <c r="D184" s="33">
        <f>A184&amp;C184</f>
      </c>
      <c r="E184" s="33" t="str">
        <v>[DV] ShineCombo 10 bước Ultra Care 2023</v>
      </c>
      <c r="F184" s="32">
        <v>122000</v>
      </c>
    </row>
    <row r="185">
      <c r="A185" s="33" t="str">
        <v>236 DBT</v>
      </c>
      <c r="B185" s="33" t="str">
        <v>DV_Cắt</v>
      </c>
      <c r="C185" s="33">
        <v>1070</v>
      </c>
      <c r="D185" s="33">
        <f>A185&amp;C185</f>
      </c>
      <c r="E185" s="33" t="str">
        <v>Combo Cắt gội Kid</v>
      </c>
      <c r="F185" s="32">
        <v>100000</v>
      </c>
    </row>
    <row r="186">
      <c r="A186" s="33" t="str">
        <v>236 DBT</v>
      </c>
      <c r="B186" s="33" t="str">
        <v>DV_Cắt</v>
      </c>
      <c r="C186" s="33">
        <v>891</v>
      </c>
      <c r="D186" s="33">
        <f>A186&amp;C186</f>
      </c>
      <c r="E186" s="33" t="str">
        <v>Cắt xả tạo kiểu</v>
      </c>
      <c r="F186" s="32">
        <v>101000</v>
      </c>
    </row>
    <row r="187">
      <c r="A187" s="33" t="str">
        <v>236 DBT</v>
      </c>
      <c r="B187" s="33" t="str">
        <v>DV_Cắt</v>
      </c>
      <c r="C187" s="33">
        <v>1052</v>
      </c>
      <c r="D187" s="33">
        <f>A187&amp;C187</f>
      </c>
      <c r="E187" s="33" t="str">
        <v>Combo 1 - First Class 1</v>
      </c>
      <c r="F187" s="32">
        <v>159000</v>
      </c>
    </row>
    <row r="188">
      <c r="A188" s="33" t="str">
        <v>236 DBT</v>
      </c>
      <c r="B188" s="33" t="str">
        <v>DV_Cắt</v>
      </c>
      <c r="C188" s="33">
        <v>1002</v>
      </c>
      <c r="D188" s="33">
        <f>A188&amp;C188</f>
      </c>
      <c r="E188" s="33" t="str">
        <v>Kid Cắt</v>
      </c>
      <c r="F188" s="32">
        <v>82000</v>
      </c>
    </row>
    <row r="189">
      <c r="A189" s="33" t="str">
        <v>236 DBT</v>
      </c>
      <c r="B189" s="33" t="str">
        <v>DV_Cắt_Vip</v>
      </c>
      <c r="C189" s="33">
        <v>1047</v>
      </c>
      <c r="D189" s="33">
        <f>A189&amp;C189</f>
      </c>
      <c r="E189" s="33" t="str">
        <v>Cắt Gội Combo 3 - Chăm da</v>
      </c>
      <c r="F189" s="32">
        <v>306000</v>
      </c>
    </row>
    <row r="190">
      <c r="A190" s="33" t="str">
        <v>236 DBT</v>
      </c>
      <c r="B190" s="33" t="str">
        <v>DV_Cắt_Vip</v>
      </c>
      <c r="C190" s="33">
        <v>1065</v>
      </c>
      <c r="D190" s="33">
        <f>A190&amp;C190</f>
      </c>
      <c r="E190" s="33" t="str">
        <v>Cắt Gội Combo 3 - Dưỡng sinh</v>
      </c>
      <c r="F190" s="32">
        <v>306000</v>
      </c>
    </row>
    <row r="191">
      <c r="A191" s="33" t="str">
        <v>236 DBT</v>
      </c>
      <c r="B191" s="33" t="str">
        <v>DV_Cắt_Vip</v>
      </c>
      <c r="C191" s="33">
        <v>1064</v>
      </c>
      <c r="D191" s="33">
        <f>A191&amp;C191</f>
      </c>
      <c r="E191" s="33" t="str">
        <v>Cắt Gội Combo 5 - Dưỡng sinh</v>
      </c>
      <c r="F191" s="32">
        <v>466000</v>
      </c>
    </row>
    <row r="192">
      <c r="A192" s="33" t="str">
        <v>236 DBT</v>
      </c>
      <c r="B192" s="33" t="str">
        <v>DV_Cắt_Vip</v>
      </c>
      <c r="C192" s="33">
        <v>1053</v>
      </c>
      <c r="D192" s="33">
        <f>A192&amp;C192</f>
      </c>
      <c r="E192" s="33" t="str">
        <v>Combo 2 - First Class 2</v>
      </c>
      <c r="F192" s="32">
        <v>236000</v>
      </c>
    </row>
    <row r="193">
      <c r="A193" s="33" t="str">
        <v>236 DBT</v>
      </c>
      <c r="B193" s="33" t="str">
        <v>DV_Cắt_Vip</v>
      </c>
      <c r="C193" s="33">
        <v>1054</v>
      </c>
      <c r="D193" s="33">
        <f>A193&amp;C193</f>
      </c>
      <c r="E193" s="33" t="str">
        <v>Combo 3 - First Class 3</v>
      </c>
      <c r="F193" s="32">
        <v>306000</v>
      </c>
    </row>
    <row r="194">
      <c r="A194" s="33" t="str">
        <v>236 DBT</v>
      </c>
      <c r="B194" s="33" t="str">
        <v>DV_Cắt_Vip</v>
      </c>
      <c r="C194" s="33">
        <v>1048</v>
      </c>
      <c r="D194" s="33">
        <f>A194&amp;C194</f>
      </c>
      <c r="E194" s="33" t="str">
        <v>Combo 4</v>
      </c>
      <c r="F194" s="32">
        <v>396000</v>
      </c>
    </row>
    <row r="195">
      <c r="A195" s="33" t="str">
        <v>236 DBT</v>
      </c>
      <c r="B195" s="33" t="str">
        <v>DV_Cắt_Vip</v>
      </c>
      <c r="C195" s="33">
        <v>1046</v>
      </c>
      <c r="D195" s="33">
        <f>A195&amp;C195</f>
      </c>
      <c r="E195" s="33" t="str">
        <v>Shinecombo 2</v>
      </c>
      <c r="F195" s="32">
        <v>206000</v>
      </c>
    </row>
    <row r="196">
      <c r="A196" s="33" t="str">
        <v>237 NTT</v>
      </c>
      <c r="B196" s="33" t="str">
        <v>DV_Cắt</v>
      </c>
      <c r="C196" s="33">
        <v>513</v>
      </c>
      <c r="D196" s="33">
        <f>A196&amp;C196</f>
      </c>
      <c r="E196" s="33" t="str">
        <v>[DV] ShineCombo 10 bước Ultra Care 2023</v>
      </c>
      <c r="F196" s="32">
        <v>122000</v>
      </c>
    </row>
    <row r="197">
      <c r="A197" s="33" t="str">
        <v>237 NTT</v>
      </c>
      <c r="B197" s="33" t="str">
        <v>DV_Cắt</v>
      </c>
      <c r="C197" s="33">
        <v>891</v>
      </c>
      <c r="D197" s="33">
        <f>A197&amp;C197</f>
      </c>
      <c r="E197" s="33" t="str">
        <v>Cắt xả tạo kiểu</v>
      </c>
      <c r="F197" s="32">
        <v>94000</v>
      </c>
    </row>
    <row r="198">
      <c r="A198" s="33" t="str">
        <v>237 NTT</v>
      </c>
      <c r="B198" s="33" t="str">
        <v>DV_Cắt</v>
      </c>
      <c r="C198" s="33">
        <v>1052</v>
      </c>
      <c r="D198" s="33">
        <f>A198&amp;C198</f>
      </c>
      <c r="E198" s="33" t="str">
        <v>Combo 1 - First Class 1</v>
      </c>
      <c r="F198" s="32">
        <v>139000</v>
      </c>
    </row>
    <row r="199">
      <c r="A199" s="33" t="str">
        <v>237 NTT</v>
      </c>
      <c r="B199" s="33" t="str">
        <v>DV_Cắt</v>
      </c>
      <c r="C199" s="33">
        <v>1002</v>
      </c>
      <c r="D199" s="33">
        <f>A199&amp;C199</f>
      </c>
      <c r="E199" s="33" t="str">
        <v>Kid Cắt</v>
      </c>
      <c r="F199" s="32">
        <v>75000</v>
      </c>
    </row>
    <row r="200">
      <c r="A200" s="33" t="str">
        <v>237 NTT</v>
      </c>
      <c r="B200" s="33" t="str">
        <v>DV_Cắt_Vip</v>
      </c>
      <c r="C200" s="33">
        <v>1047</v>
      </c>
      <c r="D200" s="33">
        <f>A200&amp;C200</f>
      </c>
      <c r="E200" s="33" t="str">
        <v>Cắt Gội Combo 3 - Chăm da</v>
      </c>
      <c r="F200" s="32">
        <v>299000</v>
      </c>
    </row>
    <row r="201">
      <c r="A201" s="33" t="str">
        <v>237 NTT</v>
      </c>
      <c r="B201" s="33" t="str">
        <v>DV_Cắt_Vip</v>
      </c>
      <c r="C201" s="33">
        <v>1065</v>
      </c>
      <c r="D201" s="33">
        <f>A201&amp;C201</f>
      </c>
      <c r="E201" s="33" t="str">
        <v>Cắt Gội Combo 3 - Dưỡng sinh</v>
      </c>
      <c r="F201" s="32">
        <v>299000</v>
      </c>
    </row>
    <row r="202">
      <c r="A202" s="33" t="str">
        <v>237 NTT</v>
      </c>
      <c r="B202" s="33" t="str">
        <v>DV_Cắt_Vip</v>
      </c>
      <c r="C202" s="33">
        <v>1053</v>
      </c>
      <c r="D202" s="33">
        <f>A202&amp;C202</f>
      </c>
      <c r="E202" s="33" t="str">
        <v>Combo 2 - First Class 2</v>
      </c>
      <c r="F202" s="32">
        <v>239000</v>
      </c>
    </row>
    <row r="203">
      <c r="A203" s="33" t="str">
        <v>237 NTT</v>
      </c>
      <c r="B203" s="33" t="str">
        <v>DV_Cắt_Vip</v>
      </c>
      <c r="C203" s="33">
        <v>1054</v>
      </c>
      <c r="D203" s="33">
        <f>A203&amp;C203</f>
      </c>
      <c r="E203" s="33" t="str">
        <v>Combo 3 - First Class 3</v>
      </c>
      <c r="F203" s="32">
        <v>309000</v>
      </c>
    </row>
    <row r="204">
      <c r="A204" s="33" t="str">
        <v>237 NTT</v>
      </c>
      <c r="B204" s="33" t="str">
        <v>DV_Cắt_Vip</v>
      </c>
      <c r="C204" s="33">
        <v>1055</v>
      </c>
      <c r="D204" s="33">
        <f>A204&amp;C204</f>
      </c>
      <c r="E204" s="33" t="str">
        <v>Combo 4- First Class 4</v>
      </c>
      <c r="F204" s="32">
        <v>409000</v>
      </c>
    </row>
    <row r="205">
      <c r="A205" s="33" t="str">
        <v>237 NTT</v>
      </c>
      <c r="B205" s="33" t="str">
        <v>DV_Cắt_Vip</v>
      </c>
      <c r="C205" s="33">
        <v>1046</v>
      </c>
      <c r="D205" s="33">
        <f>A205&amp;C205</f>
      </c>
      <c r="E205" s="33" t="str">
        <v>Shinecombo 2</v>
      </c>
      <c r="F205" s="32">
        <v>199000</v>
      </c>
    </row>
    <row r="206">
      <c r="A206" s="33" t="str">
        <v>25 TD</v>
      </c>
      <c r="B206" s="33" t="str">
        <v>DV_Cắt</v>
      </c>
      <c r="C206" s="33">
        <v>513</v>
      </c>
      <c r="D206" s="33">
        <f>A206&amp;C206</f>
      </c>
      <c r="E206" s="33" t="str">
        <v>[DV] ShineCombo 10 bước Ultra Care 2023</v>
      </c>
      <c r="F206" s="32">
        <v>122000</v>
      </c>
    </row>
    <row r="207">
      <c r="A207" s="33" t="str">
        <v>25 TD</v>
      </c>
      <c r="B207" s="33" t="str">
        <v>DV_Cắt</v>
      </c>
      <c r="C207" s="33">
        <v>1070</v>
      </c>
      <c r="D207" s="33">
        <f>A207&amp;C207</f>
      </c>
      <c r="E207" s="33" t="str">
        <v>Combo Cắt gội Kid</v>
      </c>
      <c r="F207" s="32">
        <v>100000</v>
      </c>
    </row>
    <row r="208">
      <c r="A208" s="33" t="str">
        <v>25 TD</v>
      </c>
      <c r="B208" s="33" t="str">
        <v>DV_Cắt</v>
      </c>
      <c r="C208" s="33">
        <v>891</v>
      </c>
      <c r="D208" s="33">
        <f>A208&amp;C208</f>
      </c>
      <c r="E208" s="33" t="str">
        <v>Cắt xả tạo kiểu</v>
      </c>
      <c r="F208" s="32">
        <v>95000</v>
      </c>
    </row>
    <row r="209">
      <c r="A209" s="33" t="str">
        <v>25 TD</v>
      </c>
      <c r="B209" s="33" t="str">
        <v>DV_Cắt</v>
      </c>
      <c r="C209" s="33">
        <v>1052</v>
      </c>
      <c r="D209" s="33">
        <f>A209&amp;C209</f>
      </c>
      <c r="E209" s="33" t="str">
        <v>Combo 1 - First Class 1</v>
      </c>
      <c r="F209" s="32">
        <v>139000</v>
      </c>
    </row>
    <row r="210">
      <c r="A210" s="33" t="str">
        <v>25 TD</v>
      </c>
      <c r="B210" s="33" t="str">
        <v>DV_Cắt</v>
      </c>
      <c r="C210" s="33">
        <v>1002</v>
      </c>
      <c r="D210" s="33">
        <f>A210&amp;C210</f>
      </c>
      <c r="E210" s="33" t="str">
        <v>Kid Cắt</v>
      </c>
      <c r="F210" s="32">
        <v>76000</v>
      </c>
    </row>
    <row r="211">
      <c r="A211" s="33" t="str">
        <v>25 TD</v>
      </c>
      <c r="B211" s="33" t="str">
        <v>DV_Cắt_Vip</v>
      </c>
      <c r="C211" s="33">
        <v>1047</v>
      </c>
      <c r="D211" s="33">
        <f>A211&amp;C211</f>
      </c>
      <c r="E211" s="33" t="str">
        <v>Cắt Gội Combo 3 - Chăm da</v>
      </c>
      <c r="F211" s="32">
        <v>300000</v>
      </c>
    </row>
    <row r="212">
      <c r="A212" s="33" t="str">
        <v>25 TD</v>
      </c>
      <c r="B212" s="33" t="str">
        <v>DV_Cắt_Vip</v>
      </c>
      <c r="C212" s="33">
        <v>1053</v>
      </c>
      <c r="D212" s="33">
        <f>A212&amp;C212</f>
      </c>
      <c r="E212" s="33" t="str">
        <v>Combo 2 - First Class 2</v>
      </c>
      <c r="F212" s="32">
        <v>240000</v>
      </c>
    </row>
    <row r="213">
      <c r="A213" s="33" t="str">
        <v>25 TD</v>
      </c>
      <c r="B213" s="33" t="str">
        <v>DV_Cắt_Vip</v>
      </c>
      <c r="C213" s="33">
        <v>1054</v>
      </c>
      <c r="D213" s="33">
        <f>A213&amp;C213</f>
      </c>
      <c r="E213" s="33" t="str">
        <v>Combo 3 - First Class 3</v>
      </c>
      <c r="F213" s="32">
        <v>310000</v>
      </c>
    </row>
    <row r="214">
      <c r="A214" s="33" t="str">
        <v>25 TD</v>
      </c>
      <c r="B214" s="33" t="str">
        <v>DV_Cắt_Vip</v>
      </c>
      <c r="C214" s="33">
        <v>1048</v>
      </c>
      <c r="D214" s="33">
        <f>A214&amp;C214</f>
      </c>
      <c r="E214" s="33" t="str">
        <v>Combo 4</v>
      </c>
      <c r="F214" s="32">
        <v>390000</v>
      </c>
    </row>
    <row r="215">
      <c r="A215" s="33" t="str">
        <v>25 TD</v>
      </c>
      <c r="B215" s="33" t="str">
        <v>DV_Cắt_Vip</v>
      </c>
      <c r="C215" s="33">
        <v>1055</v>
      </c>
      <c r="D215" s="33">
        <f>A215&amp;C215</f>
      </c>
      <c r="E215" s="33" t="str">
        <v>Combo 4- First Class 4</v>
      </c>
      <c r="F215" s="32">
        <v>410000</v>
      </c>
    </row>
    <row r="216">
      <c r="A216" s="33" t="str">
        <v>25 TD</v>
      </c>
      <c r="B216" s="33" t="str">
        <v>DV_Cắt_Vip</v>
      </c>
      <c r="C216" s="33">
        <v>1046</v>
      </c>
      <c r="D216" s="33">
        <f>A216&amp;C216</f>
      </c>
      <c r="E216" s="33" t="str">
        <v>Shinecombo 2</v>
      </c>
      <c r="F216" s="32">
        <v>200000</v>
      </c>
    </row>
    <row r="217">
      <c r="A217" s="33" t="str">
        <v>255 NAN</v>
      </c>
      <c r="B217" s="33" t="str">
        <v>DV_Cắt</v>
      </c>
      <c r="C217" s="33">
        <v>513</v>
      </c>
      <c r="D217" s="33">
        <f>A217&amp;C217</f>
      </c>
      <c r="E217" s="33" t="str">
        <v>[DV] ShineCombo 10 bước Ultra Care 2023</v>
      </c>
      <c r="F217" s="32">
        <v>122000</v>
      </c>
    </row>
    <row r="218">
      <c r="A218" s="33" t="str">
        <v>255 NAN</v>
      </c>
      <c r="B218" s="33" t="str">
        <v>DV_Cắt</v>
      </c>
      <c r="C218" s="33">
        <v>1070</v>
      </c>
      <c r="D218" s="33">
        <f>A218&amp;C218</f>
      </c>
      <c r="E218" s="33" t="str">
        <v>Combo Cắt gội Kid</v>
      </c>
      <c r="F218" s="32">
        <v>100000</v>
      </c>
    </row>
    <row r="219">
      <c r="A219" s="33" t="str">
        <v>255 NAN</v>
      </c>
      <c r="B219" s="33" t="str">
        <v>DV_Cắt</v>
      </c>
      <c r="C219" s="33">
        <v>891</v>
      </c>
      <c r="D219" s="33">
        <f>A219&amp;C219</f>
      </c>
      <c r="E219" s="33" t="str">
        <v>Cắt xả tạo kiểu</v>
      </c>
      <c r="F219" s="32">
        <v>103000</v>
      </c>
    </row>
    <row r="220">
      <c r="A220" s="33" t="str">
        <v>255 NAN</v>
      </c>
      <c r="B220" s="33" t="str">
        <v>DV_Cắt</v>
      </c>
      <c r="C220" s="33">
        <v>1002</v>
      </c>
      <c r="D220" s="33">
        <f>A220&amp;C220</f>
      </c>
      <c r="E220" s="33" t="str">
        <v>Kid Cắt</v>
      </c>
      <c r="F220" s="32">
        <v>84000</v>
      </c>
    </row>
    <row r="221">
      <c r="A221" s="33" t="str">
        <v>255 NAN</v>
      </c>
      <c r="B221" s="33" t="str">
        <v>DV_Cắt_Vip</v>
      </c>
      <c r="C221" s="33">
        <v>1047</v>
      </c>
      <c r="D221" s="33">
        <f>A221&amp;C221</f>
      </c>
      <c r="E221" s="33" t="str">
        <v>Cắt Gội Combo 3 - Chăm da</v>
      </c>
      <c r="F221" s="32">
        <v>308000</v>
      </c>
    </row>
    <row r="222">
      <c r="A222" s="33" t="str">
        <v>255 NAN</v>
      </c>
      <c r="B222" s="33" t="str">
        <v>DV_Cắt_Vip</v>
      </c>
      <c r="C222" s="33">
        <v>1065</v>
      </c>
      <c r="D222" s="33">
        <f>A222&amp;C222</f>
      </c>
      <c r="E222" s="33" t="str">
        <v>Cắt Gội Combo 3 - Dưỡng sinh</v>
      </c>
      <c r="F222" s="32">
        <v>308000</v>
      </c>
    </row>
    <row r="223">
      <c r="A223" s="33" t="str">
        <v>255 NAN</v>
      </c>
      <c r="B223" s="33" t="str">
        <v>DV_Cắt_Vip</v>
      </c>
      <c r="C223" s="33">
        <v>1048</v>
      </c>
      <c r="D223" s="33">
        <f>A223&amp;C223</f>
      </c>
      <c r="E223" s="33" t="str">
        <v>Combo 4</v>
      </c>
      <c r="F223" s="32">
        <v>398000</v>
      </c>
    </row>
    <row r="224">
      <c r="A224" s="33" t="str">
        <v>255 NAN</v>
      </c>
      <c r="B224" s="33" t="str">
        <v>DV_Cắt_Vip</v>
      </c>
      <c r="C224" s="33">
        <v>1150</v>
      </c>
      <c r="D224" s="33">
        <f>A224&amp;C224</f>
      </c>
      <c r="E224" s="33" t="str">
        <v>Combo cắt gội đỉnh cao thư giãn vip</v>
      </c>
      <c r="F224" s="32">
        <v>509000</v>
      </c>
    </row>
    <row r="225">
      <c r="A225" s="33" t="str">
        <v>255 NAN</v>
      </c>
      <c r="B225" s="33" t="str">
        <v>DV_Cắt_Vip</v>
      </c>
      <c r="C225" s="33">
        <v>1046</v>
      </c>
      <c r="D225" s="33">
        <f>A225&amp;C225</f>
      </c>
      <c r="E225" s="33" t="str">
        <v>Shinecombo 2</v>
      </c>
      <c r="F225" s="32">
        <v>208000</v>
      </c>
    </row>
    <row r="226">
      <c r="A226" s="33" t="str">
        <v>264 LLQ</v>
      </c>
      <c r="B226" s="33" t="str">
        <v>DV_Cắt</v>
      </c>
      <c r="C226" s="33">
        <v>513</v>
      </c>
      <c r="D226" s="33">
        <f>A226&amp;C226</f>
      </c>
      <c r="E226" s="33" t="str">
        <v>[DV] ShineCombo 10 bước Ultra Care 2023</v>
      </c>
      <c r="F226" s="32">
        <v>122000</v>
      </c>
    </row>
    <row r="227">
      <c r="A227" s="33" t="str">
        <v>264 LLQ</v>
      </c>
      <c r="B227" s="33" t="str">
        <v>DV_Cắt</v>
      </c>
      <c r="C227" s="33">
        <v>1070</v>
      </c>
      <c r="D227" s="33">
        <f>A227&amp;C227</f>
      </c>
      <c r="E227" s="33" t="str">
        <v>Combo Cắt gội Kid</v>
      </c>
      <c r="F227" s="32">
        <v>100000</v>
      </c>
    </row>
    <row r="228">
      <c r="A228" s="33" t="str">
        <v>264 LLQ</v>
      </c>
      <c r="B228" s="33" t="str">
        <v>DV_Cắt</v>
      </c>
      <c r="C228" s="33">
        <v>891</v>
      </c>
      <c r="D228" s="33">
        <f>A228&amp;C228</f>
      </c>
      <c r="E228" s="33" t="str">
        <v>Cắt xả tạo kiểu</v>
      </c>
      <c r="F228" s="32">
        <v>94000</v>
      </c>
    </row>
    <row r="229">
      <c r="A229" s="33" t="str">
        <v>264 LLQ</v>
      </c>
      <c r="B229" s="33" t="str">
        <v>DV_Cắt</v>
      </c>
      <c r="C229" s="33">
        <v>1002</v>
      </c>
      <c r="D229" s="33">
        <f>A229&amp;C229</f>
      </c>
      <c r="E229" s="33" t="str">
        <v>Kid Cắt</v>
      </c>
      <c r="F229" s="32">
        <v>75000</v>
      </c>
    </row>
    <row r="230">
      <c r="A230" s="33" t="str">
        <v>264 LLQ</v>
      </c>
      <c r="B230" s="33" t="str">
        <v>DV_Cắt_Vip</v>
      </c>
      <c r="C230" s="33">
        <v>1047</v>
      </c>
      <c r="D230" s="33">
        <f>A230&amp;C230</f>
      </c>
      <c r="E230" s="33" t="str">
        <v>Cắt Gội Combo 3 - Chăm da</v>
      </c>
      <c r="F230" s="32">
        <v>299000</v>
      </c>
    </row>
    <row r="231">
      <c r="A231" s="33" t="str">
        <v>264 LLQ</v>
      </c>
      <c r="B231" s="33" t="str">
        <v>DV_Cắt_Vip</v>
      </c>
      <c r="C231" s="33">
        <v>1064</v>
      </c>
      <c r="D231" s="33">
        <f>A231&amp;C231</f>
      </c>
      <c r="E231" s="33" t="str">
        <v>Cắt Gội Combo 5 - Dưỡng sinh</v>
      </c>
      <c r="F231" s="32">
        <v>459000</v>
      </c>
    </row>
    <row r="232">
      <c r="A232" s="33" t="str">
        <v>264 LLQ</v>
      </c>
      <c r="B232" s="33" t="str">
        <v>DV_Cắt_Vip</v>
      </c>
      <c r="C232" s="33">
        <v>1048</v>
      </c>
      <c r="D232" s="33">
        <f>A232&amp;C232</f>
      </c>
      <c r="E232" s="33" t="str">
        <v>Combo 4</v>
      </c>
      <c r="F232" s="32">
        <v>389000</v>
      </c>
    </row>
    <row r="233">
      <c r="A233" s="33" t="str">
        <v>264 LLQ</v>
      </c>
      <c r="B233" s="33" t="str">
        <v>DV_Cắt_Vip</v>
      </c>
      <c r="C233" s="33">
        <v>1046</v>
      </c>
      <c r="D233" s="33">
        <f>A233&amp;C233</f>
      </c>
      <c r="E233" s="33" t="str">
        <v>Shinecombo 2</v>
      </c>
      <c r="F233" s="32">
        <v>199000</v>
      </c>
    </row>
    <row r="234">
      <c r="A234" s="33" t="str">
        <v>29 HB</v>
      </c>
      <c r="B234" s="33" t="str">
        <v>DV_Cắt</v>
      </c>
      <c r="C234" s="33">
        <v>513</v>
      </c>
      <c r="D234" s="33">
        <f>A234&amp;C234</f>
      </c>
      <c r="E234" s="33" t="str">
        <v>[DV] ShineCombo 10 bước Ultra Care 2023</v>
      </c>
      <c r="F234" s="32">
        <v>122000</v>
      </c>
    </row>
    <row r="235">
      <c r="A235" s="33" t="str">
        <v>29 HB</v>
      </c>
      <c r="B235" s="33" t="str">
        <v>DV_Cắt</v>
      </c>
      <c r="C235" s="33">
        <v>891</v>
      </c>
      <c r="D235" s="33">
        <f>A235&amp;C235</f>
      </c>
      <c r="E235" s="33" t="str">
        <v>Cắt xả tạo kiểu</v>
      </c>
      <c r="F235" s="32">
        <v>94000</v>
      </c>
    </row>
    <row r="236">
      <c r="A236" s="33" t="str">
        <v>29 HB</v>
      </c>
      <c r="B236" s="33" t="str">
        <v>DV_Cắt</v>
      </c>
      <c r="C236" s="33">
        <v>1070</v>
      </c>
      <c r="D236" s="33">
        <f>A236&amp;C236</f>
      </c>
      <c r="E236" s="33" t="str">
        <v>Combo Cắt gội Kid</v>
      </c>
      <c r="F236" s="32">
        <v>100000</v>
      </c>
    </row>
    <row r="237">
      <c r="A237" s="33" t="str">
        <v>29 HB</v>
      </c>
      <c r="B237" s="33" t="str">
        <v>DV_Cắt</v>
      </c>
      <c r="C237" s="33">
        <v>1002</v>
      </c>
      <c r="D237" s="33">
        <f>A237&amp;C237</f>
      </c>
      <c r="E237" s="33" t="str">
        <v>Kid Cắt</v>
      </c>
      <c r="F237" s="32">
        <v>75000</v>
      </c>
    </row>
    <row r="238">
      <c r="A238" s="33" t="str">
        <v>29 HB</v>
      </c>
      <c r="B238" s="33" t="str">
        <v>DV_Cắt_Vip</v>
      </c>
      <c r="C238" s="33">
        <v>1047</v>
      </c>
      <c r="D238" s="33">
        <f>A238&amp;C238</f>
      </c>
      <c r="E238" s="33" t="str">
        <v>Cắt Gội Combo 3 - Chăm da</v>
      </c>
      <c r="F238" s="32">
        <v>299000</v>
      </c>
    </row>
    <row r="239">
      <c r="A239" s="33" t="str">
        <v>29 HB</v>
      </c>
      <c r="B239" s="33" t="str">
        <v>DV_Cắt_Vip</v>
      </c>
      <c r="C239" s="33">
        <v>1065</v>
      </c>
      <c r="D239" s="33">
        <f>A239&amp;C239</f>
      </c>
      <c r="E239" s="33" t="str">
        <v>Cắt Gội Combo 3 - Dưỡng sinh</v>
      </c>
      <c r="F239" s="32">
        <v>299000</v>
      </c>
    </row>
    <row r="240">
      <c r="A240" s="33" t="str">
        <v>29 HB</v>
      </c>
      <c r="B240" s="33" t="str">
        <v>DV_Cắt_Vip</v>
      </c>
      <c r="C240" s="33">
        <v>1048</v>
      </c>
      <c r="D240" s="33">
        <f>A240&amp;C240</f>
      </c>
      <c r="E240" s="33" t="str">
        <v>Combo 4</v>
      </c>
      <c r="F240" s="32">
        <v>389000</v>
      </c>
    </row>
    <row r="241">
      <c r="A241" s="33" t="str">
        <v>29 HB</v>
      </c>
      <c r="B241" s="33" t="str">
        <v>DV_Cắt_Vip</v>
      </c>
      <c r="C241" s="33">
        <v>1150</v>
      </c>
      <c r="D241" s="33">
        <f>A241&amp;C241</f>
      </c>
      <c r="E241" s="33" t="str">
        <v>Combo cắt gội đỉnh cao thư giãn vip</v>
      </c>
      <c r="F241" s="32">
        <v>500000</v>
      </c>
    </row>
    <row r="242">
      <c r="A242" s="33" t="str">
        <v>29 HB</v>
      </c>
      <c r="B242" s="33" t="str">
        <v>DV_Cắt_Vip</v>
      </c>
      <c r="C242" s="33">
        <v>1046</v>
      </c>
      <c r="D242" s="33">
        <f>A242&amp;C242</f>
      </c>
      <c r="E242" s="33" t="str">
        <v>Shinecombo 2</v>
      </c>
      <c r="F242" s="32">
        <v>199000</v>
      </c>
    </row>
    <row r="243">
      <c r="A243" s="33" t="str">
        <v>290 QT TH</v>
      </c>
      <c r="B243" s="33" t="str">
        <v>DV_Cắt</v>
      </c>
      <c r="C243" s="33">
        <v>513</v>
      </c>
      <c r="D243" s="33">
        <f>A243&amp;C243</f>
      </c>
      <c r="E243" s="33" t="str">
        <v>[DV] ShineCombo 10 bước Ultra Care 2023</v>
      </c>
      <c r="F243" s="32">
        <v>122000</v>
      </c>
    </row>
    <row r="244">
      <c r="A244" s="33" t="str">
        <v>290 QT TH</v>
      </c>
      <c r="B244" s="33" t="str">
        <v>DV_Cắt</v>
      </c>
      <c r="C244" s="33">
        <v>1070</v>
      </c>
      <c r="D244" s="33">
        <f>A244&amp;C244</f>
      </c>
      <c r="E244" s="33" t="str">
        <v>Combo Cắt gội Kid</v>
      </c>
      <c r="F244" s="32">
        <v>100000</v>
      </c>
    </row>
    <row r="245">
      <c r="A245" s="33" t="str">
        <v>290 QT TH</v>
      </c>
      <c r="B245" s="33" t="str">
        <v>DV_Cắt</v>
      </c>
      <c r="C245" s="33">
        <v>891</v>
      </c>
      <c r="D245" s="33">
        <f>A245&amp;C245</f>
      </c>
      <c r="E245" s="33" t="str">
        <v>Cắt xả tạo kiểu</v>
      </c>
      <c r="F245" s="32">
        <v>95000</v>
      </c>
    </row>
    <row r="246">
      <c r="A246" s="33" t="str">
        <v>290 QT TH</v>
      </c>
      <c r="B246" s="33" t="str">
        <v>DV_Cắt</v>
      </c>
      <c r="C246" s="33">
        <v>1002</v>
      </c>
      <c r="D246" s="33">
        <f>A246&amp;C246</f>
      </c>
      <c r="E246" s="33" t="str">
        <v>Kid Cắt</v>
      </c>
      <c r="F246" s="32">
        <v>76000</v>
      </c>
    </row>
    <row r="247">
      <c r="A247" s="33" t="str">
        <v>290 QT TH</v>
      </c>
      <c r="B247" s="33" t="str">
        <v>DV_Cắt</v>
      </c>
      <c r="C247" s="33">
        <v>1255</v>
      </c>
      <c r="D247" s="33">
        <f>A247&amp;C247</f>
      </c>
      <c r="E247" s="33" t="str">
        <v>VH Cắt gội dưỡng sinh Vip</v>
      </c>
      <c r="F247" s="32">
        <v>250000</v>
      </c>
    </row>
    <row r="248">
      <c r="A248" s="33" t="str">
        <v>290 QT TH</v>
      </c>
      <c r="B248" s="33" t="str">
        <v>DV_Cắt_Vip</v>
      </c>
      <c r="C248" s="33">
        <v>1047</v>
      </c>
      <c r="D248" s="33">
        <f>A248&amp;C248</f>
      </c>
      <c r="E248" s="33" t="str">
        <v>Cắt Gội Combo 3 - Chăm da</v>
      </c>
      <c r="F248" s="32">
        <v>300000</v>
      </c>
    </row>
    <row r="249">
      <c r="A249" s="33" t="str">
        <v>290 QT TH</v>
      </c>
      <c r="B249" s="33" t="str">
        <v>DV_Cắt_Vip</v>
      </c>
      <c r="C249" s="33">
        <v>1065</v>
      </c>
      <c r="D249" s="33">
        <f>A249&amp;C249</f>
      </c>
      <c r="E249" s="33" t="str">
        <v>Cắt Gội Combo 3 - Dưỡng sinh</v>
      </c>
      <c r="F249" s="32">
        <v>300000</v>
      </c>
    </row>
    <row r="250">
      <c r="A250" s="33" t="str">
        <v>290 QT TH</v>
      </c>
      <c r="B250" s="33" t="str">
        <v>DV_Cắt_Vip</v>
      </c>
      <c r="C250" s="33">
        <v>1048</v>
      </c>
      <c r="D250" s="33">
        <f>A250&amp;C250</f>
      </c>
      <c r="E250" s="33" t="str">
        <v>Combo 4</v>
      </c>
      <c r="F250" s="32">
        <v>390000</v>
      </c>
    </row>
    <row r="251">
      <c r="A251" s="33" t="str">
        <v>290 QT TH</v>
      </c>
      <c r="B251" s="33" t="str">
        <v>DV_Cắt_Vip</v>
      </c>
      <c r="C251" s="33">
        <v>1046</v>
      </c>
      <c r="D251" s="33">
        <f>A251&amp;C251</f>
      </c>
      <c r="E251" s="33" t="str">
        <v>Shinecombo 2</v>
      </c>
      <c r="F251" s="32">
        <v>200000</v>
      </c>
    </row>
    <row r="252">
      <c r="A252" s="33" t="str">
        <v>290 QT TH</v>
      </c>
      <c r="B252" s="33" t="str">
        <v>DV_Cắt_Vip</v>
      </c>
      <c r="C252" s="33">
        <v>1256</v>
      </c>
      <c r="D252" s="33">
        <f>A252&amp;C252</f>
      </c>
      <c r="E252" s="33" t="str">
        <v>VH Cắt gội dưỡng sinh Vip LRT</v>
      </c>
      <c r="F252" s="32">
        <v>300000</v>
      </c>
    </row>
    <row r="253">
      <c r="A253" s="33" t="str">
        <v>290 QT TH</v>
      </c>
      <c r="B253" s="33" t="str">
        <v>DV_Cắt_Vip</v>
      </c>
      <c r="C253" s="33">
        <v>1257</v>
      </c>
      <c r="D253" s="33">
        <f>A253&amp;C253</f>
      </c>
      <c r="E253" s="33" t="str">
        <v>VH Cắt gội thư giãn phục hồi</v>
      </c>
      <c r="F253" s="32">
        <v>450000</v>
      </c>
    </row>
    <row r="254">
      <c r="A254" s="33" t="str">
        <v>304 NT TH</v>
      </c>
      <c r="B254" s="33" t="str">
        <v>DV_Cắt</v>
      </c>
      <c r="C254" s="33">
        <v>513</v>
      </c>
      <c r="D254" s="33">
        <f>A254&amp;C254</f>
      </c>
      <c r="E254" s="33" t="str">
        <v>[DV] ShineCombo 10 bước Ultra Care 2023</v>
      </c>
      <c r="F254" s="32">
        <v>122000</v>
      </c>
    </row>
    <row r="255">
      <c r="A255" s="33" t="str">
        <v>304 NT TH</v>
      </c>
      <c r="B255" s="33" t="str">
        <v>DV_Cắt</v>
      </c>
      <c r="C255" s="33">
        <v>891</v>
      </c>
      <c r="D255" s="33">
        <f>A255&amp;C255</f>
      </c>
      <c r="E255" s="33" t="str">
        <v>Cắt xả tạo kiểu</v>
      </c>
      <c r="F255" s="32">
        <v>103000</v>
      </c>
    </row>
    <row r="256">
      <c r="A256" s="33" t="str">
        <v>304 NT TH</v>
      </c>
      <c r="B256" s="33" t="str">
        <v>DV_Cắt</v>
      </c>
      <c r="C256" s="33">
        <v>1002</v>
      </c>
      <c r="D256" s="33">
        <f>A256&amp;C256</f>
      </c>
      <c r="E256" s="33" t="str">
        <v>Kid Cắt</v>
      </c>
      <c r="F256" s="32">
        <v>84000</v>
      </c>
    </row>
    <row r="257">
      <c r="A257" s="33" t="str">
        <v>304 NT TH</v>
      </c>
      <c r="B257" s="33" t="str">
        <v>DV_Cắt</v>
      </c>
      <c r="C257" s="33">
        <v>1255</v>
      </c>
      <c r="D257" s="33">
        <f>A257&amp;C257</f>
      </c>
      <c r="E257" s="33" t="str">
        <v>VH Cắt gội dưỡng sinh Vip</v>
      </c>
      <c r="F257" s="32">
        <v>258000</v>
      </c>
    </row>
    <row r="258">
      <c r="A258" s="33" t="str">
        <v>304 NT TH</v>
      </c>
      <c r="B258" s="33" t="str">
        <v>DV_Cắt_Vip</v>
      </c>
      <c r="C258" s="33">
        <v>1047</v>
      </c>
      <c r="D258" s="33">
        <f>A258&amp;C258</f>
      </c>
      <c r="E258" s="33" t="str">
        <v>Cắt Gội Combo 3 - Chăm da</v>
      </c>
      <c r="F258" s="32">
        <v>308000</v>
      </c>
    </row>
    <row r="259">
      <c r="A259" s="33" t="str">
        <v>304 NT TH</v>
      </c>
      <c r="B259" s="33" t="str">
        <v>DV_Cắt_Vip</v>
      </c>
      <c r="C259" s="33">
        <v>1065</v>
      </c>
      <c r="D259" s="33">
        <f>A259&amp;C259</f>
      </c>
      <c r="E259" s="33" t="str">
        <v>Cắt Gội Combo 3 - Dưỡng sinh</v>
      </c>
      <c r="F259" s="32">
        <v>308000</v>
      </c>
    </row>
    <row r="260">
      <c r="A260" s="33" t="str">
        <v>304 NT TH</v>
      </c>
      <c r="B260" s="33" t="str">
        <v>DV_Cắt_Vip</v>
      </c>
      <c r="C260" s="33">
        <v>1053</v>
      </c>
      <c r="D260" s="33">
        <f>A260&amp;C260</f>
      </c>
      <c r="E260" s="33" t="str">
        <v>Combo 2 - First Class 2</v>
      </c>
      <c r="F260" s="32">
        <v>238000</v>
      </c>
    </row>
    <row r="261">
      <c r="A261" s="33" t="str">
        <v>304 NT TH</v>
      </c>
      <c r="B261" s="33" t="str">
        <v>DV_Cắt_Vip</v>
      </c>
      <c r="C261" s="33">
        <v>1048</v>
      </c>
      <c r="D261" s="33">
        <f>A261&amp;C261</f>
      </c>
      <c r="E261" s="33" t="str">
        <v>Combo 4</v>
      </c>
      <c r="F261" s="32">
        <v>398000</v>
      </c>
    </row>
    <row r="262">
      <c r="A262" s="33" t="str">
        <v>304 NT TH</v>
      </c>
      <c r="B262" s="33" t="str">
        <v>DV_Cắt_Vip</v>
      </c>
      <c r="C262" s="33">
        <v>1046</v>
      </c>
      <c r="D262" s="33">
        <f>A262&amp;C262</f>
      </c>
      <c r="E262" s="33" t="str">
        <v>Shinecombo 2</v>
      </c>
      <c r="F262" s="32">
        <v>208000</v>
      </c>
    </row>
    <row r="263">
      <c r="A263" s="33" t="str">
        <v>304 NT TH</v>
      </c>
      <c r="B263" s="33" t="str">
        <v>DV_Cắt_Vip</v>
      </c>
      <c r="C263" s="33">
        <v>1256</v>
      </c>
      <c r="D263" s="33">
        <f>A263&amp;C263</f>
      </c>
      <c r="E263" s="33" t="str">
        <v>VH Cắt gội dưỡng sinh Vip LRT</v>
      </c>
      <c r="F263" s="32">
        <v>308000</v>
      </c>
    </row>
    <row r="264">
      <c r="A264" s="33" t="str">
        <v>304 NT TH</v>
      </c>
      <c r="B264" s="33" t="str">
        <v>DV_Cắt_Vip</v>
      </c>
      <c r="C264" s="33">
        <v>1257</v>
      </c>
      <c r="D264" s="33">
        <f>A264&amp;C264</f>
      </c>
      <c r="E264" s="33" t="str">
        <v>VH Cắt gội thư giãn phục hồi</v>
      </c>
      <c r="F264" s="32">
        <v>458000</v>
      </c>
    </row>
    <row r="265">
      <c r="A265" s="33" t="str">
        <v>312 LVS</v>
      </c>
      <c r="B265" s="33" t="str">
        <v>DV_Cắt</v>
      </c>
      <c r="C265" s="33">
        <v>513</v>
      </c>
      <c r="D265" s="33">
        <f>A265&amp;C265</f>
      </c>
      <c r="E265" s="33" t="str">
        <v>[DV] ShineCombo 10 bước Ultra Care 2023</v>
      </c>
      <c r="F265" s="32">
        <v>122000</v>
      </c>
    </row>
    <row r="266">
      <c r="A266" s="33" t="str">
        <v>312 LVS</v>
      </c>
      <c r="B266" s="33" t="str">
        <v>DV_Cắt</v>
      </c>
      <c r="C266" s="33">
        <v>1070</v>
      </c>
      <c r="D266" s="33">
        <f>A266&amp;C266</f>
      </c>
      <c r="E266" s="33" t="str">
        <v>Combo Cắt gội Kid</v>
      </c>
      <c r="F266" s="32">
        <v>100000</v>
      </c>
    </row>
    <row r="267">
      <c r="A267" s="33" t="str">
        <v>312 LVS</v>
      </c>
      <c r="B267" s="33" t="str">
        <v>DV_Cắt</v>
      </c>
      <c r="C267" s="33">
        <v>891</v>
      </c>
      <c r="D267" s="33">
        <f>A267&amp;C267</f>
      </c>
      <c r="E267" s="33" t="str">
        <v>Cắt xả tạo kiểu</v>
      </c>
      <c r="F267" s="32">
        <v>97000</v>
      </c>
    </row>
    <row r="268">
      <c r="A268" s="33" t="str">
        <v>312 LVS</v>
      </c>
      <c r="B268" s="33" t="str">
        <v>DV_Cắt</v>
      </c>
      <c r="C268" s="33">
        <v>1052</v>
      </c>
      <c r="D268" s="33">
        <f>A268&amp;C268</f>
      </c>
      <c r="E268" s="33" t="str">
        <v>Combo 1 - First Class 1</v>
      </c>
      <c r="F268" s="32">
        <v>159000</v>
      </c>
    </row>
    <row r="269">
      <c r="A269" s="33" t="str">
        <v>312 LVS</v>
      </c>
      <c r="B269" s="33" t="str">
        <v>DV_Cắt</v>
      </c>
      <c r="C269" s="33">
        <v>1002</v>
      </c>
      <c r="D269" s="33">
        <f>A269&amp;C269</f>
      </c>
      <c r="E269" s="33" t="str">
        <v>Kid Cắt</v>
      </c>
      <c r="F269" s="32">
        <v>78000</v>
      </c>
    </row>
    <row r="270">
      <c r="A270" s="33" t="str">
        <v>312 LVS</v>
      </c>
      <c r="B270" s="33" t="str">
        <v>DV_Cắt_Vip</v>
      </c>
      <c r="C270" s="33">
        <v>1047</v>
      </c>
      <c r="D270" s="33">
        <f>A270&amp;C270</f>
      </c>
      <c r="E270" s="33" t="str">
        <v>Cắt Gội Combo 3 - Chăm da</v>
      </c>
      <c r="F270" s="32">
        <v>302000</v>
      </c>
    </row>
    <row r="271">
      <c r="A271" s="33" t="str">
        <v>312 LVS</v>
      </c>
      <c r="B271" s="33" t="str">
        <v>DV_Cắt_Vip</v>
      </c>
      <c r="C271" s="33">
        <v>1065</v>
      </c>
      <c r="D271" s="33">
        <f>A271&amp;C271</f>
      </c>
      <c r="E271" s="33" t="str">
        <v>Cắt Gội Combo 3 - Dưỡng sinh</v>
      </c>
      <c r="F271" s="32">
        <v>302000</v>
      </c>
    </row>
    <row r="272">
      <c r="A272" s="33" t="str">
        <v>312 LVS</v>
      </c>
      <c r="B272" s="33" t="str">
        <v>DV_Cắt_Vip</v>
      </c>
      <c r="C272" s="33">
        <v>1064</v>
      </c>
      <c r="D272" s="33">
        <f>A272&amp;C272</f>
      </c>
      <c r="E272" s="33" t="str">
        <v>Cắt Gội Combo 5 - Dưỡng sinh</v>
      </c>
      <c r="F272" s="32">
        <v>462000</v>
      </c>
    </row>
    <row r="273">
      <c r="A273" s="33" t="str">
        <v>312 LVS</v>
      </c>
      <c r="B273" s="33" t="str">
        <v>DV_Cắt_Vip</v>
      </c>
      <c r="C273" s="33">
        <v>1048</v>
      </c>
      <c r="D273" s="33">
        <f>A273&amp;C273</f>
      </c>
      <c r="E273" s="33" t="str">
        <v>Combo 4</v>
      </c>
      <c r="F273" s="32">
        <v>392000</v>
      </c>
    </row>
    <row r="274">
      <c r="A274" s="33" t="str">
        <v>312 LVS</v>
      </c>
      <c r="B274" s="33" t="str">
        <v>DV_Cắt_Vip</v>
      </c>
      <c r="C274" s="33">
        <v>1046</v>
      </c>
      <c r="D274" s="33">
        <f>A274&amp;C274</f>
      </c>
      <c r="E274" s="33" t="str">
        <v>Shinecombo 2</v>
      </c>
      <c r="F274" s="32">
        <v>202000</v>
      </c>
    </row>
    <row r="275">
      <c r="A275" s="33" t="str">
        <v>32 NAT</v>
      </c>
      <c r="B275" s="33" t="str">
        <v>DV_Cắt</v>
      </c>
      <c r="C275" s="33">
        <v>513</v>
      </c>
      <c r="D275" s="33">
        <f>A275&amp;C275</f>
      </c>
      <c r="E275" s="33" t="str">
        <v>[DV] ShineCombo 10 bước Ultra Care 2023</v>
      </c>
      <c r="F275" s="32">
        <v>122000</v>
      </c>
    </row>
    <row r="276">
      <c r="A276" s="33" t="str">
        <v>32 NAT</v>
      </c>
      <c r="B276" s="33" t="str">
        <v>DV_Cắt</v>
      </c>
      <c r="C276" s="33">
        <v>1070</v>
      </c>
      <c r="D276" s="33">
        <f>A276&amp;C276</f>
      </c>
      <c r="E276" s="33" t="str">
        <v>Combo Cắt gội Kid</v>
      </c>
      <c r="F276" s="32">
        <v>100000</v>
      </c>
    </row>
    <row r="277">
      <c r="A277" s="33" t="str">
        <v>32 NAT</v>
      </c>
      <c r="B277" s="33" t="str">
        <v>DV_Cắt</v>
      </c>
      <c r="C277" s="33">
        <v>891</v>
      </c>
      <c r="D277" s="33">
        <f>A277&amp;C277</f>
      </c>
      <c r="E277" s="33" t="str">
        <v>Cắt xả tạo kiểu</v>
      </c>
      <c r="F277" s="32">
        <v>103000</v>
      </c>
    </row>
    <row r="278">
      <c r="A278" s="33" t="str">
        <v>32 NAT</v>
      </c>
      <c r="B278" s="33" t="str">
        <v>DV_Cắt</v>
      </c>
      <c r="C278" s="33">
        <v>1002</v>
      </c>
      <c r="D278" s="33">
        <f>A278&amp;C278</f>
      </c>
      <c r="E278" s="33" t="str">
        <v>Kid Cắt</v>
      </c>
      <c r="F278" s="32">
        <v>84000</v>
      </c>
    </row>
    <row r="279">
      <c r="A279" s="33" t="str">
        <v>32 NAT</v>
      </c>
      <c r="B279" s="33" t="str">
        <v>DV_Cắt_Vip</v>
      </c>
      <c r="C279" s="33">
        <v>1047</v>
      </c>
      <c r="D279" s="33">
        <f>A279&amp;C279</f>
      </c>
      <c r="E279" s="33" t="str">
        <v>Cắt Gội Combo 3 - Chăm da</v>
      </c>
      <c r="F279" s="32">
        <v>308000</v>
      </c>
    </row>
    <row r="280">
      <c r="A280" s="33" t="str">
        <v>32 NAT</v>
      </c>
      <c r="B280" s="33" t="str">
        <v>DV_Cắt_Vip</v>
      </c>
      <c r="C280" s="33">
        <v>1065</v>
      </c>
      <c r="D280" s="33">
        <f>A280&amp;C280</f>
      </c>
      <c r="E280" s="33" t="str">
        <v>Cắt Gội Combo 3 - Dưỡng sinh</v>
      </c>
      <c r="F280" s="32">
        <v>308000</v>
      </c>
    </row>
    <row r="281">
      <c r="A281" s="33" t="str">
        <v>32 NAT</v>
      </c>
      <c r="B281" s="33" t="str">
        <v>DV_Cắt_Vip</v>
      </c>
      <c r="C281" s="33">
        <v>1048</v>
      </c>
      <c r="D281" s="33">
        <f>A281&amp;C281</f>
      </c>
      <c r="E281" s="33" t="str">
        <v>Combo 4</v>
      </c>
      <c r="F281" s="32">
        <v>398000</v>
      </c>
    </row>
    <row r="282">
      <c r="A282" s="33" t="str">
        <v>32 NAT</v>
      </c>
      <c r="B282" s="33" t="str">
        <v>DV_Cắt_Vip</v>
      </c>
      <c r="C282" s="33">
        <v>1046</v>
      </c>
      <c r="D282" s="33">
        <f>A282&amp;C282</f>
      </c>
      <c r="E282" s="33" t="str">
        <v>Shinecombo 2</v>
      </c>
      <c r="F282" s="32">
        <v>208000</v>
      </c>
    </row>
    <row r="283">
      <c r="A283" s="33" t="str">
        <v>341 XVNT</v>
      </c>
      <c r="B283" s="33" t="str">
        <v>DV_Cắt</v>
      </c>
      <c r="C283" s="33">
        <v>513</v>
      </c>
      <c r="D283" s="33">
        <f>A283&amp;C283</f>
      </c>
      <c r="E283" s="33" t="str">
        <v>[DV] ShineCombo 10 bước Ultra Care 2023</v>
      </c>
      <c r="F283" s="32">
        <v>122000</v>
      </c>
    </row>
    <row r="284">
      <c r="A284" s="33" t="str">
        <v>341 XVNT</v>
      </c>
      <c r="B284" s="33" t="str">
        <v>DV_Cắt</v>
      </c>
      <c r="C284" s="33">
        <v>891</v>
      </c>
      <c r="D284" s="33">
        <f>A284&amp;C284</f>
      </c>
      <c r="E284" s="33" t="str">
        <v>Cắt xả tạo kiểu</v>
      </c>
      <c r="F284" s="32">
        <v>95000</v>
      </c>
    </row>
    <row r="285">
      <c r="A285" s="33" t="str">
        <v>341 XVNT</v>
      </c>
      <c r="B285" s="33" t="str">
        <v>DV_Cắt</v>
      </c>
      <c r="C285" s="33">
        <v>1052</v>
      </c>
      <c r="D285" s="33">
        <f>A285&amp;C285</f>
      </c>
      <c r="E285" s="33" t="str">
        <v>Combo 1 - First Class 1</v>
      </c>
      <c r="F285" s="32">
        <v>159000</v>
      </c>
    </row>
    <row r="286">
      <c r="A286" s="33" t="str">
        <v>341 XVNT</v>
      </c>
      <c r="B286" s="33" t="str">
        <v>DV_Cắt</v>
      </c>
      <c r="C286" s="33">
        <v>1002</v>
      </c>
      <c r="D286" s="33">
        <f>A286&amp;C286</f>
      </c>
      <c r="E286" s="33" t="str">
        <v>Kid Cắt</v>
      </c>
      <c r="F286" s="32">
        <v>76000</v>
      </c>
    </row>
    <row r="287">
      <c r="A287" s="33" t="str">
        <v>341 XVNT</v>
      </c>
      <c r="B287" s="33" t="str">
        <v>DV_Cắt_Vip</v>
      </c>
      <c r="C287" s="33">
        <v>1047</v>
      </c>
      <c r="D287" s="33">
        <f>A287&amp;C287</f>
      </c>
      <c r="E287" s="33" t="str">
        <v>Cắt Gội Combo 3 - Chăm da</v>
      </c>
      <c r="F287" s="32">
        <v>300000</v>
      </c>
    </row>
    <row r="288">
      <c r="A288" s="33" t="str">
        <v>341 XVNT</v>
      </c>
      <c r="B288" s="33" t="str">
        <v>DV_Cắt_Vip</v>
      </c>
      <c r="C288" s="33">
        <v>1054</v>
      </c>
      <c r="D288" s="33">
        <f>A288&amp;C288</f>
      </c>
      <c r="E288" s="33" t="str">
        <v>Combo 3 - First Class 3</v>
      </c>
      <c r="F288" s="32">
        <v>300000</v>
      </c>
    </row>
    <row r="289">
      <c r="A289" s="33" t="str">
        <v>341 XVNT</v>
      </c>
      <c r="B289" s="33" t="str">
        <v>DV_Cắt_Vip</v>
      </c>
      <c r="C289" s="33">
        <v>1048</v>
      </c>
      <c r="D289" s="33">
        <f>A289&amp;C289</f>
      </c>
      <c r="E289" s="33" t="str">
        <v>Combo 4</v>
      </c>
      <c r="F289" s="32">
        <v>390000</v>
      </c>
    </row>
    <row r="290">
      <c r="A290" s="33" t="str">
        <v>341 XVNT</v>
      </c>
      <c r="B290" s="33" t="str">
        <v>DV_Cắt_Vip</v>
      </c>
      <c r="C290" s="33">
        <v>1046</v>
      </c>
      <c r="D290" s="33">
        <f>A290&amp;C290</f>
      </c>
      <c r="E290" s="33" t="str">
        <v>Shinecombo 2</v>
      </c>
      <c r="F290" s="32">
        <v>200000</v>
      </c>
    </row>
    <row r="291">
      <c r="A291" s="33" t="str">
        <v>346 KT</v>
      </c>
      <c r="B291" s="33" t="str">
        <v>DV_Cắt</v>
      </c>
      <c r="C291" s="33">
        <v>513</v>
      </c>
      <c r="D291" s="33">
        <f>A291&amp;C291</f>
      </c>
      <c r="E291" s="33" t="str">
        <v>[DV] ShineCombo 10 bước Ultra Care 2023</v>
      </c>
      <c r="F291" s="32">
        <v>122000</v>
      </c>
    </row>
    <row r="292">
      <c r="A292" s="33" t="str">
        <v>346 KT</v>
      </c>
      <c r="B292" s="33" t="str">
        <v>DV_Cắt</v>
      </c>
      <c r="C292" s="33">
        <v>1070</v>
      </c>
      <c r="D292" s="33">
        <f>A292&amp;C292</f>
      </c>
      <c r="E292" s="33" t="str">
        <v>Combo Cắt gội Kid</v>
      </c>
      <c r="F292" s="32">
        <v>100000</v>
      </c>
    </row>
    <row r="293">
      <c r="A293" s="33" t="str">
        <v>346 KT</v>
      </c>
      <c r="B293" s="33" t="str">
        <v>DV_Cắt</v>
      </c>
      <c r="C293" s="33">
        <v>891</v>
      </c>
      <c r="D293" s="33">
        <f>A293&amp;C293</f>
      </c>
      <c r="E293" s="33" t="str">
        <v>Cắt xả tạo kiểu</v>
      </c>
      <c r="F293" s="32">
        <v>100000</v>
      </c>
    </row>
    <row r="294">
      <c r="A294" s="33" t="str">
        <v>346 KT</v>
      </c>
      <c r="B294" s="33" t="str">
        <v>DV_Cắt</v>
      </c>
      <c r="C294" s="33">
        <v>1052</v>
      </c>
      <c r="D294" s="33">
        <f>A294&amp;C294</f>
      </c>
      <c r="E294" s="33" t="str">
        <v>Combo 1 - First Class 1</v>
      </c>
      <c r="F294" s="32">
        <v>159000</v>
      </c>
    </row>
    <row r="295">
      <c r="A295" s="33" t="str">
        <v>346 KT</v>
      </c>
      <c r="B295" s="33" t="str">
        <v>DV_Cắt</v>
      </c>
      <c r="C295" s="33">
        <v>1002</v>
      </c>
      <c r="D295" s="33">
        <f>A295&amp;C295</f>
      </c>
      <c r="E295" s="33" t="str">
        <v>Kid Cắt</v>
      </c>
      <c r="F295" s="32">
        <v>81000</v>
      </c>
    </row>
    <row r="296">
      <c r="A296" s="33" t="str">
        <v>346 KT</v>
      </c>
      <c r="B296" s="33" t="str">
        <v>DV_Cắt_Vip</v>
      </c>
      <c r="C296" s="33">
        <v>1047</v>
      </c>
      <c r="D296" s="33">
        <f>A296&amp;C296</f>
      </c>
      <c r="E296" s="33" t="str">
        <v>Cắt Gội Combo 3 - Chăm da</v>
      </c>
      <c r="F296" s="32">
        <v>305000</v>
      </c>
    </row>
    <row r="297">
      <c r="A297" s="33" t="str">
        <v>346 KT</v>
      </c>
      <c r="B297" s="33" t="str">
        <v>DV_Cắt_Vip</v>
      </c>
      <c r="C297" s="33">
        <v>1065</v>
      </c>
      <c r="D297" s="33">
        <f>A297&amp;C297</f>
      </c>
      <c r="E297" s="33" t="str">
        <v>Cắt Gội Combo 3 - Dưỡng sinh</v>
      </c>
      <c r="F297" s="32">
        <v>305000</v>
      </c>
    </row>
    <row r="298">
      <c r="A298" s="33" t="str">
        <v>346 KT</v>
      </c>
      <c r="B298" s="33" t="str">
        <v>DV_Cắt_Vip</v>
      </c>
      <c r="C298" s="33">
        <v>1064</v>
      </c>
      <c r="D298" s="33">
        <f>A298&amp;C298</f>
      </c>
      <c r="E298" s="33" t="str">
        <v>Cắt Gội Combo 5 - Dưỡng sinh</v>
      </c>
      <c r="F298" s="32">
        <v>465000</v>
      </c>
    </row>
    <row r="299">
      <c r="A299" s="33" t="str">
        <v>346 KT</v>
      </c>
      <c r="B299" s="33" t="str">
        <v>DV_Cắt_Vip</v>
      </c>
      <c r="C299" s="33">
        <v>1048</v>
      </c>
      <c r="D299" s="33">
        <f>A299&amp;C299</f>
      </c>
      <c r="E299" s="33" t="str">
        <v>Combo 4</v>
      </c>
      <c r="F299" s="32">
        <v>395000</v>
      </c>
    </row>
    <row r="300">
      <c r="A300" s="33" t="str">
        <v>346 KT</v>
      </c>
      <c r="B300" s="33" t="str">
        <v>DV_Cắt_Vip</v>
      </c>
      <c r="C300" s="33">
        <v>1046</v>
      </c>
      <c r="D300" s="33">
        <f>A300&amp;C300</f>
      </c>
      <c r="E300" s="33" t="str">
        <v>Shinecombo 2</v>
      </c>
      <c r="F300" s="32">
        <v>205000</v>
      </c>
    </row>
    <row r="301">
      <c r="A301" s="33" t="str">
        <v>36 N1 BD</v>
      </c>
      <c r="B301" s="33" t="str">
        <v>DV_Cắt</v>
      </c>
      <c r="C301" s="33">
        <v>513</v>
      </c>
      <c r="D301" s="33">
        <f>A301&amp;C301</f>
      </c>
      <c r="E301" s="33" t="str">
        <v>[DV] ShineCombo 10 bước Ultra Care 2023</v>
      </c>
      <c r="F301" s="32">
        <v>122000</v>
      </c>
    </row>
    <row r="302">
      <c r="A302" s="33" t="str">
        <v>36 N1 BD</v>
      </c>
      <c r="B302" s="33" t="str">
        <v>DV_Cắt</v>
      </c>
      <c r="C302" s="33">
        <v>891</v>
      </c>
      <c r="D302" s="33">
        <f>A302&amp;C302</f>
      </c>
      <c r="E302" s="33" t="str">
        <v>Cắt xả tạo kiểu</v>
      </c>
      <c r="F302" s="32">
        <v>94000</v>
      </c>
    </row>
    <row r="303">
      <c r="A303" s="33" t="str">
        <v>36 N1 BD</v>
      </c>
      <c r="B303" s="33" t="str">
        <v>DV_Cắt</v>
      </c>
      <c r="C303" s="33">
        <v>1070</v>
      </c>
      <c r="D303" s="33">
        <f>A303&amp;C303</f>
      </c>
      <c r="E303" s="33" t="str">
        <v>Combo Cắt gội Kid</v>
      </c>
      <c r="F303" s="32">
        <v>100000</v>
      </c>
    </row>
    <row r="304">
      <c r="A304" s="33" t="str">
        <v>36 N1 BD</v>
      </c>
      <c r="B304" s="33" t="str">
        <v>DV_Cắt</v>
      </c>
      <c r="C304" s="33">
        <v>1002</v>
      </c>
      <c r="D304" s="33">
        <f>A304&amp;C304</f>
      </c>
      <c r="E304" s="33" t="str">
        <v>Kid Cắt</v>
      </c>
      <c r="F304" s="32">
        <v>75000</v>
      </c>
    </row>
    <row r="305">
      <c r="A305" s="33" t="str">
        <v>36 N1 BD</v>
      </c>
      <c r="B305" s="33" t="str">
        <v>DV_Cắt_Vip</v>
      </c>
      <c r="C305" s="33">
        <v>1047</v>
      </c>
      <c r="D305" s="33">
        <f>A305&amp;C305</f>
      </c>
      <c r="E305" s="33" t="str">
        <v>Cắt Gội Combo 3 - Chăm da</v>
      </c>
      <c r="F305" s="32">
        <v>299000</v>
      </c>
    </row>
    <row r="306">
      <c r="A306" s="33" t="str">
        <v>36 N1 BD</v>
      </c>
      <c r="B306" s="33" t="str">
        <v>DV_Cắt_Vip</v>
      </c>
      <c r="C306" s="33">
        <v>1065</v>
      </c>
      <c r="D306" s="33">
        <f>A306&amp;C306</f>
      </c>
      <c r="E306" s="33" t="str">
        <v>Cắt Gội Combo 3 - Dưỡng sinh</v>
      </c>
      <c r="F306" s="32">
        <v>299000</v>
      </c>
    </row>
    <row r="307">
      <c r="A307" s="33" t="str">
        <v>36 N1 BD</v>
      </c>
      <c r="B307" s="33" t="str">
        <v>DV_Cắt_Vip</v>
      </c>
      <c r="C307" s="33">
        <v>1048</v>
      </c>
      <c r="D307" s="33">
        <f>A307&amp;C307</f>
      </c>
      <c r="E307" s="33" t="str">
        <v>Combo 4</v>
      </c>
      <c r="F307" s="32">
        <v>389000</v>
      </c>
    </row>
    <row r="308">
      <c r="A308" s="33" t="str">
        <v>36 N1 BD</v>
      </c>
      <c r="B308" s="33" t="str">
        <v>DV_Cắt_Vip</v>
      </c>
      <c r="C308" s="33">
        <v>1150</v>
      </c>
      <c r="D308" s="33">
        <f>A308&amp;C308</f>
      </c>
      <c r="E308" s="33" t="str">
        <v>Combo cắt gội đỉnh cao thư giãn vip</v>
      </c>
      <c r="F308" s="32">
        <v>500000</v>
      </c>
    </row>
    <row r="309">
      <c r="A309" s="33" t="str">
        <v>36 N1 BD</v>
      </c>
      <c r="B309" s="33" t="str">
        <v>DV_Cắt_Vip</v>
      </c>
      <c r="C309" s="33">
        <v>1046</v>
      </c>
      <c r="D309" s="33">
        <f>A309&amp;C309</f>
      </c>
      <c r="E309" s="33" t="str">
        <v>Shinecombo 2</v>
      </c>
      <c r="F309" s="32">
        <v>199000</v>
      </c>
    </row>
    <row r="310">
      <c r="A310" s="33" t="str">
        <v>362 NGT BN</v>
      </c>
      <c r="B310" s="33" t="str">
        <v>DV_Cắt</v>
      </c>
      <c r="C310" s="33">
        <v>513</v>
      </c>
      <c r="D310" s="33">
        <f>A310&amp;C310</f>
      </c>
      <c r="E310" s="33" t="str">
        <v>[DV] ShineCombo 10 bước Ultra Care 2023</v>
      </c>
      <c r="F310" s="32">
        <v>122000</v>
      </c>
    </row>
    <row r="311">
      <c r="A311" s="33" t="str">
        <v>362 NGT BN</v>
      </c>
      <c r="B311" s="33" t="str">
        <v>DV_Cắt</v>
      </c>
      <c r="C311" s="33">
        <v>891</v>
      </c>
      <c r="D311" s="33">
        <f>A311&amp;C311</f>
      </c>
      <c r="E311" s="33" t="str">
        <v>Cắt xả tạo kiểu</v>
      </c>
      <c r="F311" s="32">
        <v>94000</v>
      </c>
    </row>
    <row r="312">
      <c r="A312" s="33" t="str">
        <v>362 NGT BN</v>
      </c>
      <c r="B312" s="33" t="str">
        <v>DV_Cắt</v>
      </c>
      <c r="C312" s="33">
        <v>1070</v>
      </c>
      <c r="D312" s="33">
        <f>A312&amp;C312</f>
      </c>
      <c r="E312" s="33" t="str">
        <v>Combo Cắt gội Kid</v>
      </c>
      <c r="F312" s="32">
        <v>100000</v>
      </c>
    </row>
    <row r="313">
      <c r="A313" s="33" t="str">
        <v>362 NGT BN</v>
      </c>
      <c r="B313" s="33" t="str">
        <v>DV_Cắt</v>
      </c>
      <c r="C313" s="33">
        <v>1002</v>
      </c>
      <c r="D313" s="33">
        <f>A313&amp;C313</f>
      </c>
      <c r="E313" s="33" t="str">
        <v>Kid Cắt</v>
      </c>
      <c r="F313" s="32">
        <v>75000</v>
      </c>
    </row>
    <row r="314">
      <c r="A314" s="33" t="str">
        <v>362 NGT BN</v>
      </c>
      <c r="B314" s="33" t="str">
        <v>DV_Cắt_Vip</v>
      </c>
      <c r="C314" s="33">
        <v>1047</v>
      </c>
      <c r="D314" s="33">
        <f>A314&amp;C314</f>
      </c>
      <c r="E314" s="33" t="str">
        <v>Cắt Gội Combo 3 - Chăm da</v>
      </c>
      <c r="F314" s="32">
        <v>299000</v>
      </c>
    </row>
    <row r="315">
      <c r="A315" s="33" t="str">
        <v>362 NGT BN</v>
      </c>
      <c r="B315" s="33" t="str">
        <v>DV_Cắt_Vip</v>
      </c>
      <c r="C315" s="33">
        <v>1054</v>
      </c>
      <c r="D315" s="33">
        <f>A315&amp;C315</f>
      </c>
      <c r="E315" s="33" t="str">
        <v>Combo 3 - First Class 3</v>
      </c>
      <c r="F315" s="32">
        <v>299000</v>
      </c>
    </row>
    <row r="316">
      <c r="A316" s="33" t="str">
        <v>362 NGT BN</v>
      </c>
      <c r="B316" s="33" t="str">
        <v>DV_Cắt_Vip</v>
      </c>
      <c r="C316" s="33">
        <v>1048</v>
      </c>
      <c r="D316" s="33">
        <f>A316&amp;C316</f>
      </c>
      <c r="E316" s="33" t="str">
        <v>Combo 4</v>
      </c>
      <c r="F316" s="32">
        <v>389000</v>
      </c>
    </row>
    <row r="317">
      <c r="A317" s="33" t="str">
        <v>362 NGT BN</v>
      </c>
      <c r="B317" s="33" t="str">
        <v>DV_Cắt_Vip</v>
      </c>
      <c r="C317" s="33">
        <v>1046</v>
      </c>
      <c r="D317" s="33">
        <f>A317&amp;C317</f>
      </c>
      <c r="E317" s="33" t="str">
        <v>Shinecombo 2</v>
      </c>
      <c r="F317" s="32">
        <v>199000</v>
      </c>
    </row>
    <row r="318">
      <c r="A318" s="33" t="str">
        <v>363 LNQ TN</v>
      </c>
      <c r="B318" s="33" t="str">
        <v>DV_Cắt</v>
      </c>
      <c r="C318" s="33">
        <v>513</v>
      </c>
      <c r="D318" s="33">
        <f>A318&amp;C318</f>
      </c>
      <c r="E318" s="33" t="str">
        <v>[DV] ShineCombo 10 bước Ultra Care 2023</v>
      </c>
      <c r="F318" s="32">
        <v>122000</v>
      </c>
    </row>
    <row r="319">
      <c r="A319" s="33" t="str">
        <v>363 LNQ TN</v>
      </c>
      <c r="B319" s="33" t="str">
        <v>DV_Cắt</v>
      </c>
      <c r="C319" s="33">
        <v>891</v>
      </c>
      <c r="D319" s="33">
        <f>A319&amp;C319</f>
      </c>
      <c r="E319" s="33" t="str">
        <v>Cắt xả tạo kiểu</v>
      </c>
      <c r="F319" s="32">
        <v>103000</v>
      </c>
    </row>
    <row r="320">
      <c r="A320" s="33" t="str">
        <v>363 LNQ TN</v>
      </c>
      <c r="B320" s="33" t="str">
        <v>DV_Cắt</v>
      </c>
      <c r="C320" s="33">
        <v>1052</v>
      </c>
      <c r="D320" s="33">
        <f>A320&amp;C320</f>
      </c>
      <c r="E320" s="33" t="str">
        <v>Combo 1 - First Class 1</v>
      </c>
      <c r="F320" s="32">
        <v>159000</v>
      </c>
    </row>
    <row r="321">
      <c r="A321" s="33" t="str">
        <v>363 LNQ TN</v>
      </c>
      <c r="B321" s="33" t="str">
        <v>DV_Cắt</v>
      </c>
      <c r="C321" s="33">
        <v>1002</v>
      </c>
      <c r="D321" s="33">
        <f>A321&amp;C321</f>
      </c>
      <c r="E321" s="33" t="str">
        <v>Kid Cắt</v>
      </c>
      <c r="F321" s="32">
        <v>84000</v>
      </c>
    </row>
    <row r="322">
      <c r="A322" s="33" t="str">
        <v>363 LNQ TN</v>
      </c>
      <c r="B322" s="33" t="str">
        <v>DV_Cắt</v>
      </c>
      <c r="C322" s="33">
        <v>1214</v>
      </c>
      <c r="D322" s="33">
        <f>A322&amp;C322</f>
      </c>
      <c r="E322" s="33" t="str">
        <v>Shine cut Genz</v>
      </c>
      <c r="F322" s="32">
        <v>68000</v>
      </c>
    </row>
    <row r="323">
      <c r="A323" s="33" t="str">
        <v>363 LNQ TN</v>
      </c>
      <c r="B323" s="33" t="str">
        <v>DV_Cắt_Vip</v>
      </c>
      <c r="C323" s="33">
        <v>1047</v>
      </c>
      <c r="D323" s="33">
        <f>A323&amp;C323</f>
      </c>
      <c r="E323" s="33" t="str">
        <v>Cắt Gội Combo 3 - Chăm da</v>
      </c>
      <c r="F323" s="32">
        <v>308000</v>
      </c>
    </row>
    <row r="324">
      <c r="A324" s="33" t="str">
        <v>363 LNQ TN</v>
      </c>
      <c r="B324" s="33" t="str">
        <v>DV_Cắt_Vip</v>
      </c>
      <c r="C324" s="33">
        <v>1048</v>
      </c>
      <c r="D324" s="33">
        <f>A324&amp;C324</f>
      </c>
      <c r="E324" s="33" t="str">
        <v>Combo 4</v>
      </c>
      <c r="F324" s="32">
        <v>398000</v>
      </c>
    </row>
    <row r="325">
      <c r="A325" s="33" t="str">
        <v>363 LNQ TN</v>
      </c>
      <c r="B325" s="33" t="str">
        <v>DV_Cắt_Vip</v>
      </c>
      <c r="C325" s="33">
        <v>1046</v>
      </c>
      <c r="D325" s="33">
        <f>A325&amp;C325</f>
      </c>
      <c r="E325" s="33" t="str">
        <v>Shinecombo 2</v>
      </c>
      <c r="F325" s="32">
        <v>208000</v>
      </c>
    </row>
    <row r="326">
      <c r="A326" s="33" t="str">
        <v>382 NT</v>
      </c>
      <c r="B326" s="33" t="str">
        <v>DV_Cắt</v>
      </c>
      <c r="C326" s="33">
        <v>513</v>
      </c>
      <c r="D326" s="33">
        <f>A326&amp;C326</f>
      </c>
      <c r="E326" s="33" t="str">
        <v>[DV] ShineCombo 10 bước Ultra Care 2023</v>
      </c>
      <c r="F326" s="32">
        <v>122000</v>
      </c>
    </row>
    <row r="327">
      <c r="A327" s="33" t="str">
        <v>382 NT</v>
      </c>
      <c r="B327" s="33" t="str">
        <v>DV_Cắt</v>
      </c>
      <c r="C327" s="33">
        <v>1070</v>
      </c>
      <c r="D327" s="33">
        <f>A327&amp;C327</f>
      </c>
      <c r="E327" s="33" t="str">
        <v>Combo Cắt gội Kid</v>
      </c>
      <c r="F327" s="32">
        <v>100000</v>
      </c>
    </row>
    <row r="328">
      <c r="A328" s="33" t="str">
        <v>382 NT</v>
      </c>
      <c r="B328" s="33" t="str">
        <v>DV_Cắt</v>
      </c>
      <c r="C328" s="33">
        <v>891</v>
      </c>
      <c r="D328" s="33">
        <f>A328&amp;C328</f>
      </c>
      <c r="E328" s="33" t="str">
        <v>Cắt xả tạo kiểu</v>
      </c>
      <c r="F328" s="32">
        <v>101999.99999999999</v>
      </c>
    </row>
    <row r="329">
      <c r="A329" s="33" t="str">
        <v>382 NT</v>
      </c>
      <c r="B329" s="33" t="str">
        <v>DV_Cắt</v>
      </c>
      <c r="C329" s="33">
        <v>1052</v>
      </c>
      <c r="D329" s="33">
        <f>A329&amp;C329</f>
      </c>
      <c r="E329" s="33" t="str">
        <v>Combo 1 - First Class 1</v>
      </c>
      <c r="F329" s="32">
        <v>139000</v>
      </c>
    </row>
    <row r="330">
      <c r="A330" s="33" t="str">
        <v>382 NT</v>
      </c>
      <c r="B330" s="33" t="str">
        <v>DV_Cắt</v>
      </c>
      <c r="C330" s="33">
        <v>1002</v>
      </c>
      <c r="D330" s="33">
        <f>A330&amp;C330</f>
      </c>
      <c r="E330" s="33" t="str">
        <v>Kid Cắt</v>
      </c>
      <c r="F330" s="32">
        <v>82999.99999999999</v>
      </c>
    </row>
    <row r="331">
      <c r="A331" s="33" t="str">
        <v>382 NT</v>
      </c>
      <c r="B331" s="33" t="str">
        <v>DV_Cắt_Vip</v>
      </c>
      <c r="C331" s="33">
        <v>1047</v>
      </c>
      <c r="D331" s="33">
        <f>A331&amp;C331</f>
      </c>
      <c r="E331" s="33" t="str">
        <v>Cắt Gội Combo 3 - Chăm da</v>
      </c>
      <c r="F331" s="32">
        <v>307000</v>
      </c>
    </row>
    <row r="332">
      <c r="A332" s="33" t="str">
        <v>382 NT</v>
      </c>
      <c r="B332" s="33" t="str">
        <v>DV_Cắt_Vip</v>
      </c>
      <c r="C332" s="33">
        <v>1064</v>
      </c>
      <c r="D332" s="33">
        <f>A332&amp;C332</f>
      </c>
      <c r="E332" s="33" t="str">
        <v>Cắt Gội Combo 5 - Dưỡng sinh</v>
      </c>
      <c r="F332" s="32">
        <v>467000</v>
      </c>
    </row>
    <row r="333">
      <c r="A333" s="33" t="str">
        <v>382 NT</v>
      </c>
      <c r="B333" s="33" t="str">
        <v>DV_Cắt_Vip</v>
      </c>
      <c r="C333" s="33">
        <v>1053</v>
      </c>
      <c r="D333" s="33">
        <f>A333&amp;C333</f>
      </c>
      <c r="E333" s="33" t="str">
        <v>Combo 2 - First Class 2</v>
      </c>
      <c r="F333" s="32">
        <v>237000</v>
      </c>
    </row>
    <row r="334">
      <c r="A334" s="33" t="str">
        <v>382 NT</v>
      </c>
      <c r="B334" s="33" t="str">
        <v>DV_Cắt_Vip</v>
      </c>
      <c r="C334" s="33">
        <v>1054</v>
      </c>
      <c r="D334" s="33">
        <f>A334&amp;C334</f>
      </c>
      <c r="E334" s="33" t="str">
        <v>Combo 3 - First Class 3</v>
      </c>
      <c r="F334" s="32">
        <v>317000</v>
      </c>
    </row>
    <row r="335">
      <c r="A335" s="33" t="str">
        <v>382 NT</v>
      </c>
      <c r="B335" s="33" t="str">
        <v>DV_Cắt_Vip</v>
      </c>
      <c r="C335" s="33">
        <v>1048</v>
      </c>
      <c r="D335" s="33">
        <f>A335&amp;C335</f>
      </c>
      <c r="E335" s="33" t="str">
        <v>Combo 4</v>
      </c>
      <c r="F335" s="32">
        <v>397000</v>
      </c>
    </row>
    <row r="336">
      <c r="A336" s="33" t="str">
        <v>382 NT</v>
      </c>
      <c r="B336" s="33" t="str">
        <v>DV_Cắt_Vip</v>
      </c>
      <c r="C336" s="33">
        <v>1046</v>
      </c>
      <c r="D336" s="33">
        <f>A336&amp;C336</f>
      </c>
      <c r="E336" s="33" t="str">
        <v>Shinecombo 2</v>
      </c>
      <c r="F336" s="32">
        <v>207000</v>
      </c>
    </row>
    <row r="337">
      <c r="A337" s="33" t="str">
        <v>39 HBT</v>
      </c>
      <c r="B337" s="33" t="str">
        <v>DV_Cắt</v>
      </c>
      <c r="C337" s="33">
        <v>513</v>
      </c>
      <c r="D337" s="33">
        <f>A337&amp;C337</f>
      </c>
      <c r="E337" s="33" t="str">
        <v>[DV] ShineCombo 10 bước Ultra Care 2023</v>
      </c>
      <c r="F337" s="32">
        <v>122000</v>
      </c>
    </row>
    <row r="338">
      <c r="A338" s="33" t="str">
        <v>39 HBT</v>
      </c>
      <c r="B338" s="33" t="str">
        <v>DV_Cắt</v>
      </c>
      <c r="C338" s="33">
        <v>1070</v>
      </c>
      <c r="D338" s="33">
        <f>A338&amp;C338</f>
      </c>
      <c r="E338" s="33" t="str">
        <v>Combo Cắt gội Kid</v>
      </c>
      <c r="F338" s="32">
        <v>100000</v>
      </c>
    </row>
    <row r="339">
      <c r="A339" s="33" t="str">
        <v>39 HBT</v>
      </c>
      <c r="B339" s="33" t="str">
        <v>DV_Cắt</v>
      </c>
      <c r="C339" s="33">
        <v>891</v>
      </c>
      <c r="D339" s="33">
        <f>A339&amp;C339</f>
      </c>
      <c r="E339" s="33" t="str">
        <v>Cắt xả tạo kiểu</v>
      </c>
      <c r="F339" s="32">
        <v>100000</v>
      </c>
    </row>
    <row r="340">
      <c r="A340" s="33" t="str">
        <v>39 HBT</v>
      </c>
      <c r="B340" s="33" t="str">
        <v>DV_Cắt</v>
      </c>
      <c r="C340" s="33">
        <v>1002</v>
      </c>
      <c r="D340" s="33">
        <f>A340&amp;C340</f>
      </c>
      <c r="E340" s="33" t="str">
        <v>Kid Cắt</v>
      </c>
      <c r="F340" s="32">
        <v>81000</v>
      </c>
    </row>
    <row r="341">
      <c r="A341" s="33" t="str">
        <v>39 HBT</v>
      </c>
      <c r="B341" s="33" t="str">
        <v>DV_Cắt_Vip</v>
      </c>
      <c r="C341" s="33">
        <v>1047</v>
      </c>
      <c r="D341" s="33">
        <f>A341&amp;C341</f>
      </c>
      <c r="E341" s="33" t="str">
        <v>Cắt Gội Combo 3 - Chăm da</v>
      </c>
      <c r="F341" s="32">
        <v>305000</v>
      </c>
    </row>
    <row r="342">
      <c r="A342" s="33" t="str">
        <v>39 HBT</v>
      </c>
      <c r="B342" s="33" t="str">
        <v>DV_Cắt_Vip</v>
      </c>
      <c r="C342" s="33">
        <v>1053</v>
      </c>
      <c r="D342" s="33">
        <f>A342&amp;C342</f>
      </c>
      <c r="E342" s="33" t="str">
        <v>Combo 2 - First Class 2</v>
      </c>
      <c r="F342" s="32">
        <v>235000</v>
      </c>
    </row>
    <row r="343">
      <c r="A343" s="33" t="str">
        <v>39 HBT</v>
      </c>
      <c r="B343" s="33" t="str">
        <v>DV_Cắt_Vip</v>
      </c>
      <c r="C343" s="33">
        <v>1048</v>
      </c>
      <c r="D343" s="33">
        <f>A343&amp;C343</f>
      </c>
      <c r="E343" s="33" t="str">
        <v>Combo 4</v>
      </c>
      <c r="F343" s="32">
        <v>395000</v>
      </c>
    </row>
    <row r="344">
      <c r="A344" s="33" t="str">
        <v>39 HBT</v>
      </c>
      <c r="B344" s="33" t="str">
        <v>DV_Cắt_Vip</v>
      </c>
      <c r="C344" s="33">
        <v>1046</v>
      </c>
      <c r="D344" s="33">
        <f>A344&amp;C344</f>
      </c>
      <c r="E344" s="33" t="str">
        <v>Shinecombo 2</v>
      </c>
      <c r="F344" s="32">
        <v>205000</v>
      </c>
    </row>
    <row r="345">
      <c r="A345" s="33" t="str">
        <v>4 LQD BN</v>
      </c>
      <c r="B345" s="33" t="str">
        <v>DV_Cắt</v>
      </c>
      <c r="C345" s="33">
        <v>513</v>
      </c>
      <c r="D345" s="33">
        <f>A345&amp;C345</f>
      </c>
      <c r="E345" s="33" t="str">
        <v>[DV] ShineCombo 10 bước Ultra Care 2023</v>
      </c>
      <c r="F345" s="32">
        <v>122000</v>
      </c>
    </row>
    <row r="346">
      <c r="A346" s="33" t="str">
        <v>4 LQD BN</v>
      </c>
      <c r="B346" s="33" t="str">
        <v>DV_Cắt</v>
      </c>
      <c r="C346" s="33">
        <v>891</v>
      </c>
      <c r="D346" s="33">
        <f>A346&amp;C346</f>
      </c>
      <c r="E346" s="33" t="str">
        <v>Cắt xả tạo kiểu</v>
      </c>
      <c r="F346" s="32">
        <v>94000</v>
      </c>
    </row>
    <row r="347">
      <c r="A347" s="33" t="str">
        <v>4 LQD BN</v>
      </c>
      <c r="B347" s="33" t="str">
        <v>DV_Cắt</v>
      </c>
      <c r="C347" s="33">
        <v>1070</v>
      </c>
      <c r="D347" s="33">
        <f>A347&amp;C347</f>
      </c>
      <c r="E347" s="33" t="str">
        <v>Combo Cắt gội Kid</v>
      </c>
      <c r="F347" s="32">
        <v>100000</v>
      </c>
    </row>
    <row r="348">
      <c r="A348" s="33" t="str">
        <v>4 LQD BN</v>
      </c>
      <c r="B348" s="33" t="str">
        <v>DV_Cắt</v>
      </c>
      <c r="C348" s="33">
        <v>1002</v>
      </c>
      <c r="D348" s="33">
        <f>A348&amp;C348</f>
      </c>
      <c r="E348" s="33" t="str">
        <v>Kid Cắt</v>
      </c>
      <c r="F348" s="32">
        <v>75000</v>
      </c>
    </row>
    <row r="349">
      <c r="A349" s="33" t="str">
        <v>4 LQD BN</v>
      </c>
      <c r="B349" s="33" t="str">
        <v>DV_Cắt_Vip</v>
      </c>
      <c r="C349" s="33">
        <v>1047</v>
      </c>
      <c r="D349" s="33">
        <f>A349&amp;C349</f>
      </c>
      <c r="E349" s="33" t="str">
        <v>Cắt Gội Combo 3 - Chăm da</v>
      </c>
      <c r="F349" s="32">
        <v>299000</v>
      </c>
    </row>
    <row r="350">
      <c r="A350" s="33" t="str">
        <v>4 LQD BN</v>
      </c>
      <c r="B350" s="33" t="str">
        <v>DV_Cắt_Vip</v>
      </c>
      <c r="C350" s="33">
        <v>1048</v>
      </c>
      <c r="D350" s="33">
        <f>A350&amp;C350</f>
      </c>
      <c r="E350" s="33" t="str">
        <v>Combo 4</v>
      </c>
      <c r="F350" s="32">
        <v>389000</v>
      </c>
    </row>
    <row r="351">
      <c r="A351" s="33" t="str">
        <v>4 LQD BN</v>
      </c>
      <c r="B351" s="33" t="str">
        <v>DV_Cắt_Vip</v>
      </c>
      <c r="C351" s="33">
        <v>1046</v>
      </c>
      <c r="D351" s="33">
        <f>A351&amp;C351</f>
      </c>
      <c r="E351" s="33" t="str">
        <v>Shinecombo 2</v>
      </c>
      <c r="F351" s="32">
        <v>199000</v>
      </c>
    </row>
    <row r="352">
      <c r="A352" s="33" t="str">
        <v>401/1 NDT</v>
      </c>
      <c r="B352" s="33" t="str">
        <v>DV_Cắt</v>
      </c>
      <c r="C352" s="33">
        <v>513</v>
      </c>
      <c r="D352" s="33">
        <f>A352&amp;C352</f>
      </c>
      <c r="E352" s="33" t="str">
        <v>[DV] ShineCombo 10 bước Ultra Care 2023</v>
      </c>
      <c r="F352" s="32">
        <v>122000</v>
      </c>
    </row>
    <row r="353">
      <c r="A353" s="33" t="str">
        <v>401/1 NDT</v>
      </c>
      <c r="B353" s="33" t="str">
        <v>DV_Cắt</v>
      </c>
      <c r="C353" s="33">
        <v>891</v>
      </c>
      <c r="D353" s="33">
        <f>A353&amp;C353</f>
      </c>
      <c r="E353" s="33" t="str">
        <v>Cắt xả tạo kiểu</v>
      </c>
      <c r="F353" s="32">
        <v>94000</v>
      </c>
    </row>
    <row r="354">
      <c r="A354" s="33" t="str">
        <v>401/1 NDT</v>
      </c>
      <c r="B354" s="33" t="str">
        <v>DV_Cắt</v>
      </c>
      <c r="C354" s="33">
        <v>1052</v>
      </c>
      <c r="D354" s="33">
        <f>A354&amp;C354</f>
      </c>
      <c r="E354" s="33" t="str">
        <v>Combo 1 - First Class 1</v>
      </c>
      <c r="F354" s="32">
        <v>159000</v>
      </c>
    </row>
    <row r="355">
      <c r="A355" s="33" t="str">
        <v>401/1 NDT</v>
      </c>
      <c r="B355" s="33" t="str">
        <v>DV_Cắt</v>
      </c>
      <c r="C355" s="33">
        <v>1070</v>
      </c>
      <c r="D355" s="33">
        <f>A355&amp;C355</f>
      </c>
      <c r="E355" s="33" t="str">
        <v>Combo Cắt gội Kid</v>
      </c>
      <c r="F355" s="32">
        <v>100000</v>
      </c>
    </row>
    <row r="356">
      <c r="A356" s="33" t="str">
        <v>401/1 NDT</v>
      </c>
      <c r="B356" s="33" t="str">
        <v>DV_Cắt</v>
      </c>
      <c r="C356" s="33">
        <v>1002</v>
      </c>
      <c r="D356" s="33">
        <f>A356&amp;C356</f>
      </c>
      <c r="E356" s="33" t="str">
        <v>Kid Cắt</v>
      </c>
      <c r="F356" s="32">
        <v>75000</v>
      </c>
    </row>
    <row r="357">
      <c r="A357" s="33" t="str">
        <v>401/1 NDT</v>
      </c>
      <c r="B357" s="33" t="str">
        <v>DV_Cắt_Vip</v>
      </c>
      <c r="C357" s="33">
        <v>1047</v>
      </c>
      <c r="D357" s="33">
        <f>A357&amp;C357</f>
      </c>
      <c r="E357" s="33" t="str">
        <v>Cắt Gội Combo 3 - Chăm da</v>
      </c>
      <c r="F357" s="32">
        <v>299000</v>
      </c>
    </row>
    <row r="358">
      <c r="A358" s="33" t="str">
        <v>401/1 NDT</v>
      </c>
      <c r="B358" s="33" t="str">
        <v>DV_Cắt_Vip</v>
      </c>
      <c r="C358" s="33">
        <v>1065</v>
      </c>
      <c r="D358" s="33">
        <f>A358&amp;C358</f>
      </c>
      <c r="E358" s="33" t="str">
        <v>Cắt Gội Combo 3 - Dưỡng sinh</v>
      </c>
      <c r="F358" s="32">
        <v>299000</v>
      </c>
    </row>
    <row r="359">
      <c r="A359" s="33" t="str">
        <v>401/1 NDT</v>
      </c>
      <c r="B359" s="33" t="str">
        <v>DV_Cắt_Vip</v>
      </c>
      <c r="C359" s="33">
        <v>1064</v>
      </c>
      <c r="D359" s="33">
        <f>A359&amp;C359</f>
      </c>
      <c r="E359" s="33" t="str">
        <v>Cắt Gội Combo 5 - Dưỡng sinh</v>
      </c>
      <c r="F359" s="32">
        <v>459000</v>
      </c>
    </row>
    <row r="360">
      <c r="A360" s="33" t="str">
        <v>401/1 NDT</v>
      </c>
      <c r="B360" s="33" t="str">
        <v>DV_Cắt_Vip</v>
      </c>
      <c r="C360" s="33">
        <v>1048</v>
      </c>
      <c r="D360" s="33">
        <f>A360&amp;C360</f>
      </c>
      <c r="E360" s="33" t="str">
        <v>Combo 4</v>
      </c>
      <c r="F360" s="32">
        <v>389000</v>
      </c>
    </row>
    <row r="361">
      <c r="A361" s="33" t="str">
        <v>401/1 NDT</v>
      </c>
      <c r="B361" s="33" t="str">
        <v>DV_Cắt_Vip</v>
      </c>
      <c r="C361" s="33">
        <v>1046</v>
      </c>
      <c r="D361" s="33">
        <f>A361&amp;C361</f>
      </c>
      <c r="E361" s="33" t="str">
        <v>Shinecombo 2</v>
      </c>
      <c r="F361" s="32">
        <v>199000</v>
      </c>
    </row>
    <row r="362">
      <c r="A362" s="33" t="str">
        <v>420 HTP</v>
      </c>
      <c r="B362" s="33" t="str">
        <v>DV_Cắt</v>
      </c>
      <c r="C362" s="33">
        <v>513</v>
      </c>
      <c r="D362" s="33">
        <f>A362&amp;C362</f>
      </c>
      <c r="E362" s="33" t="str">
        <v>[DV] ShineCombo 10 bước Ultra Care 2023</v>
      </c>
      <c r="F362" s="32">
        <v>122000</v>
      </c>
    </row>
    <row r="363">
      <c r="A363" s="33" t="str">
        <v>420 HTP</v>
      </c>
      <c r="B363" s="33" t="str">
        <v>DV_Cắt</v>
      </c>
      <c r="C363" s="33">
        <v>891</v>
      </c>
      <c r="D363" s="33">
        <f>A363&amp;C363</f>
      </c>
      <c r="E363" s="33" t="str">
        <v>Cắt xả tạo kiểu</v>
      </c>
      <c r="F363" s="32">
        <v>94000</v>
      </c>
    </row>
    <row r="364">
      <c r="A364" s="33" t="str">
        <v>420 HTP</v>
      </c>
      <c r="B364" s="33" t="str">
        <v>DV_Cắt</v>
      </c>
      <c r="C364" s="33">
        <v>1052</v>
      </c>
      <c r="D364" s="33">
        <f>A364&amp;C364</f>
      </c>
      <c r="E364" s="33" t="str">
        <v>Combo 1 - First Class 1</v>
      </c>
      <c r="F364" s="32">
        <v>159000</v>
      </c>
    </row>
    <row r="365">
      <c r="A365" s="33" t="str">
        <v>420 HTP</v>
      </c>
      <c r="B365" s="33" t="str">
        <v>DV_Cắt</v>
      </c>
      <c r="C365" s="33">
        <v>1070</v>
      </c>
      <c r="D365" s="33">
        <f>A365&amp;C365</f>
      </c>
      <c r="E365" s="33" t="str">
        <v>Combo Cắt gội Kid</v>
      </c>
      <c r="F365" s="32">
        <v>100000</v>
      </c>
    </row>
    <row r="366">
      <c r="A366" s="33" t="str">
        <v>420 HTP</v>
      </c>
      <c r="B366" s="33" t="str">
        <v>DV_Cắt</v>
      </c>
      <c r="C366" s="33">
        <v>1002</v>
      </c>
      <c r="D366" s="33">
        <f>A366&amp;C366</f>
      </c>
      <c r="E366" s="33" t="str">
        <v>Kid Cắt</v>
      </c>
      <c r="F366" s="32">
        <v>75000</v>
      </c>
    </row>
    <row r="367">
      <c r="A367" s="33" t="str">
        <v>420 HTP</v>
      </c>
      <c r="B367" s="33" t="str">
        <v>DV_Cắt_Vip</v>
      </c>
      <c r="C367" s="33">
        <v>1047</v>
      </c>
      <c r="D367" s="33">
        <f>A367&amp;C367</f>
      </c>
      <c r="E367" s="33" t="str">
        <v>Cắt Gội Combo 3 - Chăm da</v>
      </c>
      <c r="F367" s="32">
        <v>299000</v>
      </c>
    </row>
    <row r="368">
      <c r="A368" s="33" t="str">
        <v>420 HTP</v>
      </c>
      <c r="B368" s="33" t="str">
        <v>DV_Cắt_Vip</v>
      </c>
      <c r="C368" s="33">
        <v>1048</v>
      </c>
      <c r="D368" s="33">
        <f>A368&amp;C368</f>
      </c>
      <c r="E368" s="33" t="str">
        <v>Combo 4</v>
      </c>
      <c r="F368" s="32">
        <v>389000</v>
      </c>
    </row>
    <row r="369">
      <c r="A369" s="33" t="str">
        <v>420 HTP</v>
      </c>
      <c r="B369" s="33" t="str">
        <v>DV_Cắt_Vip</v>
      </c>
      <c r="C369" s="33">
        <v>1055</v>
      </c>
      <c r="D369" s="33">
        <f>A369&amp;C369</f>
      </c>
      <c r="E369" s="33" t="str">
        <v>Combo 4- First Class 4</v>
      </c>
      <c r="F369" s="32">
        <v>399000</v>
      </c>
    </row>
    <row r="370">
      <c r="A370" s="33" t="str">
        <v>420 HTP</v>
      </c>
      <c r="B370" s="33" t="str">
        <v>DV_Cắt_Vip</v>
      </c>
      <c r="C370" s="33">
        <v>1046</v>
      </c>
      <c r="D370" s="33">
        <f>A370&amp;C370</f>
      </c>
      <c r="E370" s="33" t="str">
        <v>Shinecombo 2</v>
      </c>
      <c r="F370" s="32">
        <v>199000</v>
      </c>
    </row>
    <row r="371">
      <c r="A371" s="33" t="str">
        <v>451 PVT</v>
      </c>
      <c r="B371" s="33" t="str">
        <v>DV_Cắt</v>
      </c>
      <c r="C371" s="33">
        <v>513</v>
      </c>
      <c r="D371" s="33">
        <f>A371&amp;C371</f>
      </c>
      <c r="E371" s="33" t="str">
        <v>[DV] ShineCombo 10 bước Ultra Care 2023</v>
      </c>
      <c r="F371" s="32">
        <v>122000</v>
      </c>
    </row>
    <row r="372">
      <c r="A372" s="33" t="str">
        <v>451 PVT</v>
      </c>
      <c r="B372" s="33" t="str">
        <v>DV_Cắt</v>
      </c>
      <c r="C372" s="33">
        <v>1070</v>
      </c>
      <c r="D372" s="33">
        <f>A372&amp;C372</f>
      </c>
      <c r="E372" s="33" t="str">
        <v>Combo Cắt gội Kid</v>
      </c>
      <c r="F372" s="32">
        <v>100000</v>
      </c>
    </row>
    <row r="373">
      <c r="A373" s="33" t="str">
        <v>451 PVT</v>
      </c>
      <c r="B373" s="33" t="str">
        <v>DV_Cắt</v>
      </c>
      <c r="C373" s="33">
        <v>891</v>
      </c>
      <c r="D373" s="33">
        <f>A373&amp;C373</f>
      </c>
      <c r="E373" s="33" t="str">
        <v>Cắt xả tạo kiểu</v>
      </c>
      <c r="F373" s="32">
        <v>94000</v>
      </c>
    </row>
    <row r="374">
      <c r="A374" s="33" t="str">
        <v>451 PVT</v>
      </c>
      <c r="B374" s="33" t="str">
        <v>DV_Cắt</v>
      </c>
      <c r="C374" s="33">
        <v>1002</v>
      </c>
      <c r="D374" s="33">
        <f>A374&amp;C374</f>
      </c>
      <c r="E374" s="33" t="str">
        <v>Kid Cắt</v>
      </c>
      <c r="F374" s="32">
        <v>75000</v>
      </c>
    </row>
    <row r="375">
      <c r="A375" s="33" t="str">
        <v>451 PVT</v>
      </c>
      <c r="B375" s="33" t="str">
        <v>DV_Cắt_Vip</v>
      </c>
      <c r="C375" s="33">
        <v>1047</v>
      </c>
      <c r="D375" s="33">
        <f>A375&amp;C375</f>
      </c>
      <c r="E375" s="33" t="str">
        <v>Cắt Gội Combo 3 - Chăm da</v>
      </c>
      <c r="F375" s="32">
        <v>279000</v>
      </c>
    </row>
    <row r="376">
      <c r="A376" s="33" t="str">
        <v>451 PVT</v>
      </c>
      <c r="B376" s="33" t="str">
        <v>DV_Cắt_Vip</v>
      </c>
      <c r="C376" s="33">
        <v>1065</v>
      </c>
      <c r="D376" s="33">
        <f>A376&amp;C376</f>
      </c>
      <c r="E376" s="33" t="str">
        <v>Cắt Gội Combo 3 - Dưỡng sinh</v>
      </c>
      <c r="F376" s="32">
        <v>299000</v>
      </c>
    </row>
    <row r="377">
      <c r="A377" s="33" t="str">
        <v>451 PVT</v>
      </c>
      <c r="B377" s="33" t="str">
        <v>DV_Cắt_Vip</v>
      </c>
      <c r="C377" s="33">
        <v>1053</v>
      </c>
      <c r="D377" s="33">
        <f>A377&amp;C377</f>
      </c>
      <c r="E377" s="33" t="str">
        <v>Combo 2 - First Class 2</v>
      </c>
      <c r="F377" s="32">
        <v>229000</v>
      </c>
    </row>
    <row r="378">
      <c r="A378" s="33" t="str">
        <v>451 PVT</v>
      </c>
      <c r="B378" s="33" t="str">
        <v>DV_Cắt_Vip</v>
      </c>
      <c r="C378" s="33">
        <v>1048</v>
      </c>
      <c r="D378" s="33">
        <f>A378&amp;C378</f>
      </c>
      <c r="E378" s="33" t="str">
        <v>Combo 4</v>
      </c>
      <c r="F378" s="32">
        <v>389000</v>
      </c>
    </row>
    <row r="379">
      <c r="A379" s="33" t="str">
        <v>451 PVT</v>
      </c>
      <c r="B379" s="33" t="str">
        <v>DV_Cắt_Vip</v>
      </c>
      <c r="C379" s="33">
        <v>1150</v>
      </c>
      <c r="D379" s="33">
        <f>A379&amp;C379</f>
      </c>
      <c r="E379" s="33" t="str">
        <v>Combo cắt gội đỉnh cao thư giãn vip</v>
      </c>
      <c r="F379" s="32">
        <v>500000</v>
      </c>
    </row>
    <row r="380">
      <c r="A380" s="33" t="str">
        <v>451 PVT</v>
      </c>
      <c r="B380" s="33" t="str">
        <v>DV_Cắt_Vip</v>
      </c>
      <c r="C380" s="33">
        <v>1046</v>
      </c>
      <c r="D380" s="33">
        <f>A380&amp;C380</f>
      </c>
      <c r="E380" s="33" t="str">
        <v>Shinecombo 2</v>
      </c>
      <c r="F380" s="32">
        <v>169000</v>
      </c>
    </row>
    <row r="381">
      <c r="A381" s="33" t="str">
        <v>483 TN</v>
      </c>
      <c r="B381" s="33" t="str">
        <v>DV_Cắt</v>
      </c>
      <c r="C381" s="33">
        <v>513</v>
      </c>
      <c r="D381" s="33">
        <f>A381&amp;C381</f>
      </c>
      <c r="E381" s="33" t="str">
        <v>[DV] ShineCombo 10 bước Ultra Care 2023</v>
      </c>
      <c r="F381" s="32">
        <v>122000</v>
      </c>
    </row>
    <row r="382">
      <c r="A382" s="33" t="str">
        <v>483 TN</v>
      </c>
      <c r="B382" s="33" t="str">
        <v>DV_Cắt</v>
      </c>
      <c r="C382" s="33">
        <v>1070</v>
      </c>
      <c r="D382" s="33">
        <f>A382&amp;C382</f>
      </c>
      <c r="E382" s="33" t="str">
        <v>Combo Cắt gội Kid</v>
      </c>
      <c r="F382" s="32">
        <v>100000</v>
      </c>
    </row>
    <row r="383">
      <c r="A383" s="33" t="str">
        <v>483 TN</v>
      </c>
      <c r="B383" s="33" t="str">
        <v>DV_Cắt</v>
      </c>
      <c r="C383" s="33">
        <v>891</v>
      </c>
      <c r="D383" s="33">
        <f>A383&amp;C383</f>
      </c>
      <c r="E383" s="33" t="str">
        <v>Cắt xả tạo kiểu</v>
      </c>
      <c r="F383" s="32">
        <v>94000</v>
      </c>
    </row>
    <row r="384">
      <c r="A384" s="33" t="str">
        <v>483 TN</v>
      </c>
      <c r="B384" s="33" t="str">
        <v>DV_Cắt</v>
      </c>
      <c r="C384" s="33">
        <v>1002</v>
      </c>
      <c r="D384" s="33">
        <f>A384&amp;C384</f>
      </c>
      <c r="E384" s="33" t="str">
        <v>Kid Cắt</v>
      </c>
      <c r="F384" s="32">
        <v>75000</v>
      </c>
    </row>
    <row r="385">
      <c r="A385" s="33" t="str">
        <v>483 TN</v>
      </c>
      <c r="B385" s="33" t="str">
        <v>DV_Cắt_Vip</v>
      </c>
      <c r="C385" s="33">
        <v>1047</v>
      </c>
      <c r="D385" s="33">
        <f>A385&amp;C385</f>
      </c>
      <c r="E385" s="33" t="str">
        <v>Cắt Gội Combo 3 - Chăm da</v>
      </c>
      <c r="F385" s="32">
        <v>299000</v>
      </c>
    </row>
    <row r="386">
      <c r="A386" s="33" t="str">
        <v>483 TN</v>
      </c>
      <c r="B386" s="33" t="str">
        <v>DV_Cắt_Vip</v>
      </c>
      <c r="C386" s="33">
        <v>1064</v>
      </c>
      <c r="D386" s="33">
        <f>A386&amp;C386</f>
      </c>
      <c r="E386" s="33" t="str">
        <v>Cắt Gội Combo 5 - Dưỡng sinh</v>
      </c>
      <c r="F386" s="32">
        <v>459000</v>
      </c>
    </row>
    <row r="387">
      <c r="A387" s="33" t="str">
        <v>483 TN</v>
      </c>
      <c r="B387" s="33" t="str">
        <v>DV_Cắt_Vip</v>
      </c>
      <c r="C387" s="33">
        <v>1053</v>
      </c>
      <c r="D387" s="33">
        <f>A387&amp;C387</f>
      </c>
      <c r="E387" s="33" t="str">
        <v>Combo 2 - First Class 2</v>
      </c>
      <c r="F387" s="32">
        <v>229000</v>
      </c>
    </row>
    <row r="388">
      <c r="A388" s="33" t="str">
        <v>483 TN</v>
      </c>
      <c r="B388" s="33" t="str">
        <v>DV_Cắt_Vip</v>
      </c>
      <c r="C388" s="33">
        <v>1054</v>
      </c>
      <c r="D388" s="33">
        <f>A388&amp;C388</f>
      </c>
      <c r="E388" s="33" t="str">
        <v>Combo 3 - First Class 3</v>
      </c>
      <c r="F388" s="32">
        <v>299000</v>
      </c>
    </row>
    <row r="389">
      <c r="A389" s="33" t="str">
        <v>483 TN</v>
      </c>
      <c r="B389" s="33" t="str">
        <v>DV_Cắt_Vip</v>
      </c>
      <c r="C389" s="33">
        <v>1048</v>
      </c>
      <c r="D389" s="33">
        <f>A389&amp;C389</f>
      </c>
      <c r="E389" s="33" t="str">
        <v>Combo 4</v>
      </c>
      <c r="F389" s="32">
        <v>389000</v>
      </c>
    </row>
    <row r="390">
      <c r="A390" s="33" t="str">
        <v>483 TN</v>
      </c>
      <c r="B390" s="33" t="str">
        <v>DV_Cắt_Vip</v>
      </c>
      <c r="C390" s="33">
        <v>1046</v>
      </c>
      <c r="D390" s="33">
        <f>A390&amp;C390</f>
      </c>
      <c r="E390" s="33" t="str">
        <v>Shinecombo 2</v>
      </c>
      <c r="F390" s="32">
        <v>199000</v>
      </c>
    </row>
    <row r="391">
      <c r="A391" s="33" t="str">
        <v>50BT4 NPC LD</v>
      </c>
      <c r="B391" s="33" t="str">
        <v>DV_Cắt</v>
      </c>
      <c r="C391" s="33">
        <v>513</v>
      </c>
      <c r="D391" s="33">
        <f>A391&amp;C391</f>
      </c>
      <c r="E391" s="33" t="str">
        <v>[DV] ShineCombo 10 bước Ultra Care 2023</v>
      </c>
      <c r="F391" s="32">
        <v>122000</v>
      </c>
    </row>
    <row r="392">
      <c r="A392" s="33" t="str">
        <v>50BT4 NPC LD</v>
      </c>
      <c r="B392" s="33" t="str">
        <v>DV_Cắt</v>
      </c>
      <c r="C392" s="33">
        <v>891</v>
      </c>
      <c r="D392" s="33">
        <f>A392&amp;C392</f>
      </c>
      <c r="E392" s="33" t="str">
        <v>Cắt xả tạo kiểu</v>
      </c>
      <c r="F392" s="32">
        <v>94000</v>
      </c>
    </row>
    <row r="393">
      <c r="A393" s="33" t="str">
        <v>50BT4 NPC LD</v>
      </c>
      <c r="B393" s="33" t="str">
        <v>DV_Cắt</v>
      </c>
      <c r="C393" s="33">
        <v>1070</v>
      </c>
      <c r="D393" s="33">
        <f>A393&amp;C393</f>
      </c>
      <c r="E393" s="33" t="str">
        <v>Combo Cắt gội Kid</v>
      </c>
      <c r="F393" s="32">
        <v>100000</v>
      </c>
    </row>
    <row r="394">
      <c r="A394" s="33" t="str">
        <v>50BT4 NPC LD</v>
      </c>
      <c r="B394" s="33" t="str">
        <v>DV_Cắt</v>
      </c>
      <c r="C394" s="33">
        <v>1002</v>
      </c>
      <c r="D394" s="33">
        <f>A394&amp;C394</f>
      </c>
      <c r="E394" s="33" t="str">
        <v>Kid Cắt</v>
      </c>
      <c r="F394" s="32">
        <v>75000</v>
      </c>
    </row>
    <row r="395">
      <c r="A395" s="33" t="str">
        <v>50BT4 NPC LD</v>
      </c>
      <c r="B395" s="33" t="str">
        <v>DV_Cắt_Vip</v>
      </c>
      <c r="C395" s="33">
        <v>1047</v>
      </c>
      <c r="D395" s="33">
        <f>A395&amp;C395</f>
      </c>
      <c r="E395" s="33" t="str">
        <v>Cắt Gội Combo 3 - Chăm da</v>
      </c>
      <c r="F395" s="32">
        <v>299000</v>
      </c>
    </row>
    <row r="396">
      <c r="A396" s="33" t="str">
        <v>50BT4 NPC LD</v>
      </c>
      <c r="B396" s="33" t="str">
        <v>DV_Cắt_Vip</v>
      </c>
      <c r="C396" s="33">
        <v>1065</v>
      </c>
      <c r="D396" s="33">
        <f>A396&amp;C396</f>
      </c>
      <c r="E396" s="33" t="str">
        <v>Cắt Gội Combo 3 - Dưỡng sinh</v>
      </c>
      <c r="F396" s="32">
        <v>299000</v>
      </c>
    </row>
    <row r="397">
      <c r="A397" s="33" t="str">
        <v>50BT4 NPC LD</v>
      </c>
      <c r="B397" s="33" t="str">
        <v>DV_Cắt_Vip</v>
      </c>
      <c r="C397" s="33">
        <v>1053</v>
      </c>
      <c r="D397" s="33">
        <f>A397&amp;C397</f>
      </c>
      <c r="E397" s="33" t="str">
        <v>Combo 2 - First Class 2</v>
      </c>
      <c r="F397" s="32">
        <v>229000</v>
      </c>
    </row>
    <row r="398">
      <c r="A398" s="33" t="str">
        <v>50BT4 NPC LD</v>
      </c>
      <c r="B398" s="33" t="str">
        <v>DV_Cắt_Vip</v>
      </c>
      <c r="C398" s="33">
        <v>1054</v>
      </c>
      <c r="D398" s="33">
        <f>A398&amp;C398</f>
      </c>
      <c r="E398" s="33" t="str">
        <v>Combo 3 - First Class 3</v>
      </c>
      <c r="F398" s="32">
        <v>299000</v>
      </c>
    </row>
    <row r="399">
      <c r="A399" s="33" t="str">
        <v>50BT4 NPC LD</v>
      </c>
      <c r="B399" s="33" t="str">
        <v>DV_Cắt_Vip</v>
      </c>
      <c r="C399" s="33">
        <v>1048</v>
      </c>
      <c r="D399" s="33">
        <f>A399&amp;C399</f>
      </c>
      <c r="E399" s="33" t="str">
        <v>Combo 4</v>
      </c>
      <c r="F399" s="32">
        <v>389000</v>
      </c>
    </row>
    <row r="400">
      <c r="A400" s="33" t="str">
        <v>50BT4 NPC LD</v>
      </c>
      <c r="B400" s="33" t="str">
        <v>DV_Cắt_Vip</v>
      </c>
      <c r="C400" s="33">
        <v>1046</v>
      </c>
      <c r="D400" s="33">
        <f>A400&amp;C400</f>
      </c>
      <c r="E400" s="33" t="str">
        <v>Shinecombo 2</v>
      </c>
      <c r="F400" s="32">
        <v>199000</v>
      </c>
    </row>
    <row r="401">
      <c r="A401" s="33" t="str">
        <v>55A NVL</v>
      </c>
      <c r="B401" s="33" t="str">
        <v>DV_Cắt</v>
      </c>
      <c r="C401" s="33">
        <v>513</v>
      </c>
      <c r="D401" s="33">
        <f>A401&amp;C401</f>
      </c>
      <c r="E401" s="33" t="str">
        <v>[DV] ShineCombo 10 bước Ultra Care 2023</v>
      </c>
      <c r="F401" s="32">
        <v>122000</v>
      </c>
    </row>
    <row r="402">
      <c r="A402" s="33" t="str">
        <v>55A NVL</v>
      </c>
      <c r="B402" s="33" t="str">
        <v>DV_Cắt</v>
      </c>
      <c r="C402" s="33">
        <v>1070</v>
      </c>
      <c r="D402" s="33">
        <f>A402&amp;C402</f>
      </c>
      <c r="E402" s="33" t="str">
        <v>Combo Cắt gội Kid</v>
      </c>
      <c r="F402" s="32">
        <v>100000</v>
      </c>
    </row>
    <row r="403">
      <c r="A403" s="33" t="str">
        <v>55A NVL</v>
      </c>
      <c r="B403" s="33" t="str">
        <v>DV_Cắt</v>
      </c>
      <c r="C403" s="33">
        <v>891</v>
      </c>
      <c r="D403" s="33">
        <f>A403&amp;C403</f>
      </c>
      <c r="E403" s="33" t="str">
        <v>Cắt xả tạo kiểu</v>
      </c>
      <c r="F403" s="32">
        <v>95000</v>
      </c>
    </row>
    <row r="404">
      <c r="A404" s="33" t="str">
        <v>55A NVL</v>
      </c>
      <c r="B404" s="33" t="str">
        <v>DV_Cắt</v>
      </c>
      <c r="C404" s="33">
        <v>1052</v>
      </c>
      <c r="D404" s="33">
        <f>A404&amp;C404</f>
      </c>
      <c r="E404" s="33" t="str">
        <v>Combo 1 - First Class 1</v>
      </c>
      <c r="F404" s="32">
        <v>159000</v>
      </c>
    </row>
    <row r="405">
      <c r="A405" s="33" t="str">
        <v>55A NVL</v>
      </c>
      <c r="B405" s="33" t="str">
        <v>DV_Cắt</v>
      </c>
      <c r="C405" s="33">
        <v>1002</v>
      </c>
      <c r="D405" s="33">
        <f>A405&amp;C405</f>
      </c>
      <c r="E405" s="33" t="str">
        <v>Kid Cắt</v>
      </c>
      <c r="F405" s="32">
        <v>76000</v>
      </c>
    </row>
    <row r="406">
      <c r="A406" s="33" t="str">
        <v>55A NVL</v>
      </c>
      <c r="B406" s="33" t="str">
        <v>DV_Cắt_Vip</v>
      </c>
      <c r="C406" s="33">
        <v>1047</v>
      </c>
      <c r="D406" s="33">
        <f>A406&amp;C406</f>
      </c>
      <c r="E406" s="33" t="str">
        <v>Cắt Gội Combo 3 - Chăm da</v>
      </c>
      <c r="F406" s="32">
        <v>300000</v>
      </c>
    </row>
    <row r="407">
      <c r="A407" s="33" t="str">
        <v>55A NVL</v>
      </c>
      <c r="B407" s="33" t="str">
        <v>DV_Cắt_Vip</v>
      </c>
      <c r="C407" s="33">
        <v>1053</v>
      </c>
      <c r="D407" s="33">
        <f>A407&amp;C407</f>
      </c>
      <c r="E407" s="33" t="str">
        <v>Combo 2 - First Class 2</v>
      </c>
      <c r="F407" s="32">
        <v>230000</v>
      </c>
    </row>
    <row r="408">
      <c r="A408" s="33" t="str">
        <v>55A NVL</v>
      </c>
      <c r="B408" s="33" t="str">
        <v>DV_Cắt_Vip</v>
      </c>
      <c r="C408" s="33">
        <v>1048</v>
      </c>
      <c r="D408" s="33">
        <f>A408&amp;C408</f>
      </c>
      <c r="E408" s="33" t="str">
        <v>Combo 4</v>
      </c>
      <c r="F408" s="32">
        <v>390000</v>
      </c>
    </row>
    <row r="409">
      <c r="A409" s="33" t="str">
        <v>55A NVL</v>
      </c>
      <c r="B409" s="33" t="str">
        <v>DV_Cắt_Vip</v>
      </c>
      <c r="C409" s="33">
        <v>1046</v>
      </c>
      <c r="D409" s="33">
        <f>A409&amp;C409</f>
      </c>
      <c r="E409" s="33" t="str">
        <v>Shinecombo 2</v>
      </c>
      <c r="F409" s="32">
        <v>200000</v>
      </c>
    </row>
    <row r="410">
      <c r="A410" s="33" t="str">
        <v>575 AC</v>
      </c>
      <c r="B410" s="33" t="str">
        <v>DV_Cắt</v>
      </c>
      <c r="C410" s="33">
        <v>513</v>
      </c>
      <c r="D410" s="33">
        <f>A410&amp;C410</f>
      </c>
      <c r="E410" s="33" t="str">
        <v>[DV] ShineCombo 10 bước Ultra Care 2023</v>
      </c>
      <c r="F410" s="32">
        <v>122000</v>
      </c>
    </row>
    <row r="411">
      <c r="A411" s="33" t="str">
        <v>575 AC</v>
      </c>
      <c r="B411" s="33" t="str">
        <v>DV_Cắt</v>
      </c>
      <c r="C411" s="33">
        <v>1070</v>
      </c>
      <c r="D411" s="33">
        <f>A411&amp;C411</f>
      </c>
      <c r="E411" s="33" t="str">
        <v>Combo Cắt gội Kid</v>
      </c>
      <c r="F411" s="32">
        <v>100000</v>
      </c>
    </row>
    <row r="412">
      <c r="A412" s="33" t="str">
        <v>575 AC</v>
      </c>
      <c r="B412" s="33" t="str">
        <v>DV_Cắt</v>
      </c>
      <c r="C412" s="33">
        <v>891</v>
      </c>
      <c r="D412" s="33">
        <f>A412&amp;C412</f>
      </c>
      <c r="E412" s="33" t="str">
        <v>Cắt xả tạo kiểu</v>
      </c>
      <c r="F412" s="32">
        <v>100000</v>
      </c>
    </row>
    <row r="413">
      <c r="A413" s="33" t="str">
        <v>575 AC</v>
      </c>
      <c r="B413" s="33" t="str">
        <v>DV_Cắt</v>
      </c>
      <c r="C413" s="33">
        <v>1002</v>
      </c>
      <c r="D413" s="33">
        <f>A413&amp;C413</f>
      </c>
      <c r="E413" s="33" t="str">
        <v>Kid Cắt</v>
      </c>
      <c r="F413" s="32">
        <v>81000</v>
      </c>
    </row>
    <row r="414">
      <c r="A414" s="33" t="str">
        <v>575 AC</v>
      </c>
      <c r="B414" s="33" t="str">
        <v>DV_Cắt_Vip</v>
      </c>
      <c r="C414" s="33">
        <v>1047</v>
      </c>
      <c r="D414" s="33">
        <f>A414&amp;C414</f>
      </c>
      <c r="E414" s="33" t="str">
        <v>Cắt Gội Combo 3 - Chăm da</v>
      </c>
      <c r="F414" s="32">
        <v>305000</v>
      </c>
    </row>
    <row r="415">
      <c r="A415" s="33" t="str">
        <v>575 AC</v>
      </c>
      <c r="B415" s="33" t="str">
        <v>DV_Cắt_Vip</v>
      </c>
      <c r="C415" s="33">
        <v>1065</v>
      </c>
      <c r="D415" s="33">
        <f>A415&amp;C415</f>
      </c>
      <c r="E415" s="33" t="str">
        <v>Cắt Gội Combo 3 - Dưỡng sinh</v>
      </c>
      <c r="F415" s="32">
        <v>305000</v>
      </c>
    </row>
    <row r="416">
      <c r="A416" s="33" t="str">
        <v>575 AC</v>
      </c>
      <c r="B416" s="33" t="str">
        <v>DV_Cắt_Vip</v>
      </c>
      <c r="C416" s="33">
        <v>1064</v>
      </c>
      <c r="D416" s="33">
        <f>A416&amp;C416</f>
      </c>
      <c r="E416" s="33" t="str">
        <v>Cắt Gội Combo 5 - Dưỡng sinh</v>
      </c>
      <c r="F416" s="32">
        <v>465000</v>
      </c>
    </row>
    <row r="417">
      <c r="A417" s="33" t="str">
        <v>575 AC</v>
      </c>
      <c r="B417" s="33" t="str">
        <v>DV_Cắt_Vip</v>
      </c>
      <c r="C417" s="33">
        <v>1053</v>
      </c>
      <c r="D417" s="33">
        <f>A417&amp;C417</f>
      </c>
      <c r="E417" s="33" t="str">
        <v>Combo 2 - First Class 2</v>
      </c>
      <c r="F417" s="32">
        <v>245000</v>
      </c>
    </row>
    <row r="418">
      <c r="A418" s="33" t="str">
        <v>575 AC</v>
      </c>
      <c r="B418" s="33" t="str">
        <v>DV_Cắt_Vip</v>
      </c>
      <c r="C418" s="33">
        <v>1054</v>
      </c>
      <c r="D418" s="33">
        <f>A418&amp;C418</f>
      </c>
      <c r="E418" s="33" t="str">
        <v>Combo 3 - First Class 3</v>
      </c>
      <c r="F418" s="32">
        <v>305000</v>
      </c>
    </row>
    <row r="419">
      <c r="A419" s="33" t="str">
        <v>575 AC</v>
      </c>
      <c r="B419" s="33" t="str">
        <v>DV_Cắt_Vip</v>
      </c>
      <c r="C419" s="33">
        <v>1048</v>
      </c>
      <c r="D419" s="33">
        <f>A419&amp;C419</f>
      </c>
      <c r="E419" s="33" t="str">
        <v>Combo 4</v>
      </c>
      <c r="F419" s="32">
        <v>395000</v>
      </c>
    </row>
    <row r="420">
      <c r="A420" s="33" t="str">
        <v>575 AC</v>
      </c>
      <c r="B420" s="33" t="str">
        <v>DV_Cắt_Vip</v>
      </c>
      <c r="C420" s="33">
        <v>1194</v>
      </c>
      <c r="D420" s="33">
        <f>A420&amp;C420</f>
      </c>
      <c r="E420" s="33" t="str">
        <v>Combo Best choice</v>
      </c>
      <c r="F420" s="32">
        <v>305000</v>
      </c>
    </row>
    <row r="421">
      <c r="A421" s="33" t="str">
        <v>575 AC</v>
      </c>
      <c r="B421" s="33" t="str">
        <v>DV_Cắt_Vip</v>
      </c>
      <c r="C421" s="33">
        <v>1046</v>
      </c>
      <c r="D421" s="33">
        <f>A421&amp;C421</f>
      </c>
      <c r="E421" s="33" t="str">
        <v>Shinecombo 2</v>
      </c>
      <c r="F421" s="32">
        <v>205000</v>
      </c>
    </row>
    <row r="422">
      <c r="A422" s="33" t="str">
        <v>58 NVC NA</v>
      </c>
      <c r="B422" s="33" t="str">
        <v>DV_Cắt</v>
      </c>
      <c r="C422" s="33">
        <v>513</v>
      </c>
      <c r="D422" s="33">
        <f>A422&amp;C422</f>
      </c>
      <c r="E422" s="33" t="str">
        <v>[DV] ShineCombo 10 bước Ultra Care 2023</v>
      </c>
      <c r="F422" s="32">
        <v>122000</v>
      </c>
    </row>
    <row r="423">
      <c r="A423" s="33" t="str">
        <v>58 NVC NA</v>
      </c>
      <c r="B423" s="33" t="str">
        <v>DV_Cắt</v>
      </c>
      <c r="C423" s="33">
        <v>891</v>
      </c>
      <c r="D423" s="33">
        <f>A423&amp;C423</f>
      </c>
      <c r="E423" s="33" t="str">
        <v>Cắt xả tạo kiểu</v>
      </c>
      <c r="F423" s="32">
        <v>94000</v>
      </c>
    </row>
    <row r="424">
      <c r="A424" s="33" t="str">
        <v>58 NVC NA</v>
      </c>
      <c r="B424" s="33" t="str">
        <v>DV_Cắt</v>
      </c>
      <c r="C424" s="33">
        <v>1002</v>
      </c>
      <c r="D424" s="33">
        <f>A424&amp;C424</f>
      </c>
      <c r="E424" s="33" t="str">
        <v>Kid Cắt</v>
      </c>
      <c r="F424" s="32">
        <v>75000</v>
      </c>
    </row>
    <row r="425">
      <c r="A425" s="33" t="str">
        <v>58 NVC NA</v>
      </c>
      <c r="B425" s="33" t="str">
        <v>DV_Cắt</v>
      </c>
      <c r="C425" s="33">
        <v>1255</v>
      </c>
      <c r="D425" s="33">
        <f>A425&amp;C425</f>
      </c>
      <c r="E425" s="33" t="str">
        <v>VH Cắt gội dưỡng sinh Vip</v>
      </c>
      <c r="F425" s="32">
        <v>249000</v>
      </c>
    </row>
    <row r="426">
      <c r="A426" s="33" t="str">
        <v>58 NVC NA</v>
      </c>
      <c r="B426" s="33" t="str">
        <v>DV_Cắt_Vip</v>
      </c>
      <c r="C426" s="33">
        <v>1047</v>
      </c>
      <c r="D426" s="33">
        <f>A426&amp;C426</f>
      </c>
      <c r="E426" s="33" t="str">
        <v>Cắt Gội Combo 3 - Chăm da</v>
      </c>
      <c r="F426" s="32">
        <v>299000</v>
      </c>
    </row>
    <row r="427">
      <c r="A427" s="33" t="str">
        <v>58 NVC NA</v>
      </c>
      <c r="B427" s="33" t="str">
        <v>DV_Cắt_Vip</v>
      </c>
      <c r="C427" s="33">
        <v>1065</v>
      </c>
      <c r="D427" s="33">
        <f>A427&amp;C427</f>
      </c>
      <c r="E427" s="33" t="str">
        <v>Cắt Gội Combo 3 - Dưỡng sinh</v>
      </c>
      <c r="F427" s="32">
        <v>299000</v>
      </c>
    </row>
    <row r="428">
      <c r="A428" s="33" t="str">
        <v>58 NVC NA</v>
      </c>
      <c r="B428" s="33" t="str">
        <v>DV_Cắt_Vip</v>
      </c>
      <c r="C428" s="33">
        <v>1054</v>
      </c>
      <c r="D428" s="33">
        <f>A428&amp;C428</f>
      </c>
      <c r="E428" s="33" t="str">
        <v>Combo 3 - First Class 3</v>
      </c>
      <c r="F428" s="32">
        <v>299000</v>
      </c>
    </row>
    <row r="429">
      <c r="A429" s="33" t="str">
        <v>58 NVC NA</v>
      </c>
      <c r="B429" s="33" t="str">
        <v>DV_Cắt_Vip</v>
      </c>
      <c r="C429" s="33">
        <v>1048</v>
      </c>
      <c r="D429" s="33">
        <f>A429&amp;C429</f>
      </c>
      <c r="E429" s="33" t="str">
        <v>Combo 4</v>
      </c>
      <c r="F429" s="32">
        <v>389000</v>
      </c>
    </row>
    <row r="430">
      <c r="A430" s="33" t="str">
        <v>58 NVC NA</v>
      </c>
      <c r="B430" s="33" t="str">
        <v>DV_Cắt_Vip</v>
      </c>
      <c r="C430" s="33">
        <v>1046</v>
      </c>
      <c r="D430" s="33">
        <f>A430&amp;C430</f>
      </c>
      <c r="E430" s="33" t="str">
        <v>Shinecombo 2</v>
      </c>
      <c r="F430" s="32">
        <v>199000</v>
      </c>
    </row>
    <row r="431">
      <c r="A431" s="33" t="str">
        <v>58 NVC NA</v>
      </c>
      <c r="B431" s="33" t="str">
        <v>DV_Cắt_Vip</v>
      </c>
      <c r="C431" s="33">
        <v>1256</v>
      </c>
      <c r="D431" s="33">
        <f>A431&amp;C431</f>
      </c>
      <c r="E431" s="33" t="str">
        <v>VH Cắt gội dưỡng sinh Vip LRT</v>
      </c>
      <c r="F431" s="32">
        <v>299000</v>
      </c>
    </row>
    <row r="432">
      <c r="A432" s="33" t="str">
        <v>595 BT TH</v>
      </c>
      <c r="B432" s="33" t="str">
        <v>DV_Cắt</v>
      </c>
      <c r="C432" s="33">
        <v>513</v>
      </c>
      <c r="D432" s="33">
        <f>A432&amp;C432</f>
      </c>
      <c r="E432" s="33" t="str">
        <v>[DV] ShineCombo 10 bước Ultra Care 2023</v>
      </c>
      <c r="F432" s="32">
        <v>122000</v>
      </c>
    </row>
    <row r="433">
      <c r="A433" s="33" t="str">
        <v>595 BT TH</v>
      </c>
      <c r="B433" s="33" t="str">
        <v>DV_Cắt</v>
      </c>
      <c r="C433" s="33">
        <v>891</v>
      </c>
      <c r="D433" s="33">
        <f>A433&amp;C433</f>
      </c>
      <c r="E433" s="33" t="str">
        <v>Cắt xả tạo kiểu</v>
      </c>
      <c r="F433" s="32">
        <v>103000</v>
      </c>
    </row>
    <row r="434">
      <c r="A434" s="33" t="str">
        <v>595 BT TH</v>
      </c>
      <c r="B434" s="33" t="str">
        <v>DV_Cắt</v>
      </c>
      <c r="C434" s="33">
        <v>1002</v>
      </c>
      <c r="D434" s="33">
        <f>A434&amp;C434</f>
      </c>
      <c r="E434" s="33" t="str">
        <v>Kid Cắt</v>
      </c>
      <c r="F434" s="32">
        <v>84000</v>
      </c>
    </row>
    <row r="435">
      <c r="A435" s="33" t="str">
        <v>595 BT TH</v>
      </c>
      <c r="B435" s="33" t="str">
        <v>DV_Cắt</v>
      </c>
      <c r="C435" s="33">
        <v>1255</v>
      </c>
      <c r="D435" s="33">
        <f>A435&amp;C435</f>
      </c>
      <c r="E435" s="33" t="str">
        <v>VH Cắt gội dưỡng sinh Vip</v>
      </c>
      <c r="F435" s="32">
        <v>258000</v>
      </c>
    </row>
    <row r="436">
      <c r="A436" s="33" t="str">
        <v>595 BT TH</v>
      </c>
      <c r="B436" s="33" t="str">
        <v>DV_Cắt_Vip</v>
      </c>
      <c r="C436" s="33">
        <v>1047</v>
      </c>
      <c r="D436" s="33">
        <f>A436&amp;C436</f>
      </c>
      <c r="E436" s="33" t="str">
        <v>Cắt Gội Combo 3 - Chăm da</v>
      </c>
      <c r="F436" s="32">
        <v>308000</v>
      </c>
    </row>
    <row r="437">
      <c r="A437" s="33" t="str">
        <v>595 BT TH</v>
      </c>
      <c r="B437" s="33" t="str">
        <v>DV_Cắt_Vip</v>
      </c>
      <c r="C437" s="33">
        <v>1048</v>
      </c>
      <c r="D437" s="33">
        <f>A437&amp;C437</f>
      </c>
      <c r="E437" s="33" t="str">
        <v>Combo 4</v>
      </c>
      <c r="F437" s="32">
        <v>398000</v>
      </c>
    </row>
    <row r="438">
      <c r="A438" s="33" t="str">
        <v>595 BT TH</v>
      </c>
      <c r="B438" s="33" t="str">
        <v>DV_Cắt_Vip</v>
      </c>
      <c r="C438" s="33">
        <v>1046</v>
      </c>
      <c r="D438" s="33">
        <f>A438&amp;C438</f>
      </c>
      <c r="E438" s="33" t="str">
        <v>Shinecombo 2</v>
      </c>
      <c r="F438" s="32">
        <v>208000</v>
      </c>
    </row>
    <row r="439">
      <c r="A439" s="33" t="str">
        <v>595 BT TH</v>
      </c>
      <c r="B439" s="33" t="str">
        <v>DV_Cắt_Vip</v>
      </c>
      <c r="C439" s="33">
        <v>1256</v>
      </c>
      <c r="D439" s="33">
        <f>A439&amp;C439</f>
      </c>
      <c r="E439" s="33" t="str">
        <v>VH Cắt gội dưỡng sinh Vip LRT</v>
      </c>
      <c r="F439" s="32">
        <v>308000</v>
      </c>
    </row>
    <row r="440">
      <c r="A440" s="33" t="str">
        <v>595 BT TH</v>
      </c>
      <c r="B440" s="33" t="str">
        <v>DV_Cắt_Vip</v>
      </c>
      <c r="C440" s="33">
        <v>1257</v>
      </c>
      <c r="D440" s="33">
        <f>A440&amp;C440</f>
      </c>
      <c r="E440" s="33" t="str">
        <v>VH Cắt gội thư giãn phục hồi</v>
      </c>
      <c r="F440" s="32">
        <v>458000</v>
      </c>
    </row>
    <row r="441">
      <c r="A441" s="33" t="str">
        <v>62 LH</v>
      </c>
      <c r="B441" s="33" t="str">
        <v>DV_Cắt</v>
      </c>
      <c r="C441" s="33">
        <v>513</v>
      </c>
      <c r="D441" s="33">
        <f>A441&amp;C441</f>
      </c>
      <c r="E441" s="33" t="str">
        <v>[DV] ShineCombo 10 bước Ultra Care 2023</v>
      </c>
      <c r="F441" s="32">
        <v>122000</v>
      </c>
    </row>
    <row r="442">
      <c r="A442" s="33" t="str">
        <v>62 LH</v>
      </c>
      <c r="B442" s="33" t="str">
        <v>DV_Cắt</v>
      </c>
      <c r="C442" s="33">
        <v>891</v>
      </c>
      <c r="D442" s="33">
        <f>A442&amp;C442</f>
      </c>
      <c r="E442" s="33" t="str">
        <v>Cắt xả tạo kiểu</v>
      </c>
      <c r="F442" s="32">
        <v>94000</v>
      </c>
    </row>
    <row r="443">
      <c r="A443" s="33" t="str">
        <v>62 LH</v>
      </c>
      <c r="B443" s="33" t="str">
        <v>DV_Cắt</v>
      </c>
      <c r="C443" s="33">
        <v>1052</v>
      </c>
      <c r="D443" s="33">
        <f>A443&amp;C443</f>
      </c>
      <c r="E443" s="33" t="str">
        <v>Combo 1 - First Class 1</v>
      </c>
      <c r="F443" s="32">
        <v>159000</v>
      </c>
    </row>
    <row r="444">
      <c r="A444" s="33" t="str">
        <v>62 LH</v>
      </c>
      <c r="B444" s="33" t="str">
        <v>DV_Cắt</v>
      </c>
      <c r="C444" s="33">
        <v>1070</v>
      </c>
      <c r="D444" s="33">
        <f>A444&amp;C444</f>
      </c>
      <c r="E444" s="33" t="str">
        <v>Combo Cắt gội Kid</v>
      </c>
      <c r="F444" s="32">
        <v>100000</v>
      </c>
    </row>
    <row r="445">
      <c r="A445" s="33" t="str">
        <v>62 LH</v>
      </c>
      <c r="B445" s="33" t="str">
        <v>DV_Cắt</v>
      </c>
      <c r="C445" s="33">
        <v>1002</v>
      </c>
      <c r="D445" s="33">
        <f>A445&amp;C445</f>
      </c>
      <c r="E445" s="33" t="str">
        <v>Kid Cắt</v>
      </c>
      <c r="F445" s="32">
        <v>75000</v>
      </c>
    </row>
    <row r="446">
      <c r="A446" s="33" t="str">
        <v>62 LH</v>
      </c>
      <c r="B446" s="33" t="str">
        <v>DV_Cắt_Vip</v>
      </c>
      <c r="C446" s="33">
        <v>1047</v>
      </c>
      <c r="D446" s="33">
        <f>A446&amp;C446</f>
      </c>
      <c r="E446" s="33" t="str">
        <v>Cắt Gội Combo 3 - Chăm da</v>
      </c>
      <c r="F446" s="32">
        <v>299000</v>
      </c>
    </row>
    <row r="447">
      <c r="A447" s="33" t="str">
        <v>62 LH</v>
      </c>
      <c r="B447" s="33" t="str">
        <v>DV_Cắt_Vip</v>
      </c>
      <c r="C447" s="33">
        <v>1064</v>
      </c>
      <c r="D447" s="33">
        <f>A447&amp;C447</f>
      </c>
      <c r="E447" s="33" t="str">
        <v>Cắt Gội Combo 5 - Dưỡng sinh</v>
      </c>
      <c r="F447" s="32">
        <v>459000</v>
      </c>
    </row>
    <row r="448">
      <c r="A448" s="33" t="str">
        <v>62 LH</v>
      </c>
      <c r="B448" s="33" t="str">
        <v>DV_Cắt_Vip</v>
      </c>
      <c r="C448" s="33">
        <v>1053</v>
      </c>
      <c r="D448" s="33">
        <f>A448&amp;C448</f>
      </c>
      <c r="E448" s="33" t="str">
        <v>Combo 2 - First Class 2</v>
      </c>
      <c r="F448" s="32">
        <v>239000</v>
      </c>
    </row>
    <row r="449">
      <c r="A449" s="33" t="str">
        <v>62 LH</v>
      </c>
      <c r="B449" s="33" t="str">
        <v>DV_Cắt_Vip</v>
      </c>
      <c r="C449" s="33">
        <v>1054</v>
      </c>
      <c r="D449" s="33">
        <f>A449&amp;C449</f>
      </c>
      <c r="E449" s="33" t="str">
        <v>Combo 3 - First Class 3</v>
      </c>
      <c r="F449" s="32">
        <v>299000</v>
      </c>
    </row>
    <row r="450">
      <c r="A450" s="33" t="str">
        <v>62 LH</v>
      </c>
      <c r="B450" s="33" t="str">
        <v>DV_Cắt_Vip</v>
      </c>
      <c r="C450" s="33">
        <v>1048</v>
      </c>
      <c r="D450" s="33">
        <f>A450&amp;C450</f>
      </c>
      <c r="E450" s="33" t="str">
        <v>Combo 4</v>
      </c>
      <c r="F450" s="32">
        <v>389000</v>
      </c>
    </row>
    <row r="451">
      <c r="A451" s="33" t="str">
        <v>62 LH</v>
      </c>
      <c r="B451" s="33" t="str">
        <v>DV_Cắt_Vip</v>
      </c>
      <c r="C451" s="33">
        <v>1046</v>
      </c>
      <c r="D451" s="33">
        <f>A451&amp;C451</f>
      </c>
      <c r="E451" s="33" t="str">
        <v>Shinecombo 2</v>
      </c>
      <c r="F451" s="32">
        <v>199000</v>
      </c>
    </row>
    <row r="452">
      <c r="A452" s="33" t="str">
        <v>65 CD</v>
      </c>
      <c r="B452" s="33" t="str">
        <v>DV_Cắt</v>
      </c>
      <c r="C452" s="33">
        <v>513</v>
      </c>
      <c r="D452" s="33">
        <f>A452&amp;C452</f>
      </c>
      <c r="E452" s="33" t="str">
        <v>[DV] ShineCombo 10 bước Ultra Care 2023</v>
      </c>
      <c r="F452" s="32">
        <v>122000</v>
      </c>
    </row>
    <row r="453">
      <c r="A453" s="33" t="str">
        <v>65 CD</v>
      </c>
      <c r="B453" s="33" t="str">
        <v>DV_Cắt</v>
      </c>
      <c r="C453" s="33">
        <v>891</v>
      </c>
      <c r="D453" s="33">
        <f>A453&amp;C453</f>
      </c>
      <c r="E453" s="33" t="str">
        <v>Cắt xả tạo kiểu</v>
      </c>
      <c r="F453" s="32">
        <v>98999.99999999999</v>
      </c>
    </row>
    <row r="454">
      <c r="A454" s="33" t="str">
        <v>65 CD</v>
      </c>
      <c r="B454" s="33" t="str">
        <v>DV_Cắt</v>
      </c>
      <c r="C454" s="33">
        <v>1002</v>
      </c>
      <c r="D454" s="33">
        <f>A454&amp;C454</f>
      </c>
      <c r="E454" s="33" t="str">
        <v>Kid Cắt</v>
      </c>
      <c r="F454" s="32">
        <v>79999.99999999999</v>
      </c>
    </row>
    <row r="455">
      <c r="A455" s="33" t="str">
        <v>65 CD</v>
      </c>
      <c r="B455" s="33" t="str">
        <v>DV_Cắt_Vip</v>
      </c>
      <c r="C455" s="33">
        <v>1047</v>
      </c>
      <c r="D455" s="33">
        <f>A455&amp;C455</f>
      </c>
      <c r="E455" s="33" t="str">
        <v>Cắt Gội Combo 3 - Chăm da</v>
      </c>
      <c r="F455" s="32">
        <v>304000</v>
      </c>
    </row>
    <row r="456">
      <c r="A456" s="33" t="str">
        <v>65 CD</v>
      </c>
      <c r="B456" s="33" t="str">
        <v>DV_Cắt_Vip</v>
      </c>
      <c r="C456" s="33">
        <v>1053</v>
      </c>
      <c r="D456" s="33">
        <f>A456&amp;C456</f>
      </c>
      <c r="E456" s="33" t="str">
        <v>Combo 2 - First Class 2</v>
      </c>
      <c r="F456" s="32">
        <v>234000</v>
      </c>
    </row>
    <row r="457">
      <c r="A457" s="33" t="str">
        <v>65 CD</v>
      </c>
      <c r="B457" s="33" t="str">
        <v>DV_Cắt_Vip</v>
      </c>
      <c r="C457" s="33">
        <v>1048</v>
      </c>
      <c r="D457" s="33">
        <f>A457&amp;C457</f>
      </c>
      <c r="E457" s="33" t="str">
        <v>Combo 4</v>
      </c>
      <c r="F457" s="32">
        <v>394000</v>
      </c>
    </row>
    <row r="458">
      <c r="A458" s="33" t="str">
        <v>65 CD</v>
      </c>
      <c r="B458" s="33" t="str">
        <v>DV_Cắt_Vip</v>
      </c>
      <c r="C458" s="33">
        <v>1046</v>
      </c>
      <c r="D458" s="33">
        <f>A458&amp;C458</f>
      </c>
      <c r="E458" s="33" t="str">
        <v>Shinecombo 2</v>
      </c>
      <c r="F458" s="32">
        <v>204000</v>
      </c>
    </row>
    <row r="459">
      <c r="A459" s="33" t="str">
        <v>68 LN NA</v>
      </c>
      <c r="B459" s="33" t="str">
        <v>DV_Cắt</v>
      </c>
      <c r="C459" s="33">
        <v>513</v>
      </c>
      <c r="D459" s="33">
        <f>A459&amp;C459</f>
      </c>
      <c r="E459" s="33" t="str">
        <v>[DV] ShineCombo 10 bước Ultra Care 2023</v>
      </c>
      <c r="F459" s="32">
        <v>122000</v>
      </c>
    </row>
    <row r="460">
      <c r="A460" s="33" t="str">
        <v>68 LN NA</v>
      </c>
      <c r="B460" s="33" t="str">
        <v>DV_Cắt</v>
      </c>
      <c r="C460" s="33">
        <v>891</v>
      </c>
      <c r="D460" s="33">
        <f>A460&amp;C460</f>
      </c>
      <c r="E460" s="33" t="str">
        <v>Cắt xả tạo kiểu</v>
      </c>
      <c r="F460" s="32">
        <v>103000</v>
      </c>
    </row>
    <row r="461">
      <c r="A461" s="33" t="str">
        <v>68 LN NA</v>
      </c>
      <c r="B461" s="33" t="str">
        <v>DV_Cắt</v>
      </c>
      <c r="C461" s="33">
        <v>1002</v>
      </c>
      <c r="D461" s="33">
        <f>A461&amp;C461</f>
      </c>
      <c r="E461" s="33" t="str">
        <v>Kid Cắt</v>
      </c>
      <c r="F461" s="32">
        <v>84000</v>
      </c>
    </row>
    <row r="462">
      <c r="A462" s="33" t="str">
        <v>68 LN NA</v>
      </c>
      <c r="B462" s="33" t="str">
        <v>DV_Cắt</v>
      </c>
      <c r="C462" s="33">
        <v>1255</v>
      </c>
      <c r="D462" s="33">
        <f>A462&amp;C462</f>
      </c>
      <c r="E462" s="33" t="str">
        <v>VH Cắt gội dưỡng sinh Vip</v>
      </c>
      <c r="F462" s="32">
        <v>258000</v>
      </c>
    </row>
    <row r="463">
      <c r="A463" s="33" t="str">
        <v>68 LN NA</v>
      </c>
      <c r="B463" s="33" t="str">
        <v>DV_Cắt_Vip</v>
      </c>
      <c r="C463" s="33">
        <v>1047</v>
      </c>
      <c r="D463" s="33">
        <f>A463&amp;C463</f>
      </c>
      <c r="E463" s="33" t="str">
        <v>Cắt Gội Combo 3 - Chăm da</v>
      </c>
      <c r="F463" s="32">
        <v>308000</v>
      </c>
    </row>
    <row r="464">
      <c r="A464" s="33" t="str">
        <v>68 LN NA</v>
      </c>
      <c r="B464" s="33" t="str">
        <v>DV_Cắt_Vip</v>
      </c>
      <c r="C464" s="33">
        <v>1065</v>
      </c>
      <c r="D464" s="33">
        <f>A464&amp;C464</f>
      </c>
      <c r="E464" s="33" t="str">
        <v>Cắt Gội Combo 3 - Dưỡng sinh</v>
      </c>
      <c r="F464" s="32">
        <v>308000</v>
      </c>
    </row>
    <row r="465">
      <c r="A465" s="33" t="str">
        <v>68 LN NA</v>
      </c>
      <c r="B465" s="33" t="str">
        <v>DV_Cắt_Vip</v>
      </c>
      <c r="C465" s="33">
        <v>1048</v>
      </c>
      <c r="D465" s="33">
        <f>A465&amp;C465</f>
      </c>
      <c r="E465" s="33" t="str">
        <v>Combo 4</v>
      </c>
      <c r="F465" s="32">
        <v>398000</v>
      </c>
    </row>
    <row r="466">
      <c r="A466" s="33" t="str">
        <v>68 LN NA</v>
      </c>
      <c r="B466" s="33" t="str">
        <v>DV_Cắt_Vip</v>
      </c>
      <c r="C466" s="33">
        <v>1046</v>
      </c>
      <c r="D466" s="33">
        <f>A466&amp;C466</f>
      </c>
      <c r="E466" s="33" t="str">
        <v>Shinecombo 2</v>
      </c>
      <c r="F466" s="32">
        <v>208000</v>
      </c>
    </row>
    <row r="467">
      <c r="A467" s="33" t="str">
        <v>7 DTP LA</v>
      </c>
      <c r="B467" s="33" t="str">
        <v>DV_Cắt</v>
      </c>
      <c r="C467" s="33">
        <v>513</v>
      </c>
      <c r="D467" s="33">
        <f>A467&amp;C467</f>
      </c>
      <c r="E467" s="33" t="str">
        <v>[DV] ShineCombo 10 bước Ultra Care 2023</v>
      </c>
      <c r="F467" s="32">
        <v>122000</v>
      </c>
    </row>
    <row r="468">
      <c r="A468" s="33" t="str">
        <v>7 DTP LA</v>
      </c>
      <c r="B468" s="33" t="str">
        <v>DV_Cắt</v>
      </c>
      <c r="C468" s="33">
        <v>891</v>
      </c>
      <c r="D468" s="33">
        <f>A468&amp;C468</f>
      </c>
      <c r="E468" s="33" t="str">
        <v>Cắt xả tạo kiểu</v>
      </c>
      <c r="F468" s="32">
        <v>103000</v>
      </c>
    </row>
    <row r="469">
      <c r="A469" s="33" t="str">
        <v>7 DTP LA</v>
      </c>
      <c r="B469" s="33" t="str">
        <v>DV_Cắt</v>
      </c>
      <c r="C469" s="33">
        <v>1002</v>
      </c>
      <c r="D469" s="33">
        <f>A469&amp;C469</f>
      </c>
      <c r="E469" s="33" t="str">
        <v>Kid Cắt</v>
      </c>
      <c r="F469" s="32">
        <v>84000</v>
      </c>
    </row>
    <row r="470">
      <c r="A470" s="33" t="str">
        <v>7 DTP LA</v>
      </c>
      <c r="B470" s="33" t="str">
        <v>DV_Cắt_Vip</v>
      </c>
      <c r="C470" s="33">
        <v>1047</v>
      </c>
      <c r="D470" s="33">
        <f>A470&amp;C470</f>
      </c>
      <c r="E470" s="33" t="str">
        <v>Cắt Gội Combo 3 - Chăm da</v>
      </c>
      <c r="F470" s="32">
        <v>308000</v>
      </c>
    </row>
    <row r="471">
      <c r="A471" s="33" t="str">
        <v>7 DTP LA</v>
      </c>
      <c r="B471" s="33" t="str">
        <v>DV_Cắt_Vip</v>
      </c>
      <c r="C471" s="33">
        <v>1048</v>
      </c>
      <c r="D471" s="33">
        <f>A471&amp;C471</f>
      </c>
      <c r="E471" s="33" t="str">
        <v>Combo 4</v>
      </c>
      <c r="F471" s="32">
        <v>398000</v>
      </c>
    </row>
    <row r="472">
      <c r="A472" s="33" t="str">
        <v>7 DTP LA</v>
      </c>
      <c r="B472" s="33" t="str">
        <v>DV_Cắt_Vip</v>
      </c>
      <c r="C472" s="33">
        <v>1046</v>
      </c>
      <c r="D472" s="33">
        <f>A472&amp;C472</f>
      </c>
      <c r="E472" s="33" t="str">
        <v>Shinecombo 2</v>
      </c>
      <c r="F472" s="32">
        <v>208000</v>
      </c>
    </row>
    <row r="473">
      <c r="A473" s="33" t="str">
        <v>708 LTT</v>
      </c>
      <c r="B473" s="33" t="str">
        <v>DV_Cắt</v>
      </c>
      <c r="C473" s="33">
        <v>513</v>
      </c>
      <c r="D473" s="33">
        <f>A473&amp;C473</f>
      </c>
      <c r="E473" s="33" t="str">
        <v>[DV] ShineCombo 10 bước Ultra Care 2023</v>
      </c>
      <c r="F473" s="32">
        <v>122000</v>
      </c>
    </row>
    <row r="474">
      <c r="A474" s="33" t="str">
        <v>708 LTT</v>
      </c>
      <c r="B474" s="33" t="str">
        <v>DV_Cắt</v>
      </c>
      <c r="C474" s="33">
        <v>1070</v>
      </c>
      <c r="D474" s="33">
        <f>A474&amp;C474</f>
      </c>
      <c r="E474" s="33" t="str">
        <v>Combo Cắt gội Kid</v>
      </c>
      <c r="F474" s="32">
        <v>100000</v>
      </c>
    </row>
    <row r="475">
      <c r="A475" s="33" t="str">
        <v>708 LTT</v>
      </c>
      <c r="B475" s="33" t="str">
        <v>DV_Cắt</v>
      </c>
      <c r="C475" s="33">
        <v>891</v>
      </c>
      <c r="D475" s="33">
        <f>A475&amp;C475</f>
      </c>
      <c r="E475" s="33" t="str">
        <v>Cắt xả tạo kiểu</v>
      </c>
      <c r="F475" s="32">
        <v>103000</v>
      </c>
    </row>
    <row r="476">
      <c r="A476" s="33" t="str">
        <v>708 LTT</v>
      </c>
      <c r="B476" s="33" t="str">
        <v>DV_Cắt</v>
      </c>
      <c r="C476" s="33">
        <v>1002</v>
      </c>
      <c r="D476" s="33">
        <f>A476&amp;C476</f>
      </c>
      <c r="E476" s="33" t="str">
        <v>Kid Cắt</v>
      </c>
      <c r="F476" s="32">
        <v>84000</v>
      </c>
    </row>
    <row r="477">
      <c r="A477" s="33" t="str">
        <v>708 LTT</v>
      </c>
      <c r="B477" s="33" t="str">
        <v>DV_Cắt_Vip</v>
      </c>
      <c r="C477" s="33">
        <v>1047</v>
      </c>
      <c r="D477" s="33">
        <f>A477&amp;C477</f>
      </c>
      <c r="E477" s="33" t="str">
        <v>Cắt Gội Combo 3 - Chăm da</v>
      </c>
      <c r="F477" s="32">
        <v>308000</v>
      </c>
    </row>
    <row r="478">
      <c r="A478" s="33" t="str">
        <v>708 LTT</v>
      </c>
      <c r="B478" s="33" t="str">
        <v>DV_Cắt_Vip</v>
      </c>
      <c r="C478" s="33">
        <v>1065</v>
      </c>
      <c r="D478" s="33">
        <f>A478&amp;C478</f>
      </c>
      <c r="E478" s="33" t="str">
        <v>Cắt Gội Combo 3 - Dưỡng sinh</v>
      </c>
      <c r="F478" s="32">
        <v>308000</v>
      </c>
    </row>
    <row r="479">
      <c r="A479" s="33" t="str">
        <v>708 LTT</v>
      </c>
      <c r="B479" s="33" t="str">
        <v>DV_Cắt_Vip</v>
      </c>
      <c r="C479" s="33">
        <v>1048</v>
      </c>
      <c r="D479" s="33">
        <f>A479&amp;C479</f>
      </c>
      <c r="E479" s="33" t="str">
        <v>Combo 4</v>
      </c>
      <c r="F479" s="32">
        <v>398000</v>
      </c>
    </row>
    <row r="480">
      <c r="A480" s="33" t="str">
        <v>708 LTT</v>
      </c>
      <c r="B480" s="33" t="str">
        <v>DV_Cắt_Vip</v>
      </c>
      <c r="C480" s="33">
        <v>1194</v>
      </c>
      <c r="D480" s="33">
        <f>A480&amp;C480</f>
      </c>
      <c r="E480" s="33" t="str">
        <v>Combo Best choice</v>
      </c>
      <c r="F480" s="32">
        <v>308000</v>
      </c>
    </row>
    <row r="481">
      <c r="A481" s="33" t="str">
        <v>708 LTT</v>
      </c>
      <c r="B481" s="33" t="str">
        <v>DV_Cắt_Vip</v>
      </c>
      <c r="C481" s="33">
        <v>1046</v>
      </c>
      <c r="D481" s="33">
        <f>A481&amp;C481</f>
      </c>
      <c r="E481" s="33" t="str">
        <v>Shinecombo 2</v>
      </c>
      <c r="F481" s="32">
        <v>208000</v>
      </c>
    </row>
    <row r="482">
      <c r="A482" s="33" t="str">
        <v>730 TL10</v>
      </c>
      <c r="B482" s="33" t="str">
        <v>DV_Cắt</v>
      </c>
      <c r="C482" s="33">
        <v>513</v>
      </c>
      <c r="D482" s="33">
        <f>A482&amp;C482</f>
      </c>
      <c r="E482" s="33" t="str">
        <v>[DV] ShineCombo 10 bước Ultra Care 2023</v>
      </c>
      <c r="F482" s="32">
        <v>122000</v>
      </c>
    </row>
    <row r="483">
      <c r="A483" s="33" t="str">
        <v>730 TL10</v>
      </c>
      <c r="B483" s="33" t="str">
        <v>DV_Cắt</v>
      </c>
      <c r="C483" s="33">
        <v>891</v>
      </c>
      <c r="D483" s="33">
        <f>A483&amp;C483</f>
      </c>
      <c r="E483" s="33" t="str">
        <v>Cắt xả tạo kiểu</v>
      </c>
      <c r="F483" s="32">
        <v>100000</v>
      </c>
    </row>
    <row r="484">
      <c r="A484" s="33" t="str">
        <v>730 TL10</v>
      </c>
      <c r="B484" s="33" t="str">
        <v>DV_Cắt</v>
      </c>
      <c r="C484" s="33">
        <v>1052</v>
      </c>
      <c r="D484" s="33">
        <f>A484&amp;C484</f>
      </c>
      <c r="E484" s="33" t="str">
        <v>Combo 1 - First Class 1</v>
      </c>
      <c r="F484" s="32">
        <v>159000</v>
      </c>
    </row>
    <row r="485">
      <c r="A485" s="33" t="str">
        <v>730 TL10</v>
      </c>
      <c r="B485" s="33" t="str">
        <v>DV_Cắt</v>
      </c>
      <c r="C485" s="33">
        <v>1002</v>
      </c>
      <c r="D485" s="33">
        <f>A485&amp;C485</f>
      </c>
      <c r="E485" s="33" t="str">
        <v>Kid Cắt</v>
      </c>
      <c r="F485" s="32">
        <v>81000</v>
      </c>
    </row>
    <row r="486">
      <c r="A486" s="33" t="str">
        <v>730 TL10</v>
      </c>
      <c r="B486" s="33" t="str">
        <v>DV_Cắt_Vip</v>
      </c>
      <c r="C486" s="33">
        <v>1047</v>
      </c>
      <c r="D486" s="33">
        <f>A486&amp;C486</f>
      </c>
      <c r="E486" s="33" t="str">
        <v>Cắt Gội Combo 3 - Chăm da</v>
      </c>
      <c r="F486" s="32">
        <v>305000</v>
      </c>
    </row>
    <row r="487">
      <c r="A487" s="33" t="str">
        <v>730 TL10</v>
      </c>
      <c r="B487" s="33" t="str">
        <v>DV_Cắt_Vip</v>
      </c>
      <c r="C487" s="33">
        <v>1065</v>
      </c>
      <c r="D487" s="33">
        <f>A487&amp;C487</f>
      </c>
      <c r="E487" s="33" t="str">
        <v>Cắt Gội Combo 3 - Dưỡng sinh</v>
      </c>
      <c r="F487" s="32">
        <v>305000</v>
      </c>
    </row>
    <row r="488">
      <c r="A488" s="33" t="str">
        <v>730 TL10</v>
      </c>
      <c r="B488" s="33" t="str">
        <v>DV_Cắt_Vip</v>
      </c>
      <c r="C488" s="33">
        <v>1064</v>
      </c>
      <c r="D488" s="33">
        <f>A488&amp;C488</f>
      </c>
      <c r="E488" s="33" t="str">
        <v>Cắt Gội Combo 5 - Dưỡng sinh</v>
      </c>
      <c r="F488" s="32">
        <v>465000</v>
      </c>
    </row>
    <row r="489">
      <c r="A489" s="33" t="str">
        <v>730 TL10</v>
      </c>
      <c r="B489" s="33" t="str">
        <v>DV_Cắt_Vip</v>
      </c>
      <c r="C489" s="33">
        <v>1048</v>
      </c>
      <c r="D489" s="33">
        <f>A489&amp;C489</f>
      </c>
      <c r="E489" s="33" t="str">
        <v>Combo 4</v>
      </c>
      <c r="F489" s="32">
        <v>395000</v>
      </c>
    </row>
    <row r="490">
      <c r="A490" s="33" t="str">
        <v>730 TL10</v>
      </c>
      <c r="B490" s="33" t="str">
        <v>DV_Cắt</v>
      </c>
      <c r="C490" s="33">
        <v>1070</v>
      </c>
      <c r="D490" s="33">
        <f>A490&amp;C490</f>
      </c>
      <c r="E490" s="33" t="str">
        <v>Combo Cắt gội Kid</v>
      </c>
      <c r="F490" s="32">
        <v>100000</v>
      </c>
    </row>
    <row r="491">
      <c r="A491" s="33" t="str">
        <v>730 TL10</v>
      </c>
      <c r="B491" s="33" t="str">
        <v>DV_Cắt_Vip</v>
      </c>
      <c r="C491" s="33">
        <v>1194</v>
      </c>
      <c r="D491" s="33">
        <f>A491&amp;C491</f>
      </c>
      <c r="E491" s="33" t="str">
        <v>Combo Best choice</v>
      </c>
      <c r="F491" s="32">
        <v>305000</v>
      </c>
    </row>
    <row r="492">
      <c r="A492" s="33" t="str">
        <v>730 TL10</v>
      </c>
      <c r="B492" s="33" t="str">
        <v>DV_Cắt_Vip</v>
      </c>
      <c r="C492" s="33">
        <v>1046</v>
      </c>
      <c r="D492" s="33">
        <f>A492&amp;C492</f>
      </c>
      <c r="E492" s="33" t="str">
        <v>Shinecombo 2</v>
      </c>
      <c r="F492" s="32">
        <v>205000</v>
      </c>
    </row>
    <row r="493">
      <c r="A493" s="33" t="str">
        <v>76 PVH</v>
      </c>
      <c r="B493" s="33" t="str">
        <v>DV_Cắt</v>
      </c>
      <c r="C493" s="33">
        <v>513</v>
      </c>
      <c r="D493" s="33">
        <f>A493&amp;C493</f>
      </c>
      <c r="E493" s="33" t="str">
        <v>[DV] ShineCombo 10 bước Ultra Care 2023</v>
      </c>
      <c r="F493" s="32">
        <v>122000</v>
      </c>
    </row>
    <row r="494">
      <c r="A494" s="33" t="str">
        <v>76 PVH</v>
      </c>
      <c r="B494" s="33" t="str">
        <v>DV_Cắt</v>
      </c>
      <c r="C494" s="33">
        <v>891</v>
      </c>
      <c r="D494" s="33">
        <f>A494&amp;C494</f>
      </c>
      <c r="E494" s="33" t="str">
        <v>Cắt xả tạo kiểu</v>
      </c>
      <c r="F494" s="32">
        <v>94000</v>
      </c>
    </row>
    <row r="495">
      <c r="A495" s="33" t="str">
        <v>76 PVH</v>
      </c>
      <c r="B495" s="33" t="str">
        <v>DV_Cắt</v>
      </c>
      <c r="C495" s="33">
        <v>1002</v>
      </c>
      <c r="D495" s="33">
        <f>A495&amp;C495</f>
      </c>
      <c r="E495" s="33" t="str">
        <v>Kid Cắt</v>
      </c>
      <c r="F495" s="32">
        <v>75000</v>
      </c>
    </row>
    <row r="496">
      <c r="A496" s="33" t="str">
        <v>76 PVH</v>
      </c>
      <c r="B496" s="33" t="str">
        <v>DV_Cắt_Vip</v>
      </c>
      <c r="C496" s="33">
        <v>1047</v>
      </c>
      <c r="D496" s="33">
        <f>A496&amp;C496</f>
      </c>
      <c r="E496" s="33" t="str">
        <v>Cắt Gội Combo 3 - Chăm da</v>
      </c>
      <c r="F496" s="32">
        <v>299000</v>
      </c>
    </row>
    <row r="497">
      <c r="A497" s="33" t="str">
        <v>76 PVH</v>
      </c>
      <c r="B497" s="33" t="str">
        <v>DV_Cắt_Vip</v>
      </c>
      <c r="C497" s="33">
        <v>1065</v>
      </c>
      <c r="D497" s="33">
        <f>A497&amp;C497</f>
      </c>
      <c r="E497" s="33" t="str">
        <v>Cắt Gội Combo 3 - Dưỡng sinh</v>
      </c>
      <c r="F497" s="32">
        <v>299000</v>
      </c>
    </row>
    <row r="498">
      <c r="A498" s="33" t="str">
        <v>76 PVH</v>
      </c>
      <c r="B498" s="33" t="str">
        <v>DV_Cắt_Vip</v>
      </c>
      <c r="C498" s="33">
        <v>1064</v>
      </c>
      <c r="D498" s="33">
        <f>A498&amp;C498</f>
      </c>
      <c r="E498" s="33" t="str">
        <v>Cắt Gội Combo 5 - Dưỡng sinh</v>
      </c>
      <c r="F498" s="32">
        <v>459000</v>
      </c>
    </row>
    <row r="499">
      <c r="A499" s="33" t="str">
        <v>76 PVH</v>
      </c>
      <c r="B499" s="33" t="str">
        <v>DV_Cắt_Vip</v>
      </c>
      <c r="C499" s="33">
        <v>1048</v>
      </c>
      <c r="D499" s="33">
        <f>A499&amp;C499</f>
      </c>
      <c r="E499" s="33" t="str">
        <v>Combo 4</v>
      </c>
      <c r="F499" s="32">
        <v>389000</v>
      </c>
    </row>
    <row r="500">
      <c r="A500" s="33" t="str">
        <v>76 PVH</v>
      </c>
      <c r="B500" s="33" t="str">
        <v>DV_Cắt_Vip</v>
      </c>
      <c r="C500" s="33">
        <v>1194</v>
      </c>
      <c r="D500" s="33">
        <f>A500&amp;C500</f>
      </c>
      <c r="E500" s="33" t="str">
        <v>Combo Best choice</v>
      </c>
      <c r="F500" s="32">
        <v>299000</v>
      </c>
    </row>
    <row r="501">
      <c r="A501" s="33" t="str">
        <v>76 PVH</v>
      </c>
      <c r="B501" s="33" t="str">
        <v>DV_Cắt_Vip</v>
      </c>
      <c r="C501" s="33">
        <v>1046</v>
      </c>
      <c r="D501" s="33">
        <f>A501&amp;C501</f>
      </c>
      <c r="E501" s="33" t="str">
        <v>Shinecombo 2</v>
      </c>
      <c r="F501" s="32">
        <v>199000</v>
      </c>
    </row>
    <row r="502">
      <c r="A502" s="33" t="str">
        <v>8 CVL</v>
      </c>
      <c r="B502" s="33" t="str">
        <v>DV_Cắt</v>
      </c>
      <c r="C502" s="33">
        <v>513</v>
      </c>
      <c r="D502" s="33">
        <f>A502&amp;C502</f>
      </c>
      <c r="E502" s="33" t="str">
        <v>[DV] ShineCombo 10 bước Ultra Care 2023</v>
      </c>
      <c r="F502" s="32">
        <v>122000</v>
      </c>
    </row>
    <row r="503">
      <c r="A503" s="33" t="str">
        <v>8 CVL</v>
      </c>
      <c r="B503" s="33" t="str">
        <v>DV_Cắt</v>
      </c>
      <c r="C503" s="33">
        <v>891</v>
      </c>
      <c r="D503" s="33">
        <f>A503&amp;C503</f>
      </c>
      <c r="E503" s="33" t="str">
        <v>Cắt xả tạo kiểu</v>
      </c>
      <c r="F503" s="32">
        <v>100000</v>
      </c>
    </row>
    <row r="504">
      <c r="A504" s="33" t="str">
        <v>8 CVL</v>
      </c>
      <c r="B504" s="33" t="str">
        <v>DV_Cắt</v>
      </c>
      <c r="C504" s="33">
        <v>1052</v>
      </c>
      <c r="D504" s="33">
        <f>A504&amp;C504</f>
      </c>
      <c r="E504" s="33" t="str">
        <v>Combo 1 - First Class 1</v>
      </c>
      <c r="F504" s="32">
        <v>159000</v>
      </c>
    </row>
    <row r="505">
      <c r="A505" s="33" t="str">
        <v>8 CVL</v>
      </c>
      <c r="B505" s="33" t="str">
        <v>DV_Cắt</v>
      </c>
      <c r="C505" s="33">
        <v>1002</v>
      </c>
      <c r="D505" s="33">
        <f>A505&amp;C505</f>
      </c>
      <c r="E505" s="33" t="str">
        <v>Kid Cắt</v>
      </c>
      <c r="F505" s="32">
        <v>81000</v>
      </c>
    </row>
    <row r="506">
      <c r="A506" s="33" t="str">
        <v>8 CVL</v>
      </c>
      <c r="B506" s="33" t="str">
        <v>DV_Cắt_Vip</v>
      </c>
      <c r="C506" s="33">
        <v>1047</v>
      </c>
      <c r="D506" s="33">
        <f>A506&amp;C506</f>
      </c>
      <c r="E506" s="33" t="str">
        <v>Cắt Gội Combo 3 - Chăm da</v>
      </c>
      <c r="F506" s="32">
        <v>293000</v>
      </c>
    </row>
    <row r="507">
      <c r="A507" s="33" t="str">
        <v>8 CVL</v>
      </c>
      <c r="B507" s="33" t="str">
        <v>DV_Cắt_Vip</v>
      </c>
      <c r="C507" s="33">
        <v>1065</v>
      </c>
      <c r="D507" s="33">
        <f>A507&amp;C507</f>
      </c>
      <c r="E507" s="33" t="str">
        <v>Cắt Gội Combo 3 - Dưỡng sinh</v>
      </c>
      <c r="F507" s="32">
        <v>305000</v>
      </c>
    </row>
    <row r="508">
      <c r="A508" s="33" t="str">
        <v>8 CVL</v>
      </c>
      <c r="B508" s="33" t="str">
        <v>DV_Cắt_Vip</v>
      </c>
      <c r="C508" s="33">
        <v>1064</v>
      </c>
      <c r="D508" s="33">
        <f>A508&amp;C508</f>
      </c>
      <c r="E508" s="33" t="str">
        <v>Cắt Gội Combo 5 - Dưỡng sinh</v>
      </c>
      <c r="F508" s="32">
        <v>465000</v>
      </c>
    </row>
    <row r="509">
      <c r="A509" s="33" t="str">
        <v>8 CVL</v>
      </c>
      <c r="B509" s="33" t="str">
        <v>DV_Cắt_Vip</v>
      </c>
      <c r="C509" s="33">
        <v>1054</v>
      </c>
      <c r="D509" s="33">
        <f>A509&amp;C509</f>
      </c>
      <c r="E509" s="33" t="str">
        <v>Combo 3 - First Class 3</v>
      </c>
      <c r="F509" s="32">
        <v>305000</v>
      </c>
    </row>
    <row r="510">
      <c r="A510" s="33" t="str">
        <v>8 CVL</v>
      </c>
      <c r="B510" s="33" t="str">
        <v>DV_Cắt_Vip</v>
      </c>
      <c r="C510" s="33">
        <v>1048</v>
      </c>
      <c r="D510" s="33">
        <f>A510&amp;C510</f>
      </c>
      <c r="E510" s="33" t="str">
        <v>Combo 4</v>
      </c>
      <c r="F510" s="32">
        <v>395000</v>
      </c>
    </row>
    <row r="511">
      <c r="A511" s="33" t="str">
        <v>8 CVL</v>
      </c>
      <c r="B511" s="33" t="str">
        <v>DV_Cắt_Vip</v>
      </c>
      <c r="C511" s="33">
        <v>1194</v>
      </c>
      <c r="D511" s="33">
        <f>A511&amp;C511</f>
      </c>
      <c r="E511" s="33" t="str">
        <v>Combo Best choice</v>
      </c>
      <c r="F511" s="32">
        <v>305000</v>
      </c>
    </row>
    <row r="512">
      <c r="A512" s="33" t="str">
        <v>8 CVL</v>
      </c>
      <c r="B512" s="33" t="str">
        <v>DV_Cắt_Vip</v>
      </c>
      <c r="C512" s="33">
        <v>1046</v>
      </c>
      <c r="D512" s="33">
        <f>A512&amp;C512</f>
      </c>
      <c r="E512" s="33" t="str">
        <v>Shinecombo 2</v>
      </c>
      <c r="F512" s="32">
        <v>205000</v>
      </c>
    </row>
    <row r="513">
      <c r="A513" s="33" t="str">
        <v>80 PL BD</v>
      </c>
      <c r="B513" s="33" t="str">
        <v>DV_Cắt</v>
      </c>
      <c r="C513" s="33">
        <v>513</v>
      </c>
      <c r="D513" s="33">
        <f>A513&amp;C513</f>
      </c>
      <c r="E513" s="33" t="str">
        <v>[DV] ShineCombo 10 bước Ultra Care 2023</v>
      </c>
      <c r="F513" s="32">
        <v>122000</v>
      </c>
    </row>
    <row r="514">
      <c r="A514" s="33" t="str">
        <v>80 PL BD</v>
      </c>
      <c r="B514" s="33" t="str">
        <v>DV_Cắt</v>
      </c>
      <c r="C514" s="33">
        <v>891</v>
      </c>
      <c r="D514" s="33">
        <f>A514&amp;C514</f>
      </c>
      <c r="E514" s="33" t="str">
        <v>Cắt xả tạo kiểu</v>
      </c>
      <c r="F514" s="32">
        <v>94000</v>
      </c>
    </row>
    <row r="515">
      <c r="A515" s="33" t="str">
        <v>80 PL BD</v>
      </c>
      <c r="B515" s="33" t="str">
        <v>DV_Cắt</v>
      </c>
      <c r="C515" s="33">
        <v>1052</v>
      </c>
      <c r="D515" s="33">
        <f>A515&amp;C515</f>
      </c>
      <c r="E515" s="33" t="str">
        <v>Combo 1 - First Class 1</v>
      </c>
      <c r="F515" s="32">
        <v>159000</v>
      </c>
    </row>
    <row r="516">
      <c r="A516" s="33" t="str">
        <v>80 PL BD</v>
      </c>
      <c r="B516" s="33" t="str">
        <v>DV_Cắt</v>
      </c>
      <c r="C516" s="33">
        <v>1070</v>
      </c>
      <c r="D516" s="33">
        <f>A516&amp;C516</f>
      </c>
      <c r="E516" s="33" t="str">
        <v>Combo Cắt gội Kid</v>
      </c>
      <c r="F516" s="32">
        <v>100000</v>
      </c>
    </row>
    <row r="517">
      <c r="A517" s="33" t="str">
        <v>80 PL BD</v>
      </c>
      <c r="B517" s="33" t="str">
        <v>DV_Cắt</v>
      </c>
      <c r="C517" s="33">
        <v>1002</v>
      </c>
      <c r="D517" s="33">
        <f>A517&amp;C517</f>
      </c>
      <c r="E517" s="33" t="str">
        <v>Kid Cắt</v>
      </c>
      <c r="F517" s="32">
        <v>75000</v>
      </c>
    </row>
    <row r="518">
      <c r="A518" s="33" t="str">
        <v>80 PL BD</v>
      </c>
      <c r="B518" s="33" t="str">
        <v>DV_Cắt_Vip</v>
      </c>
      <c r="C518" s="33">
        <v>1047</v>
      </c>
      <c r="D518" s="33">
        <f>A518&amp;C518</f>
      </c>
      <c r="E518" s="33" t="str">
        <v>Cắt Gội Combo 3 - Chăm da</v>
      </c>
      <c r="F518" s="32">
        <v>299000</v>
      </c>
    </row>
    <row r="519">
      <c r="A519" s="33" t="str">
        <v>80 PL BD</v>
      </c>
      <c r="B519" s="33" t="str">
        <v>DV_Cắt_Vip</v>
      </c>
      <c r="C519" s="33">
        <v>1065</v>
      </c>
      <c r="D519" s="33">
        <f>A519&amp;C519</f>
      </c>
      <c r="E519" s="33" t="str">
        <v>Cắt Gội Combo 3 - Dưỡng sinh</v>
      </c>
      <c r="F519" s="32">
        <v>299000</v>
      </c>
    </row>
    <row r="520">
      <c r="A520" s="33" t="str">
        <v>80 PL BD</v>
      </c>
      <c r="B520" s="33" t="str">
        <v>DV_Cắt_Vip</v>
      </c>
      <c r="C520" s="33">
        <v>1048</v>
      </c>
      <c r="D520" s="33">
        <f>A520&amp;C520</f>
      </c>
      <c r="E520" s="33" t="str">
        <v>Combo 4</v>
      </c>
      <c r="F520" s="32">
        <v>389000</v>
      </c>
    </row>
    <row r="521">
      <c r="A521" s="33" t="str">
        <v>80 PL BD</v>
      </c>
      <c r="B521" s="33" t="str">
        <v>DV_Cắt_Vip</v>
      </c>
      <c r="C521" s="33">
        <v>1150</v>
      </c>
      <c r="D521" s="33">
        <f>A521&amp;C521</f>
      </c>
      <c r="E521" s="33" t="str">
        <v>Combo cắt gội đỉnh cao thư giãn vip</v>
      </c>
      <c r="F521" s="32">
        <v>500000</v>
      </c>
    </row>
    <row r="522">
      <c r="A522" s="33" t="str">
        <v>80 PL BD</v>
      </c>
      <c r="B522" s="33" t="str">
        <v>DV_Cắt_Vip</v>
      </c>
      <c r="C522" s="33">
        <v>1046</v>
      </c>
      <c r="D522" s="33">
        <f>A522&amp;C522</f>
      </c>
      <c r="E522" s="33" t="str">
        <v>Shinecombo 2</v>
      </c>
      <c r="F522" s="32">
        <v>199000</v>
      </c>
    </row>
    <row r="523">
      <c r="A523" s="33" t="str">
        <v>80 TP TH</v>
      </c>
      <c r="B523" s="33" t="str">
        <v>DV_Cắt</v>
      </c>
      <c r="C523" s="33">
        <v>513</v>
      </c>
      <c r="D523" s="33">
        <f>A523&amp;C523</f>
      </c>
      <c r="E523" s="33" t="str">
        <v>[DV] ShineCombo 10 bước Ultra Care 2023</v>
      </c>
      <c r="F523" s="32">
        <v>122000</v>
      </c>
    </row>
    <row r="524">
      <c r="A524" s="33" t="str">
        <v>80 TP TH</v>
      </c>
      <c r="B524" s="33" t="str">
        <v>DV_Cắt</v>
      </c>
      <c r="C524" s="33">
        <v>891</v>
      </c>
      <c r="D524" s="33">
        <f>A524&amp;C524</f>
      </c>
      <c r="E524" s="33" t="str">
        <v>Cắt xả tạo kiểu</v>
      </c>
      <c r="F524" s="32">
        <v>103000</v>
      </c>
    </row>
    <row r="525">
      <c r="A525" s="33" t="str">
        <v>80 TP TH</v>
      </c>
      <c r="B525" s="33" t="str">
        <v>DV_Cắt</v>
      </c>
      <c r="C525" s="33">
        <v>1002</v>
      </c>
      <c r="D525" s="33">
        <f>A525&amp;C525</f>
      </c>
      <c r="E525" s="33" t="str">
        <v>Kid Cắt</v>
      </c>
      <c r="F525" s="32">
        <v>84000</v>
      </c>
    </row>
    <row r="526">
      <c r="A526" s="33" t="str">
        <v>80 TP TH</v>
      </c>
      <c r="B526" s="33" t="str">
        <v>DV_Cắt</v>
      </c>
      <c r="C526" s="33">
        <v>1255</v>
      </c>
      <c r="D526" s="33">
        <f>A526&amp;C526</f>
      </c>
      <c r="E526" s="33" t="str">
        <v>VH Cắt gội dưỡng sinh Vip</v>
      </c>
      <c r="F526" s="32">
        <v>258000</v>
      </c>
    </row>
    <row r="527">
      <c r="A527" s="33" t="str">
        <v>80 TP TH</v>
      </c>
      <c r="B527" s="33" t="str">
        <v>DV_Cắt_Vip</v>
      </c>
      <c r="C527" s="33">
        <v>1047</v>
      </c>
      <c r="D527" s="33">
        <f>A527&amp;C527</f>
      </c>
      <c r="E527" s="33" t="str">
        <v>Cắt Gội Combo 3 - Chăm da</v>
      </c>
      <c r="F527" s="32">
        <v>308000</v>
      </c>
    </row>
    <row r="528">
      <c r="A528" s="33" t="str">
        <v>80 TP TH</v>
      </c>
      <c r="B528" s="33" t="str">
        <v>DV_Cắt_Vip</v>
      </c>
      <c r="C528" s="33">
        <v>1065</v>
      </c>
      <c r="D528" s="33">
        <f>A528&amp;C528</f>
      </c>
      <c r="E528" s="33" t="str">
        <v>Cắt Gội Combo 3 - Dưỡng sinh</v>
      </c>
      <c r="F528" s="32">
        <v>308000</v>
      </c>
    </row>
    <row r="529">
      <c r="A529" s="33" t="str">
        <v>80 TP TH</v>
      </c>
      <c r="B529" s="33" t="str">
        <v>DV_Cắt_Vip</v>
      </c>
      <c r="C529" s="33">
        <v>1048</v>
      </c>
      <c r="D529" s="33">
        <f>A529&amp;C529</f>
      </c>
      <c r="E529" s="33" t="str">
        <v>Combo 4</v>
      </c>
      <c r="F529" s="32">
        <v>398000</v>
      </c>
    </row>
    <row r="530">
      <c r="A530" s="33" t="str">
        <v>80 TP TH</v>
      </c>
      <c r="B530" s="33" t="str">
        <v>DV_Cắt_Vip</v>
      </c>
      <c r="C530" s="33">
        <v>1046</v>
      </c>
      <c r="D530" s="33">
        <f>A530&amp;C530</f>
      </c>
      <c r="E530" s="33" t="str">
        <v>Shinecombo 2</v>
      </c>
      <c r="F530" s="32">
        <v>208000</v>
      </c>
    </row>
    <row r="531">
      <c r="A531" s="33" t="str">
        <v>80 TP TH</v>
      </c>
      <c r="B531" s="33" t="str">
        <v>DV_Cắt_Vip</v>
      </c>
      <c r="C531" s="33">
        <v>1256</v>
      </c>
      <c r="D531" s="33">
        <f>A531&amp;C531</f>
      </c>
      <c r="E531" s="33" t="str">
        <v>VH Cắt gội dưỡng sinh Vip LRT</v>
      </c>
      <c r="F531" s="32">
        <v>308000</v>
      </c>
    </row>
    <row r="532">
      <c r="A532" s="33" t="str">
        <v>80 TP TH</v>
      </c>
      <c r="B532" s="33" t="str">
        <v>DV_Cắt_Vip</v>
      </c>
      <c r="C532" s="33">
        <v>1257</v>
      </c>
      <c r="D532" s="33">
        <f>A532&amp;C532</f>
      </c>
      <c r="E532" s="33" t="str">
        <v>VH Cắt gội thư giãn phục hồi</v>
      </c>
      <c r="F532" s="32">
        <v>458000</v>
      </c>
    </row>
    <row r="533">
      <c r="A533" s="33" t="str">
        <v>90 NH</v>
      </c>
      <c r="B533" s="33" t="str">
        <v>DV_Cắt</v>
      </c>
      <c r="C533" s="33">
        <v>513</v>
      </c>
      <c r="D533" s="33">
        <f>A533&amp;C533</f>
      </c>
      <c r="E533" s="33" t="str">
        <v>[DV] ShineCombo 10 bước Ultra Care 2023</v>
      </c>
      <c r="F533" s="32">
        <v>122000</v>
      </c>
    </row>
    <row r="534">
      <c r="A534" s="33" t="str">
        <v>90 NH</v>
      </c>
      <c r="B534" s="33" t="str">
        <v>DV_Cắt</v>
      </c>
      <c r="C534" s="33">
        <v>891</v>
      </c>
      <c r="D534" s="33">
        <f>A534&amp;C534</f>
      </c>
      <c r="E534" s="33" t="str">
        <v>Cắt xả tạo kiểu</v>
      </c>
      <c r="F534" s="32">
        <v>94000</v>
      </c>
    </row>
    <row r="535">
      <c r="A535" s="33" t="str">
        <v>90 NH</v>
      </c>
      <c r="B535" s="33" t="str">
        <v>DV_Cắt</v>
      </c>
      <c r="C535" s="33">
        <v>1002</v>
      </c>
      <c r="D535" s="33">
        <f>A535&amp;C535</f>
      </c>
      <c r="E535" s="33" t="str">
        <v>Kid Cắt</v>
      </c>
      <c r="F535" s="32">
        <v>75000</v>
      </c>
    </row>
    <row r="536">
      <c r="A536" s="33" t="str">
        <v>90 NH</v>
      </c>
      <c r="B536" s="33" t="str">
        <v>DV_Cắt_Vip</v>
      </c>
      <c r="C536" s="33">
        <v>1047</v>
      </c>
      <c r="D536" s="33">
        <f>A536&amp;C536</f>
      </c>
      <c r="E536" s="33" t="str">
        <v>Cắt Gội Combo 3 - Chăm da</v>
      </c>
      <c r="F536" s="32">
        <v>299000</v>
      </c>
    </row>
    <row r="537">
      <c r="A537" s="33" t="str">
        <v>90 NH</v>
      </c>
      <c r="B537" s="33" t="str">
        <v>DV_Cắt_Vip</v>
      </c>
      <c r="C537" s="33">
        <v>1065</v>
      </c>
      <c r="D537" s="33">
        <f>A537&amp;C537</f>
      </c>
      <c r="E537" s="33" t="str">
        <v>Cắt Gội Combo 3 - Dưỡng sinh</v>
      </c>
      <c r="F537" s="32">
        <v>299000</v>
      </c>
    </row>
    <row r="538">
      <c r="A538" s="33" t="str">
        <v>90 NH</v>
      </c>
      <c r="B538" s="33" t="str">
        <v>DV_Cắt_Vip</v>
      </c>
      <c r="C538" s="33">
        <v>1064</v>
      </c>
      <c r="D538" s="33">
        <f>A538&amp;C538</f>
      </c>
      <c r="E538" s="33" t="str">
        <v>Cắt Gội Combo 5 - Dưỡng sinh</v>
      </c>
      <c r="F538" s="32">
        <v>459000</v>
      </c>
    </row>
    <row r="539">
      <c r="A539" s="33" t="str">
        <v>90 NH</v>
      </c>
      <c r="B539" s="33" t="str">
        <v>DV_Cắt_Vip</v>
      </c>
      <c r="C539" s="33">
        <v>1048</v>
      </c>
      <c r="D539" s="33">
        <f>A539&amp;C539</f>
      </c>
      <c r="E539" s="33" t="str">
        <v>Combo 4</v>
      </c>
      <c r="F539" s="32">
        <v>389000</v>
      </c>
    </row>
    <row r="540">
      <c r="A540" s="33" t="str">
        <v>90 NH</v>
      </c>
      <c r="B540" s="33" t="str">
        <v>DV_Cắt_Vip</v>
      </c>
      <c r="C540" s="33">
        <v>1046</v>
      </c>
      <c r="D540" s="33">
        <f>A540&amp;C540</f>
      </c>
      <c r="E540" s="33" t="str">
        <v>Shinecombo 2</v>
      </c>
      <c r="F540" s="32">
        <v>199000</v>
      </c>
    </row>
    <row r="541">
      <c r="A541" s="33" t="str">
        <v>927 HG</v>
      </c>
      <c r="B541" s="33" t="str">
        <v>DV_Cắt</v>
      </c>
      <c r="C541" s="33">
        <v>513</v>
      </c>
      <c r="D541" s="33">
        <f>A541&amp;C541</f>
      </c>
      <c r="E541" s="33" t="str">
        <v>[DV] ShineCombo 10 bước Ultra Care 2023</v>
      </c>
      <c r="F541" s="32">
        <v>122000</v>
      </c>
    </row>
    <row r="542">
      <c r="A542" s="33" t="str">
        <v>927 HG</v>
      </c>
      <c r="B542" s="33" t="str">
        <v>DV_Cắt</v>
      </c>
      <c r="C542" s="33">
        <v>891</v>
      </c>
      <c r="D542" s="33">
        <f>A542&amp;C542</f>
      </c>
      <c r="E542" s="33" t="str">
        <v>Cắt xả tạo kiểu</v>
      </c>
      <c r="F542" s="32">
        <v>100000</v>
      </c>
    </row>
    <row r="543">
      <c r="A543" s="33" t="str">
        <v>927 HG</v>
      </c>
      <c r="B543" s="33" t="str">
        <v>DV_Cắt</v>
      </c>
      <c r="C543" s="33">
        <v>1052</v>
      </c>
      <c r="D543" s="33">
        <f>A543&amp;C543</f>
      </c>
      <c r="E543" s="33" t="str">
        <v>Combo 1 - First Class 1</v>
      </c>
      <c r="F543" s="32">
        <v>139000</v>
      </c>
    </row>
    <row r="544">
      <c r="A544" s="33" t="str">
        <v>927 HG</v>
      </c>
      <c r="B544" s="33" t="str">
        <v>DV_Cắt</v>
      </c>
      <c r="C544" s="33">
        <v>1002</v>
      </c>
      <c r="D544" s="33">
        <f>A544&amp;C544</f>
      </c>
      <c r="E544" s="33" t="str">
        <v>Kid Cắt</v>
      </c>
      <c r="F544" s="32">
        <v>81000</v>
      </c>
    </row>
    <row r="545">
      <c r="A545" s="33" t="str">
        <v>927 HG</v>
      </c>
      <c r="B545" s="33" t="str">
        <v>DV_Cắt_Vip</v>
      </c>
      <c r="C545" s="33">
        <v>1047</v>
      </c>
      <c r="D545" s="33">
        <f>A545&amp;C545</f>
      </c>
      <c r="E545" s="33" t="str">
        <v>Cắt Gội Combo 3 - Chăm da</v>
      </c>
      <c r="F545" s="32">
        <v>305000</v>
      </c>
    </row>
    <row r="546">
      <c r="A546" s="33" t="str">
        <v>927 HG</v>
      </c>
      <c r="B546" s="33" t="str">
        <v>DV_Cắt_Vip</v>
      </c>
      <c r="C546" s="33">
        <v>1053</v>
      </c>
      <c r="D546" s="33">
        <f>A546&amp;C546</f>
      </c>
      <c r="E546" s="33" t="str">
        <v>Combo 2 - First Class 2</v>
      </c>
      <c r="F546" s="32">
        <v>245000</v>
      </c>
    </row>
    <row r="547">
      <c r="A547" s="33" t="str">
        <v>927 HG</v>
      </c>
      <c r="B547" s="33" t="str">
        <v>DV_Cắt_Vip</v>
      </c>
      <c r="C547" s="33">
        <v>1054</v>
      </c>
      <c r="D547" s="33">
        <f>A547&amp;C547</f>
      </c>
      <c r="E547" s="33" t="str">
        <v>Combo 3 - First Class 3</v>
      </c>
      <c r="F547" s="32">
        <v>315000</v>
      </c>
    </row>
    <row r="548">
      <c r="A548" s="33" t="str">
        <v>927 HG</v>
      </c>
      <c r="B548" s="33" t="str">
        <v>DV_Cắt_Vip</v>
      </c>
      <c r="C548" s="33">
        <v>1048</v>
      </c>
      <c r="D548" s="33">
        <f>A548&amp;C548</f>
      </c>
      <c r="E548" s="33" t="str">
        <v>Combo 4</v>
      </c>
      <c r="F548" s="32">
        <v>395000</v>
      </c>
    </row>
    <row r="549">
      <c r="A549" s="33" t="str">
        <v>927 HG</v>
      </c>
      <c r="B549" s="33" t="str">
        <v>DV_Cắt_Vip</v>
      </c>
      <c r="C549" s="33">
        <v>1055</v>
      </c>
      <c r="D549" s="33">
        <f>A549&amp;C549</f>
      </c>
      <c r="E549" s="33" t="str">
        <v>Combo 4- First Class 4</v>
      </c>
      <c r="F549" s="32">
        <v>415000</v>
      </c>
    </row>
    <row r="550">
      <c r="A550" s="33" t="str">
        <v>927 HG</v>
      </c>
      <c r="B550" s="33" t="str">
        <v>DV_Cắt_Vip</v>
      </c>
      <c r="C550" s="33">
        <v>1046</v>
      </c>
      <c r="D550" s="33">
        <f>A550&amp;C550</f>
      </c>
      <c r="E550" s="33" t="str">
        <v>Shinecombo 2</v>
      </c>
      <c r="F550" s="32">
        <v>205000</v>
      </c>
    </row>
    <row r="551">
      <c r="A551" s="33" t="str">
        <v>927 HG</v>
      </c>
      <c r="B551" s="33" t="str">
        <v>DV_Cắt</v>
      </c>
      <c r="C551" s="33">
        <v>1070</v>
      </c>
      <c r="D551" s="33">
        <f>A551&amp;C551</f>
      </c>
      <c r="E551" s="33" t="str">
        <v>Combo Cắt gội Kid</v>
      </c>
      <c r="F551" s="32">
        <v>100000</v>
      </c>
    </row>
    <row r="552">
      <c r="A552" s="33" t="str">
        <v>99 TSN</v>
      </c>
      <c r="B552" s="33" t="str">
        <v>DV_Cắt</v>
      </c>
      <c r="C552" s="33">
        <v>513</v>
      </c>
      <c r="D552" s="33">
        <f>A552&amp;C552</f>
      </c>
      <c r="E552" s="33" t="str">
        <v>[DV] ShineCombo 10 bước Ultra Care 2023</v>
      </c>
      <c r="F552" s="32">
        <v>122000</v>
      </c>
    </row>
    <row r="553">
      <c r="A553" s="33" t="str">
        <v>99 TSN</v>
      </c>
      <c r="B553" s="33" t="str">
        <v>DV_Cắt</v>
      </c>
      <c r="C553" s="33">
        <v>891</v>
      </c>
      <c r="D553" s="33">
        <f>A553&amp;C553</f>
      </c>
      <c r="E553" s="33" t="str">
        <v>Cắt xả tạo kiểu</v>
      </c>
      <c r="F553" s="32">
        <v>100000</v>
      </c>
    </row>
    <row r="554">
      <c r="A554" s="33" t="str">
        <v>99 TSN</v>
      </c>
      <c r="B554" s="33" t="str">
        <v>DV_Cắt</v>
      </c>
      <c r="C554" s="33">
        <v>1002</v>
      </c>
      <c r="D554" s="33">
        <f>A554&amp;C554</f>
      </c>
      <c r="E554" s="33" t="str">
        <v>Kid Cắt</v>
      </c>
      <c r="F554" s="32">
        <v>81000</v>
      </c>
    </row>
    <row r="555">
      <c r="A555" s="33" t="str">
        <v>99 TSN</v>
      </c>
      <c r="B555" s="33" t="str">
        <v>DV_Cắt_Vip</v>
      </c>
      <c r="C555" s="33">
        <v>1047</v>
      </c>
      <c r="D555" s="33">
        <f>A555&amp;C555</f>
      </c>
      <c r="E555" s="33" t="str">
        <v>Cắt Gội Combo 3 - Chăm da</v>
      </c>
      <c r="F555" s="32">
        <v>305000</v>
      </c>
    </row>
    <row r="556">
      <c r="A556" s="33" t="str">
        <v>99 TSN</v>
      </c>
      <c r="B556" s="33" t="str">
        <v>DV_Cắt_Vip</v>
      </c>
      <c r="C556" s="33">
        <v>1065</v>
      </c>
      <c r="D556" s="33">
        <f>A556&amp;C556</f>
      </c>
      <c r="E556" s="33" t="str">
        <v>Cắt Gội Combo 3 - Dưỡng sinh</v>
      </c>
      <c r="F556" s="32">
        <v>305000</v>
      </c>
    </row>
    <row r="557">
      <c r="A557" s="33" t="str">
        <v>99 TSN</v>
      </c>
      <c r="B557" s="33" t="str">
        <v>DV_Cắt_Vip</v>
      </c>
      <c r="C557" s="33">
        <v>1064</v>
      </c>
      <c r="D557" s="33">
        <f>A557&amp;C557</f>
      </c>
      <c r="E557" s="33" t="str">
        <v>Cắt Gội Combo 5 - Dưỡng sinh</v>
      </c>
      <c r="F557" s="32">
        <v>465000</v>
      </c>
    </row>
    <row r="558">
      <c r="A558" s="33" t="str">
        <v>99 TSN</v>
      </c>
      <c r="B558" s="33" t="str">
        <v>DV_Cắt_Vip</v>
      </c>
      <c r="C558" s="33">
        <v>1053</v>
      </c>
      <c r="D558" s="33">
        <f>A558&amp;C558</f>
      </c>
      <c r="E558" s="33" t="str">
        <v>Combo 2 - First Class 2</v>
      </c>
      <c r="F558" s="32">
        <v>235000</v>
      </c>
    </row>
    <row r="559">
      <c r="A559" s="33" t="str">
        <v>99 TSN</v>
      </c>
      <c r="B559" s="33" t="str">
        <v>DV_Cắt_Vip</v>
      </c>
      <c r="C559" s="33">
        <v>1048</v>
      </c>
      <c r="D559" s="33">
        <f>A559&amp;C559</f>
      </c>
      <c r="E559" s="33" t="str">
        <v>Combo 4</v>
      </c>
      <c r="F559" s="32">
        <v>395000</v>
      </c>
    </row>
    <row r="560">
      <c r="A560" s="33" t="str">
        <v>99 TSN</v>
      </c>
      <c r="B560" s="33" t="str">
        <v>DV_Cắt_Vip</v>
      </c>
      <c r="C560" s="33">
        <v>1046</v>
      </c>
      <c r="D560" s="33">
        <f>A560&amp;C560</f>
      </c>
      <c r="E560" s="33" t="str">
        <v>Shinecombo 2</v>
      </c>
      <c r="F560" s="32">
        <v>205000</v>
      </c>
    </row>
    <row r="561">
      <c r="A561" s="33" t="str">
        <v>99 TSN</v>
      </c>
      <c r="B561" s="33" t="str">
        <v>DV_Cắt</v>
      </c>
      <c r="C561" s="33">
        <v>1070</v>
      </c>
      <c r="D561" s="33">
        <f>A561&amp;C561</f>
      </c>
      <c r="E561" s="33" t="str">
        <v>Combo Cắt gội Kid</v>
      </c>
      <c r="F561" s="32">
        <v>100000</v>
      </c>
    </row>
    <row r="562">
      <c r="A562" s="33" t="str">
        <v>TG 25/4 QN</v>
      </c>
      <c r="B562" s="33" t="str">
        <v>DV_Cắt</v>
      </c>
      <c r="C562" s="33">
        <v>513</v>
      </c>
      <c r="D562" s="33">
        <f>A562&amp;C562</f>
      </c>
      <c r="E562" s="33" t="str">
        <v>[DV] ShineCombo 10 bước Ultra Care 2023</v>
      </c>
      <c r="F562" s="32">
        <v>122000</v>
      </c>
    </row>
    <row r="563">
      <c r="A563" s="33" t="str">
        <v>TG 25/4 QN</v>
      </c>
      <c r="B563" s="33" t="str">
        <v>DV_Cắt</v>
      </c>
      <c r="C563" s="33">
        <v>891</v>
      </c>
      <c r="D563" s="33">
        <f>A563&amp;C563</f>
      </c>
      <c r="E563" s="33" t="str">
        <v>Cắt xả tạo kiểu</v>
      </c>
      <c r="F563" s="32">
        <v>94000</v>
      </c>
    </row>
    <row r="564">
      <c r="A564" s="33" t="str">
        <v>TG 25/4 QN</v>
      </c>
      <c r="B564" s="33" t="str">
        <v>DV_Cắt</v>
      </c>
      <c r="C564" s="33">
        <v>1070</v>
      </c>
      <c r="D564" s="33">
        <f>A564&amp;C564</f>
      </c>
      <c r="E564" s="33" t="str">
        <v>Combo Cắt gội Kid</v>
      </c>
      <c r="F564" s="32">
        <v>100000</v>
      </c>
    </row>
    <row r="565">
      <c r="A565" s="33" t="str">
        <v>TG 25/4 QN</v>
      </c>
      <c r="B565" s="33" t="str">
        <v>DV_Cắt</v>
      </c>
      <c r="C565" s="33">
        <v>1002</v>
      </c>
      <c r="D565" s="33">
        <f>A565&amp;C565</f>
      </c>
      <c r="E565" s="33" t="str">
        <v>Kid Cắt</v>
      </c>
      <c r="F565" s="32">
        <v>75000</v>
      </c>
    </row>
    <row r="566">
      <c r="A566" s="33" t="str">
        <v>TG 25/4 QN</v>
      </c>
      <c r="B566" s="33" t="str">
        <v>DV_Cắt_Vip</v>
      </c>
      <c r="C566" s="33">
        <v>1047</v>
      </c>
      <c r="D566" s="33">
        <f>A566&amp;C566</f>
      </c>
      <c r="E566" s="33" t="str">
        <v>Cắt Gội Combo 3 - Chăm da</v>
      </c>
      <c r="F566" s="32">
        <v>299000</v>
      </c>
    </row>
    <row r="567">
      <c r="A567" s="33" t="str">
        <v>TG 25/4 QN</v>
      </c>
      <c r="B567" s="33" t="str">
        <v>DV_Cắt_Vip</v>
      </c>
      <c r="C567" s="33">
        <v>1048</v>
      </c>
      <c r="D567" s="33">
        <f>A567&amp;C567</f>
      </c>
      <c r="E567" s="33" t="str">
        <v>Combo 4</v>
      </c>
      <c r="F567" s="32">
        <v>389000</v>
      </c>
    </row>
    <row r="568">
      <c r="A568" s="33" t="str">
        <v>TG 25/4 QN</v>
      </c>
      <c r="B568" s="33" t="str">
        <v>DV_Cắt_Vip</v>
      </c>
      <c r="C568" s="33">
        <v>1046</v>
      </c>
      <c r="D568" s="33">
        <f>A568&amp;C568</f>
      </c>
      <c r="E568" s="33" t="str">
        <v>Shinecombo 2</v>
      </c>
      <c r="F568" s="32">
        <v>199000</v>
      </c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32"/>
  </cols>
  <sheetData>
    <row r="1">
      <c r="A1" t="str">
        <v>Tên salon</v>
      </c>
      <c r="B1" t="str">
        <v>ID salon</v>
      </c>
      <c r="C1" t="str">
        <v>Tên dịch vụ</v>
      </c>
      <c r="D1" t="str">
        <v>ID dịch vụ</v>
      </c>
      <c r="F1" t="str">
        <v>Điều chỉnh thay đổi ngày 6/3</v>
      </c>
    </row>
    <row r="2">
      <c r="A2" t="str">
        <v>10 TP</v>
      </c>
      <c r="B2">
        <v>143</v>
      </c>
      <c r="C2" t="str">
        <v>(NEW) Uốn/Duỗi/Định hình full đầu tạo form vào nếp tự nhiên</v>
      </c>
      <c r="D2">
        <v>1009</v>
      </c>
      <c r="E2" t="str">
        <v>10 TP1009</v>
      </c>
      <c r="F2">
        <v>396000</v>
      </c>
    </row>
    <row r="3">
      <c r="A3" t="str">
        <v>103 TN</v>
      </c>
      <c r="B3">
        <v>44</v>
      </c>
      <c r="C3" t="str">
        <v>(NEW) Uốn/Duỗi/Định hình full đầu tạo form vào nếp tự nhiên</v>
      </c>
      <c r="D3">
        <v>1009</v>
      </c>
      <c r="E3" t="str">
        <v>103 TN1009</v>
      </c>
      <c r="F3">
        <v>406000</v>
      </c>
    </row>
    <row r="4">
      <c r="A4" t="str">
        <v>109 TQH</v>
      </c>
      <c r="B4">
        <v>146</v>
      </c>
      <c r="C4" t="str">
        <v>(NEW) Uốn/Duỗi/Định hình full đầu tạo form vào nếp tự nhiên</v>
      </c>
      <c r="D4">
        <v>1009</v>
      </c>
      <c r="E4" t="str">
        <v>109 TQH1009</v>
      </c>
      <c r="F4">
        <v>396000</v>
      </c>
    </row>
    <row r="5">
      <c r="A5" t="str">
        <v>11 PKT</v>
      </c>
      <c r="B5">
        <v>244</v>
      </c>
      <c r="C5" t="str">
        <v>(NEW) Uốn/Duỗi/Định hình full đầu tạo form vào nếp tự nhiên</v>
      </c>
      <c r="D5">
        <v>1009</v>
      </c>
      <c r="E5" t="str">
        <v>11 PKT1009</v>
      </c>
      <c r="F5">
        <v>396000</v>
      </c>
    </row>
    <row r="6">
      <c r="A6" t="str">
        <v>113 THD AG</v>
      </c>
      <c r="B6">
        <v>72</v>
      </c>
      <c r="C6" t="str">
        <v>(NEW) Uốn/Duỗi/Định hình full đầu tạo form vào nếp tự nhiên</v>
      </c>
      <c r="D6">
        <v>1009</v>
      </c>
      <c r="E6" t="str">
        <v>113 THD AG1009</v>
      </c>
      <c r="F6">
        <v>396000</v>
      </c>
    </row>
    <row r="7">
      <c r="A7" t="str">
        <v>1146 KVC</v>
      </c>
      <c r="B7">
        <v>249</v>
      </c>
      <c r="C7" t="str">
        <v>(NEW) Uốn/Duỗi/Định hình full đầu tạo form vào nếp tự nhiên</v>
      </c>
      <c r="D7">
        <v>1009</v>
      </c>
      <c r="E7" t="str">
        <v>1146 KVC1009</v>
      </c>
      <c r="F7">
        <v>396000</v>
      </c>
    </row>
    <row r="8">
      <c r="A8" t="str">
        <v>116 TK</v>
      </c>
      <c r="B8">
        <v>187</v>
      </c>
      <c r="C8" t="str">
        <v>(NEW) Uốn/Duỗi/Định hình full đầu tạo form vào nếp tự nhiên</v>
      </c>
      <c r="D8">
        <v>1009</v>
      </c>
      <c r="E8" t="str">
        <v>116 TK1009</v>
      </c>
      <c r="F8">
        <v>396000</v>
      </c>
    </row>
    <row r="9">
      <c r="A9" t="str">
        <v>1180 QT</v>
      </c>
      <c r="B9">
        <v>61</v>
      </c>
      <c r="C9" t="str">
        <v>(NEW) Uốn/Duỗi/Định hình full đầu tạo form vào nếp tự nhiên</v>
      </c>
      <c r="D9">
        <v>1009</v>
      </c>
      <c r="E9" t="str">
        <v>1180 QT1009</v>
      </c>
      <c r="F9">
        <v>396000</v>
      </c>
    </row>
    <row r="10">
      <c r="A10" t="str">
        <v>12 LDT</v>
      </c>
      <c r="B10">
        <v>12</v>
      </c>
      <c r="C10" t="str">
        <v>(NEW) Uốn/Duỗi/Định hình full đầu tạo form vào nếp tự nhiên</v>
      </c>
      <c r="D10">
        <v>1009</v>
      </c>
      <c r="E10" t="str">
        <v>12 LDT1009</v>
      </c>
      <c r="F10">
        <v>396000</v>
      </c>
    </row>
    <row r="11">
      <c r="A11" t="str">
        <v>1371 PVT</v>
      </c>
      <c r="B11">
        <v>247</v>
      </c>
      <c r="C11" t="str">
        <v>(NEW) Uốn/Duỗi/Định hình full đầu tạo form vào nếp tự nhiên</v>
      </c>
      <c r="D11">
        <v>1009</v>
      </c>
      <c r="E11" t="str">
        <v>1371 PVT1009</v>
      </c>
      <c r="F11">
        <v>396000</v>
      </c>
    </row>
    <row r="12">
      <c r="A12" t="str">
        <v>145 THT</v>
      </c>
      <c r="B12">
        <v>193</v>
      </c>
      <c r="C12" t="str">
        <v>(NEW) Uốn/Duỗi/Định hình full đầu tạo form vào nếp tự nhiên</v>
      </c>
      <c r="D12">
        <v>1009</v>
      </c>
      <c r="E12" t="str">
        <v>145 THT1009</v>
      </c>
      <c r="F12">
        <v>396000</v>
      </c>
    </row>
    <row r="13">
      <c r="A13" t="str">
        <v>148 TD</v>
      </c>
      <c r="B13">
        <v>210</v>
      </c>
      <c r="C13" t="str">
        <v>(NEW) Uốn/Duỗi/Định hình full đầu tạo form vào nếp tự nhiên</v>
      </c>
      <c r="D13">
        <v>1009</v>
      </c>
      <c r="E13" t="str">
        <v>148 TD1009</v>
      </c>
      <c r="F13">
        <v>396000</v>
      </c>
    </row>
    <row r="14">
      <c r="A14" t="str">
        <v>151 CG</v>
      </c>
      <c r="B14">
        <v>39</v>
      </c>
      <c r="C14" t="str">
        <v>(NEW) Uốn/Duỗi/Định hình full đầu tạo form vào nếp tự nhiên</v>
      </c>
      <c r="D14">
        <v>1009</v>
      </c>
      <c r="E14" t="str">
        <v>151 CG1009</v>
      </c>
      <c r="F14">
        <v>396000</v>
      </c>
    </row>
    <row r="15">
      <c r="A15" t="str">
        <v>168 NVC</v>
      </c>
      <c r="B15">
        <v>144</v>
      </c>
      <c r="C15" t="str">
        <v>(NEW) Uốn/Duỗi/Định hình full đầu tạo form vào nếp tự nhiên</v>
      </c>
      <c r="D15">
        <v>1009</v>
      </c>
      <c r="E15" t="str">
        <v>168 NVC1009</v>
      </c>
      <c r="F15">
        <v>416000</v>
      </c>
    </row>
    <row r="16">
      <c r="A16" t="str">
        <v>173 TN</v>
      </c>
      <c r="B16">
        <v>250</v>
      </c>
      <c r="C16" t="str">
        <v>(NEW) Uốn/Duỗi/Định hình full đầu tạo form vào nếp tự nhiên</v>
      </c>
      <c r="D16">
        <v>1009</v>
      </c>
      <c r="E16" t="str">
        <v>173 TN1009</v>
      </c>
      <c r="F16">
        <v>396000</v>
      </c>
    </row>
    <row r="17">
      <c r="A17" t="str">
        <v>186 DTH</v>
      </c>
      <c r="B17">
        <v>182</v>
      </c>
      <c r="C17" t="str">
        <v>(NEW) Uốn/Duỗi/Định hình full đầu tạo form vào nếp tự nhiên</v>
      </c>
      <c r="D17">
        <v>1009</v>
      </c>
      <c r="E17" t="str">
        <v>186 DTH1009</v>
      </c>
      <c r="F17">
        <v>396000</v>
      </c>
    </row>
    <row r="18">
      <c r="A18" t="str">
        <v>186 QT</v>
      </c>
      <c r="B18">
        <v>239</v>
      </c>
      <c r="C18" t="str">
        <v>(NEW) Uốn/Duỗi/Định hình full đầu tạo form vào nếp tự nhiên</v>
      </c>
      <c r="D18">
        <v>1009</v>
      </c>
      <c r="E18" t="str">
        <v>186 QT1009</v>
      </c>
      <c r="F18">
        <v>396000</v>
      </c>
    </row>
    <row r="19">
      <c r="A19" t="str">
        <v>190 HB</v>
      </c>
      <c r="B19">
        <v>188</v>
      </c>
      <c r="C19" t="str">
        <v>(NEW) Uốn/Duỗi/Định hình full đầu tạo form vào nếp tự nhiên</v>
      </c>
      <c r="D19">
        <v>1009</v>
      </c>
      <c r="E19" t="str">
        <v>190 HB1009</v>
      </c>
      <c r="F19">
        <v>396000</v>
      </c>
    </row>
    <row r="20">
      <c r="A20" t="str">
        <v>202 DC</v>
      </c>
      <c r="B20">
        <v>196</v>
      </c>
      <c r="C20" t="str">
        <v>(NEW) Uốn/Duỗi/Định hình full đầu tạo form vào nếp tự nhiên</v>
      </c>
      <c r="D20">
        <v>1009</v>
      </c>
      <c r="E20" t="str">
        <v>202 DC1009</v>
      </c>
      <c r="F20">
        <v>396000</v>
      </c>
    </row>
    <row r="21">
      <c r="A21" t="str">
        <v>236 DBT</v>
      </c>
      <c r="B21">
        <v>141</v>
      </c>
      <c r="C21" t="str">
        <v>(NEW) Uốn/Duỗi/Định hình full đầu tạo form vào nếp tự nhiên</v>
      </c>
      <c r="D21">
        <v>1009</v>
      </c>
      <c r="E21" t="str">
        <v>236 DBT1009</v>
      </c>
      <c r="F21">
        <v>396000</v>
      </c>
    </row>
    <row r="22">
      <c r="A22" t="str">
        <v>237 NTT</v>
      </c>
      <c r="B22">
        <v>145</v>
      </c>
      <c r="C22" t="str">
        <v>(NEW) Uốn/Duỗi/Định hình full đầu tạo form vào nếp tự nhiên</v>
      </c>
      <c r="D22">
        <v>1009</v>
      </c>
      <c r="E22" t="str">
        <v>237 NTT1009</v>
      </c>
      <c r="F22">
        <v>396000</v>
      </c>
    </row>
    <row r="23">
      <c r="A23" t="str">
        <v>25 TD</v>
      </c>
      <c r="B23">
        <v>45</v>
      </c>
      <c r="C23" t="str">
        <v>(NEW) Uốn/Duỗi/Định hình full đầu tạo form vào nếp tự nhiên</v>
      </c>
      <c r="D23">
        <v>1009</v>
      </c>
      <c r="E23" t="str">
        <v>25 TD1009</v>
      </c>
      <c r="F23">
        <v>416000</v>
      </c>
    </row>
    <row r="24">
      <c r="A24" t="str">
        <v>255 NAN</v>
      </c>
      <c r="B24">
        <v>65</v>
      </c>
      <c r="C24" t="str">
        <v>(NEW) Uốn/Duỗi/Định hình full đầu tạo form vào nếp tự nhiên</v>
      </c>
      <c r="D24">
        <v>1009</v>
      </c>
      <c r="E24" t="str">
        <v>255 NAN1009</v>
      </c>
      <c r="F24">
        <v>396000</v>
      </c>
    </row>
    <row r="25">
      <c r="A25" t="str">
        <v>264 LLQ</v>
      </c>
      <c r="B25">
        <v>192</v>
      </c>
      <c r="C25" t="str">
        <v>(NEW) Uốn/Duỗi/Định hình full đầu tạo form vào nếp tự nhiên</v>
      </c>
      <c r="D25">
        <v>1009</v>
      </c>
      <c r="E25" t="str">
        <v>264 LLQ1009</v>
      </c>
      <c r="F25">
        <v>396000</v>
      </c>
    </row>
    <row r="26">
      <c r="A26" t="str">
        <v>29 HB</v>
      </c>
      <c r="B26">
        <v>63</v>
      </c>
      <c r="C26" t="str">
        <v>(NEW) Uốn/Duỗi/Định hình full đầu tạo form vào nếp tự nhiên</v>
      </c>
      <c r="D26">
        <v>1009</v>
      </c>
      <c r="E26" t="str">
        <v>29 HB1009</v>
      </c>
      <c r="F26">
        <v>396000</v>
      </c>
    </row>
    <row r="27">
      <c r="A27" t="str">
        <v>290 QT TH</v>
      </c>
      <c r="B27">
        <v>230</v>
      </c>
      <c r="C27" t="str">
        <v>(NEW) Uốn/Duỗi/Định hình full đầu tạo form vào nếp tự nhiên</v>
      </c>
      <c r="D27">
        <v>1009</v>
      </c>
      <c r="E27" t="str">
        <v>290 QT TH1009</v>
      </c>
      <c r="F27">
        <v>396000</v>
      </c>
    </row>
    <row r="28">
      <c r="A28" t="str">
        <v>304 NT TH</v>
      </c>
      <c r="B28">
        <v>231</v>
      </c>
      <c r="C28" t="str">
        <v>(NEW) Uốn/Duỗi/Định hình full đầu tạo form vào nếp tự nhiên</v>
      </c>
      <c r="D28">
        <v>1009</v>
      </c>
      <c r="E28" t="str">
        <v>304 NT TH1009</v>
      </c>
      <c r="F28">
        <v>396000</v>
      </c>
    </row>
    <row r="29">
      <c r="A29" t="str">
        <v>312 LVS</v>
      </c>
      <c r="B29">
        <v>69</v>
      </c>
      <c r="C29" t="str">
        <v>(NEW) Uốn/Duỗi/Định hình full đầu tạo form vào nếp tự nhiên</v>
      </c>
      <c r="D29">
        <v>1009</v>
      </c>
      <c r="E29" t="str">
        <v>312 LVS1009</v>
      </c>
      <c r="F29">
        <v>396000</v>
      </c>
    </row>
    <row r="30">
      <c r="A30" t="str">
        <v>32 NAT</v>
      </c>
      <c r="B30">
        <v>274</v>
      </c>
      <c r="C30" t="str">
        <v>(NEW) Uốn/Duỗi/Định hình full đầu tạo form vào nếp tự nhiên</v>
      </c>
      <c r="D30">
        <v>1009</v>
      </c>
      <c r="E30" t="str">
        <v>32 NAT1009</v>
      </c>
      <c r="F30">
        <v>396000</v>
      </c>
    </row>
    <row r="31">
      <c r="A31" t="str">
        <v>341 XVNT</v>
      </c>
      <c r="B31">
        <v>205</v>
      </c>
      <c r="C31" t="str">
        <v>(NEW) Uốn/Duỗi/Định hình full đầu tạo form vào nếp tự nhiên</v>
      </c>
      <c r="D31">
        <v>1009</v>
      </c>
      <c r="E31" t="str">
        <v>341 XVNT1009</v>
      </c>
      <c r="F31">
        <v>396000</v>
      </c>
    </row>
    <row r="32">
      <c r="A32" t="str">
        <v>346 KT</v>
      </c>
      <c r="B32">
        <v>2</v>
      </c>
      <c r="C32" t="str">
        <v>(NEW) Uốn/Duỗi/Định hình full đầu tạo form vào nếp tự nhiên</v>
      </c>
      <c r="D32">
        <v>1009</v>
      </c>
      <c r="E32" t="str">
        <v>346 KT1009</v>
      </c>
      <c r="F32">
        <v>416000</v>
      </c>
    </row>
    <row r="33">
      <c r="A33" t="str">
        <v>36 N1 BD</v>
      </c>
      <c r="B33">
        <v>184</v>
      </c>
      <c r="C33" t="str">
        <v>(NEW) Uốn/Duỗi/Định hình full đầu tạo form vào nếp tự nhiên</v>
      </c>
      <c r="D33">
        <v>1009</v>
      </c>
      <c r="E33" t="str">
        <v>36 N1 BD1009</v>
      </c>
      <c r="F33">
        <v>396000</v>
      </c>
    </row>
    <row r="34">
      <c r="A34" t="str">
        <v>362 NGT BN</v>
      </c>
      <c r="B34">
        <v>302</v>
      </c>
      <c r="C34" t="str">
        <v>(NEW) Uốn/Duỗi/Định hình full đầu tạo form vào nếp tự nhiên</v>
      </c>
      <c r="D34">
        <v>1009</v>
      </c>
      <c r="E34" t="str">
        <v>362 NGT BN1009</v>
      </c>
      <c r="F34">
        <v>396000</v>
      </c>
    </row>
    <row r="35">
      <c r="A35" t="str">
        <v>363 LNQ TN</v>
      </c>
      <c r="B35">
        <v>85</v>
      </c>
      <c r="C35" t="str">
        <v>(NEW) Uốn/Duỗi/Định hình full đầu tạo form vào nếp tự nhiên</v>
      </c>
      <c r="D35">
        <v>1009</v>
      </c>
      <c r="E35" t="str">
        <v>363 LNQ TN1009</v>
      </c>
      <c r="F35">
        <v>416000</v>
      </c>
    </row>
    <row r="36">
      <c r="A36" t="str">
        <v>382 NT</v>
      </c>
      <c r="B36">
        <v>20</v>
      </c>
      <c r="C36" t="str">
        <v>(NEW) Uốn/Duỗi/Định hình full đầu tạo form vào nếp tự nhiên</v>
      </c>
      <c r="D36">
        <v>1009</v>
      </c>
      <c r="E36" t="str">
        <v>382 NT1009</v>
      </c>
      <c r="F36">
        <v>396000</v>
      </c>
    </row>
    <row r="37">
      <c r="A37" t="str">
        <v>39 HBT</v>
      </c>
      <c r="B37">
        <v>200</v>
      </c>
      <c r="C37" t="str">
        <v>(NEW) Uốn/Duỗi/Định hình full đầu tạo form vào nếp tự nhiên</v>
      </c>
      <c r="D37">
        <v>1009</v>
      </c>
      <c r="E37" t="str">
        <v>39 HBT1009</v>
      </c>
      <c r="F37">
        <v>396000</v>
      </c>
    </row>
    <row r="38">
      <c r="A38" t="str">
        <v>4 LQD BN</v>
      </c>
      <c r="B38">
        <v>201</v>
      </c>
      <c r="C38" t="str">
        <v>(NEW) Uốn/Duỗi/Định hình full đầu tạo form vào nếp tự nhiên</v>
      </c>
      <c r="D38">
        <v>1009</v>
      </c>
      <c r="E38" t="str">
        <v>4 LQD BN1009</v>
      </c>
      <c r="F38">
        <v>396000</v>
      </c>
    </row>
    <row r="39">
      <c r="A39" t="str">
        <v>401/1 NDT</v>
      </c>
      <c r="B39">
        <v>204</v>
      </c>
      <c r="C39" t="str">
        <v>(NEW) Uốn/Duỗi/Định hình full đầu tạo form vào nếp tự nhiên</v>
      </c>
      <c r="D39">
        <v>1009</v>
      </c>
      <c r="E39" t="str">
        <v>401/1 NDT1009</v>
      </c>
      <c r="F39">
        <v>396000</v>
      </c>
    </row>
    <row r="40">
      <c r="A40" t="str">
        <v>420 HTP</v>
      </c>
      <c r="B40">
        <v>51</v>
      </c>
      <c r="C40" t="str">
        <v>(NEW) Uốn/Duỗi/Định hình full đầu tạo form vào nếp tự nhiên</v>
      </c>
      <c r="D40">
        <v>1009</v>
      </c>
      <c r="E40" t="str">
        <v>420 HTP1009</v>
      </c>
      <c r="F40">
        <v>396000</v>
      </c>
    </row>
    <row r="41">
      <c r="A41" t="str">
        <v>451 PVT</v>
      </c>
      <c r="B41">
        <v>52</v>
      </c>
      <c r="C41" t="str">
        <v>(NEW) Uốn/Duỗi/Định hình full đầu tạo form vào nếp tự nhiên</v>
      </c>
      <c r="D41">
        <v>1009</v>
      </c>
      <c r="E41" t="str">
        <v>451 PVT1009</v>
      </c>
      <c r="F41">
        <v>396000</v>
      </c>
    </row>
    <row r="42">
      <c r="A42" t="str">
        <v>483 TN</v>
      </c>
      <c r="B42">
        <v>46</v>
      </c>
      <c r="C42" t="str">
        <v>(NEW) Uốn/Duỗi/Định hình full đầu tạo form vào nếp tự nhiên</v>
      </c>
      <c r="D42">
        <v>1009</v>
      </c>
      <c r="E42" t="str">
        <v>483 TN1009</v>
      </c>
      <c r="F42">
        <v>396000</v>
      </c>
    </row>
    <row r="43">
      <c r="A43" t="str">
        <v>50BT4 NPC LD</v>
      </c>
      <c r="B43">
        <v>179</v>
      </c>
      <c r="C43" t="str">
        <v>(NEW) Uốn/Duỗi/Định hình full đầu tạo form vào nếp tự nhiên</v>
      </c>
      <c r="D43">
        <v>1009</v>
      </c>
      <c r="E43" t="str">
        <v>50BT4 NPC LD1009</v>
      </c>
      <c r="F43">
        <v>396000</v>
      </c>
    </row>
    <row r="44">
      <c r="A44" t="str">
        <v>55A NVL</v>
      </c>
      <c r="B44">
        <v>245</v>
      </c>
      <c r="C44" t="str">
        <v>(NEW) Uốn/Duỗi/Định hình full đầu tạo form vào nếp tự nhiên</v>
      </c>
      <c r="D44">
        <v>1009</v>
      </c>
      <c r="E44" t="str">
        <v>55A NVL1009</v>
      </c>
      <c r="F44">
        <v>396000</v>
      </c>
    </row>
    <row r="45">
      <c r="A45" t="str">
        <v>575 AC</v>
      </c>
      <c r="B45">
        <v>21</v>
      </c>
      <c r="C45" t="str">
        <v>(NEW) Uốn/Duỗi/Định hình full đầu tạo form vào nếp tự nhiên</v>
      </c>
      <c r="D45">
        <v>1009</v>
      </c>
      <c r="E45" t="str">
        <v>575 AC1009</v>
      </c>
      <c r="F45">
        <v>396000</v>
      </c>
    </row>
    <row r="46">
      <c r="A46" t="str">
        <v>58 NVC NA</v>
      </c>
      <c r="B46">
        <v>212</v>
      </c>
      <c r="C46" t="str">
        <v>(NEW) Uốn/Duỗi/Định hình full đầu tạo form vào nếp tự nhiên</v>
      </c>
      <c r="D46">
        <v>1009</v>
      </c>
      <c r="E46" t="str">
        <v>58 NVC NA1009</v>
      </c>
      <c r="F46">
        <v>396000</v>
      </c>
    </row>
    <row r="47">
      <c r="A47" t="str">
        <v>595 BT TH</v>
      </c>
      <c r="B47">
        <v>233</v>
      </c>
      <c r="C47" t="str">
        <v>(NEW) Uốn/Duỗi/Định hình full đầu tạo form vào nếp tự nhiên</v>
      </c>
      <c r="D47">
        <v>1009</v>
      </c>
      <c r="E47" t="str">
        <v>595 BT TH1009</v>
      </c>
      <c r="F47">
        <v>396000</v>
      </c>
    </row>
    <row r="48">
      <c r="A48" t="str">
        <v>62 LH</v>
      </c>
      <c r="B48">
        <v>228</v>
      </c>
      <c r="C48" t="str">
        <v>(NEW) Uốn/Duỗi/Định hình full đầu tạo form vào nếp tự nhiên</v>
      </c>
      <c r="D48">
        <v>1009</v>
      </c>
      <c r="E48" t="str">
        <v>62 LH1009</v>
      </c>
      <c r="F48">
        <v>396000</v>
      </c>
    </row>
    <row r="49">
      <c r="A49" t="str">
        <v>65 CD</v>
      </c>
      <c r="B49">
        <v>197</v>
      </c>
      <c r="C49" t="str">
        <v>(NEW) Uốn/Duỗi/Định hình full đầu tạo form vào nếp tự nhiên</v>
      </c>
      <c r="D49">
        <v>1009</v>
      </c>
      <c r="E49" t="str">
        <v>65 CD1009</v>
      </c>
      <c r="F49">
        <v>416000</v>
      </c>
    </row>
    <row r="50">
      <c r="A50" t="str">
        <v>68 LN NA</v>
      </c>
      <c r="B50">
        <v>240</v>
      </c>
      <c r="C50" t="str">
        <v>(NEW) Uốn/Duỗi/Định hình full đầu tạo form vào nếp tự nhiên</v>
      </c>
      <c r="D50">
        <v>1009</v>
      </c>
      <c r="E50" t="str">
        <v>68 LN NA1009</v>
      </c>
      <c r="F50">
        <v>396000</v>
      </c>
    </row>
    <row r="51">
      <c r="A51" t="str">
        <v>7 DTP LA</v>
      </c>
      <c r="B51">
        <v>199</v>
      </c>
      <c r="C51" t="str">
        <v>(NEW) Uốn/Duỗi/Định hình full đầu tạo form vào nếp tự nhiên</v>
      </c>
      <c r="D51">
        <v>1009</v>
      </c>
      <c r="E51" t="str">
        <v>7 DTP LA1009</v>
      </c>
      <c r="F51">
        <v>396000</v>
      </c>
    </row>
    <row r="52">
      <c r="A52" t="str">
        <v>708 LTT</v>
      </c>
      <c r="B52">
        <v>47</v>
      </c>
      <c r="C52" t="str">
        <v>(NEW) Uốn/Duỗi/Định hình full đầu tạo form vào nếp tự nhiên</v>
      </c>
      <c r="D52">
        <v>1009</v>
      </c>
      <c r="E52" t="str">
        <v>708 LTT1009</v>
      </c>
      <c r="F52">
        <v>396000</v>
      </c>
    </row>
    <row r="53">
      <c r="A53" t="str">
        <v>730 TL10</v>
      </c>
      <c r="B53">
        <v>58</v>
      </c>
      <c r="C53" t="str">
        <v>(NEW) Uốn/Duỗi/Định hình full đầu tạo form vào nếp tự nhiên</v>
      </c>
      <c r="D53">
        <v>1009</v>
      </c>
      <c r="E53" t="str">
        <v>730 TL101009</v>
      </c>
      <c r="F53">
        <v>396000</v>
      </c>
    </row>
    <row r="54">
      <c r="A54" t="str">
        <v>76 PVH</v>
      </c>
      <c r="B54">
        <v>106</v>
      </c>
      <c r="C54" t="str">
        <v>(NEW) Uốn/Duỗi/Định hình full đầu tạo form vào nếp tự nhiên</v>
      </c>
      <c r="D54">
        <v>1009</v>
      </c>
      <c r="E54" t="str">
        <v>76 PVH1009</v>
      </c>
      <c r="F54">
        <v>396000</v>
      </c>
    </row>
    <row r="55">
      <c r="A55" t="str">
        <v>8 CVL</v>
      </c>
      <c r="B55">
        <v>11</v>
      </c>
      <c r="C55" t="str">
        <v>(NEW) Uốn/Duỗi/Định hình full đầu tạo form vào nếp tự nhiên</v>
      </c>
      <c r="D55">
        <v>1009</v>
      </c>
      <c r="E55" t="str">
        <v>8 CVL1009</v>
      </c>
      <c r="F55">
        <v>396000</v>
      </c>
    </row>
    <row r="56">
      <c r="A56" t="str">
        <v>80 PL BD</v>
      </c>
      <c r="B56">
        <v>60</v>
      </c>
      <c r="C56" t="str">
        <v>(NEW) Uốn/Duỗi/Định hình full đầu tạo form vào nếp tự nhiên</v>
      </c>
      <c r="D56">
        <v>1009</v>
      </c>
      <c r="E56" t="str">
        <v>80 PL BD1009</v>
      </c>
      <c r="F56">
        <v>396000</v>
      </c>
    </row>
    <row r="57">
      <c r="A57" t="str">
        <v>80 TP TH</v>
      </c>
      <c r="B57">
        <v>232</v>
      </c>
      <c r="C57" t="str">
        <v>(NEW) Uốn/Duỗi/Định hình full đầu tạo form vào nếp tự nhiên</v>
      </c>
      <c r="D57">
        <v>1009</v>
      </c>
      <c r="E57" t="str">
        <v>80 TP TH1009</v>
      </c>
      <c r="F57">
        <v>396000</v>
      </c>
    </row>
    <row r="58">
      <c r="A58" t="str">
        <v>90 NH</v>
      </c>
      <c r="B58">
        <v>194</v>
      </c>
      <c r="C58" t="str">
        <v>(NEW) Uốn/Duỗi/Định hình full đầu tạo form vào nếp tự nhiên</v>
      </c>
      <c r="D58">
        <v>1009</v>
      </c>
      <c r="E58" t="str">
        <v>90 NH1009</v>
      </c>
      <c r="F58">
        <v>396000</v>
      </c>
    </row>
    <row r="59">
      <c r="A59" t="str">
        <v>927 HG</v>
      </c>
      <c r="B59">
        <v>22</v>
      </c>
      <c r="C59" t="str">
        <v>(NEW) Uốn/Duỗi/Định hình full đầu tạo form vào nếp tự nhiên</v>
      </c>
      <c r="D59">
        <v>1009</v>
      </c>
      <c r="E59" t="str">
        <v>927 HG1009</v>
      </c>
      <c r="F59">
        <v>396000</v>
      </c>
    </row>
    <row r="60">
      <c r="A60" t="str">
        <v>99 TSN</v>
      </c>
      <c r="B60">
        <v>147</v>
      </c>
      <c r="C60" t="str">
        <v>(NEW) Uốn/Duỗi/Định hình full đầu tạo form vào nếp tự nhiên</v>
      </c>
      <c r="D60">
        <v>1009</v>
      </c>
      <c r="E60" t="str">
        <v>99 TSN1009</v>
      </c>
      <c r="F60">
        <v>396000</v>
      </c>
    </row>
    <row r="61">
      <c r="A61" t="str">
        <v>TG 25/4 QN</v>
      </c>
      <c r="B61">
        <v>217</v>
      </c>
      <c r="C61" t="str">
        <v>(NEW) Uốn/Duỗi/Định hình full đầu tạo form vào nếp tự nhiên</v>
      </c>
      <c r="D61">
        <v>1009</v>
      </c>
      <c r="E61" t="str">
        <v>TG 25/4 QN1009</v>
      </c>
      <c r="F61">
        <v>396000</v>
      </c>
    </row>
    <row r="62">
      <c r="A62" t="str">
        <v>10 TP</v>
      </c>
      <c r="B62">
        <v>143</v>
      </c>
      <c r="C62" t="str">
        <v>(NEW) Nhuộm màu thời trang Milano</v>
      </c>
      <c r="D62">
        <v>960</v>
      </c>
      <c r="E62" t="str">
        <v>10 TP960</v>
      </c>
      <c r="F62">
        <v>366000</v>
      </c>
    </row>
    <row r="63">
      <c r="A63" t="str">
        <v>103 TN</v>
      </c>
      <c r="B63">
        <v>44</v>
      </c>
      <c r="C63" t="str">
        <v>(NEW) Nhuộm màu thời trang Milano</v>
      </c>
      <c r="D63">
        <v>960</v>
      </c>
      <c r="E63" t="str">
        <v>103 TN960</v>
      </c>
      <c r="F63">
        <v>369000</v>
      </c>
    </row>
    <row r="64">
      <c r="A64" t="str">
        <v>109 TQH</v>
      </c>
      <c r="B64">
        <v>146</v>
      </c>
      <c r="C64" t="str">
        <v>(NEW) Nhuộm màu thời trang Milano</v>
      </c>
      <c r="D64">
        <v>960</v>
      </c>
      <c r="E64" t="str">
        <v>109 TQH960</v>
      </c>
      <c r="F64">
        <v>366000</v>
      </c>
    </row>
    <row r="65">
      <c r="A65" t="str">
        <v>11 PKT</v>
      </c>
      <c r="B65">
        <v>244</v>
      </c>
      <c r="C65" t="str">
        <v>(NEW) Nhuộm màu thời trang Milano</v>
      </c>
      <c r="D65">
        <v>960</v>
      </c>
      <c r="E65" t="str">
        <v>11 PKT960</v>
      </c>
      <c r="F65">
        <v>332000</v>
      </c>
    </row>
    <row r="66">
      <c r="A66" t="str">
        <v>113 THD AG</v>
      </c>
      <c r="B66">
        <v>72</v>
      </c>
      <c r="C66" t="str">
        <v>(NEW) Nhuộm màu thời trang Milano</v>
      </c>
      <c r="D66">
        <v>960</v>
      </c>
      <c r="E66" t="str">
        <v>113 THD AG960</v>
      </c>
      <c r="F66">
        <v>346000</v>
      </c>
    </row>
    <row r="67">
      <c r="A67" t="str">
        <v>1146 KVC</v>
      </c>
      <c r="B67">
        <v>249</v>
      </c>
      <c r="C67" t="str">
        <v>(NEW) Nhuộm màu thời trang Milano</v>
      </c>
      <c r="D67">
        <v>960</v>
      </c>
      <c r="E67" t="str">
        <v>1146 KVC960</v>
      </c>
      <c r="F67">
        <v>346000</v>
      </c>
    </row>
    <row r="68">
      <c r="A68" t="str">
        <v>116 TK</v>
      </c>
      <c r="B68">
        <v>187</v>
      </c>
      <c r="C68" t="str">
        <v>(NEW) Nhuộm màu thời trang Milano</v>
      </c>
      <c r="D68">
        <v>960</v>
      </c>
      <c r="E68" t="str">
        <v>116 TK960</v>
      </c>
      <c r="F68">
        <v>332000</v>
      </c>
    </row>
    <row r="69">
      <c r="A69" t="str">
        <v>1180 QT</v>
      </c>
      <c r="B69">
        <v>61</v>
      </c>
      <c r="C69" t="str">
        <v>(NEW) Nhuộm màu thời trang Milano</v>
      </c>
      <c r="D69">
        <v>960</v>
      </c>
      <c r="E69" t="str">
        <v>1180 QT960</v>
      </c>
      <c r="F69">
        <v>346000</v>
      </c>
    </row>
    <row r="70">
      <c r="A70" t="str">
        <v>12 LDT</v>
      </c>
      <c r="B70">
        <v>12</v>
      </c>
      <c r="C70" t="str">
        <v>(NEW) Nhuộm màu thời trang Milano</v>
      </c>
      <c r="D70">
        <v>960</v>
      </c>
      <c r="E70" t="str">
        <v>12 LDT960</v>
      </c>
      <c r="F70">
        <v>366000</v>
      </c>
    </row>
    <row r="71">
      <c r="A71" t="str">
        <v>1371 PVT</v>
      </c>
      <c r="B71">
        <v>247</v>
      </c>
      <c r="C71" t="str">
        <v>(NEW) Nhuộm màu thời trang Milano</v>
      </c>
      <c r="D71">
        <v>960</v>
      </c>
      <c r="E71" t="str">
        <v>1371 PVT960</v>
      </c>
      <c r="F71">
        <v>346000</v>
      </c>
    </row>
    <row r="72">
      <c r="A72" t="str">
        <v>145 THT</v>
      </c>
      <c r="B72">
        <v>193</v>
      </c>
      <c r="C72" t="str">
        <v>(NEW) Nhuộm màu thời trang Milano</v>
      </c>
      <c r="D72">
        <v>960</v>
      </c>
      <c r="E72" t="str">
        <v>145 THT960</v>
      </c>
      <c r="F72">
        <v>332000</v>
      </c>
    </row>
    <row r="73">
      <c r="A73" t="str">
        <v>148 TD</v>
      </c>
      <c r="B73">
        <v>210</v>
      </c>
      <c r="C73" t="str">
        <v>(NEW) Nhuộm màu thời trang Milano</v>
      </c>
      <c r="D73">
        <v>960</v>
      </c>
      <c r="E73" t="str">
        <v>148 TD960</v>
      </c>
      <c r="F73">
        <v>366000</v>
      </c>
    </row>
    <row r="74">
      <c r="A74" t="str">
        <v>151 CG</v>
      </c>
      <c r="B74">
        <v>39</v>
      </c>
      <c r="C74" t="str">
        <v>(NEW) Nhuộm màu thời trang Milano</v>
      </c>
      <c r="D74">
        <v>960</v>
      </c>
      <c r="E74" t="str">
        <v>151 CG960</v>
      </c>
      <c r="F74">
        <v>346000</v>
      </c>
    </row>
    <row r="75">
      <c r="A75" t="str">
        <v>168 NVC</v>
      </c>
      <c r="B75">
        <v>144</v>
      </c>
      <c r="C75" t="str">
        <v>(NEW) Nhuộm màu thời trang Milano</v>
      </c>
      <c r="D75">
        <v>960</v>
      </c>
      <c r="E75" t="str">
        <v>168 NVC960</v>
      </c>
      <c r="F75">
        <v>346000</v>
      </c>
    </row>
    <row r="76">
      <c r="A76" t="str">
        <v>173 TN</v>
      </c>
      <c r="B76">
        <v>250</v>
      </c>
      <c r="C76" t="str">
        <v>(NEW) Nhuộm màu thời trang Milano</v>
      </c>
      <c r="D76">
        <v>960</v>
      </c>
      <c r="E76" t="str">
        <v>173 TN960</v>
      </c>
      <c r="F76">
        <v>366000</v>
      </c>
    </row>
    <row r="77">
      <c r="A77" t="str">
        <v>186 DTH</v>
      </c>
      <c r="B77">
        <v>182</v>
      </c>
      <c r="C77" t="str">
        <v>(NEW) Nhuộm màu thời trang Milano</v>
      </c>
      <c r="D77">
        <v>960</v>
      </c>
      <c r="E77" t="str">
        <v>186 DTH960</v>
      </c>
      <c r="F77">
        <v>366000</v>
      </c>
    </row>
    <row r="78">
      <c r="A78" t="str">
        <v>186 QT</v>
      </c>
      <c r="B78">
        <v>239</v>
      </c>
      <c r="C78" t="str">
        <v>(NEW) Nhuộm màu thời trang Milano</v>
      </c>
      <c r="D78">
        <v>960</v>
      </c>
      <c r="E78" t="str">
        <v>186 QT960</v>
      </c>
      <c r="F78">
        <v>332000</v>
      </c>
    </row>
    <row r="79">
      <c r="A79" t="str">
        <v>190 HB</v>
      </c>
      <c r="B79">
        <v>188</v>
      </c>
      <c r="C79" t="str">
        <v>(NEW) Nhuộm màu thời trang Milano</v>
      </c>
      <c r="D79">
        <v>960</v>
      </c>
      <c r="E79" t="str">
        <v>190 HB960</v>
      </c>
      <c r="F79">
        <v>346000</v>
      </c>
    </row>
    <row r="80">
      <c r="A80" t="str">
        <v>202 DC</v>
      </c>
      <c r="B80">
        <v>196</v>
      </c>
      <c r="C80" t="str">
        <v>(NEW) Nhuộm màu thời trang Milano</v>
      </c>
      <c r="D80">
        <v>960</v>
      </c>
      <c r="E80" t="str">
        <v>202 DC960</v>
      </c>
      <c r="F80">
        <v>369000</v>
      </c>
    </row>
    <row r="81">
      <c r="A81" t="str">
        <v>236 DBT</v>
      </c>
      <c r="B81">
        <v>141</v>
      </c>
      <c r="C81" t="str">
        <v>(NEW) Nhuộm màu thời trang Milano</v>
      </c>
      <c r="D81">
        <v>960</v>
      </c>
      <c r="E81" t="str">
        <v>236 DBT960</v>
      </c>
      <c r="F81">
        <v>366000</v>
      </c>
    </row>
    <row r="82">
      <c r="A82" t="str">
        <v>237 NTT</v>
      </c>
      <c r="B82">
        <v>145</v>
      </c>
      <c r="C82" t="str">
        <v>(NEW) Nhuộm màu thời trang Milano</v>
      </c>
      <c r="D82">
        <v>960</v>
      </c>
      <c r="E82" t="str">
        <v>237 NTT960</v>
      </c>
      <c r="F82">
        <v>366000</v>
      </c>
    </row>
    <row r="83">
      <c r="A83" t="str">
        <v>25 TD</v>
      </c>
      <c r="B83">
        <v>45</v>
      </c>
      <c r="C83" t="str">
        <v>(NEW) Nhuộm màu thời trang Milano</v>
      </c>
      <c r="D83">
        <v>960</v>
      </c>
      <c r="E83" t="str">
        <v>25 TD960</v>
      </c>
      <c r="F83">
        <v>369000</v>
      </c>
    </row>
    <row r="84">
      <c r="A84" t="str">
        <v>255 NAN</v>
      </c>
      <c r="B84">
        <v>65</v>
      </c>
      <c r="C84" t="str">
        <v>(NEW) Nhuộm màu thời trang Milano</v>
      </c>
      <c r="D84">
        <v>960</v>
      </c>
      <c r="E84" t="str">
        <v>255 NAN960</v>
      </c>
      <c r="F84">
        <v>346000</v>
      </c>
    </row>
    <row r="85">
      <c r="A85" t="str">
        <v>264 LLQ</v>
      </c>
      <c r="B85">
        <v>192</v>
      </c>
      <c r="C85" t="str">
        <v>(NEW) Nhuộm màu thời trang Milano</v>
      </c>
      <c r="D85">
        <v>960</v>
      </c>
      <c r="E85" t="str">
        <v>264 LLQ960</v>
      </c>
      <c r="F85">
        <v>332000</v>
      </c>
    </row>
    <row r="86">
      <c r="A86" t="str">
        <v>29 HB</v>
      </c>
      <c r="B86">
        <v>63</v>
      </c>
      <c r="C86" t="str">
        <v>(NEW) Nhuộm màu thời trang Milano</v>
      </c>
      <c r="D86">
        <v>960</v>
      </c>
      <c r="E86" t="str">
        <v>29 HB960</v>
      </c>
      <c r="F86">
        <v>346000</v>
      </c>
    </row>
    <row r="87">
      <c r="A87" t="str">
        <v>290 QT TH</v>
      </c>
      <c r="B87">
        <v>230</v>
      </c>
      <c r="C87" t="str">
        <v>(NEW) Nhuộm màu thời trang Milano</v>
      </c>
      <c r="D87">
        <v>960</v>
      </c>
      <c r="E87" t="str">
        <v>290 QT TH960</v>
      </c>
      <c r="F87">
        <v>369000</v>
      </c>
    </row>
    <row r="88">
      <c r="A88" t="str">
        <v>304 NT TH</v>
      </c>
      <c r="B88">
        <v>231</v>
      </c>
      <c r="C88" t="str">
        <v>(NEW) Nhuộm màu thời trang Milano</v>
      </c>
      <c r="D88">
        <v>960</v>
      </c>
      <c r="E88" t="str">
        <v>304 NT TH960</v>
      </c>
      <c r="F88">
        <v>332000</v>
      </c>
    </row>
    <row r="89">
      <c r="A89" t="str">
        <v>312 LVS</v>
      </c>
      <c r="B89">
        <v>69</v>
      </c>
      <c r="C89" t="str">
        <v>(NEW) Nhuộm màu thời trang Milano</v>
      </c>
      <c r="D89">
        <v>960</v>
      </c>
      <c r="E89" t="str">
        <v>312 LVS960</v>
      </c>
      <c r="F89">
        <v>366000</v>
      </c>
    </row>
    <row r="90">
      <c r="A90" t="str">
        <v>32 NAT</v>
      </c>
      <c r="B90">
        <v>274</v>
      </c>
      <c r="C90" t="str">
        <v>(NEW) Nhuộm màu thời trang Milano</v>
      </c>
      <c r="D90">
        <v>960</v>
      </c>
      <c r="E90" t="str">
        <v>32 NAT960</v>
      </c>
      <c r="F90">
        <v>332000</v>
      </c>
    </row>
    <row r="91">
      <c r="A91" t="str">
        <v>341 XVNT</v>
      </c>
      <c r="B91">
        <v>205</v>
      </c>
      <c r="C91" t="str">
        <v>(NEW) Nhuộm màu thời trang Milano</v>
      </c>
      <c r="D91">
        <v>960</v>
      </c>
      <c r="E91" t="str">
        <v>341 XVNT960</v>
      </c>
      <c r="F91">
        <v>332000</v>
      </c>
    </row>
    <row r="92">
      <c r="A92" t="str">
        <v>346 KT</v>
      </c>
      <c r="B92">
        <v>2</v>
      </c>
      <c r="C92" t="str">
        <v>(NEW) Nhuộm màu thời trang Milano</v>
      </c>
      <c r="D92">
        <v>960</v>
      </c>
      <c r="E92" t="str">
        <v>346 KT960</v>
      </c>
      <c r="F92">
        <v>369000</v>
      </c>
    </row>
    <row r="93">
      <c r="A93" t="str">
        <v>36 N1 BD</v>
      </c>
      <c r="B93">
        <v>184</v>
      </c>
      <c r="C93" t="str">
        <v>(NEW) Nhuộm màu thời trang Milano</v>
      </c>
      <c r="D93">
        <v>960</v>
      </c>
      <c r="E93" t="str">
        <v>36 N1 BD960</v>
      </c>
      <c r="F93">
        <v>332000</v>
      </c>
    </row>
    <row r="94">
      <c r="A94" t="str">
        <v>362 NGT BN</v>
      </c>
      <c r="B94">
        <v>302</v>
      </c>
      <c r="C94" t="str">
        <v>(NEW) Nhuộm màu thời trang Milano</v>
      </c>
      <c r="D94">
        <v>960</v>
      </c>
      <c r="E94" t="str">
        <v>362 NGT BN960</v>
      </c>
      <c r="F94">
        <v>366000</v>
      </c>
    </row>
    <row r="95">
      <c r="A95" t="str">
        <v>363 LNQ TN</v>
      </c>
      <c r="B95">
        <v>85</v>
      </c>
      <c r="C95" t="str">
        <v>(NEW) Nhuộm màu thời trang Milano</v>
      </c>
      <c r="D95">
        <v>960</v>
      </c>
      <c r="E95" t="str">
        <v>363 LNQ TN960</v>
      </c>
      <c r="F95">
        <v>366000</v>
      </c>
    </row>
    <row r="96">
      <c r="A96" t="str">
        <v>382 NT</v>
      </c>
      <c r="B96">
        <v>20</v>
      </c>
      <c r="C96" t="str">
        <v>(NEW) Nhuộm màu thời trang Milano</v>
      </c>
      <c r="D96">
        <v>960</v>
      </c>
      <c r="E96" t="str">
        <v>382 NT960</v>
      </c>
      <c r="F96">
        <v>369000</v>
      </c>
    </row>
    <row r="97">
      <c r="A97" t="str">
        <v>39 HBT</v>
      </c>
      <c r="B97">
        <v>200</v>
      </c>
      <c r="C97" t="str">
        <v>(NEW) Nhuộm màu thời trang Milano</v>
      </c>
      <c r="D97">
        <v>960</v>
      </c>
      <c r="E97" t="str">
        <v>39 HBT960</v>
      </c>
      <c r="F97">
        <v>332000</v>
      </c>
    </row>
    <row r="98">
      <c r="A98" t="str">
        <v>4 LQD BN</v>
      </c>
      <c r="B98">
        <v>201</v>
      </c>
      <c r="C98" t="str">
        <v>(NEW) Nhuộm màu thời trang Milano</v>
      </c>
      <c r="D98">
        <v>960</v>
      </c>
      <c r="E98" t="str">
        <v>4 LQD BN960</v>
      </c>
      <c r="F98">
        <v>332000</v>
      </c>
    </row>
    <row r="99">
      <c r="A99" t="str">
        <v>401/1 NDT</v>
      </c>
      <c r="B99">
        <v>204</v>
      </c>
      <c r="C99" t="str">
        <v>(NEW) Nhuộm màu thời trang Milano</v>
      </c>
      <c r="D99">
        <v>960</v>
      </c>
      <c r="E99" t="str">
        <v>401/1 NDT960</v>
      </c>
      <c r="F99">
        <v>346000</v>
      </c>
    </row>
    <row r="100">
      <c r="A100" t="str">
        <v>420 HTP</v>
      </c>
      <c r="B100">
        <v>51</v>
      </c>
      <c r="C100" t="str">
        <v>(NEW) Nhuộm màu thời trang Milano</v>
      </c>
      <c r="D100">
        <v>960</v>
      </c>
      <c r="E100" t="str">
        <v>420 HTP960</v>
      </c>
      <c r="F100">
        <v>366000</v>
      </c>
    </row>
    <row r="101">
      <c r="A101" t="str">
        <v>451 PVT</v>
      </c>
      <c r="B101">
        <v>52</v>
      </c>
      <c r="C101" t="str">
        <v>(NEW) Nhuộm màu thời trang Milano</v>
      </c>
      <c r="D101">
        <v>960</v>
      </c>
      <c r="E101" t="str">
        <v>451 PVT960</v>
      </c>
      <c r="F101">
        <v>332000</v>
      </c>
    </row>
    <row r="102">
      <c r="A102" t="str">
        <v>483 TN</v>
      </c>
      <c r="B102">
        <v>46</v>
      </c>
      <c r="C102" t="str">
        <v>(NEW) Nhuộm màu thời trang Milano</v>
      </c>
      <c r="D102">
        <v>960</v>
      </c>
      <c r="E102" t="str">
        <v>483 TN960</v>
      </c>
      <c r="F102">
        <v>332000</v>
      </c>
    </row>
    <row r="103">
      <c r="A103" t="str">
        <v>50BT4 NPC LD</v>
      </c>
      <c r="B103">
        <v>179</v>
      </c>
      <c r="C103" t="str">
        <v>(NEW) Nhuộm màu thời trang Milano</v>
      </c>
      <c r="D103">
        <v>960</v>
      </c>
      <c r="E103" t="str">
        <v>50BT4 NPC LD960</v>
      </c>
      <c r="F103">
        <v>332000</v>
      </c>
    </row>
    <row r="104">
      <c r="A104" t="str">
        <v>55A NVL</v>
      </c>
      <c r="B104">
        <v>245</v>
      </c>
      <c r="C104" t="str">
        <v>(NEW) Nhuộm màu thời trang Milano</v>
      </c>
      <c r="D104">
        <v>960</v>
      </c>
      <c r="E104" t="str">
        <v>55A NVL960</v>
      </c>
      <c r="F104">
        <v>369000</v>
      </c>
    </row>
    <row r="105">
      <c r="A105" t="str">
        <v>575 AC</v>
      </c>
      <c r="B105">
        <v>21</v>
      </c>
      <c r="C105" t="str">
        <v>(NEW) Nhuộm màu thời trang Milano</v>
      </c>
      <c r="D105">
        <v>960</v>
      </c>
      <c r="E105" t="str">
        <v>575 AC960</v>
      </c>
      <c r="F105">
        <v>366000</v>
      </c>
    </row>
    <row r="106">
      <c r="A106" t="str">
        <v>58 NVC NA</v>
      </c>
      <c r="B106">
        <v>212</v>
      </c>
      <c r="C106" t="str">
        <v>(NEW) Nhuộm màu thời trang Milano</v>
      </c>
      <c r="D106">
        <v>960</v>
      </c>
      <c r="E106" t="str">
        <v>58 NVC NA960</v>
      </c>
      <c r="F106">
        <v>346000</v>
      </c>
    </row>
    <row r="107">
      <c r="A107" t="str">
        <v>595 BT TH</v>
      </c>
      <c r="B107">
        <v>233</v>
      </c>
      <c r="C107" t="str">
        <v>(NEW) Nhuộm màu thời trang Milano</v>
      </c>
      <c r="D107">
        <v>960</v>
      </c>
      <c r="E107" t="str">
        <v>595 BT TH960</v>
      </c>
      <c r="F107">
        <v>332000</v>
      </c>
    </row>
    <row r="108">
      <c r="A108" t="str">
        <v>62 LH</v>
      </c>
      <c r="B108">
        <v>228</v>
      </c>
      <c r="C108" t="str">
        <v>(NEW) Nhuộm màu thời trang Milano</v>
      </c>
      <c r="D108">
        <v>960</v>
      </c>
      <c r="E108" t="str">
        <v>62 LH960</v>
      </c>
      <c r="F108">
        <v>332000</v>
      </c>
    </row>
    <row r="109">
      <c r="A109" t="str">
        <v>65 CD</v>
      </c>
      <c r="B109">
        <v>197</v>
      </c>
      <c r="C109" t="str">
        <v>(NEW) Nhuộm màu thời trang Milano</v>
      </c>
      <c r="D109">
        <v>960</v>
      </c>
      <c r="E109" t="str">
        <v>65 CD960</v>
      </c>
      <c r="F109">
        <v>366000</v>
      </c>
    </row>
    <row r="110">
      <c r="A110" t="str">
        <v>68 LN NA</v>
      </c>
      <c r="B110">
        <v>240</v>
      </c>
      <c r="C110" t="str">
        <v>(NEW) Nhuộm màu thời trang Milano</v>
      </c>
      <c r="D110">
        <v>960</v>
      </c>
      <c r="E110" t="str">
        <v>68 LN NA960</v>
      </c>
      <c r="F110">
        <v>332000</v>
      </c>
    </row>
    <row r="111">
      <c r="A111" t="str">
        <v>7 DTP LA</v>
      </c>
      <c r="B111">
        <v>199</v>
      </c>
      <c r="C111" t="str">
        <v>(NEW) Nhuộm màu thời trang Milano</v>
      </c>
      <c r="D111">
        <v>960</v>
      </c>
      <c r="E111" t="str">
        <v>7 DTP LA960</v>
      </c>
      <c r="F111">
        <v>366000</v>
      </c>
    </row>
    <row r="112">
      <c r="A112" t="str">
        <v>708 LTT</v>
      </c>
      <c r="B112">
        <v>47</v>
      </c>
      <c r="C112" t="str">
        <v>(NEW) Nhuộm màu thời trang Milano</v>
      </c>
      <c r="D112">
        <v>960</v>
      </c>
      <c r="E112" t="str">
        <v>708 LTT960</v>
      </c>
      <c r="F112">
        <v>346000</v>
      </c>
    </row>
    <row r="113">
      <c r="A113" t="str">
        <v>730 TL10</v>
      </c>
      <c r="B113">
        <v>58</v>
      </c>
      <c r="C113" t="str">
        <v>(NEW) Nhuộm màu thời trang Milano</v>
      </c>
      <c r="D113">
        <v>960</v>
      </c>
      <c r="E113" t="str">
        <v>730 TL10960</v>
      </c>
      <c r="F113">
        <v>366000</v>
      </c>
    </row>
    <row r="114">
      <c r="A114" t="str">
        <v>76 PVH</v>
      </c>
      <c r="B114">
        <v>106</v>
      </c>
      <c r="C114" t="str">
        <v>(NEW) Nhuộm màu thời trang Milano</v>
      </c>
      <c r="D114">
        <v>960</v>
      </c>
      <c r="E114" t="str">
        <v>76 PVH960</v>
      </c>
      <c r="F114">
        <v>346000</v>
      </c>
    </row>
    <row r="115">
      <c r="A115" t="str">
        <v>8 CVL</v>
      </c>
      <c r="B115">
        <v>11</v>
      </c>
      <c r="C115" t="str">
        <v>(NEW) Nhuộm màu thời trang Milano</v>
      </c>
      <c r="D115">
        <v>960</v>
      </c>
      <c r="E115" t="str">
        <v>8 CVL960</v>
      </c>
      <c r="F115">
        <v>366000</v>
      </c>
    </row>
    <row r="116">
      <c r="A116" t="str">
        <v>80 PL BD</v>
      </c>
      <c r="B116">
        <v>60</v>
      </c>
      <c r="C116" t="str">
        <v>(NEW) Nhuộm màu thời trang Milano</v>
      </c>
      <c r="D116">
        <v>960</v>
      </c>
      <c r="E116" t="str">
        <v>80 PL BD960</v>
      </c>
      <c r="F116">
        <v>332000</v>
      </c>
    </row>
    <row r="117">
      <c r="A117" t="str">
        <v>80 TP TH</v>
      </c>
      <c r="B117">
        <v>232</v>
      </c>
      <c r="C117" t="str">
        <v>(NEW) Nhuộm màu thời trang Milano</v>
      </c>
      <c r="D117">
        <v>960</v>
      </c>
      <c r="E117" t="str">
        <v>80 TP TH960</v>
      </c>
      <c r="F117">
        <v>332000</v>
      </c>
    </row>
    <row r="118">
      <c r="A118" t="str">
        <v>90 NH</v>
      </c>
      <c r="B118">
        <v>194</v>
      </c>
      <c r="C118" t="str">
        <v>(NEW) Nhuộm màu thời trang Milano</v>
      </c>
      <c r="D118">
        <v>960</v>
      </c>
      <c r="E118" t="str">
        <v>90 NH960</v>
      </c>
      <c r="F118">
        <v>346000</v>
      </c>
    </row>
    <row r="119">
      <c r="A119" t="str">
        <v>927 HG</v>
      </c>
      <c r="B119">
        <v>22</v>
      </c>
      <c r="C119" t="str">
        <v>(NEW) Nhuộm màu thời trang Milano</v>
      </c>
      <c r="D119">
        <v>960</v>
      </c>
      <c r="E119" t="str">
        <v>927 HG960</v>
      </c>
      <c r="F119">
        <v>366000</v>
      </c>
    </row>
    <row r="120">
      <c r="A120" t="str">
        <v>99 TSN</v>
      </c>
      <c r="B120">
        <v>147</v>
      </c>
      <c r="C120" t="str">
        <v>(NEW) Nhuộm màu thời trang Milano</v>
      </c>
      <c r="D120">
        <v>960</v>
      </c>
      <c r="E120" t="str">
        <v>99 TSN960</v>
      </c>
      <c r="F120">
        <v>366000</v>
      </c>
    </row>
    <row r="121">
      <c r="A121" t="str">
        <v>TG 25/4 QN</v>
      </c>
      <c r="B121">
        <v>217</v>
      </c>
      <c r="C121" t="str">
        <v>(NEW) Nhuộm màu thời trang Milano</v>
      </c>
      <c r="D121">
        <v>960</v>
      </c>
      <c r="E121" t="str">
        <v>TG 25/4 QN960</v>
      </c>
      <c r="F121">
        <v>346000</v>
      </c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6" min="6" style="0" width="19"/>
    <col collapsed="false" customWidth="true" hidden="false" max="7" min="7" style="0" width="35"/>
  </cols>
  <sheetData>
    <row r="1">
      <c r="A1" s="35"/>
      <c r="B1" s="35" t="str">
        <v>Salon_name</v>
      </c>
      <c r="C1" s="35" t="str">
        <v>P_Category_name</v>
      </c>
      <c r="D1" s="35" t="str">
        <v>service_id</v>
      </c>
      <c r="E1" s="35" t="str">
        <v>Mã</v>
      </c>
      <c r="F1" s="35" t="str">
        <v>service_name</v>
      </c>
      <c r="G1" s="34" t="str">
        <v>Giá ngày 07/03</v>
      </c>
    </row>
    <row r="2">
      <c r="A2" s="33"/>
      <c r="B2" s="33" t="str">
        <v>10 TP</v>
      </c>
      <c r="C2" s="33" t="str">
        <v>DV_Cắt</v>
      </c>
      <c r="D2" s="33">
        <v>513</v>
      </c>
      <c r="E2" s="33">
        <f>B2&amp;D2</f>
      </c>
      <c r="F2" s="33" t="str">
        <v>[DV] ShineCombo 10 bước Ultra Care 2023</v>
      </c>
      <c r="G2" s="32">
        <v>122000</v>
      </c>
    </row>
    <row r="3">
      <c r="A3" s="33"/>
      <c r="B3" s="33" t="str">
        <v>10 TP</v>
      </c>
      <c r="C3" s="33" t="str">
        <v>DV_Cắt</v>
      </c>
      <c r="D3" s="33">
        <v>891</v>
      </c>
      <c r="E3" s="33">
        <f>B3&amp;D3</f>
      </c>
      <c r="F3" s="33" t="str">
        <v>Cắt xả tạo kiểu</v>
      </c>
      <c r="G3" s="32">
        <v>94000</v>
      </c>
    </row>
    <row r="4">
      <c r="A4" s="33"/>
      <c r="B4" s="33" t="str">
        <v>10 TP</v>
      </c>
      <c r="C4" s="33" t="str">
        <v>DV_Cắt</v>
      </c>
      <c r="D4" s="33">
        <v>1052</v>
      </c>
      <c r="E4" s="33">
        <f>B4&amp;D4</f>
      </c>
      <c r="F4" s="33" t="str">
        <v>Combo 1 - First Class 1</v>
      </c>
      <c r="G4" s="32">
        <v>139000</v>
      </c>
    </row>
    <row r="5">
      <c r="A5" s="33"/>
      <c r="B5" s="33" t="str">
        <v>10 TP</v>
      </c>
      <c r="C5" s="33" t="str">
        <v>DV_Cắt</v>
      </c>
      <c r="D5" s="33">
        <v>1002</v>
      </c>
      <c r="E5" s="33">
        <f>B5&amp;D5</f>
      </c>
      <c r="F5" s="33" t="str">
        <v>Kid Cắt</v>
      </c>
      <c r="G5" s="32">
        <v>75000</v>
      </c>
    </row>
    <row r="6">
      <c r="A6" s="33"/>
      <c r="B6" s="33" t="str">
        <v>10 TP</v>
      </c>
      <c r="C6" s="33" t="str">
        <v>DV_Cắt_Vip</v>
      </c>
      <c r="D6" s="33">
        <v>1047</v>
      </c>
      <c r="E6" s="33">
        <f>B6&amp;D6</f>
      </c>
      <c r="F6" s="33" t="str">
        <v>Cắt Gội Combo 3 - Chăm da</v>
      </c>
      <c r="G6" s="32">
        <v>299000</v>
      </c>
    </row>
    <row r="7">
      <c r="A7" s="33"/>
      <c r="B7" s="33" t="str">
        <v>10 TP</v>
      </c>
      <c r="C7" s="33" t="str">
        <v>DV_Cắt_Vip</v>
      </c>
      <c r="D7" s="33">
        <v>1053</v>
      </c>
      <c r="E7" s="33">
        <f>B7&amp;D7</f>
      </c>
      <c r="F7" s="33" t="str">
        <v>Combo 2 - First Class 2</v>
      </c>
      <c r="G7" s="32">
        <v>239000</v>
      </c>
    </row>
    <row r="8">
      <c r="A8" s="33"/>
      <c r="B8" s="33" t="str">
        <v>10 TP</v>
      </c>
      <c r="C8" s="33" t="str">
        <v>DV_Cắt_Vip</v>
      </c>
      <c r="D8" s="33">
        <v>1054</v>
      </c>
      <c r="E8" s="33">
        <f>B8&amp;D8</f>
      </c>
      <c r="F8" s="33" t="str">
        <v>Combo 3 - First Class 3</v>
      </c>
      <c r="G8" s="32">
        <v>309000</v>
      </c>
    </row>
    <row r="9">
      <c r="A9" s="33"/>
      <c r="B9" s="33" t="str">
        <v>10 TP</v>
      </c>
      <c r="C9" s="33" t="str">
        <v>DV_Cắt_Vip</v>
      </c>
      <c r="D9" s="33">
        <v>1055</v>
      </c>
      <c r="E9" s="33">
        <f>B9&amp;D9</f>
      </c>
      <c r="F9" s="33" t="str">
        <v>Combo 4- First Class 4</v>
      </c>
      <c r="G9" s="32">
        <v>409000</v>
      </c>
    </row>
    <row r="10">
      <c r="A10" s="33"/>
      <c r="B10" s="33" t="str">
        <v>10 TP</v>
      </c>
      <c r="C10" s="33" t="str">
        <v>DV_Cắt_Vip</v>
      </c>
      <c r="D10" s="33">
        <v>1046</v>
      </c>
      <c r="E10" s="33">
        <f>B10&amp;D10</f>
      </c>
      <c r="F10" s="33" t="str">
        <v>Shinecombo 2</v>
      </c>
      <c r="G10" s="32">
        <v>199000</v>
      </c>
    </row>
    <row r="11">
      <c r="A11" s="33"/>
      <c r="B11" s="33" t="str">
        <v>103 TN</v>
      </c>
      <c r="C11" s="33" t="str">
        <v>DV_Cắt</v>
      </c>
      <c r="D11" s="33">
        <v>513</v>
      </c>
      <c r="E11" s="33">
        <f>B11&amp;D11</f>
      </c>
      <c r="F11" s="33" t="str">
        <v>[DV] ShineCombo 10 bước Ultra Care 2023</v>
      </c>
      <c r="G11" s="32">
        <v>122000</v>
      </c>
    </row>
    <row r="12">
      <c r="A12" s="33"/>
      <c r="B12" s="33" t="str">
        <v>103 TN</v>
      </c>
      <c r="C12" s="33" t="str">
        <v>DV_Cắt</v>
      </c>
      <c r="D12" s="33">
        <v>1070</v>
      </c>
      <c r="E12" s="33">
        <f>B12&amp;D12</f>
      </c>
      <c r="F12" s="33" t="str">
        <v>Combo Cắt gội Kid</v>
      </c>
      <c r="G12" s="32">
        <v>100000</v>
      </c>
    </row>
    <row r="13">
      <c r="A13" s="33"/>
      <c r="B13" s="33" t="str">
        <v>103 TN</v>
      </c>
      <c r="C13" s="33" t="str">
        <v>DV_Cắt</v>
      </c>
      <c r="D13" s="33">
        <v>891</v>
      </c>
      <c r="E13" s="33">
        <f>B13&amp;D13</f>
      </c>
      <c r="F13" s="33" t="str">
        <v>Cắt xả tạo kiểu</v>
      </c>
      <c r="G13" s="32">
        <v>95000</v>
      </c>
    </row>
    <row r="14">
      <c r="A14" s="33"/>
      <c r="B14" s="33" t="str">
        <v>103 TN</v>
      </c>
      <c r="C14" s="33" t="str">
        <v>DV_Cắt</v>
      </c>
      <c r="D14" s="33">
        <v>1052</v>
      </c>
      <c r="E14" s="33">
        <f>B14&amp;D14</f>
      </c>
      <c r="F14" s="33" t="str">
        <v>Combo 1 - First Class 1</v>
      </c>
      <c r="G14" s="32">
        <v>139000</v>
      </c>
    </row>
    <row r="15">
      <c r="A15" s="33"/>
      <c r="B15" s="33" t="str">
        <v>103 TN</v>
      </c>
      <c r="C15" s="33" t="str">
        <v>DV_Cắt</v>
      </c>
      <c r="D15" s="33">
        <v>1002</v>
      </c>
      <c r="E15" s="33">
        <f>B15&amp;D15</f>
      </c>
      <c r="F15" s="33" t="str">
        <v>Kid Cắt</v>
      </c>
      <c r="G15" s="32">
        <v>76000</v>
      </c>
    </row>
    <row r="16">
      <c r="A16" s="33"/>
      <c r="B16" s="33" t="str">
        <v>103 TN</v>
      </c>
      <c r="C16" s="33" t="str">
        <v>DV_Cắt_Vip</v>
      </c>
      <c r="D16" s="33">
        <v>1047</v>
      </c>
      <c r="E16" s="33">
        <f>B16&amp;D16</f>
      </c>
      <c r="F16" s="33" t="str">
        <v>Cắt Gội Combo 3 - Chăm da</v>
      </c>
      <c r="G16" s="32">
        <v>300000</v>
      </c>
    </row>
    <row r="17">
      <c r="A17" s="33"/>
      <c r="B17" s="33" t="str">
        <v>103 TN</v>
      </c>
      <c r="C17" s="33" t="str">
        <v>DV_Cắt_Vip</v>
      </c>
      <c r="D17" s="33">
        <v>1065</v>
      </c>
      <c r="E17" s="33">
        <f>B17&amp;D17</f>
      </c>
      <c r="F17" s="33" t="str">
        <v>Cắt Gội Combo 3 - Dưỡng sinh</v>
      </c>
      <c r="G17" s="32">
        <v>300000</v>
      </c>
    </row>
    <row r="18">
      <c r="A18" s="33"/>
      <c r="B18" s="33" t="str">
        <v>103 TN</v>
      </c>
      <c r="C18" s="33" t="str">
        <v>DV_Cắt_Vip</v>
      </c>
      <c r="D18" s="33">
        <v>1053</v>
      </c>
      <c r="E18" s="33">
        <f>B18&amp;D18</f>
      </c>
      <c r="F18" s="33" t="str">
        <v>Combo 2 - First Class 2</v>
      </c>
      <c r="G18" s="32">
        <v>240000</v>
      </c>
    </row>
    <row r="19">
      <c r="A19" s="33"/>
      <c r="B19" s="33" t="str">
        <v>103 TN</v>
      </c>
      <c r="C19" s="33" t="str">
        <v>DV_Cắt_Vip</v>
      </c>
      <c r="D19" s="33">
        <v>1054</v>
      </c>
      <c r="E19" s="33">
        <f>B19&amp;D19</f>
      </c>
      <c r="F19" s="33" t="str">
        <v>Combo 3 - First Class 3</v>
      </c>
      <c r="G19" s="32">
        <v>310000</v>
      </c>
    </row>
    <row r="20">
      <c r="A20" s="33"/>
      <c r="B20" s="33" t="str">
        <v>103 TN</v>
      </c>
      <c r="C20" s="33" t="str">
        <v>DV_Cắt_Vip</v>
      </c>
      <c r="D20" s="33">
        <v>1048</v>
      </c>
      <c r="E20" s="33">
        <f>B20&amp;D20</f>
      </c>
      <c r="F20" s="33" t="str">
        <v>Combo 4</v>
      </c>
      <c r="G20" s="32">
        <v>390000</v>
      </c>
    </row>
    <row r="21">
      <c r="A21" s="33"/>
      <c r="B21" s="33" t="str">
        <v>103 TN</v>
      </c>
      <c r="C21" s="33" t="str">
        <v>DV_Cắt_Vip</v>
      </c>
      <c r="D21" s="33">
        <v>1055</v>
      </c>
      <c r="E21" s="33">
        <f>B21&amp;D21</f>
      </c>
      <c r="F21" s="33" t="str">
        <v>Combo 4- First Class 4</v>
      </c>
      <c r="G21" s="32">
        <v>410000</v>
      </c>
    </row>
    <row r="22">
      <c r="A22" s="33"/>
      <c r="B22" s="33" t="str">
        <v>103 TN</v>
      </c>
      <c r="C22" s="33" t="str">
        <v>DV_Cắt_Vip</v>
      </c>
      <c r="D22" s="33">
        <v>1046</v>
      </c>
      <c r="E22" s="33">
        <f>B22&amp;D22</f>
      </c>
      <c r="F22" s="33" t="str">
        <v>Shinecombo 2</v>
      </c>
      <c r="G22" s="32">
        <v>200000</v>
      </c>
    </row>
    <row r="23">
      <c r="A23" s="33"/>
      <c r="B23" s="33" t="str">
        <v>109 TQH</v>
      </c>
      <c r="C23" s="33" t="str">
        <v>DV_Cắt</v>
      </c>
      <c r="D23" s="33">
        <v>513</v>
      </c>
      <c r="E23" s="33">
        <f>B23&amp;D23</f>
      </c>
      <c r="F23" s="33" t="str">
        <v>[DV] ShineCombo 10 bước Ultra Care 2023</v>
      </c>
      <c r="G23" s="32">
        <v>122000</v>
      </c>
    </row>
    <row r="24">
      <c r="A24" s="33"/>
      <c r="B24" s="33" t="str">
        <v>109 TQH</v>
      </c>
      <c r="C24" s="33" t="str">
        <v>DV_Cắt</v>
      </c>
      <c r="D24" s="33">
        <v>891</v>
      </c>
      <c r="E24" s="33">
        <f>B24&amp;D24</f>
      </c>
      <c r="F24" s="33" t="str">
        <v>Cắt xả tạo kiểu</v>
      </c>
      <c r="G24" s="32">
        <v>94000</v>
      </c>
    </row>
    <row r="25">
      <c r="A25" s="33"/>
      <c r="B25" s="33" t="str">
        <v>109 TQH</v>
      </c>
      <c r="C25" s="33" t="str">
        <v>DV_Cắt</v>
      </c>
      <c r="D25" s="33">
        <v>1002</v>
      </c>
      <c r="E25" s="33">
        <f>B25&amp;D25</f>
      </c>
      <c r="F25" s="33" t="str">
        <v>Kid Cắt</v>
      </c>
      <c r="G25" s="32">
        <v>75000</v>
      </c>
    </row>
    <row r="26">
      <c r="A26" s="33"/>
      <c r="B26" s="33" t="str">
        <v>109 TQH</v>
      </c>
      <c r="C26" s="33" t="str">
        <v>DV_Cắt_Vip</v>
      </c>
      <c r="D26" s="33">
        <v>1047</v>
      </c>
      <c r="E26" s="33">
        <f>B26&amp;D26</f>
      </c>
      <c r="F26" s="33" t="str">
        <v>Cắt Gội Combo 3 - Chăm da</v>
      </c>
      <c r="G26" s="32">
        <v>299000</v>
      </c>
    </row>
    <row r="27">
      <c r="A27" s="33"/>
      <c r="B27" s="33" t="str">
        <v>109 TQH</v>
      </c>
      <c r="C27" s="33" t="str">
        <v>DV_Cắt_Vip</v>
      </c>
      <c r="D27" s="33">
        <v>1065</v>
      </c>
      <c r="E27" s="33">
        <f>B27&amp;D27</f>
      </c>
      <c r="F27" s="33" t="str">
        <v>Cắt Gội Combo 3 - Dưỡng sinh</v>
      </c>
      <c r="G27" s="32">
        <v>299000</v>
      </c>
    </row>
    <row r="28">
      <c r="A28" s="33"/>
      <c r="B28" s="33" t="str">
        <v>109 TQH</v>
      </c>
      <c r="C28" s="33" t="str">
        <v>DV_Cắt_Vip</v>
      </c>
      <c r="D28" s="33">
        <v>1048</v>
      </c>
      <c r="E28" s="33">
        <f>B28&amp;D28</f>
      </c>
      <c r="F28" s="33" t="str">
        <v>Combo 4</v>
      </c>
      <c r="G28" s="32">
        <v>389000</v>
      </c>
    </row>
    <row r="29">
      <c r="A29" s="33"/>
      <c r="B29" s="33" t="str">
        <v>109 TQH</v>
      </c>
      <c r="C29" s="33" t="str">
        <v>DV_Cắt_Vip</v>
      </c>
      <c r="D29" s="33">
        <v>1046</v>
      </c>
      <c r="E29" s="33">
        <f>B29&amp;D29</f>
      </c>
      <c r="F29" s="33" t="str">
        <v>Shinecombo 2</v>
      </c>
      <c r="G29" s="32">
        <v>199000</v>
      </c>
    </row>
    <row r="30">
      <c r="A30" s="33"/>
      <c r="B30" s="33" t="str">
        <v>11 PKT</v>
      </c>
      <c r="C30" s="33" t="str">
        <v>DV_Cắt</v>
      </c>
      <c r="D30" s="33">
        <v>513</v>
      </c>
      <c r="E30" s="33">
        <f>B30&amp;D30</f>
      </c>
      <c r="F30" s="33" t="str">
        <v>[DV] ShineCombo 10 bước Ultra Care 2023</v>
      </c>
      <c r="G30" s="32">
        <v>122000</v>
      </c>
    </row>
    <row r="31">
      <c r="A31" s="33"/>
      <c r="B31" s="33" t="str">
        <v>11 PKT</v>
      </c>
      <c r="C31" s="33" t="str">
        <v>DV_Cắt</v>
      </c>
      <c r="D31" s="33">
        <v>1070</v>
      </c>
      <c r="E31" s="33">
        <f>B31&amp;D31</f>
      </c>
      <c r="F31" s="33" t="str">
        <v>Combo Cắt gội Kid</v>
      </c>
      <c r="G31" s="32">
        <v>100000</v>
      </c>
    </row>
    <row r="32">
      <c r="A32" s="33"/>
      <c r="B32" s="33" t="str">
        <v>11 PKT</v>
      </c>
      <c r="C32" s="33" t="str">
        <v>DV_Cắt</v>
      </c>
      <c r="D32" s="33">
        <v>891</v>
      </c>
      <c r="E32" s="33">
        <f>B32&amp;D32</f>
      </c>
      <c r="F32" s="33" t="str">
        <v>Cắt xả tạo kiểu</v>
      </c>
      <c r="G32" s="32">
        <v>100000</v>
      </c>
    </row>
    <row r="33">
      <c r="A33" s="33"/>
      <c r="B33" s="33" t="str">
        <v>11 PKT</v>
      </c>
      <c r="C33" s="33" t="str">
        <v>DV_Cắt</v>
      </c>
      <c r="D33" s="33">
        <v>1052</v>
      </c>
      <c r="E33" s="33">
        <f>B33&amp;D33</f>
      </c>
      <c r="F33" s="33" t="str">
        <v>Combo 1 - First Class 1</v>
      </c>
      <c r="G33" s="32">
        <v>159000</v>
      </c>
    </row>
    <row r="34">
      <c r="A34" s="33"/>
      <c r="B34" s="33" t="str">
        <v>11 PKT</v>
      </c>
      <c r="C34" s="33" t="str">
        <v>DV_Cắt</v>
      </c>
      <c r="D34" s="33">
        <v>1002</v>
      </c>
      <c r="E34" s="33">
        <f>B34&amp;D34</f>
      </c>
      <c r="F34" s="33" t="str">
        <v>Kid Cắt</v>
      </c>
      <c r="G34" s="32">
        <v>81000</v>
      </c>
    </row>
    <row r="35">
      <c r="A35" s="33"/>
      <c r="B35" s="33" t="str">
        <v>11 PKT</v>
      </c>
      <c r="C35" s="33" t="str">
        <v>DV_Cắt_Vip</v>
      </c>
      <c r="D35" s="33">
        <v>1047</v>
      </c>
      <c r="E35" s="33">
        <f>B35&amp;D35</f>
      </c>
      <c r="F35" s="33" t="str">
        <v>Cắt Gội Combo 3 - Chăm da</v>
      </c>
      <c r="G35" s="32">
        <v>305000</v>
      </c>
    </row>
    <row r="36">
      <c r="A36" s="33"/>
      <c r="B36" s="33" t="str">
        <v>11 PKT</v>
      </c>
      <c r="C36" s="33" t="str">
        <v>DV_Cắt_Vip</v>
      </c>
      <c r="D36" s="33">
        <v>1065</v>
      </c>
      <c r="E36" s="33">
        <f>B36&amp;D36</f>
      </c>
      <c r="F36" s="33" t="str">
        <v>Cắt Gội Combo 3 - Dưỡng sinh</v>
      </c>
      <c r="G36" s="32">
        <v>305000</v>
      </c>
    </row>
    <row r="37">
      <c r="A37" s="33"/>
      <c r="B37" s="33" t="str">
        <v>11 PKT</v>
      </c>
      <c r="C37" s="33" t="str">
        <v>DV_Cắt_Vip</v>
      </c>
      <c r="D37" s="33">
        <v>1053</v>
      </c>
      <c r="E37" s="33">
        <f>B37&amp;D37</f>
      </c>
      <c r="F37" s="33" t="str">
        <v>Combo 2 - First Class 2</v>
      </c>
      <c r="G37" s="32">
        <v>235000</v>
      </c>
    </row>
    <row r="38">
      <c r="A38" s="33"/>
      <c r="B38" s="33" t="str">
        <v>11 PKT</v>
      </c>
      <c r="C38" s="33" t="str">
        <v>DV_Cắt_Vip</v>
      </c>
      <c r="D38" s="33">
        <v>1054</v>
      </c>
      <c r="E38" s="33">
        <f>B38&amp;D38</f>
      </c>
      <c r="F38" s="33" t="str">
        <v>Combo 3 - First Class 3</v>
      </c>
      <c r="G38" s="32">
        <v>305000</v>
      </c>
    </row>
    <row r="39">
      <c r="A39" s="33"/>
      <c r="B39" s="33" t="str">
        <v>11 PKT</v>
      </c>
      <c r="C39" s="33" t="str">
        <v>DV_Cắt_Vip</v>
      </c>
      <c r="D39" s="33">
        <v>1048</v>
      </c>
      <c r="E39" s="33">
        <f>B39&amp;D39</f>
      </c>
      <c r="F39" s="33" t="str">
        <v>Combo 4</v>
      </c>
      <c r="G39" s="32">
        <v>395000</v>
      </c>
    </row>
    <row r="40">
      <c r="A40" s="33"/>
      <c r="B40" s="33" t="str">
        <v>11 PKT</v>
      </c>
      <c r="C40" s="33" t="str">
        <v>DV_Cắt_Vip</v>
      </c>
      <c r="D40" s="33">
        <v>1046</v>
      </c>
      <c r="E40" s="33">
        <f>B40&amp;D40</f>
      </c>
      <c r="F40" s="33" t="str">
        <v>Shinecombo 2</v>
      </c>
      <c r="G40" s="32">
        <v>205000</v>
      </c>
    </row>
    <row r="41">
      <c r="A41" s="33"/>
      <c r="B41" s="33" t="str">
        <v>113 THD AG</v>
      </c>
      <c r="C41" s="33" t="str">
        <v>DV_Cắt</v>
      </c>
      <c r="D41" s="33">
        <v>513</v>
      </c>
      <c r="E41" s="33">
        <f>B41&amp;D41</f>
      </c>
      <c r="F41" s="33" t="str">
        <v>[DV] ShineCombo 10 bước Ultra Care 2023</v>
      </c>
      <c r="G41" s="32">
        <v>122000</v>
      </c>
    </row>
    <row r="42">
      <c r="A42" s="33"/>
      <c r="B42" s="33" t="str">
        <v>113 THD AG</v>
      </c>
      <c r="C42" s="33" t="str">
        <v>DV_Cắt</v>
      </c>
      <c r="D42" s="33">
        <v>891</v>
      </c>
      <c r="E42" s="33">
        <f>B42&amp;D42</f>
      </c>
      <c r="F42" s="33" t="str">
        <v>Cắt xả tạo kiểu</v>
      </c>
      <c r="G42" s="32">
        <v>94000</v>
      </c>
    </row>
    <row r="43">
      <c r="A43" s="33"/>
      <c r="B43" s="33" t="str">
        <v>113 THD AG</v>
      </c>
      <c r="C43" s="33" t="str">
        <v>DV_Cắt</v>
      </c>
      <c r="D43" s="33">
        <v>1002</v>
      </c>
      <c r="E43" s="33">
        <f>B43&amp;D43</f>
      </c>
      <c r="F43" s="33" t="str">
        <v>Kid Cắt</v>
      </c>
      <c r="G43" s="32">
        <v>75000</v>
      </c>
    </row>
    <row r="44">
      <c r="A44" s="33"/>
      <c r="B44" s="33" t="str">
        <v>113 THD AG</v>
      </c>
      <c r="C44" s="33" t="str">
        <v>DV_Cắt_Vip</v>
      </c>
      <c r="D44" s="33">
        <v>1047</v>
      </c>
      <c r="E44" s="33">
        <f>B44&amp;D44</f>
      </c>
      <c r="F44" s="33" t="str">
        <v>Cắt Gội Combo 3 - Chăm da</v>
      </c>
      <c r="G44" s="32">
        <v>299000</v>
      </c>
    </row>
    <row r="45">
      <c r="A45" s="33"/>
      <c r="B45" s="33" t="str">
        <v>113 THD AG</v>
      </c>
      <c r="C45" s="33" t="str">
        <v>DV_Cắt_Vip</v>
      </c>
      <c r="D45" s="33">
        <v>1065</v>
      </c>
      <c r="E45" s="33">
        <f>B45&amp;D45</f>
      </c>
      <c r="F45" s="33" t="str">
        <v>Cắt Gội Combo 3 - Dưỡng sinh</v>
      </c>
      <c r="G45" s="32">
        <v>299000</v>
      </c>
    </row>
    <row r="46">
      <c r="A46" s="33"/>
      <c r="B46" s="33" t="str">
        <v>113 THD AG</v>
      </c>
      <c r="C46" s="33" t="str">
        <v>DV_Cắt_Vip</v>
      </c>
      <c r="D46" s="33">
        <v>1053</v>
      </c>
      <c r="E46" s="33">
        <f>B46&amp;D46</f>
      </c>
      <c r="F46" s="33" t="str">
        <v>Combo 2 - First Class 2</v>
      </c>
      <c r="G46" s="32">
        <v>229000</v>
      </c>
    </row>
    <row r="47">
      <c r="A47" s="33"/>
      <c r="B47" s="33" t="str">
        <v>113 THD AG</v>
      </c>
      <c r="C47" s="33" t="str">
        <v>DV_Cắt_Vip</v>
      </c>
      <c r="D47" s="33">
        <v>1054</v>
      </c>
      <c r="E47" s="33">
        <f>B47&amp;D47</f>
      </c>
      <c r="F47" s="33" t="str">
        <v>Combo 3 - First Class 3</v>
      </c>
      <c r="G47" s="32">
        <v>299000</v>
      </c>
    </row>
    <row r="48">
      <c r="A48" s="33"/>
      <c r="B48" s="33" t="str">
        <v>113 THD AG</v>
      </c>
      <c r="C48" s="33" t="str">
        <v>DV_Cắt_Vip</v>
      </c>
      <c r="D48" s="33">
        <v>1048</v>
      </c>
      <c r="E48" s="33">
        <f>B48&amp;D48</f>
      </c>
      <c r="F48" s="33" t="str">
        <v>Combo 4</v>
      </c>
      <c r="G48" s="32">
        <v>389000</v>
      </c>
    </row>
    <row r="49">
      <c r="A49" s="33"/>
      <c r="B49" s="33" t="str">
        <v>113 THD AG</v>
      </c>
      <c r="C49" s="33" t="str">
        <v>DV_Cắt_Vip</v>
      </c>
      <c r="D49" s="33">
        <v>1150</v>
      </c>
      <c r="E49" s="33">
        <f>B49&amp;D49</f>
      </c>
      <c r="F49" s="33" t="str">
        <v>Combo cắt gội đỉnh cao thư giãn vip</v>
      </c>
      <c r="G49" s="32">
        <v>600000</v>
      </c>
    </row>
    <row r="50">
      <c r="A50" s="33"/>
      <c r="B50" s="33" t="str">
        <v>113 THD AG</v>
      </c>
      <c r="C50" s="33" t="str">
        <v>DV_Cắt_Vip</v>
      </c>
      <c r="D50" s="33">
        <v>1046</v>
      </c>
      <c r="E50" s="33">
        <f>B50&amp;D50</f>
      </c>
      <c r="F50" s="33" t="str">
        <v>Shinecombo 2</v>
      </c>
      <c r="G50" s="32">
        <v>199000</v>
      </c>
    </row>
    <row r="51">
      <c r="A51" s="33"/>
      <c r="B51" s="33" t="str">
        <v>1146 KVC</v>
      </c>
      <c r="C51" s="33" t="str">
        <v>DV_Cắt</v>
      </c>
      <c r="D51" s="33">
        <v>513</v>
      </c>
      <c r="E51" s="33">
        <f>B51&amp;D51</f>
      </c>
      <c r="F51" s="33" t="str">
        <v>[DV] ShineCombo 10 bước Ultra Care 2023</v>
      </c>
      <c r="G51" s="32">
        <v>122000</v>
      </c>
    </row>
    <row r="52">
      <c r="A52" s="33"/>
      <c r="B52" s="33" t="str">
        <v>1146 KVC</v>
      </c>
      <c r="C52" s="33" t="str">
        <v>DV_Cắt</v>
      </c>
      <c r="D52" s="33">
        <v>891</v>
      </c>
      <c r="E52" s="33">
        <f>B52&amp;D52</f>
      </c>
      <c r="F52" s="33" t="str">
        <v>Cắt xả tạo kiểu</v>
      </c>
      <c r="G52" s="32">
        <v>94000</v>
      </c>
    </row>
    <row r="53">
      <c r="A53" s="33"/>
      <c r="B53" s="33" t="str">
        <v>1146 KVC</v>
      </c>
      <c r="C53" s="33" t="str">
        <v>DV_Cắt</v>
      </c>
      <c r="D53" s="33">
        <v>1002</v>
      </c>
      <c r="E53" s="33">
        <f>B53&amp;D53</f>
      </c>
      <c r="F53" s="33" t="str">
        <v>Kid Cắt</v>
      </c>
      <c r="G53" s="32">
        <v>75000</v>
      </c>
    </row>
    <row r="54">
      <c r="A54" s="33"/>
      <c r="B54" s="33" t="str">
        <v>1146 KVC</v>
      </c>
      <c r="C54" s="33" t="str">
        <v>DV_Cắt_Vip</v>
      </c>
      <c r="D54" s="33">
        <v>1047</v>
      </c>
      <c r="E54" s="33">
        <f>B54&amp;D54</f>
      </c>
      <c r="F54" s="33" t="str">
        <v>Cắt Gội Combo 3 - Chăm da</v>
      </c>
      <c r="G54" s="32">
        <v>299000</v>
      </c>
    </row>
    <row r="55">
      <c r="A55" s="33"/>
      <c r="B55" s="33" t="str">
        <v>1146 KVC</v>
      </c>
      <c r="C55" s="33" t="str">
        <v>DV_Cắt_Vip</v>
      </c>
      <c r="D55" s="33">
        <v>1048</v>
      </c>
      <c r="E55" s="33">
        <f>B55&amp;D55</f>
      </c>
      <c r="F55" s="33" t="str">
        <v>Combo 4</v>
      </c>
      <c r="G55" s="32">
        <v>389000</v>
      </c>
    </row>
    <row r="56">
      <c r="A56" s="33"/>
      <c r="B56" s="33" t="str">
        <v>1146 KVC</v>
      </c>
      <c r="C56" s="33" t="str">
        <v>DV_Cắt_Vip</v>
      </c>
      <c r="D56" s="33">
        <v>1150</v>
      </c>
      <c r="E56" s="33">
        <f>B56&amp;D56</f>
      </c>
      <c r="F56" s="33" t="str">
        <v>Combo cắt gội đỉnh cao thư giãn vip</v>
      </c>
      <c r="G56" s="32">
        <v>500000</v>
      </c>
    </row>
    <row r="57">
      <c r="A57" s="33"/>
      <c r="B57" s="33" t="str">
        <v>1146 KVC</v>
      </c>
      <c r="C57" s="33" t="str">
        <v>DV_Cắt_Vip</v>
      </c>
      <c r="D57" s="33">
        <v>1046</v>
      </c>
      <c r="E57" s="33">
        <f>B57&amp;D57</f>
      </c>
      <c r="F57" s="33" t="str">
        <v>Shinecombo 2</v>
      </c>
      <c r="G57" s="32">
        <v>199000</v>
      </c>
    </row>
    <row r="58">
      <c r="A58" s="33"/>
      <c r="B58" s="33" t="str">
        <v>116 TK</v>
      </c>
      <c r="C58" s="33" t="str">
        <v>DV_Cắt</v>
      </c>
      <c r="D58" s="33">
        <v>513</v>
      </c>
      <c r="E58" s="33">
        <f>B58&amp;D58</f>
      </c>
      <c r="F58" s="33" t="str">
        <v>[DV] ShineCombo 10 bước Ultra Care 2023</v>
      </c>
      <c r="G58" s="32">
        <v>122000</v>
      </c>
    </row>
    <row r="59">
      <c r="A59" s="33"/>
      <c r="B59" s="33" t="str">
        <v>116 TK</v>
      </c>
      <c r="C59" s="33" t="str">
        <v>DV_Cắt</v>
      </c>
      <c r="D59" s="33">
        <v>891</v>
      </c>
      <c r="E59" s="33">
        <f>B59&amp;D59</f>
      </c>
      <c r="F59" s="33" t="str">
        <v>Cắt xả tạo kiểu</v>
      </c>
      <c r="G59" s="32">
        <v>94000</v>
      </c>
    </row>
    <row r="60">
      <c r="A60" s="33"/>
      <c r="B60" s="33" t="str">
        <v>116 TK</v>
      </c>
      <c r="C60" s="33" t="str">
        <v>DV_Cắt</v>
      </c>
      <c r="D60" s="33">
        <v>1052</v>
      </c>
      <c r="E60" s="33">
        <f>B60&amp;D60</f>
      </c>
      <c r="F60" s="33" t="str">
        <v>Combo 1 - First Class 1</v>
      </c>
      <c r="G60" s="32">
        <v>159000</v>
      </c>
    </row>
    <row r="61">
      <c r="A61" s="33"/>
      <c r="B61" s="33" t="str">
        <v>116 TK</v>
      </c>
      <c r="C61" s="33" t="str">
        <v>DV_Cắt</v>
      </c>
      <c r="D61" s="33">
        <v>1070</v>
      </c>
      <c r="E61" s="33">
        <f>B61&amp;D61</f>
      </c>
      <c r="F61" s="33" t="str">
        <v>Combo Cắt gội Kid</v>
      </c>
      <c r="G61" s="32">
        <v>100000</v>
      </c>
    </row>
    <row r="62">
      <c r="A62" s="33"/>
      <c r="B62" s="33" t="str">
        <v>116 TK</v>
      </c>
      <c r="C62" s="33" t="str">
        <v>DV_Cắt</v>
      </c>
      <c r="D62" s="33">
        <v>1002</v>
      </c>
      <c r="E62" s="33">
        <f>B62&amp;D62</f>
      </c>
      <c r="F62" s="33" t="str">
        <v>Kid Cắt</v>
      </c>
      <c r="G62" s="32">
        <v>75000</v>
      </c>
    </row>
    <row r="63">
      <c r="A63" s="33"/>
      <c r="B63" s="33" t="str">
        <v>116 TK</v>
      </c>
      <c r="C63" s="33" t="str">
        <v>DV_Cắt_Vip</v>
      </c>
      <c r="D63" s="33">
        <v>1047</v>
      </c>
      <c r="E63" s="33">
        <f>B63&amp;D63</f>
      </c>
      <c r="F63" s="33" t="str">
        <v>Cắt Gội Combo 3 - Chăm da</v>
      </c>
      <c r="G63" s="32">
        <v>299000</v>
      </c>
    </row>
    <row r="64">
      <c r="A64" s="33"/>
      <c r="B64" s="33" t="str">
        <v>116 TK</v>
      </c>
      <c r="C64" s="33" t="str">
        <v>DV_Cắt_Vip</v>
      </c>
      <c r="D64" s="33">
        <v>1065</v>
      </c>
      <c r="E64" s="33">
        <f>B64&amp;D64</f>
      </c>
      <c r="F64" s="33" t="str">
        <v>Cắt Gội Combo 3 - Dưỡng sinh</v>
      </c>
      <c r="G64" s="32">
        <v>299000</v>
      </c>
    </row>
    <row r="65">
      <c r="A65" s="33"/>
      <c r="B65" s="33" t="str">
        <v>116 TK</v>
      </c>
      <c r="C65" s="33" t="str">
        <v>DV_Cắt_Vip</v>
      </c>
      <c r="D65" s="33">
        <v>1064</v>
      </c>
      <c r="E65" s="33">
        <f>B65&amp;D65</f>
      </c>
      <c r="F65" s="33" t="str">
        <v>Cắt Gội Combo 5 - Dưỡng sinh</v>
      </c>
      <c r="G65" s="32">
        <v>459000</v>
      </c>
    </row>
    <row r="66">
      <c r="A66" s="33"/>
      <c r="B66" s="33" t="str">
        <v>116 TK</v>
      </c>
      <c r="C66" s="33" t="str">
        <v>DV_Cắt_Vip</v>
      </c>
      <c r="D66" s="33">
        <v>1054</v>
      </c>
      <c r="E66" s="33">
        <f>B66&amp;D66</f>
      </c>
      <c r="F66" s="33" t="str">
        <v>Combo 3 - First Class 3</v>
      </c>
      <c r="G66" s="32">
        <v>299000</v>
      </c>
    </row>
    <row r="67">
      <c r="A67" s="33"/>
      <c r="B67" s="33" t="str">
        <v>116 TK</v>
      </c>
      <c r="C67" s="33" t="str">
        <v>DV_Cắt_Vip</v>
      </c>
      <c r="D67" s="33">
        <v>1048</v>
      </c>
      <c r="E67" s="33">
        <f>B67&amp;D67</f>
      </c>
      <c r="F67" s="33" t="str">
        <v>Combo 4</v>
      </c>
      <c r="G67" s="32">
        <v>389000</v>
      </c>
    </row>
    <row r="68">
      <c r="A68" s="33"/>
      <c r="B68" s="33" t="str">
        <v>116 TK</v>
      </c>
      <c r="C68" s="33" t="str">
        <v>DV_Cắt_Vip</v>
      </c>
      <c r="D68" s="33">
        <v>1046</v>
      </c>
      <c r="E68" s="33">
        <f>B68&amp;D68</f>
      </c>
      <c r="F68" s="33" t="str">
        <v>Shinecombo 2</v>
      </c>
      <c r="G68" s="32">
        <v>199000</v>
      </c>
    </row>
    <row r="69">
      <c r="A69" s="33"/>
      <c r="B69" s="33" t="str">
        <v>1180 QT</v>
      </c>
      <c r="C69" s="33" t="str">
        <v>DV_Cắt</v>
      </c>
      <c r="D69" s="33">
        <v>513</v>
      </c>
      <c r="E69" s="33">
        <f>B69&amp;D69</f>
      </c>
      <c r="F69" s="33" t="str">
        <v>[DV] ShineCombo 10 bước Ultra Care 2023</v>
      </c>
      <c r="G69" s="32">
        <v>122000</v>
      </c>
    </row>
    <row r="70">
      <c r="A70" s="33"/>
      <c r="B70" s="33" t="str">
        <v>1180 QT</v>
      </c>
      <c r="C70" s="33" t="str">
        <v>DV_Cắt</v>
      </c>
      <c r="D70" s="33">
        <v>891</v>
      </c>
      <c r="E70" s="33">
        <f>B70&amp;D70</f>
      </c>
      <c r="F70" s="33" t="str">
        <v>Cắt xả tạo kiểu</v>
      </c>
      <c r="G70" s="32">
        <v>103000</v>
      </c>
    </row>
    <row r="71">
      <c r="A71" s="33"/>
      <c r="B71" s="33" t="str">
        <v>1180 QT</v>
      </c>
      <c r="C71" s="33" t="str">
        <v>DV_Cắt</v>
      </c>
      <c r="D71" s="33">
        <v>1052</v>
      </c>
      <c r="E71" s="33">
        <f>B71&amp;D71</f>
      </c>
      <c r="F71" s="33" t="str">
        <v>Combo 1 - First Class 1</v>
      </c>
      <c r="G71" s="32">
        <v>139000</v>
      </c>
    </row>
    <row r="72">
      <c r="A72" s="33"/>
      <c r="B72" s="33" t="str">
        <v>1180 QT</v>
      </c>
      <c r="C72" s="33" t="str">
        <v>DV_Cắt</v>
      </c>
      <c r="D72" s="33">
        <v>1002</v>
      </c>
      <c r="E72" s="33">
        <f>B72&amp;D72</f>
      </c>
      <c r="F72" s="33" t="str">
        <v>Kid Cắt</v>
      </c>
      <c r="G72" s="32">
        <v>84000</v>
      </c>
    </row>
    <row r="73">
      <c r="A73" s="33"/>
      <c r="B73" s="33" t="str">
        <v>1180 QT</v>
      </c>
      <c r="C73" s="33" t="str">
        <v>DV_Cắt_Vip</v>
      </c>
      <c r="D73" s="33">
        <v>1064</v>
      </c>
      <c r="E73" s="33">
        <f>B73&amp;D73</f>
      </c>
      <c r="F73" s="33" t="str">
        <v>Cắt Gội Combo 5 - Dưỡng sinh</v>
      </c>
      <c r="G73" s="32">
        <v>468000</v>
      </c>
    </row>
    <row r="74">
      <c r="A74" s="33"/>
      <c r="B74" s="33" t="str">
        <v>1180 QT</v>
      </c>
      <c r="C74" s="33" t="str">
        <v>DV_Cắt_Vip</v>
      </c>
      <c r="D74" s="33">
        <v>1053</v>
      </c>
      <c r="E74" s="33">
        <f>B74&amp;D74</f>
      </c>
      <c r="F74" s="33" t="str">
        <v>Combo 2 - First Class 2</v>
      </c>
      <c r="G74" s="32">
        <v>248000</v>
      </c>
    </row>
    <row r="75">
      <c r="A75" s="33"/>
      <c r="B75" s="33" t="str">
        <v>1180 QT</v>
      </c>
      <c r="C75" s="33" t="str">
        <v>DV_Cắt_Vip</v>
      </c>
      <c r="D75" s="33">
        <v>1054</v>
      </c>
      <c r="E75" s="33">
        <f>B75&amp;D75</f>
      </c>
      <c r="F75" s="33" t="str">
        <v>Combo 3 - First Class 3</v>
      </c>
      <c r="G75" s="32">
        <v>318000</v>
      </c>
    </row>
    <row r="76">
      <c r="A76" s="33"/>
      <c r="B76" s="33" t="str">
        <v>1180 QT</v>
      </c>
      <c r="C76" s="33" t="str">
        <v>DV_Cắt_Vip</v>
      </c>
      <c r="D76" s="33">
        <v>1048</v>
      </c>
      <c r="E76" s="33">
        <f>B76&amp;D76</f>
      </c>
      <c r="F76" s="33" t="str">
        <v>Combo 4</v>
      </c>
      <c r="G76" s="32">
        <v>398000</v>
      </c>
    </row>
    <row r="77">
      <c r="A77" s="33"/>
      <c r="B77" s="33" t="str">
        <v>1180 QT</v>
      </c>
      <c r="C77" s="33" t="str">
        <v>DV_Cắt_Vip</v>
      </c>
      <c r="D77" s="33">
        <v>1055</v>
      </c>
      <c r="E77" s="33">
        <f>B77&amp;D77</f>
      </c>
      <c r="F77" s="33" t="str">
        <v>Combo 4- First Class 4</v>
      </c>
      <c r="G77" s="32">
        <v>418000</v>
      </c>
    </row>
    <row r="78">
      <c r="A78" s="33"/>
      <c r="B78" s="33" t="str">
        <v>1180 QT</v>
      </c>
      <c r="C78" s="33" t="str">
        <v>DV_Cắt_Vip</v>
      </c>
      <c r="D78" s="33">
        <v>1046</v>
      </c>
      <c r="E78" s="33">
        <f>B78&amp;D78</f>
      </c>
      <c r="F78" s="33" t="str">
        <v>Shinecombo 2</v>
      </c>
      <c r="G78" s="32">
        <v>208000</v>
      </c>
    </row>
    <row r="79">
      <c r="A79" s="33"/>
      <c r="B79" s="33" t="str">
        <v>12 LDT</v>
      </c>
      <c r="C79" s="33" t="str">
        <v>DV_Cắt</v>
      </c>
      <c r="D79" s="33">
        <v>513</v>
      </c>
      <c r="E79" s="33">
        <f>B79&amp;D79</f>
      </c>
      <c r="F79" s="33" t="str">
        <v>[DV] ShineCombo 10 bước Ultra Care 2023</v>
      </c>
      <c r="G79" s="32">
        <v>122000</v>
      </c>
    </row>
    <row r="80">
      <c r="A80" s="33"/>
      <c r="B80" s="33" t="str">
        <v>12 LDT</v>
      </c>
      <c r="C80" s="33" t="str">
        <v>DV_Cắt</v>
      </c>
      <c r="D80" s="33">
        <v>1070</v>
      </c>
      <c r="E80" s="33">
        <f>B80&amp;D80</f>
      </c>
      <c r="F80" s="33" t="str">
        <v>Combo Cắt gội Kid</v>
      </c>
      <c r="G80" s="32">
        <v>100000</v>
      </c>
    </row>
    <row r="81">
      <c r="A81" s="33"/>
      <c r="B81" s="33" t="str">
        <v>12 LDT</v>
      </c>
      <c r="C81" s="33" t="str">
        <v>DV_Cắt</v>
      </c>
      <c r="D81" s="33">
        <v>891</v>
      </c>
      <c r="E81" s="33">
        <f>B81&amp;D81</f>
      </c>
      <c r="F81" s="33" t="str">
        <v>Cắt xả tạo kiểu</v>
      </c>
      <c r="G81" s="32">
        <v>103000</v>
      </c>
    </row>
    <row r="82">
      <c r="A82" s="33"/>
      <c r="B82" s="33" t="str">
        <v>12 LDT</v>
      </c>
      <c r="C82" s="33" t="str">
        <v>DV_Cắt</v>
      </c>
      <c r="D82" s="33">
        <v>1052</v>
      </c>
      <c r="E82" s="33">
        <f>B82&amp;D82</f>
      </c>
      <c r="F82" s="33" t="str">
        <v>Combo 1 - First Class 1</v>
      </c>
      <c r="G82" s="32">
        <v>139000</v>
      </c>
    </row>
    <row r="83">
      <c r="A83" s="33"/>
      <c r="B83" s="33" t="str">
        <v>12 LDT</v>
      </c>
      <c r="C83" s="33" t="str">
        <v>DV_Cắt</v>
      </c>
      <c r="D83" s="33">
        <v>1002</v>
      </c>
      <c r="E83" s="33">
        <f>B83&amp;D83</f>
      </c>
      <c r="F83" s="33" t="str">
        <v>Kid Cắt</v>
      </c>
      <c r="G83" s="32">
        <v>84000</v>
      </c>
    </row>
    <row r="84">
      <c r="A84" s="33"/>
      <c r="B84" s="33" t="str">
        <v>12 LDT</v>
      </c>
      <c r="C84" s="33" t="str">
        <v>DV_Cắt_Vip</v>
      </c>
      <c r="D84" s="33">
        <v>1047</v>
      </c>
      <c r="E84" s="33">
        <f>B84&amp;D84</f>
      </c>
      <c r="F84" s="33" t="str">
        <v>Cắt Gội Combo 3 - Chăm da</v>
      </c>
      <c r="G84" s="32">
        <v>308000</v>
      </c>
    </row>
    <row r="85">
      <c r="A85" s="33"/>
      <c r="B85" s="33" t="str">
        <v>12 LDT</v>
      </c>
      <c r="C85" s="33" t="str">
        <v>DV_Cắt_Vip</v>
      </c>
      <c r="D85" s="33">
        <v>1064</v>
      </c>
      <c r="E85" s="33">
        <f>B85&amp;D85</f>
      </c>
      <c r="F85" s="33" t="str">
        <v>Cắt Gội Combo 5 - Dưỡng sinh</v>
      </c>
      <c r="G85" s="32">
        <v>468000</v>
      </c>
    </row>
    <row r="86">
      <c r="A86" s="33"/>
      <c r="B86" s="33" t="str">
        <v>12 LDT</v>
      </c>
      <c r="C86" s="33" t="str">
        <v>DV_Cắt_Vip</v>
      </c>
      <c r="D86" s="33">
        <v>1053</v>
      </c>
      <c r="E86" s="33">
        <f>B86&amp;D86</f>
      </c>
      <c r="F86" s="33" t="str">
        <v>Combo 2 - First Class 2</v>
      </c>
      <c r="G86" s="32">
        <v>248000</v>
      </c>
    </row>
    <row r="87">
      <c r="A87" s="33"/>
      <c r="B87" s="33" t="str">
        <v>12 LDT</v>
      </c>
      <c r="C87" s="33" t="str">
        <v>DV_Cắt_Vip</v>
      </c>
      <c r="D87" s="33">
        <v>1054</v>
      </c>
      <c r="E87" s="33">
        <f>B87&amp;D87</f>
      </c>
      <c r="F87" s="33" t="str">
        <v>Combo 3 - First Class 3</v>
      </c>
      <c r="G87" s="32">
        <v>318000</v>
      </c>
    </row>
    <row r="88">
      <c r="A88" s="33"/>
      <c r="B88" s="33" t="str">
        <v>12 LDT</v>
      </c>
      <c r="C88" s="33" t="str">
        <v>DV_Cắt_Vip</v>
      </c>
      <c r="D88" s="33">
        <v>1048</v>
      </c>
      <c r="E88" s="33">
        <f>B88&amp;D88</f>
      </c>
      <c r="F88" s="33" t="str">
        <v>Combo 4</v>
      </c>
      <c r="G88" s="32">
        <v>398000</v>
      </c>
    </row>
    <row r="89">
      <c r="A89" s="33"/>
      <c r="B89" s="33" t="str">
        <v>12 LDT</v>
      </c>
      <c r="C89" s="33" t="str">
        <v>DV_Cắt_Vip</v>
      </c>
      <c r="D89" s="33">
        <v>1055</v>
      </c>
      <c r="E89" s="33">
        <f>B89&amp;D89</f>
      </c>
      <c r="F89" s="33" t="str">
        <v>Combo 4- First Class 4</v>
      </c>
      <c r="G89" s="32">
        <v>418000</v>
      </c>
    </row>
    <row r="90">
      <c r="A90" s="33"/>
      <c r="B90" s="33" t="str">
        <v>12 LDT</v>
      </c>
      <c r="C90" s="33" t="str">
        <v>DV_Cắt_Vip</v>
      </c>
      <c r="D90" s="33">
        <v>1046</v>
      </c>
      <c r="E90" s="33">
        <f>B90&amp;D90</f>
      </c>
      <c r="F90" s="33" t="str">
        <v>Shinecombo 2</v>
      </c>
      <c r="G90" s="32">
        <v>208000</v>
      </c>
    </row>
    <row r="91">
      <c r="A91" s="33"/>
      <c r="B91" s="33" t="str">
        <v>1371 PVT</v>
      </c>
      <c r="C91" s="33" t="str">
        <v>DV_Cắt</v>
      </c>
      <c r="D91" s="33">
        <v>513</v>
      </c>
      <c r="E91" s="33">
        <f>B91&amp;D91</f>
      </c>
      <c r="F91" s="33" t="str">
        <v>[DV] ShineCombo 10 bước Ultra Care 2023</v>
      </c>
      <c r="G91" s="32">
        <v>122000</v>
      </c>
    </row>
    <row r="92">
      <c r="A92" s="33"/>
      <c r="B92" s="33" t="str">
        <v>1371 PVT</v>
      </c>
      <c r="C92" s="33" t="str">
        <v>DV_Cắt</v>
      </c>
      <c r="D92" s="33">
        <v>1070</v>
      </c>
      <c r="E92" s="33">
        <f>B92&amp;D92</f>
      </c>
      <c r="F92" s="33" t="str">
        <v>Combo Cắt gội Kid</v>
      </c>
      <c r="G92" s="32">
        <v>100000</v>
      </c>
    </row>
    <row r="93">
      <c r="A93" s="33"/>
      <c r="B93" s="33" t="str">
        <v>1371 PVT</v>
      </c>
      <c r="C93" s="33" t="str">
        <v>DV_Cắt</v>
      </c>
      <c r="D93" s="33">
        <v>891</v>
      </c>
      <c r="E93" s="33">
        <f>B93&amp;D93</f>
      </c>
      <c r="F93" s="33" t="str">
        <v>Cắt xả tạo kiểu</v>
      </c>
      <c r="G93" s="32">
        <v>101999.99999999999</v>
      </c>
    </row>
    <row r="94">
      <c r="A94" s="33"/>
      <c r="B94" s="33" t="str">
        <v>1371 PVT</v>
      </c>
      <c r="C94" s="33" t="str">
        <v>DV_Cắt</v>
      </c>
      <c r="D94" s="33">
        <v>1002</v>
      </c>
      <c r="E94" s="33">
        <f>B94&amp;D94</f>
      </c>
      <c r="F94" s="33" t="str">
        <v>Kid Cắt</v>
      </c>
      <c r="G94" s="32">
        <v>82999.99999999999</v>
      </c>
    </row>
    <row r="95">
      <c r="A95" s="33"/>
      <c r="B95" s="33" t="str">
        <v>1371 PVT</v>
      </c>
      <c r="C95" s="33" t="str">
        <v>DV_Cắt_Vip</v>
      </c>
      <c r="D95" s="33">
        <v>1047</v>
      </c>
      <c r="E95" s="33">
        <f>B95&amp;D95</f>
      </c>
      <c r="F95" s="33" t="str">
        <v>Cắt Gội Combo 3 - Chăm da</v>
      </c>
      <c r="G95" s="32">
        <v>287000</v>
      </c>
    </row>
    <row r="96">
      <c r="A96" s="33"/>
      <c r="B96" s="33" t="str">
        <v>1371 PVT</v>
      </c>
      <c r="C96" s="33" t="str">
        <v>DV_Cắt_Vip</v>
      </c>
      <c r="D96" s="33">
        <v>1048</v>
      </c>
      <c r="E96" s="33">
        <f>B96&amp;D96</f>
      </c>
      <c r="F96" s="33" t="str">
        <v>Combo 4</v>
      </c>
      <c r="G96" s="32">
        <v>397000</v>
      </c>
    </row>
    <row r="97">
      <c r="A97" s="33"/>
      <c r="B97" s="33" t="str">
        <v>1371 PVT</v>
      </c>
      <c r="C97" s="33" t="str">
        <v>DV_Cắt_Vip</v>
      </c>
      <c r="D97" s="33">
        <v>1150</v>
      </c>
      <c r="E97" s="33">
        <f>B97&amp;D97</f>
      </c>
      <c r="F97" s="33" t="str">
        <v>Combo cắt gội đỉnh cao thư giãn vip</v>
      </c>
      <c r="G97" s="32">
        <v>508000</v>
      </c>
    </row>
    <row r="98">
      <c r="A98" s="33"/>
      <c r="B98" s="33" t="str">
        <v>1371 PVT</v>
      </c>
      <c r="C98" s="33" t="str">
        <v>DV_Cắt_Vip</v>
      </c>
      <c r="D98" s="33">
        <v>1046</v>
      </c>
      <c r="E98" s="33">
        <f>B98&amp;D98</f>
      </c>
      <c r="F98" s="33" t="str">
        <v>Shinecombo 2</v>
      </c>
      <c r="G98" s="32">
        <v>177000</v>
      </c>
    </row>
    <row r="99">
      <c r="A99" s="33"/>
      <c r="B99" s="33" t="str">
        <v>145 THT</v>
      </c>
      <c r="C99" s="33" t="str">
        <v>DV_Cắt</v>
      </c>
      <c r="D99" s="33">
        <v>513</v>
      </c>
      <c r="E99" s="33">
        <f>B99&amp;D99</f>
      </c>
      <c r="F99" s="33" t="str">
        <v>[DV] ShineCombo 10 bước Ultra Care 2023</v>
      </c>
      <c r="G99" s="32">
        <v>122000</v>
      </c>
    </row>
    <row r="100">
      <c r="A100" s="33"/>
      <c r="B100" s="33" t="str">
        <v>145 THT</v>
      </c>
      <c r="C100" s="33" t="str">
        <v>DV_Cắt</v>
      </c>
      <c r="D100" s="33">
        <v>891</v>
      </c>
      <c r="E100" s="33">
        <f>B100&amp;D100</f>
      </c>
      <c r="F100" s="33" t="str">
        <v>Cắt xả tạo kiểu</v>
      </c>
      <c r="G100" s="32">
        <v>94000</v>
      </c>
    </row>
    <row r="101">
      <c r="A101" s="33"/>
      <c r="B101" s="33" t="str">
        <v>145 THT</v>
      </c>
      <c r="C101" s="33" t="str">
        <v>DV_Cắt</v>
      </c>
      <c r="D101" s="33">
        <v>1052</v>
      </c>
      <c r="E101" s="33">
        <f>B101&amp;D101</f>
      </c>
      <c r="F101" s="33" t="str">
        <v>Combo 1 - First Class 1</v>
      </c>
      <c r="G101" s="32">
        <v>159000</v>
      </c>
    </row>
    <row r="102">
      <c r="A102" s="33"/>
      <c r="B102" s="33" t="str">
        <v>145 THT</v>
      </c>
      <c r="C102" s="33" t="str">
        <v>DV_Cắt</v>
      </c>
      <c r="D102" s="33">
        <v>1070</v>
      </c>
      <c r="E102" s="33">
        <f>B102&amp;D102</f>
      </c>
      <c r="F102" s="33" t="str">
        <v>Combo Cắt gội Kid</v>
      </c>
      <c r="G102" s="32">
        <v>100000</v>
      </c>
    </row>
    <row r="103">
      <c r="A103" s="33"/>
      <c r="B103" s="33" t="str">
        <v>145 THT</v>
      </c>
      <c r="C103" s="33" t="str">
        <v>DV_Cắt</v>
      </c>
      <c r="D103" s="33">
        <v>1002</v>
      </c>
      <c r="E103" s="33">
        <f>B103&amp;D103</f>
      </c>
      <c r="F103" s="33" t="str">
        <v>Kid Cắt</v>
      </c>
      <c r="G103" s="32">
        <v>75000</v>
      </c>
    </row>
    <row r="104">
      <c r="A104" s="33"/>
      <c r="B104" s="33" t="str">
        <v>145 THT</v>
      </c>
      <c r="C104" s="33" t="str">
        <v>DV_Cắt_Vip</v>
      </c>
      <c r="D104" s="33">
        <v>1047</v>
      </c>
      <c r="E104" s="33">
        <f>B104&amp;D104</f>
      </c>
      <c r="F104" s="33" t="str">
        <v>Cắt Gội Combo 3 - Chăm da</v>
      </c>
      <c r="G104" s="32">
        <v>299000</v>
      </c>
    </row>
    <row r="105">
      <c r="A105" s="33"/>
      <c r="B105" s="33" t="str">
        <v>145 THT</v>
      </c>
      <c r="C105" s="33" t="str">
        <v>DV_Cắt_Vip</v>
      </c>
      <c r="D105" s="33">
        <v>1065</v>
      </c>
      <c r="E105" s="33">
        <f>B105&amp;D105</f>
      </c>
      <c r="F105" s="33" t="str">
        <v>Cắt Gội Combo 3 - Dưỡng sinh</v>
      </c>
      <c r="G105" s="32">
        <v>299000</v>
      </c>
    </row>
    <row r="106">
      <c r="A106" s="33"/>
      <c r="B106" s="33" t="str">
        <v>145 THT</v>
      </c>
      <c r="C106" s="33" t="str">
        <v>DV_Cắt_Vip</v>
      </c>
      <c r="D106" s="33">
        <v>1049</v>
      </c>
      <c r="E106" s="33">
        <f>B106&amp;D106</f>
      </c>
      <c r="F106" s="33" t="str">
        <v>Cắt Gội Combo 5 - Chăm da</v>
      </c>
      <c r="G106" s="32">
        <v>399000</v>
      </c>
    </row>
    <row r="107">
      <c r="A107" s="33"/>
      <c r="B107" s="33" t="str">
        <v>145 THT</v>
      </c>
      <c r="C107" s="33" t="str">
        <v>DV_Cắt_Vip</v>
      </c>
      <c r="D107" s="33">
        <v>1064</v>
      </c>
      <c r="E107" s="33">
        <f>B107&amp;D107</f>
      </c>
      <c r="F107" s="33" t="str">
        <v>Cắt Gội Combo 5 - Dưỡng sinh</v>
      </c>
      <c r="G107" s="32">
        <v>459000</v>
      </c>
    </row>
    <row r="108">
      <c r="A108" s="33"/>
      <c r="B108" s="33" t="str">
        <v>145 THT</v>
      </c>
      <c r="C108" s="33" t="str">
        <v>DV_Cắt_Vip</v>
      </c>
      <c r="D108" s="33">
        <v>1054</v>
      </c>
      <c r="E108" s="33">
        <f>B108&amp;D108</f>
      </c>
      <c r="F108" s="33" t="str">
        <v>Combo 3 - First Class 3</v>
      </c>
      <c r="G108" s="32">
        <v>299000</v>
      </c>
    </row>
    <row r="109">
      <c r="A109" s="33"/>
      <c r="B109" s="33" t="str">
        <v>145 THT</v>
      </c>
      <c r="C109" s="33" t="str">
        <v>DV_Cắt_Vip</v>
      </c>
      <c r="D109" s="33">
        <v>1048</v>
      </c>
      <c r="E109" s="33">
        <f>B109&amp;D109</f>
      </c>
      <c r="F109" s="33" t="str">
        <v>Combo 4</v>
      </c>
      <c r="G109" s="32">
        <v>389000</v>
      </c>
    </row>
    <row r="110">
      <c r="A110" s="33"/>
      <c r="B110" s="33" t="str">
        <v>145 THT</v>
      </c>
      <c r="C110" s="33" t="str">
        <v>DV_Cắt_Vip</v>
      </c>
      <c r="D110" s="33">
        <v>1046</v>
      </c>
      <c r="E110" s="33">
        <f>B110&amp;D110</f>
      </c>
      <c r="F110" s="33" t="str">
        <v>Shinecombo 2</v>
      </c>
      <c r="G110" s="32">
        <v>199000</v>
      </c>
    </row>
    <row r="111">
      <c r="A111" s="33"/>
      <c r="B111" s="33" t="str">
        <v>148 TD</v>
      </c>
      <c r="C111" s="33" t="str">
        <v>DV_Cắt</v>
      </c>
      <c r="D111" s="33">
        <v>513</v>
      </c>
      <c r="E111" s="33">
        <f>B111&amp;D111</f>
      </c>
      <c r="F111" s="33" t="str">
        <v>[DV] ShineCombo 10 bước Ultra Care 2023</v>
      </c>
      <c r="G111" s="32">
        <v>122000</v>
      </c>
    </row>
    <row r="112">
      <c r="A112" s="33"/>
      <c r="B112" s="33" t="str">
        <v>148 TD</v>
      </c>
      <c r="C112" s="33" t="str">
        <v>DV_Cắt</v>
      </c>
      <c r="D112" s="33">
        <v>1070</v>
      </c>
      <c r="E112" s="33">
        <f>B112&amp;D112</f>
      </c>
      <c r="F112" s="33" t="str">
        <v>Combo Cắt gội Kid</v>
      </c>
      <c r="G112" s="32">
        <v>100000</v>
      </c>
    </row>
    <row r="113">
      <c r="A113" s="33"/>
      <c r="B113" s="33" t="str">
        <v>148 TD</v>
      </c>
      <c r="C113" s="33" t="str">
        <v>DV_Cắt</v>
      </c>
      <c r="D113" s="33">
        <v>891</v>
      </c>
      <c r="E113" s="33">
        <f>B113&amp;D113</f>
      </c>
      <c r="F113" s="33" t="str">
        <v>Cắt xả tạo kiểu</v>
      </c>
      <c r="G113" s="32">
        <v>96000</v>
      </c>
    </row>
    <row r="114">
      <c r="A114" s="33"/>
      <c r="B114" s="33" t="str">
        <v>148 TD</v>
      </c>
      <c r="C114" s="33" t="str">
        <v>DV_Cắt</v>
      </c>
      <c r="D114" s="33">
        <v>1052</v>
      </c>
      <c r="E114" s="33">
        <f>B114&amp;D114</f>
      </c>
      <c r="F114" s="33" t="str">
        <v>Combo 1 - First Class 1</v>
      </c>
      <c r="G114" s="32">
        <v>159000</v>
      </c>
    </row>
    <row r="115">
      <c r="A115" s="33"/>
      <c r="B115" s="33" t="str">
        <v>148 TD</v>
      </c>
      <c r="C115" s="33" t="str">
        <v>DV_Cắt</v>
      </c>
      <c r="D115" s="33">
        <v>1002</v>
      </c>
      <c r="E115" s="33">
        <f>B115&amp;D115</f>
      </c>
      <c r="F115" s="33" t="str">
        <v>Kid Cắt</v>
      </c>
      <c r="G115" s="32">
        <v>76999.99999999999</v>
      </c>
    </row>
    <row r="116">
      <c r="A116" s="33"/>
      <c r="B116" s="33" t="str">
        <v>148 TD</v>
      </c>
      <c r="C116" s="33" t="str">
        <v>DV_Cắt_Vip</v>
      </c>
      <c r="D116" s="33">
        <v>1047</v>
      </c>
      <c r="E116" s="33">
        <f>B116&amp;D116</f>
      </c>
      <c r="F116" s="33" t="str">
        <v>Cắt Gội Combo 3 - Chăm da</v>
      </c>
      <c r="G116" s="32">
        <v>301000</v>
      </c>
    </row>
    <row r="117">
      <c r="A117" s="33"/>
      <c r="B117" s="33" t="str">
        <v>148 TD</v>
      </c>
      <c r="C117" s="33" t="str">
        <v>DV_Cắt_Vip</v>
      </c>
      <c r="D117" s="33">
        <v>1065</v>
      </c>
      <c r="E117" s="33">
        <f>B117&amp;D117</f>
      </c>
      <c r="F117" s="33" t="str">
        <v>Cắt Gội Combo 3 - Dưỡng sinh</v>
      </c>
      <c r="G117" s="32">
        <v>301000</v>
      </c>
    </row>
    <row r="118">
      <c r="A118" s="33"/>
      <c r="B118" s="33" t="str">
        <v>148 TD</v>
      </c>
      <c r="C118" s="33" t="str">
        <v>DV_Cắt_Vip</v>
      </c>
      <c r="D118" s="33">
        <v>1053</v>
      </c>
      <c r="E118" s="33">
        <f>B118&amp;D118</f>
      </c>
      <c r="F118" s="33" t="str">
        <v>Combo 2 - First Class 2</v>
      </c>
      <c r="G118" s="32">
        <v>241000</v>
      </c>
    </row>
    <row r="119">
      <c r="A119" s="33"/>
      <c r="B119" s="33" t="str">
        <v>148 TD</v>
      </c>
      <c r="C119" s="33" t="str">
        <v>DV_Cắt_Vip</v>
      </c>
      <c r="D119" s="33">
        <v>1048</v>
      </c>
      <c r="E119" s="33">
        <f>B119&amp;D119</f>
      </c>
      <c r="F119" s="33" t="str">
        <v>Combo 4</v>
      </c>
      <c r="G119" s="32">
        <v>391000</v>
      </c>
    </row>
    <row r="120">
      <c r="A120" s="33"/>
      <c r="B120" s="33" t="str">
        <v>148 TD</v>
      </c>
      <c r="C120" s="33" t="str">
        <v>DV_Cắt_Vip</v>
      </c>
      <c r="D120" s="33">
        <v>1046</v>
      </c>
      <c r="E120" s="33">
        <f>B120&amp;D120</f>
      </c>
      <c r="F120" s="33" t="str">
        <v>Shinecombo 2</v>
      </c>
      <c r="G120" s="32">
        <v>201000</v>
      </c>
    </row>
    <row r="121">
      <c r="A121" s="33"/>
      <c r="B121" s="33" t="str">
        <v>151 CG</v>
      </c>
      <c r="C121" s="33" t="str">
        <v>DV_Cắt</v>
      </c>
      <c r="D121" s="33">
        <v>513</v>
      </c>
      <c r="E121" s="33">
        <f>B121&amp;D121</f>
      </c>
      <c r="F121" s="33" t="str">
        <v>[DV] ShineCombo 10 bước Ultra Care 2023</v>
      </c>
      <c r="G121" s="32">
        <v>122000</v>
      </c>
    </row>
    <row r="122">
      <c r="A122" s="33"/>
      <c r="B122" s="33" t="str">
        <v>151 CG</v>
      </c>
      <c r="C122" s="33" t="str">
        <v>DV_Cắt</v>
      </c>
      <c r="D122" s="33">
        <v>891</v>
      </c>
      <c r="E122" s="33">
        <f>B122&amp;D122</f>
      </c>
      <c r="F122" s="33" t="str">
        <v>Cắt xả tạo kiểu</v>
      </c>
      <c r="G122" s="32">
        <v>94000</v>
      </c>
    </row>
    <row r="123">
      <c r="A123" s="33"/>
      <c r="B123" s="33" t="str">
        <v>151 CG</v>
      </c>
      <c r="C123" s="33" t="str">
        <v>DV_Cắt</v>
      </c>
      <c r="D123" s="33">
        <v>1070</v>
      </c>
      <c r="E123" s="33">
        <f>B123&amp;D123</f>
      </c>
      <c r="F123" s="33" t="str">
        <v>Combo Cắt gội Kid</v>
      </c>
      <c r="G123" s="32">
        <v>100000</v>
      </c>
    </row>
    <row r="124">
      <c r="A124" s="33"/>
      <c r="B124" s="33" t="str">
        <v>151 CG</v>
      </c>
      <c r="C124" s="33" t="str">
        <v>DV_Cắt</v>
      </c>
      <c r="D124" s="33">
        <v>1002</v>
      </c>
      <c r="E124" s="33">
        <f>B124&amp;D124</f>
      </c>
      <c r="F124" s="33" t="str">
        <v>Kid Cắt</v>
      </c>
      <c r="G124" s="32">
        <v>75000</v>
      </c>
    </row>
    <row r="125">
      <c r="A125" s="33"/>
      <c r="B125" s="33" t="str">
        <v>151 CG</v>
      </c>
      <c r="C125" s="33" t="str">
        <v>DV_Cắt_Vip</v>
      </c>
      <c r="D125" s="33">
        <v>1047</v>
      </c>
      <c r="E125" s="33">
        <f>B125&amp;D125</f>
      </c>
      <c r="F125" s="33" t="str">
        <v>Cắt Gội Combo 3 - Chăm da</v>
      </c>
      <c r="G125" s="32">
        <v>299000</v>
      </c>
    </row>
    <row r="126">
      <c r="A126" s="33"/>
      <c r="B126" s="33" t="str">
        <v>151 CG</v>
      </c>
      <c r="C126" s="33" t="str">
        <v>DV_Cắt_Vip</v>
      </c>
      <c r="D126" s="33">
        <v>1048</v>
      </c>
      <c r="E126" s="33">
        <f>B126&amp;D126</f>
      </c>
      <c r="F126" s="33" t="str">
        <v>Combo 4</v>
      </c>
      <c r="G126" s="32">
        <v>389000</v>
      </c>
    </row>
    <row r="127">
      <c r="A127" s="33"/>
      <c r="B127" s="33" t="str">
        <v>151 CG</v>
      </c>
      <c r="C127" s="33" t="str">
        <v>DV_Cắt_Vip</v>
      </c>
      <c r="D127" s="33">
        <v>1046</v>
      </c>
      <c r="E127" s="33">
        <f>B127&amp;D127</f>
      </c>
      <c r="F127" s="33" t="str">
        <v>Shinecombo 2</v>
      </c>
      <c r="G127" s="32">
        <v>199000</v>
      </c>
    </row>
    <row r="128">
      <c r="A128" s="33"/>
      <c r="B128" s="33" t="str">
        <v>168 NVC</v>
      </c>
      <c r="C128" s="33" t="str">
        <v>DV_Cắt</v>
      </c>
      <c r="D128" s="33">
        <v>513</v>
      </c>
      <c r="E128" s="33">
        <f>B128&amp;D128</f>
      </c>
      <c r="F128" s="33" t="str">
        <v>[DV] ShineCombo 10 bước Ultra Care 2023</v>
      </c>
      <c r="G128" s="32">
        <v>122000</v>
      </c>
    </row>
    <row r="129">
      <c r="A129" s="33"/>
      <c r="B129" s="33" t="str">
        <v>168 NVC</v>
      </c>
      <c r="C129" s="33" t="str">
        <v>DV_Cắt</v>
      </c>
      <c r="D129" s="33">
        <v>1070</v>
      </c>
      <c r="E129" s="33">
        <f>B129&amp;D129</f>
      </c>
      <c r="F129" s="33" t="str">
        <v>Combo Cắt gội Kid</v>
      </c>
      <c r="G129" s="32">
        <v>100000</v>
      </c>
    </row>
    <row r="130">
      <c r="A130" s="33"/>
      <c r="B130" s="33" t="str">
        <v>168 NVC</v>
      </c>
      <c r="C130" s="33" t="str">
        <v>DV_Cắt</v>
      </c>
      <c r="D130" s="33">
        <v>891</v>
      </c>
      <c r="E130" s="33">
        <f>B130&amp;D130</f>
      </c>
      <c r="F130" s="33" t="str">
        <v>Cắt xả tạo kiểu</v>
      </c>
      <c r="G130" s="32">
        <v>103000</v>
      </c>
    </row>
    <row r="131">
      <c r="A131" s="33"/>
      <c r="B131" s="33" t="str">
        <v>168 NVC</v>
      </c>
      <c r="C131" s="33" t="str">
        <v>DV_Cắt</v>
      </c>
      <c r="D131" s="33">
        <v>1052</v>
      </c>
      <c r="E131" s="33">
        <f>B131&amp;D131</f>
      </c>
      <c r="F131" s="33" t="str">
        <v>Combo 1 - First Class 1</v>
      </c>
      <c r="G131" s="32">
        <v>139000</v>
      </c>
    </row>
    <row r="132">
      <c r="A132" s="33"/>
      <c r="B132" s="33" t="str">
        <v>168 NVC</v>
      </c>
      <c r="C132" s="33" t="str">
        <v>DV_Cắt</v>
      </c>
      <c r="D132" s="33">
        <v>1002</v>
      </c>
      <c r="E132" s="33">
        <f>B132&amp;D132</f>
      </c>
      <c r="F132" s="33" t="str">
        <v>Kid Cắt</v>
      </c>
      <c r="G132" s="32">
        <v>84000</v>
      </c>
    </row>
    <row r="133">
      <c r="A133" s="33"/>
      <c r="B133" s="33" t="str">
        <v>168 NVC</v>
      </c>
      <c r="C133" s="33" t="str">
        <v>DV_Cắt_Vip</v>
      </c>
      <c r="D133" s="33">
        <v>1047</v>
      </c>
      <c r="E133" s="33">
        <f>B133&amp;D133</f>
      </c>
      <c r="F133" s="33" t="str">
        <v>Cắt Gội Combo 3 - Chăm da</v>
      </c>
      <c r="G133" s="32">
        <v>308000</v>
      </c>
    </row>
    <row r="134">
      <c r="A134" s="33"/>
      <c r="B134" s="33" t="str">
        <v>168 NVC</v>
      </c>
      <c r="C134" s="33" t="str">
        <v>DV_Cắt_Vip</v>
      </c>
      <c r="D134" s="33">
        <v>1065</v>
      </c>
      <c r="E134" s="33">
        <f>B134&amp;D134</f>
      </c>
      <c r="F134" s="33" t="str">
        <v>Cắt Gội Combo 3 - Dưỡng sinh</v>
      </c>
      <c r="G134" s="32">
        <v>308000</v>
      </c>
    </row>
    <row r="135">
      <c r="A135" s="33"/>
      <c r="B135" s="33" t="str">
        <v>168 NVC</v>
      </c>
      <c r="C135" s="33" t="str">
        <v>DV_Cắt_Vip</v>
      </c>
      <c r="D135" s="33">
        <v>1053</v>
      </c>
      <c r="E135" s="33">
        <f>B135&amp;D135</f>
      </c>
      <c r="F135" s="33" t="str">
        <v>Combo 2 - First Class 2</v>
      </c>
      <c r="G135" s="32">
        <v>248000</v>
      </c>
    </row>
    <row r="136">
      <c r="A136" s="33"/>
      <c r="B136" s="33" t="str">
        <v>168 NVC</v>
      </c>
      <c r="C136" s="33" t="str">
        <v>DV_Cắt_Vip</v>
      </c>
      <c r="D136" s="33">
        <v>1054</v>
      </c>
      <c r="E136" s="33">
        <f>B136&amp;D136</f>
      </c>
      <c r="F136" s="33" t="str">
        <v>Combo 3 - First Class 3</v>
      </c>
      <c r="G136" s="32">
        <v>318000</v>
      </c>
    </row>
    <row r="137">
      <c r="A137" s="33"/>
      <c r="B137" s="33" t="str">
        <v>168 NVC</v>
      </c>
      <c r="C137" s="33" t="str">
        <v>DV_Cắt_Vip</v>
      </c>
      <c r="D137" s="33">
        <v>1048</v>
      </c>
      <c r="E137" s="33">
        <f>B137&amp;D137</f>
      </c>
      <c r="F137" s="33" t="str">
        <v>Combo 4</v>
      </c>
      <c r="G137" s="32">
        <v>398000</v>
      </c>
    </row>
    <row r="138">
      <c r="A138" s="33"/>
      <c r="B138" s="33" t="str">
        <v>168 NVC</v>
      </c>
      <c r="C138" s="33" t="str">
        <v>DV_Cắt_Vip</v>
      </c>
      <c r="D138" s="33">
        <v>1055</v>
      </c>
      <c r="E138" s="33">
        <f>B138&amp;D138</f>
      </c>
      <c r="F138" s="33" t="str">
        <v>Combo 4- First Class 4</v>
      </c>
      <c r="G138" s="32">
        <v>418000</v>
      </c>
    </row>
    <row r="139">
      <c r="A139" s="33"/>
      <c r="B139" s="33" t="str">
        <v>168 NVC</v>
      </c>
      <c r="C139" s="33" t="str">
        <v>DV_Cắt_Vip</v>
      </c>
      <c r="D139" s="33">
        <v>1046</v>
      </c>
      <c r="E139" s="33">
        <f>B139&amp;D139</f>
      </c>
      <c r="F139" s="33" t="str">
        <v>Shinecombo 2</v>
      </c>
      <c r="G139" s="32">
        <v>208000</v>
      </c>
    </row>
    <row r="140">
      <c r="A140" s="33"/>
      <c r="B140" s="33" t="str">
        <v>173 TN</v>
      </c>
      <c r="C140" s="33" t="str">
        <v>DV_Cắt</v>
      </c>
      <c r="D140" s="33">
        <v>513</v>
      </c>
      <c r="E140" s="33">
        <f>B140&amp;D140</f>
      </c>
      <c r="F140" s="33" t="str">
        <v>[DV] ShineCombo 10 bước Ultra Care 2023</v>
      </c>
      <c r="G140" s="32">
        <v>122000</v>
      </c>
    </row>
    <row r="141">
      <c r="A141" s="33"/>
      <c r="B141" s="33" t="str">
        <v>173 TN</v>
      </c>
      <c r="C141" s="33" t="str">
        <v>DV_Cắt</v>
      </c>
      <c r="D141" s="33">
        <v>1070</v>
      </c>
      <c r="E141" s="33">
        <f>B141&amp;D141</f>
      </c>
      <c r="F141" s="33" t="str">
        <v>Combo Cắt gội Kid</v>
      </c>
      <c r="G141" s="32">
        <v>100000</v>
      </c>
    </row>
    <row r="142">
      <c r="A142" s="33"/>
      <c r="B142" s="33" t="str">
        <v>173 TN</v>
      </c>
      <c r="C142" s="33" t="str">
        <v>DV_Cắt</v>
      </c>
      <c r="D142" s="33">
        <v>891</v>
      </c>
      <c r="E142" s="33">
        <f>B142&amp;D142</f>
      </c>
      <c r="F142" s="33" t="str">
        <v>Cắt xả tạo kiểu</v>
      </c>
      <c r="G142" s="32">
        <v>100000</v>
      </c>
    </row>
    <row r="143">
      <c r="A143" s="33"/>
      <c r="B143" s="33" t="str">
        <v>173 TN</v>
      </c>
      <c r="C143" s="33" t="str">
        <v>DV_Cắt</v>
      </c>
      <c r="D143" s="33">
        <v>1052</v>
      </c>
      <c r="E143" s="33">
        <f>B143&amp;D143</f>
      </c>
      <c r="F143" s="33" t="str">
        <v>Combo 1 - First Class 1</v>
      </c>
      <c r="G143" s="32">
        <v>139000</v>
      </c>
    </row>
    <row r="144">
      <c r="A144" s="33"/>
      <c r="B144" s="33" t="str">
        <v>173 TN</v>
      </c>
      <c r="C144" s="33" t="str">
        <v>DV_Cắt</v>
      </c>
      <c r="D144" s="33">
        <v>1002</v>
      </c>
      <c r="E144" s="33">
        <f>B144&amp;D144</f>
      </c>
      <c r="F144" s="33" t="str">
        <v>Kid Cắt</v>
      </c>
      <c r="G144" s="32">
        <v>81000</v>
      </c>
    </row>
    <row r="145">
      <c r="A145" s="33"/>
      <c r="B145" s="33" t="str">
        <v>173 TN</v>
      </c>
      <c r="C145" s="33" t="str">
        <v>DV_Cắt_Vip</v>
      </c>
      <c r="D145" s="33">
        <v>1047</v>
      </c>
      <c r="E145" s="33">
        <f>B145&amp;D145</f>
      </c>
      <c r="F145" s="33" t="str">
        <v>Cắt Gội Combo 3 - Chăm da</v>
      </c>
      <c r="G145" s="32">
        <v>305000</v>
      </c>
    </row>
    <row r="146">
      <c r="A146" s="33"/>
      <c r="B146" s="33" t="str">
        <v>173 TN</v>
      </c>
      <c r="C146" s="33" t="str">
        <v>DV_Cắt_Vip</v>
      </c>
      <c r="D146" s="33">
        <v>1053</v>
      </c>
      <c r="E146" s="33">
        <f>B146&amp;D146</f>
      </c>
      <c r="F146" s="33" t="str">
        <v>Combo 2 - First Class 2</v>
      </c>
      <c r="G146" s="32">
        <v>235000</v>
      </c>
    </row>
    <row r="147">
      <c r="A147" s="33"/>
      <c r="B147" s="33" t="str">
        <v>173 TN</v>
      </c>
      <c r="C147" s="33" t="str">
        <v>DV_Cắt_Vip</v>
      </c>
      <c r="D147" s="33">
        <v>1054</v>
      </c>
      <c r="E147" s="33">
        <f>B147&amp;D147</f>
      </c>
      <c r="F147" s="33" t="str">
        <v>Combo 3 - First Class 3</v>
      </c>
      <c r="G147" s="32">
        <v>305000</v>
      </c>
    </row>
    <row r="148">
      <c r="A148" s="33"/>
      <c r="B148" s="33" t="str">
        <v>173 TN</v>
      </c>
      <c r="C148" s="33" t="str">
        <v>DV_Cắt_Vip</v>
      </c>
      <c r="D148" s="33">
        <v>1048</v>
      </c>
      <c r="E148" s="33">
        <f>B148&amp;D148</f>
      </c>
      <c r="F148" s="33" t="str">
        <v>Combo 4</v>
      </c>
      <c r="G148" s="32">
        <v>395000</v>
      </c>
    </row>
    <row r="149">
      <c r="A149" s="33"/>
      <c r="B149" s="33" t="str">
        <v>173 TN</v>
      </c>
      <c r="C149" s="33" t="str">
        <v>DV_Cắt_Vip</v>
      </c>
      <c r="D149" s="33">
        <v>1046</v>
      </c>
      <c r="E149" s="33">
        <f>B149&amp;D149</f>
      </c>
      <c r="F149" s="33" t="str">
        <v>Shinecombo 2</v>
      </c>
      <c r="G149" s="32">
        <v>205000</v>
      </c>
    </row>
    <row r="150">
      <c r="A150" s="33"/>
      <c r="B150" s="33" t="str">
        <v>186 DTH</v>
      </c>
      <c r="C150" s="33" t="str">
        <v>DV_Cắt</v>
      </c>
      <c r="D150" s="33">
        <v>513</v>
      </c>
      <c r="E150" s="33">
        <f>B150&amp;D150</f>
      </c>
      <c r="F150" s="33" t="str">
        <v>[DV] ShineCombo 10 bước Ultra Care 2023</v>
      </c>
      <c r="G150" s="32">
        <v>122000</v>
      </c>
    </row>
    <row r="151">
      <c r="A151" s="33"/>
      <c r="B151" s="33" t="str">
        <v>186 DTH</v>
      </c>
      <c r="C151" s="33" t="str">
        <v>DV_Cắt</v>
      </c>
      <c r="D151" s="33">
        <v>891</v>
      </c>
      <c r="E151" s="33">
        <f>B151&amp;D151</f>
      </c>
      <c r="F151" s="33" t="str">
        <v>Cắt xả tạo kiểu</v>
      </c>
      <c r="G151" s="32">
        <v>94000</v>
      </c>
    </row>
    <row r="152">
      <c r="A152" s="33"/>
      <c r="B152" s="33" t="str">
        <v>186 DTH</v>
      </c>
      <c r="C152" s="33" t="str">
        <v>DV_Cắt</v>
      </c>
      <c r="D152" s="33">
        <v>1052</v>
      </c>
      <c r="E152" s="33">
        <f>B152&amp;D152</f>
      </c>
      <c r="F152" s="33" t="str">
        <v>Combo 1 - First Class 1</v>
      </c>
      <c r="G152" s="32">
        <v>139000</v>
      </c>
    </row>
    <row r="153">
      <c r="A153" s="33"/>
      <c r="B153" s="33" t="str">
        <v>186 DTH</v>
      </c>
      <c r="C153" s="33" t="str">
        <v>DV_Cắt</v>
      </c>
      <c r="D153" s="33">
        <v>1070</v>
      </c>
      <c r="E153" s="33">
        <f>B153&amp;D153</f>
      </c>
      <c r="F153" s="33" t="str">
        <v>Combo Cắt gội Kid</v>
      </c>
      <c r="G153" s="32">
        <v>100000</v>
      </c>
    </row>
    <row r="154">
      <c r="A154" s="33"/>
      <c r="B154" s="33" t="str">
        <v>186 DTH</v>
      </c>
      <c r="C154" s="33" t="str">
        <v>DV_Cắt</v>
      </c>
      <c r="D154" s="33">
        <v>1242</v>
      </c>
      <c r="E154" s="33">
        <f>B154&amp;D154</f>
      </c>
      <c r="F154" s="33" t="str">
        <v>combo cắt gội tiện lợi</v>
      </c>
      <c r="G154" s="32">
        <v>199000</v>
      </c>
    </row>
    <row r="155">
      <c r="A155" s="33"/>
      <c r="B155" s="33" t="str">
        <v>186 DTH</v>
      </c>
      <c r="C155" s="33" t="str">
        <v>DV_Cắt</v>
      </c>
      <c r="D155" s="33">
        <v>1002</v>
      </c>
      <c r="E155" s="33">
        <f>B155&amp;D155</f>
      </c>
      <c r="F155" s="33" t="str">
        <v>Kid Cắt</v>
      </c>
      <c r="G155" s="32">
        <v>75000</v>
      </c>
    </row>
    <row r="156">
      <c r="A156" s="33"/>
      <c r="B156" s="33" t="str">
        <v>186 DTH</v>
      </c>
      <c r="C156" s="33" t="str">
        <v>DV_Cắt_Vip</v>
      </c>
      <c r="D156" s="33">
        <v>1047</v>
      </c>
      <c r="E156" s="33">
        <f>B156&amp;D156</f>
      </c>
      <c r="F156" s="33" t="str">
        <v>Cắt Gội Combo 3 - Chăm da</v>
      </c>
      <c r="G156" s="32">
        <v>299000</v>
      </c>
    </row>
    <row r="157">
      <c r="A157" s="33"/>
      <c r="B157" s="33" t="str">
        <v>186 DTH</v>
      </c>
      <c r="C157" s="33" t="str">
        <v>DV_Cắt_Vip</v>
      </c>
      <c r="D157" s="33">
        <v>1048</v>
      </c>
      <c r="E157" s="33">
        <f>B157&amp;D157</f>
      </c>
      <c r="F157" s="33" t="str">
        <v>Combo 4</v>
      </c>
      <c r="G157" s="32">
        <v>389000</v>
      </c>
    </row>
    <row r="158">
      <c r="A158" s="33"/>
      <c r="B158" s="33" t="str">
        <v>186 DTH</v>
      </c>
      <c r="C158" s="33" t="str">
        <v>DV_Cắt_Vip</v>
      </c>
      <c r="D158" s="33">
        <v>1046</v>
      </c>
      <c r="E158" s="33">
        <f>B158&amp;D158</f>
      </c>
      <c r="F158" s="33" t="str">
        <v>Shinecombo 2</v>
      </c>
      <c r="G158" s="32">
        <v>199000</v>
      </c>
    </row>
    <row r="159">
      <c r="A159" s="33"/>
      <c r="B159" s="33" t="str">
        <v>186 QT</v>
      </c>
      <c r="C159" s="33" t="str">
        <v>DV_Cắt</v>
      </c>
      <c r="D159" s="33">
        <v>513</v>
      </c>
      <c r="E159" s="33">
        <f>B159&amp;D159</f>
      </c>
      <c r="F159" s="33" t="str">
        <v>[DV] ShineCombo 10 bước Ultra Care 2023</v>
      </c>
      <c r="G159" s="32">
        <v>122000</v>
      </c>
    </row>
    <row r="160">
      <c r="A160" s="33"/>
      <c r="B160" s="33" t="str">
        <v>186 QT</v>
      </c>
      <c r="C160" s="33" t="str">
        <v>DV_Cắt</v>
      </c>
      <c r="D160" s="33">
        <v>1070</v>
      </c>
      <c r="E160" s="33">
        <f>B160&amp;D160</f>
      </c>
      <c r="F160" s="33" t="str">
        <v>Combo Cắt gội Kid</v>
      </c>
      <c r="G160" s="32">
        <v>100000</v>
      </c>
    </row>
    <row r="161">
      <c r="A161" s="33"/>
      <c r="B161" s="33" t="str">
        <v>186 QT</v>
      </c>
      <c r="C161" s="33" t="str">
        <v>DV_Cắt</v>
      </c>
      <c r="D161" s="33">
        <v>891</v>
      </c>
      <c r="E161" s="33">
        <f>B161&amp;D161</f>
      </c>
      <c r="F161" s="33" t="str">
        <v>Cắt xả tạo kiểu</v>
      </c>
      <c r="G161" s="32">
        <v>103000</v>
      </c>
    </row>
    <row r="162">
      <c r="A162" s="33"/>
      <c r="B162" s="33" t="str">
        <v>186 QT</v>
      </c>
      <c r="C162" s="33" t="str">
        <v>DV_Cắt</v>
      </c>
      <c r="D162" s="33">
        <v>1002</v>
      </c>
      <c r="E162" s="33">
        <f>B162&amp;D162</f>
      </c>
      <c r="F162" s="33" t="str">
        <v>Kid Cắt</v>
      </c>
      <c r="G162" s="32">
        <v>84000</v>
      </c>
    </row>
    <row r="163">
      <c r="A163" s="33"/>
      <c r="B163" s="33" t="str">
        <v>186 QT</v>
      </c>
      <c r="C163" s="33" t="str">
        <v>DV_Cắt_Vip</v>
      </c>
      <c r="D163" s="33">
        <v>1047</v>
      </c>
      <c r="E163" s="33">
        <f>B163&amp;D163</f>
      </c>
      <c r="F163" s="33" t="str">
        <v>Cắt Gội Combo 3 - Chăm da</v>
      </c>
      <c r="G163" s="32">
        <v>308000</v>
      </c>
    </row>
    <row r="164">
      <c r="A164" s="33"/>
      <c r="B164" s="33" t="str">
        <v>186 QT</v>
      </c>
      <c r="C164" s="33" t="str">
        <v>DV_Cắt_Vip</v>
      </c>
      <c r="D164" s="33">
        <v>1054</v>
      </c>
      <c r="E164" s="33">
        <f>B164&amp;D164</f>
      </c>
      <c r="F164" s="33" t="str">
        <v>Combo 3 - First Class 3</v>
      </c>
      <c r="G164" s="32">
        <v>308000</v>
      </c>
    </row>
    <row r="165">
      <c r="A165" s="33"/>
      <c r="B165" s="33" t="str">
        <v>186 QT</v>
      </c>
      <c r="C165" s="33" t="str">
        <v>DV_Cắt_Vip</v>
      </c>
      <c r="D165" s="33">
        <v>1048</v>
      </c>
      <c r="E165" s="33">
        <f>B165&amp;D165</f>
      </c>
      <c r="F165" s="33" t="str">
        <v>Combo 4</v>
      </c>
      <c r="G165" s="32">
        <v>398000</v>
      </c>
    </row>
    <row r="166">
      <c r="A166" s="33"/>
      <c r="B166" s="33" t="str">
        <v>186 QT</v>
      </c>
      <c r="C166" s="33" t="str">
        <v>DV_Cắt_Vip</v>
      </c>
      <c r="D166" s="33">
        <v>1046</v>
      </c>
      <c r="E166" s="33">
        <f>B166&amp;D166</f>
      </c>
      <c r="F166" s="33" t="str">
        <v>Shinecombo 2</v>
      </c>
      <c r="G166" s="32">
        <v>208000</v>
      </c>
    </row>
    <row r="167">
      <c r="A167" s="33"/>
      <c r="B167" s="33" t="str">
        <v>190 HB</v>
      </c>
      <c r="C167" s="33" t="str">
        <v>DV_Cắt</v>
      </c>
      <c r="D167" s="33">
        <v>513</v>
      </c>
      <c r="E167" s="33">
        <f>B167&amp;D167</f>
      </c>
      <c r="F167" s="33" t="str">
        <v>[DV] ShineCombo 10 bước Ultra Care 2023</v>
      </c>
      <c r="G167" s="32">
        <v>122000</v>
      </c>
    </row>
    <row r="168">
      <c r="A168" s="33"/>
      <c r="B168" s="33" t="str">
        <v>190 HB</v>
      </c>
      <c r="C168" s="33" t="str">
        <v>DV_Cắt</v>
      </c>
      <c r="D168" s="33">
        <v>1070</v>
      </c>
      <c r="E168" s="33">
        <f>B168&amp;D168</f>
      </c>
      <c r="F168" s="33" t="str">
        <v>Combo Cắt gội Kid</v>
      </c>
      <c r="G168" s="32">
        <v>100000</v>
      </c>
    </row>
    <row r="169">
      <c r="A169" s="33"/>
      <c r="B169" s="33" t="str">
        <v>190 HB</v>
      </c>
      <c r="C169" s="33" t="str">
        <v>DV_Cắt</v>
      </c>
      <c r="D169" s="33">
        <v>891</v>
      </c>
      <c r="E169" s="33">
        <f>B169&amp;D169</f>
      </c>
      <c r="F169" s="33" t="str">
        <v>Cắt xả tạo kiểu</v>
      </c>
      <c r="G169" s="32">
        <v>100000</v>
      </c>
    </row>
    <row r="170">
      <c r="A170" s="33"/>
      <c r="B170" s="33" t="str">
        <v>190 HB</v>
      </c>
      <c r="C170" s="33" t="str">
        <v>DV_Cắt</v>
      </c>
      <c r="D170" s="33">
        <v>1002</v>
      </c>
      <c r="E170" s="33">
        <f>B170&amp;D170</f>
      </c>
      <c r="F170" s="33" t="str">
        <v>Kid Cắt</v>
      </c>
      <c r="G170" s="32">
        <v>81000</v>
      </c>
    </row>
    <row r="171">
      <c r="A171" s="33"/>
      <c r="B171" s="33" t="str">
        <v>190 HB</v>
      </c>
      <c r="C171" s="33" t="str">
        <v>DV_Cắt_Vip</v>
      </c>
      <c r="D171" s="33">
        <v>1047</v>
      </c>
      <c r="E171" s="33">
        <f>B171&amp;D171</f>
      </c>
      <c r="F171" s="33" t="str">
        <v>Cắt Gội Combo 3 - Chăm da</v>
      </c>
      <c r="G171" s="32">
        <v>305000</v>
      </c>
    </row>
    <row r="172">
      <c r="A172" s="33"/>
      <c r="B172" s="33" t="str">
        <v>190 HB</v>
      </c>
      <c r="C172" s="33" t="str">
        <v>DV_Cắt_Vip</v>
      </c>
      <c r="D172" s="33">
        <v>1048</v>
      </c>
      <c r="E172" s="33">
        <f>B172&amp;D172</f>
      </c>
      <c r="F172" s="33" t="str">
        <v>Combo 4</v>
      </c>
      <c r="G172" s="32">
        <v>395000</v>
      </c>
    </row>
    <row r="173">
      <c r="A173" s="33"/>
      <c r="B173" s="33" t="str">
        <v>190 HB</v>
      </c>
      <c r="C173" s="33" t="str">
        <v>DV_Cắt_Vip</v>
      </c>
      <c r="D173" s="33">
        <v>1194</v>
      </c>
      <c r="E173" s="33">
        <f>B173&amp;D173</f>
      </c>
      <c r="F173" s="33" t="str">
        <v>Combo Best choice</v>
      </c>
      <c r="G173" s="32">
        <v>305000</v>
      </c>
    </row>
    <row r="174">
      <c r="A174" s="33"/>
      <c r="B174" s="33" t="str">
        <v>190 HB</v>
      </c>
      <c r="C174" s="33" t="str">
        <v>DV_Cắt_Vip</v>
      </c>
      <c r="D174" s="33">
        <v>1046</v>
      </c>
      <c r="E174" s="33">
        <f>B174&amp;D174</f>
      </c>
      <c r="F174" s="33" t="str">
        <v>Shinecombo 2</v>
      </c>
      <c r="G174" s="32">
        <v>205000</v>
      </c>
    </row>
    <row r="175">
      <c r="A175" s="33"/>
      <c r="B175" s="33" t="str">
        <v>202 DC</v>
      </c>
      <c r="C175" s="33" t="str">
        <v>DV_Cắt</v>
      </c>
      <c r="D175" s="33">
        <v>513</v>
      </c>
      <c r="E175" s="33">
        <f>B175&amp;D175</f>
      </c>
      <c r="F175" s="33" t="str">
        <v>[DV] ShineCombo 10 bước Ultra Care 2023</v>
      </c>
      <c r="G175" s="32">
        <v>122000</v>
      </c>
    </row>
    <row r="176">
      <c r="A176" s="33"/>
      <c r="B176" s="33" t="str">
        <v>202 DC</v>
      </c>
      <c r="C176" s="33" t="str">
        <v>DV_Cắt</v>
      </c>
      <c r="D176" s="33">
        <v>1070</v>
      </c>
      <c r="E176" s="33">
        <f>B176&amp;D176</f>
      </c>
      <c r="F176" s="33" t="str">
        <v>Combo Cắt gội Kid</v>
      </c>
      <c r="G176" s="32">
        <v>100000</v>
      </c>
    </row>
    <row r="177">
      <c r="A177" s="33"/>
      <c r="B177" s="33" t="str">
        <v>202 DC</v>
      </c>
      <c r="C177" s="33" t="str">
        <v>DV_Cắt</v>
      </c>
      <c r="D177" s="33">
        <v>891</v>
      </c>
      <c r="E177" s="33">
        <f>B177&amp;D177</f>
      </c>
      <c r="F177" s="33" t="str">
        <v>Cắt xả tạo kiểu</v>
      </c>
      <c r="G177" s="32">
        <v>103000</v>
      </c>
    </row>
    <row r="178">
      <c r="A178" s="33"/>
      <c r="B178" s="33" t="str">
        <v>202 DC</v>
      </c>
      <c r="C178" s="33" t="str">
        <v>DV_Cắt</v>
      </c>
      <c r="D178" s="33">
        <v>1002</v>
      </c>
      <c r="E178" s="33">
        <f>B178&amp;D178</f>
      </c>
      <c r="F178" s="33" t="str">
        <v>Kid Cắt</v>
      </c>
      <c r="G178" s="32">
        <v>84000</v>
      </c>
    </row>
    <row r="179">
      <c r="A179" s="33"/>
      <c r="B179" s="33" t="str">
        <v>202 DC</v>
      </c>
      <c r="C179" s="33" t="str">
        <v>DV_Cắt_Vip</v>
      </c>
      <c r="D179" s="33">
        <v>1047</v>
      </c>
      <c r="E179" s="33">
        <f>B179&amp;D179</f>
      </c>
      <c r="F179" s="33" t="str">
        <v>Cắt Gội Combo 3 - Chăm da</v>
      </c>
      <c r="G179" s="32">
        <v>308000</v>
      </c>
    </row>
    <row r="180">
      <c r="A180" s="33"/>
      <c r="B180" s="33" t="str">
        <v>202 DC</v>
      </c>
      <c r="C180" s="33" t="str">
        <v>DV_Cắt_Vip</v>
      </c>
      <c r="D180" s="33">
        <v>1065</v>
      </c>
      <c r="E180" s="33">
        <f>B180&amp;D180</f>
      </c>
      <c r="F180" s="33" t="str">
        <v>Cắt Gội Combo 3 - Dưỡng sinh</v>
      </c>
      <c r="G180" s="32">
        <v>308000</v>
      </c>
    </row>
    <row r="181">
      <c r="A181" s="33"/>
      <c r="B181" s="33" t="str">
        <v>202 DC</v>
      </c>
      <c r="C181" s="33" t="str">
        <v>DV_Cắt_Vip</v>
      </c>
      <c r="D181" s="33">
        <v>1048</v>
      </c>
      <c r="E181" s="33">
        <f>B181&amp;D181</f>
      </c>
      <c r="F181" s="33" t="str">
        <v>Combo 4</v>
      </c>
      <c r="G181" s="32">
        <v>398000</v>
      </c>
    </row>
    <row r="182">
      <c r="A182" s="33"/>
      <c r="B182" s="33" t="str">
        <v>202 DC</v>
      </c>
      <c r="C182" s="33" t="str">
        <v>DV_Cắt_Vip</v>
      </c>
      <c r="D182" s="33">
        <v>1046</v>
      </c>
      <c r="E182" s="33">
        <f>B182&amp;D182</f>
      </c>
      <c r="F182" s="33" t="str">
        <v>Shinecombo 2</v>
      </c>
      <c r="G182" s="32">
        <v>208000</v>
      </c>
    </row>
    <row r="183">
      <c r="A183" s="33"/>
      <c r="B183" s="33" t="str">
        <v>236 DBT</v>
      </c>
      <c r="C183" s="33" t="str">
        <v>DV_Cắt</v>
      </c>
      <c r="D183" s="33">
        <v>513</v>
      </c>
      <c r="E183" s="33">
        <f>B183&amp;D183</f>
      </c>
      <c r="F183" s="33" t="str">
        <v>[DV] ShineCombo 10 bước Ultra Care 2023</v>
      </c>
      <c r="G183" s="32">
        <v>122000</v>
      </c>
    </row>
    <row r="184">
      <c r="A184" s="33"/>
      <c r="B184" s="33" t="str">
        <v>236 DBT</v>
      </c>
      <c r="C184" s="33" t="str">
        <v>DV_Cắt</v>
      </c>
      <c r="D184" s="33">
        <v>1070</v>
      </c>
      <c r="E184" s="33">
        <f>B184&amp;D184</f>
      </c>
      <c r="F184" s="33" t="str">
        <v>Combo Cắt gội Kid</v>
      </c>
      <c r="G184" s="32">
        <v>100000</v>
      </c>
    </row>
    <row r="185">
      <c r="A185" s="33"/>
      <c r="B185" s="33" t="str">
        <v>236 DBT</v>
      </c>
      <c r="C185" s="33" t="str">
        <v>DV_Cắt</v>
      </c>
      <c r="D185" s="33">
        <v>891</v>
      </c>
      <c r="E185" s="33">
        <f>B185&amp;D185</f>
      </c>
      <c r="F185" s="33" t="str">
        <v>Cắt xả tạo kiểu</v>
      </c>
      <c r="G185" s="32">
        <v>101000</v>
      </c>
    </row>
    <row r="186">
      <c r="A186" s="33"/>
      <c r="B186" s="33" t="str">
        <v>236 DBT</v>
      </c>
      <c r="C186" s="33" t="str">
        <v>DV_Cắt</v>
      </c>
      <c r="D186" s="33">
        <v>1052</v>
      </c>
      <c r="E186" s="33">
        <f>B186&amp;D186</f>
      </c>
      <c r="F186" s="33" t="str">
        <v>Combo 1 - First Class 1</v>
      </c>
      <c r="G186" s="32">
        <v>159000</v>
      </c>
    </row>
    <row r="187">
      <c r="A187" s="33"/>
      <c r="B187" s="33" t="str">
        <v>236 DBT</v>
      </c>
      <c r="C187" s="33" t="str">
        <v>DV_Cắt</v>
      </c>
      <c r="D187" s="33">
        <v>1002</v>
      </c>
      <c r="E187" s="33">
        <f>B187&amp;D187</f>
      </c>
      <c r="F187" s="33" t="str">
        <v>Kid Cắt</v>
      </c>
      <c r="G187" s="32">
        <v>82000</v>
      </c>
    </row>
    <row r="188">
      <c r="A188" s="33"/>
      <c r="B188" s="33" t="str">
        <v>236 DBT</v>
      </c>
      <c r="C188" s="33" t="str">
        <v>DV_Cắt_Vip</v>
      </c>
      <c r="D188" s="33">
        <v>1047</v>
      </c>
      <c r="E188" s="33">
        <f>B188&amp;D188</f>
      </c>
      <c r="F188" s="33" t="str">
        <v>Cắt Gội Combo 3 - Chăm da</v>
      </c>
      <c r="G188" s="32">
        <v>306000</v>
      </c>
    </row>
    <row r="189">
      <c r="A189" s="33"/>
      <c r="B189" s="33" t="str">
        <v>236 DBT</v>
      </c>
      <c r="C189" s="33" t="str">
        <v>DV_Cắt_Vip</v>
      </c>
      <c r="D189" s="33">
        <v>1065</v>
      </c>
      <c r="E189" s="33">
        <f>B189&amp;D189</f>
      </c>
      <c r="F189" s="33" t="str">
        <v>Cắt Gội Combo 3 - Dưỡng sinh</v>
      </c>
      <c r="G189" s="32">
        <v>306000</v>
      </c>
    </row>
    <row r="190">
      <c r="A190" s="33"/>
      <c r="B190" s="33" t="str">
        <v>236 DBT</v>
      </c>
      <c r="C190" s="33" t="str">
        <v>DV_Cắt_Vip</v>
      </c>
      <c r="D190" s="33">
        <v>1064</v>
      </c>
      <c r="E190" s="33">
        <f>B190&amp;D190</f>
      </c>
      <c r="F190" s="33" t="str">
        <v>Cắt Gội Combo 5 - Dưỡng sinh</v>
      </c>
      <c r="G190" s="32">
        <v>466000</v>
      </c>
    </row>
    <row r="191">
      <c r="A191" s="33"/>
      <c r="B191" s="33" t="str">
        <v>236 DBT</v>
      </c>
      <c r="C191" s="33" t="str">
        <v>DV_Cắt_Vip</v>
      </c>
      <c r="D191" s="33">
        <v>1053</v>
      </c>
      <c r="E191" s="33">
        <f>B191&amp;D191</f>
      </c>
      <c r="F191" s="33" t="str">
        <v>Combo 2 - First Class 2</v>
      </c>
      <c r="G191" s="32">
        <v>236000</v>
      </c>
    </row>
    <row r="192">
      <c r="A192" s="33"/>
      <c r="B192" s="33" t="str">
        <v>236 DBT</v>
      </c>
      <c r="C192" s="33" t="str">
        <v>DV_Cắt_Vip</v>
      </c>
      <c r="D192" s="33">
        <v>1054</v>
      </c>
      <c r="E192" s="33">
        <f>B192&amp;D192</f>
      </c>
      <c r="F192" s="33" t="str">
        <v>Combo 3 - First Class 3</v>
      </c>
      <c r="G192" s="32">
        <v>306000</v>
      </c>
    </row>
    <row r="193">
      <c r="A193" s="33"/>
      <c r="B193" s="33" t="str">
        <v>236 DBT</v>
      </c>
      <c r="C193" s="33" t="str">
        <v>DV_Cắt_Vip</v>
      </c>
      <c r="D193" s="33">
        <v>1048</v>
      </c>
      <c r="E193" s="33">
        <f>B193&amp;D193</f>
      </c>
      <c r="F193" s="33" t="str">
        <v>Combo 4</v>
      </c>
      <c r="G193" s="32">
        <v>396000</v>
      </c>
    </row>
    <row r="194">
      <c r="A194" s="33"/>
      <c r="B194" s="33" t="str">
        <v>236 DBT</v>
      </c>
      <c r="C194" s="33" t="str">
        <v>DV_Cắt_Vip</v>
      </c>
      <c r="D194" s="33">
        <v>1046</v>
      </c>
      <c r="E194" s="33">
        <f>B194&amp;D194</f>
      </c>
      <c r="F194" s="33" t="str">
        <v>Shinecombo 2</v>
      </c>
      <c r="G194" s="32">
        <v>206000</v>
      </c>
    </row>
    <row r="195">
      <c r="A195" s="33"/>
      <c r="B195" s="33" t="str">
        <v>237 NTT</v>
      </c>
      <c r="C195" s="33" t="str">
        <v>DV_Cắt</v>
      </c>
      <c r="D195" s="33">
        <v>513</v>
      </c>
      <c r="E195" s="33">
        <f>B195&amp;D195</f>
      </c>
      <c r="F195" s="33" t="str">
        <v>[DV] ShineCombo 10 bước Ultra Care 2023</v>
      </c>
      <c r="G195" s="32">
        <v>122000</v>
      </c>
    </row>
    <row r="196">
      <c r="A196" s="33"/>
      <c r="B196" s="33" t="str">
        <v>237 NTT</v>
      </c>
      <c r="C196" s="33" t="str">
        <v>DV_Cắt</v>
      </c>
      <c r="D196" s="33">
        <v>891</v>
      </c>
      <c r="E196" s="33">
        <f>B196&amp;D196</f>
      </c>
      <c r="F196" s="33" t="str">
        <v>Cắt xả tạo kiểu</v>
      </c>
      <c r="G196" s="32">
        <v>94000</v>
      </c>
    </row>
    <row r="197">
      <c r="A197" s="33"/>
      <c r="B197" s="33" t="str">
        <v>237 NTT</v>
      </c>
      <c r="C197" s="33" t="str">
        <v>DV_Cắt</v>
      </c>
      <c r="D197" s="33">
        <v>1052</v>
      </c>
      <c r="E197" s="33">
        <f>B197&amp;D197</f>
      </c>
      <c r="F197" s="33" t="str">
        <v>Combo 1 - First Class 1</v>
      </c>
      <c r="G197" s="32">
        <v>139000</v>
      </c>
    </row>
    <row r="198">
      <c r="A198" s="33"/>
      <c r="B198" s="33" t="str">
        <v>237 NTT</v>
      </c>
      <c r="C198" s="33" t="str">
        <v>DV_Cắt</v>
      </c>
      <c r="D198" s="33">
        <v>1002</v>
      </c>
      <c r="E198" s="33">
        <f>B198&amp;D198</f>
      </c>
      <c r="F198" s="33" t="str">
        <v>Kid Cắt</v>
      </c>
      <c r="G198" s="32">
        <v>75000</v>
      </c>
    </row>
    <row r="199">
      <c r="A199" s="33"/>
      <c r="B199" s="33" t="str">
        <v>237 NTT</v>
      </c>
      <c r="C199" s="33" t="str">
        <v>DV_Cắt_Vip</v>
      </c>
      <c r="D199" s="33">
        <v>1047</v>
      </c>
      <c r="E199" s="33">
        <f>B199&amp;D199</f>
      </c>
      <c r="F199" s="33" t="str">
        <v>Cắt Gội Combo 3 - Chăm da</v>
      </c>
      <c r="G199" s="32">
        <v>299000</v>
      </c>
    </row>
    <row r="200">
      <c r="A200" s="33"/>
      <c r="B200" s="33" t="str">
        <v>237 NTT</v>
      </c>
      <c r="C200" s="33" t="str">
        <v>DV_Cắt_Vip</v>
      </c>
      <c r="D200" s="33">
        <v>1065</v>
      </c>
      <c r="E200" s="33">
        <f>B200&amp;D200</f>
      </c>
      <c r="F200" s="33" t="str">
        <v>Cắt Gội Combo 3 - Dưỡng sinh</v>
      </c>
      <c r="G200" s="32">
        <v>299000</v>
      </c>
    </row>
    <row r="201">
      <c r="A201" s="33"/>
      <c r="B201" s="33" t="str">
        <v>237 NTT</v>
      </c>
      <c r="C201" s="33" t="str">
        <v>DV_Cắt_Vip</v>
      </c>
      <c r="D201" s="33">
        <v>1053</v>
      </c>
      <c r="E201" s="33">
        <f>B201&amp;D201</f>
      </c>
      <c r="F201" s="33" t="str">
        <v>Combo 2 - First Class 2</v>
      </c>
      <c r="G201" s="32">
        <v>239000</v>
      </c>
    </row>
    <row r="202">
      <c r="A202" s="33"/>
      <c r="B202" s="33" t="str">
        <v>237 NTT</v>
      </c>
      <c r="C202" s="33" t="str">
        <v>DV_Cắt_Vip</v>
      </c>
      <c r="D202" s="33">
        <v>1054</v>
      </c>
      <c r="E202" s="33">
        <f>B202&amp;D202</f>
      </c>
      <c r="F202" s="33" t="str">
        <v>Combo 3 - First Class 3</v>
      </c>
      <c r="G202" s="32">
        <v>309000</v>
      </c>
    </row>
    <row r="203">
      <c r="A203" s="33"/>
      <c r="B203" s="33" t="str">
        <v>237 NTT</v>
      </c>
      <c r="C203" s="33" t="str">
        <v>DV_Cắt_Vip</v>
      </c>
      <c r="D203" s="33">
        <v>1055</v>
      </c>
      <c r="E203" s="33">
        <f>B203&amp;D203</f>
      </c>
      <c r="F203" s="33" t="str">
        <v>Combo 4- First Class 4</v>
      </c>
      <c r="G203" s="32">
        <v>409000</v>
      </c>
    </row>
    <row r="204">
      <c r="A204" s="33"/>
      <c r="B204" s="33" t="str">
        <v>237 NTT</v>
      </c>
      <c r="C204" s="33" t="str">
        <v>DV_Cắt_Vip</v>
      </c>
      <c r="D204" s="33">
        <v>1046</v>
      </c>
      <c r="E204" s="33">
        <f>B204&amp;D204</f>
      </c>
      <c r="F204" s="33" t="str">
        <v>Shinecombo 2</v>
      </c>
      <c r="G204" s="32">
        <v>199000</v>
      </c>
    </row>
    <row r="205">
      <c r="A205" s="33"/>
      <c r="B205" s="33" t="str">
        <v>25 TD</v>
      </c>
      <c r="C205" s="33" t="str">
        <v>DV_Cắt</v>
      </c>
      <c r="D205" s="33">
        <v>513</v>
      </c>
      <c r="E205" s="33">
        <f>B205&amp;D205</f>
      </c>
      <c r="F205" s="33" t="str">
        <v>[DV] ShineCombo 10 bước Ultra Care 2023</v>
      </c>
      <c r="G205" s="32">
        <v>122000</v>
      </c>
    </row>
    <row r="206">
      <c r="A206" s="33"/>
      <c r="B206" s="33" t="str">
        <v>25 TD</v>
      </c>
      <c r="C206" s="33" t="str">
        <v>DV_Cắt</v>
      </c>
      <c r="D206" s="33">
        <v>1070</v>
      </c>
      <c r="E206" s="33">
        <f>B206&amp;D206</f>
      </c>
      <c r="F206" s="33" t="str">
        <v>Combo Cắt gội Kid</v>
      </c>
      <c r="G206" s="32">
        <v>100000</v>
      </c>
    </row>
    <row r="207">
      <c r="A207" s="33"/>
      <c r="B207" s="33" t="str">
        <v>25 TD</v>
      </c>
      <c r="C207" s="33" t="str">
        <v>DV_Cắt</v>
      </c>
      <c r="D207" s="33">
        <v>891</v>
      </c>
      <c r="E207" s="33">
        <f>B207&amp;D207</f>
      </c>
      <c r="F207" s="33" t="str">
        <v>Cắt xả tạo kiểu</v>
      </c>
      <c r="G207" s="32">
        <v>95000</v>
      </c>
    </row>
    <row r="208">
      <c r="A208" s="33"/>
      <c r="B208" s="33" t="str">
        <v>25 TD</v>
      </c>
      <c r="C208" s="33" t="str">
        <v>DV_Cắt</v>
      </c>
      <c r="D208" s="33">
        <v>1052</v>
      </c>
      <c r="E208" s="33">
        <f>B208&amp;D208</f>
      </c>
      <c r="F208" s="33" t="str">
        <v>Combo 1 - First Class 1</v>
      </c>
      <c r="G208" s="32">
        <v>139000</v>
      </c>
    </row>
    <row r="209">
      <c r="A209" s="33"/>
      <c r="B209" s="33" t="str">
        <v>25 TD</v>
      </c>
      <c r="C209" s="33" t="str">
        <v>DV_Cắt</v>
      </c>
      <c r="D209" s="33">
        <v>1002</v>
      </c>
      <c r="E209" s="33">
        <f>B209&amp;D209</f>
      </c>
      <c r="F209" s="33" t="str">
        <v>Kid Cắt</v>
      </c>
      <c r="G209" s="32">
        <v>76000</v>
      </c>
    </row>
    <row r="210">
      <c r="A210" s="33"/>
      <c r="B210" s="33" t="str">
        <v>25 TD</v>
      </c>
      <c r="C210" s="33" t="str">
        <v>DV_Cắt_Vip</v>
      </c>
      <c r="D210" s="33">
        <v>1047</v>
      </c>
      <c r="E210" s="33">
        <f>B210&amp;D210</f>
      </c>
      <c r="F210" s="33" t="str">
        <v>Cắt Gội Combo 3 - Chăm da</v>
      </c>
      <c r="G210" s="32">
        <v>300000</v>
      </c>
    </row>
    <row r="211">
      <c r="A211" s="33"/>
      <c r="B211" s="33" t="str">
        <v>25 TD</v>
      </c>
      <c r="C211" s="33" t="str">
        <v>DV_Cắt_Vip</v>
      </c>
      <c r="D211" s="33">
        <v>1053</v>
      </c>
      <c r="E211" s="33">
        <f>B211&amp;D211</f>
      </c>
      <c r="F211" s="33" t="str">
        <v>Combo 2 - First Class 2</v>
      </c>
      <c r="G211" s="32">
        <v>240000</v>
      </c>
    </row>
    <row r="212">
      <c r="A212" s="33"/>
      <c r="B212" s="33" t="str">
        <v>25 TD</v>
      </c>
      <c r="C212" s="33" t="str">
        <v>DV_Cắt_Vip</v>
      </c>
      <c r="D212" s="33">
        <v>1054</v>
      </c>
      <c r="E212" s="33">
        <f>B212&amp;D212</f>
      </c>
      <c r="F212" s="33" t="str">
        <v>Combo 3 - First Class 3</v>
      </c>
      <c r="G212" s="32">
        <v>310000</v>
      </c>
    </row>
    <row r="213">
      <c r="A213" s="33"/>
      <c r="B213" s="33" t="str">
        <v>25 TD</v>
      </c>
      <c r="C213" s="33" t="str">
        <v>DV_Cắt_Vip</v>
      </c>
      <c r="D213" s="33">
        <v>1048</v>
      </c>
      <c r="E213" s="33">
        <f>B213&amp;D213</f>
      </c>
      <c r="F213" s="33" t="str">
        <v>Combo 4</v>
      </c>
      <c r="G213" s="32">
        <v>390000</v>
      </c>
    </row>
    <row r="214">
      <c r="A214" s="33"/>
      <c r="B214" s="33" t="str">
        <v>25 TD</v>
      </c>
      <c r="C214" s="33" t="str">
        <v>DV_Cắt_Vip</v>
      </c>
      <c r="D214" s="33">
        <v>1055</v>
      </c>
      <c r="E214" s="33">
        <f>B214&amp;D214</f>
      </c>
      <c r="F214" s="33" t="str">
        <v>Combo 4- First Class 4</v>
      </c>
      <c r="G214" s="32">
        <v>410000</v>
      </c>
    </row>
    <row r="215">
      <c r="A215" s="33"/>
      <c r="B215" s="33" t="str">
        <v>25 TD</v>
      </c>
      <c r="C215" s="33" t="str">
        <v>DV_Cắt_Vip</v>
      </c>
      <c r="D215" s="33">
        <v>1046</v>
      </c>
      <c r="E215" s="33">
        <f>B215&amp;D215</f>
      </c>
      <c r="F215" s="33" t="str">
        <v>Shinecombo 2</v>
      </c>
      <c r="G215" s="32">
        <v>200000</v>
      </c>
    </row>
    <row r="216">
      <c r="A216" s="33"/>
      <c r="B216" s="33" t="str">
        <v>255 NAN</v>
      </c>
      <c r="C216" s="33" t="str">
        <v>DV_Cắt</v>
      </c>
      <c r="D216" s="33">
        <v>513</v>
      </c>
      <c r="E216" s="33">
        <f>B216&amp;D216</f>
      </c>
      <c r="F216" s="33" t="str">
        <v>[DV] ShineCombo 10 bước Ultra Care 2023</v>
      </c>
      <c r="G216" s="32">
        <v>122000</v>
      </c>
    </row>
    <row r="217">
      <c r="A217" s="33"/>
      <c r="B217" s="33" t="str">
        <v>255 NAN</v>
      </c>
      <c r="C217" s="33" t="str">
        <v>DV_Cắt</v>
      </c>
      <c r="D217" s="33">
        <v>1070</v>
      </c>
      <c r="E217" s="33">
        <f>B217&amp;D217</f>
      </c>
      <c r="F217" s="33" t="str">
        <v>Combo Cắt gội Kid</v>
      </c>
      <c r="G217" s="32">
        <v>100000</v>
      </c>
    </row>
    <row r="218">
      <c r="A218" s="33"/>
      <c r="B218" s="33" t="str">
        <v>255 NAN</v>
      </c>
      <c r="C218" s="33" t="str">
        <v>DV_Cắt</v>
      </c>
      <c r="D218" s="33">
        <v>891</v>
      </c>
      <c r="E218" s="33">
        <f>B218&amp;D218</f>
      </c>
      <c r="F218" s="33" t="str">
        <v>Cắt xả tạo kiểu</v>
      </c>
      <c r="G218" s="32">
        <v>103000</v>
      </c>
    </row>
    <row r="219">
      <c r="A219" s="33"/>
      <c r="B219" s="33" t="str">
        <v>255 NAN</v>
      </c>
      <c r="C219" s="33" t="str">
        <v>DV_Cắt</v>
      </c>
      <c r="D219" s="33">
        <v>1002</v>
      </c>
      <c r="E219" s="33">
        <f>B219&amp;D219</f>
      </c>
      <c r="F219" s="33" t="str">
        <v>Kid Cắt</v>
      </c>
      <c r="G219" s="32">
        <v>84000</v>
      </c>
    </row>
    <row r="220">
      <c r="A220" s="33"/>
      <c r="B220" s="33" t="str">
        <v>255 NAN</v>
      </c>
      <c r="C220" s="33" t="str">
        <v>DV_Cắt_Vip</v>
      </c>
      <c r="D220" s="33">
        <v>1047</v>
      </c>
      <c r="E220" s="33">
        <f>B220&amp;D220</f>
      </c>
      <c r="F220" s="33" t="str">
        <v>Cắt Gội Combo 3 - Chăm da</v>
      </c>
      <c r="G220" s="32">
        <v>308000</v>
      </c>
    </row>
    <row r="221">
      <c r="A221" s="33"/>
      <c r="B221" s="33" t="str">
        <v>255 NAN</v>
      </c>
      <c r="C221" s="33" t="str">
        <v>DV_Cắt_Vip</v>
      </c>
      <c r="D221" s="33">
        <v>1065</v>
      </c>
      <c r="E221" s="33">
        <f>B221&amp;D221</f>
      </c>
      <c r="F221" s="33" t="str">
        <v>Cắt Gội Combo 3 - Dưỡng sinh</v>
      </c>
      <c r="G221" s="32">
        <v>308000</v>
      </c>
    </row>
    <row r="222">
      <c r="A222" s="33"/>
      <c r="B222" s="33" t="str">
        <v>255 NAN</v>
      </c>
      <c r="C222" s="33" t="str">
        <v>DV_Cắt_Vip</v>
      </c>
      <c r="D222" s="33">
        <v>1048</v>
      </c>
      <c r="E222" s="33">
        <f>B222&amp;D222</f>
      </c>
      <c r="F222" s="33" t="str">
        <v>Combo 4</v>
      </c>
      <c r="G222" s="32">
        <v>398000</v>
      </c>
    </row>
    <row r="223">
      <c r="A223" s="33"/>
      <c r="B223" s="33" t="str">
        <v>255 NAN</v>
      </c>
      <c r="C223" s="33" t="str">
        <v>DV_Cắt_Vip</v>
      </c>
      <c r="D223" s="33">
        <v>1150</v>
      </c>
      <c r="E223" s="33">
        <f>B223&amp;D223</f>
      </c>
      <c r="F223" s="33" t="str">
        <v>Combo cắt gội đỉnh cao thư giãn vip</v>
      </c>
      <c r="G223" s="32">
        <v>509000</v>
      </c>
    </row>
    <row r="224">
      <c r="A224" s="33"/>
      <c r="B224" s="33" t="str">
        <v>255 NAN</v>
      </c>
      <c r="C224" s="33" t="str">
        <v>DV_Cắt_Vip</v>
      </c>
      <c r="D224" s="33">
        <v>1046</v>
      </c>
      <c r="E224" s="33">
        <f>B224&amp;D224</f>
      </c>
      <c r="F224" s="33" t="str">
        <v>Shinecombo 2</v>
      </c>
      <c r="G224" s="32">
        <v>208000</v>
      </c>
    </row>
    <row r="225">
      <c r="A225" s="33"/>
      <c r="B225" s="33" t="str">
        <v>264 LLQ</v>
      </c>
      <c r="C225" s="33" t="str">
        <v>DV_Cắt</v>
      </c>
      <c r="D225" s="33">
        <v>513</v>
      </c>
      <c r="E225" s="33">
        <f>B225&amp;D225</f>
      </c>
      <c r="F225" s="33" t="str">
        <v>[DV] ShineCombo 10 bước Ultra Care 2023</v>
      </c>
      <c r="G225" s="32">
        <v>122000</v>
      </c>
    </row>
    <row r="226">
      <c r="A226" s="33"/>
      <c r="B226" s="33" t="str">
        <v>264 LLQ</v>
      </c>
      <c r="C226" s="33" t="str">
        <v>DV_Cắt</v>
      </c>
      <c r="D226" s="33">
        <v>1070</v>
      </c>
      <c r="E226" s="33">
        <f>B226&amp;D226</f>
      </c>
      <c r="F226" s="33" t="str">
        <v>Combo Cắt gội Kid</v>
      </c>
      <c r="G226" s="32">
        <v>100000</v>
      </c>
    </row>
    <row r="227">
      <c r="A227" s="33"/>
      <c r="B227" s="33" t="str">
        <v>264 LLQ</v>
      </c>
      <c r="C227" s="33" t="str">
        <v>DV_Cắt</v>
      </c>
      <c r="D227" s="33">
        <v>891</v>
      </c>
      <c r="E227" s="33">
        <f>B227&amp;D227</f>
      </c>
      <c r="F227" s="33" t="str">
        <v>Cắt xả tạo kiểu</v>
      </c>
      <c r="G227" s="32">
        <v>94000</v>
      </c>
    </row>
    <row r="228">
      <c r="A228" s="33"/>
      <c r="B228" s="33" t="str">
        <v>264 LLQ</v>
      </c>
      <c r="C228" s="33" t="str">
        <v>DV_Cắt</v>
      </c>
      <c r="D228" s="33">
        <v>1002</v>
      </c>
      <c r="E228" s="33">
        <f>B228&amp;D228</f>
      </c>
      <c r="F228" s="33" t="str">
        <v>Kid Cắt</v>
      </c>
      <c r="G228" s="32">
        <v>75000</v>
      </c>
    </row>
    <row r="229">
      <c r="A229" s="33"/>
      <c r="B229" s="33" t="str">
        <v>264 LLQ</v>
      </c>
      <c r="C229" s="33" t="str">
        <v>DV_Cắt_Vip</v>
      </c>
      <c r="D229" s="33">
        <v>1047</v>
      </c>
      <c r="E229" s="33">
        <f>B229&amp;D229</f>
      </c>
      <c r="F229" s="33" t="str">
        <v>Cắt Gội Combo 3 - Chăm da</v>
      </c>
      <c r="G229" s="32">
        <v>299000</v>
      </c>
    </row>
    <row r="230">
      <c r="A230" s="33"/>
      <c r="B230" s="33" t="str">
        <v>264 LLQ</v>
      </c>
      <c r="C230" s="33" t="str">
        <v>DV_Cắt_Vip</v>
      </c>
      <c r="D230" s="33">
        <v>1064</v>
      </c>
      <c r="E230" s="33">
        <f>B230&amp;D230</f>
      </c>
      <c r="F230" s="33" t="str">
        <v>Cắt Gội Combo 5 - Dưỡng sinh</v>
      </c>
      <c r="G230" s="32">
        <v>459000</v>
      </c>
    </row>
    <row r="231">
      <c r="A231" s="33"/>
      <c r="B231" s="33" t="str">
        <v>264 LLQ</v>
      </c>
      <c r="C231" s="33" t="str">
        <v>DV_Cắt_Vip</v>
      </c>
      <c r="D231" s="33">
        <v>1048</v>
      </c>
      <c r="E231" s="33">
        <f>B231&amp;D231</f>
      </c>
      <c r="F231" s="33" t="str">
        <v>Combo 4</v>
      </c>
      <c r="G231" s="32">
        <v>389000</v>
      </c>
    </row>
    <row r="232">
      <c r="A232" s="33"/>
      <c r="B232" s="33" t="str">
        <v>264 LLQ</v>
      </c>
      <c r="C232" s="33" t="str">
        <v>DV_Cắt_Vip</v>
      </c>
      <c r="D232" s="33">
        <v>1046</v>
      </c>
      <c r="E232" s="33">
        <f>B232&amp;D232</f>
      </c>
      <c r="F232" s="33" t="str">
        <v>Shinecombo 2</v>
      </c>
      <c r="G232" s="32">
        <v>199000</v>
      </c>
    </row>
    <row r="233">
      <c r="A233" s="33"/>
      <c r="B233" s="33" t="str">
        <v>29 HB</v>
      </c>
      <c r="C233" s="33" t="str">
        <v>DV_Cắt</v>
      </c>
      <c r="D233" s="33">
        <v>513</v>
      </c>
      <c r="E233" s="33">
        <f>B233&amp;D233</f>
      </c>
      <c r="F233" s="33" t="str">
        <v>[DV] ShineCombo 10 bước Ultra Care 2023</v>
      </c>
      <c r="G233" s="32">
        <v>122000</v>
      </c>
    </row>
    <row r="234">
      <c r="A234" s="33"/>
      <c r="B234" s="33" t="str">
        <v>29 HB</v>
      </c>
      <c r="C234" s="33" t="str">
        <v>DV_Cắt</v>
      </c>
      <c r="D234" s="33">
        <v>891</v>
      </c>
      <c r="E234" s="33">
        <f>B234&amp;D234</f>
      </c>
      <c r="F234" s="33" t="str">
        <v>Cắt xả tạo kiểu</v>
      </c>
      <c r="G234" s="32">
        <v>94000</v>
      </c>
    </row>
    <row r="235">
      <c r="A235" s="33"/>
      <c r="B235" s="33" t="str">
        <v>29 HB</v>
      </c>
      <c r="C235" s="33" t="str">
        <v>DV_Cắt</v>
      </c>
      <c r="D235" s="33">
        <v>1070</v>
      </c>
      <c r="E235" s="33">
        <f>B235&amp;D235</f>
      </c>
      <c r="F235" s="33" t="str">
        <v>Combo Cắt gội Kid</v>
      </c>
      <c r="G235" s="32">
        <v>100000</v>
      </c>
    </row>
    <row r="236">
      <c r="A236" s="33"/>
      <c r="B236" s="33" t="str">
        <v>29 HB</v>
      </c>
      <c r="C236" s="33" t="str">
        <v>DV_Cắt</v>
      </c>
      <c r="D236" s="33">
        <v>1002</v>
      </c>
      <c r="E236" s="33">
        <f>B236&amp;D236</f>
      </c>
      <c r="F236" s="33" t="str">
        <v>Kid Cắt</v>
      </c>
      <c r="G236" s="32">
        <v>75000</v>
      </c>
    </row>
    <row r="237">
      <c r="A237" s="33"/>
      <c r="B237" s="33" t="str">
        <v>29 HB</v>
      </c>
      <c r="C237" s="33" t="str">
        <v>DV_Cắt_Vip</v>
      </c>
      <c r="D237" s="33">
        <v>1047</v>
      </c>
      <c r="E237" s="33">
        <f>B237&amp;D237</f>
      </c>
      <c r="F237" s="33" t="str">
        <v>Cắt Gội Combo 3 - Chăm da</v>
      </c>
      <c r="G237" s="32">
        <v>299000</v>
      </c>
    </row>
    <row r="238">
      <c r="A238" s="33"/>
      <c r="B238" s="33" t="str">
        <v>29 HB</v>
      </c>
      <c r="C238" s="33" t="str">
        <v>DV_Cắt_Vip</v>
      </c>
      <c r="D238" s="33">
        <v>1065</v>
      </c>
      <c r="E238" s="33">
        <f>B238&amp;D238</f>
      </c>
      <c r="F238" s="33" t="str">
        <v>Cắt Gội Combo 3 - Dưỡng sinh</v>
      </c>
      <c r="G238" s="32">
        <v>299000</v>
      </c>
    </row>
    <row r="239">
      <c r="A239" s="33"/>
      <c r="B239" s="33" t="str">
        <v>29 HB</v>
      </c>
      <c r="C239" s="33" t="str">
        <v>DV_Cắt_Vip</v>
      </c>
      <c r="D239" s="33">
        <v>1048</v>
      </c>
      <c r="E239" s="33">
        <f>B239&amp;D239</f>
      </c>
      <c r="F239" s="33" t="str">
        <v>Combo 4</v>
      </c>
      <c r="G239" s="32">
        <v>389000</v>
      </c>
    </row>
    <row r="240">
      <c r="A240" s="33"/>
      <c r="B240" s="33" t="str">
        <v>29 HB</v>
      </c>
      <c r="C240" s="33" t="str">
        <v>DV_Cắt_Vip</v>
      </c>
      <c r="D240" s="33">
        <v>1150</v>
      </c>
      <c r="E240" s="33">
        <f>B240&amp;D240</f>
      </c>
      <c r="F240" s="33" t="str">
        <v>Combo cắt gội đỉnh cao thư giãn vip</v>
      </c>
      <c r="G240" s="32">
        <v>500000</v>
      </c>
    </row>
    <row r="241">
      <c r="A241" s="33"/>
      <c r="B241" s="33" t="str">
        <v>29 HB</v>
      </c>
      <c r="C241" s="33" t="str">
        <v>DV_Cắt_Vip</v>
      </c>
      <c r="D241" s="33">
        <v>1046</v>
      </c>
      <c r="E241" s="33">
        <f>B241&amp;D241</f>
      </c>
      <c r="F241" s="33" t="str">
        <v>Shinecombo 2</v>
      </c>
      <c r="G241" s="32">
        <v>199000</v>
      </c>
    </row>
    <row r="242">
      <c r="A242" s="33"/>
      <c r="B242" s="33" t="str">
        <v>290 QT TH</v>
      </c>
      <c r="C242" s="33" t="str">
        <v>DV_Cắt</v>
      </c>
      <c r="D242" s="33">
        <v>513</v>
      </c>
      <c r="E242" s="33">
        <f>B242&amp;D242</f>
      </c>
      <c r="F242" s="33" t="str">
        <v>[DV] ShineCombo 10 bước Ultra Care 2023</v>
      </c>
      <c r="G242" s="32">
        <v>122000</v>
      </c>
    </row>
    <row r="243">
      <c r="A243" s="33"/>
      <c r="B243" s="33" t="str">
        <v>290 QT TH</v>
      </c>
      <c r="C243" s="33" t="str">
        <v>DV_Cắt</v>
      </c>
      <c r="D243" s="33">
        <v>1070</v>
      </c>
      <c r="E243" s="33">
        <f>B243&amp;D243</f>
      </c>
      <c r="F243" s="33" t="str">
        <v>Combo Cắt gội Kid</v>
      </c>
      <c r="G243" s="32">
        <v>100000</v>
      </c>
    </row>
    <row r="244">
      <c r="A244" s="33"/>
      <c r="B244" s="33" t="str">
        <v>290 QT TH</v>
      </c>
      <c r="C244" s="33" t="str">
        <v>DV_Cắt</v>
      </c>
      <c r="D244" s="33">
        <v>891</v>
      </c>
      <c r="E244" s="33">
        <f>B244&amp;D244</f>
      </c>
      <c r="F244" s="33" t="str">
        <v>Cắt xả tạo kiểu</v>
      </c>
      <c r="G244" s="32">
        <v>95000</v>
      </c>
    </row>
    <row r="245">
      <c r="A245" s="33"/>
      <c r="B245" s="33" t="str">
        <v>290 QT TH</v>
      </c>
      <c r="C245" s="33" t="str">
        <v>DV_Cắt</v>
      </c>
      <c r="D245" s="33">
        <v>1002</v>
      </c>
      <c r="E245" s="33">
        <f>B245&amp;D245</f>
      </c>
      <c r="F245" s="33" t="str">
        <v>Kid Cắt</v>
      </c>
      <c r="G245" s="32">
        <v>76000</v>
      </c>
    </row>
    <row r="246">
      <c r="A246" s="33"/>
      <c r="B246" s="33" t="str">
        <v>290 QT TH</v>
      </c>
      <c r="C246" s="33" t="str">
        <v>DV_Cắt</v>
      </c>
      <c r="D246" s="33">
        <v>1255</v>
      </c>
      <c r="E246" s="33">
        <f>B246&amp;D246</f>
      </c>
      <c r="F246" s="33" t="str">
        <v>VH Cắt gội dưỡng sinh Vip</v>
      </c>
      <c r="G246" s="32">
        <v>250000</v>
      </c>
    </row>
    <row r="247">
      <c r="A247" s="33"/>
      <c r="B247" s="33" t="str">
        <v>290 QT TH</v>
      </c>
      <c r="C247" s="33" t="str">
        <v>DV_Cắt_Vip</v>
      </c>
      <c r="D247" s="33">
        <v>1047</v>
      </c>
      <c r="E247" s="33">
        <f>B247&amp;D247</f>
      </c>
      <c r="F247" s="33" t="str">
        <v>Cắt Gội Combo 3 - Chăm da</v>
      </c>
      <c r="G247" s="32">
        <v>300000</v>
      </c>
    </row>
    <row r="248">
      <c r="A248" s="33"/>
      <c r="B248" s="33" t="str">
        <v>290 QT TH</v>
      </c>
      <c r="C248" s="33" t="str">
        <v>DV_Cắt_Vip</v>
      </c>
      <c r="D248" s="33">
        <v>1065</v>
      </c>
      <c r="E248" s="33">
        <f>B248&amp;D248</f>
      </c>
      <c r="F248" s="33" t="str">
        <v>Cắt Gội Combo 3 - Dưỡng sinh</v>
      </c>
      <c r="G248" s="32">
        <v>300000</v>
      </c>
    </row>
    <row r="249">
      <c r="A249" s="33"/>
      <c r="B249" s="33" t="str">
        <v>290 QT TH</v>
      </c>
      <c r="C249" s="33" t="str">
        <v>DV_Cắt_Vip</v>
      </c>
      <c r="D249" s="33">
        <v>1048</v>
      </c>
      <c r="E249" s="33">
        <f>B249&amp;D249</f>
      </c>
      <c r="F249" s="33" t="str">
        <v>Combo 4</v>
      </c>
      <c r="G249" s="32">
        <v>390000</v>
      </c>
    </row>
    <row r="250">
      <c r="A250" s="33"/>
      <c r="B250" s="33" t="str">
        <v>290 QT TH</v>
      </c>
      <c r="C250" s="33" t="str">
        <v>DV_Cắt_Vip</v>
      </c>
      <c r="D250" s="33">
        <v>1046</v>
      </c>
      <c r="E250" s="33">
        <f>B250&amp;D250</f>
      </c>
      <c r="F250" s="33" t="str">
        <v>Shinecombo 2</v>
      </c>
      <c r="G250" s="32">
        <v>200000</v>
      </c>
    </row>
    <row r="251">
      <c r="A251" s="33"/>
      <c r="B251" s="33" t="str">
        <v>290 QT TH</v>
      </c>
      <c r="C251" s="33" t="str">
        <v>DV_Cắt_Vip</v>
      </c>
      <c r="D251" s="33">
        <v>1256</v>
      </c>
      <c r="E251" s="33">
        <f>B251&amp;D251</f>
      </c>
      <c r="F251" s="33" t="str">
        <v>VH Cắt gội dưỡng sinh Vip LRT</v>
      </c>
      <c r="G251" s="32">
        <v>300000</v>
      </c>
    </row>
    <row r="252">
      <c r="A252" s="33"/>
      <c r="B252" s="33" t="str">
        <v>290 QT TH</v>
      </c>
      <c r="C252" s="33" t="str">
        <v>DV_Cắt_Vip</v>
      </c>
      <c r="D252" s="33">
        <v>1257</v>
      </c>
      <c r="E252" s="33">
        <f>B252&amp;D252</f>
      </c>
      <c r="F252" s="33" t="str">
        <v>VH Cắt gội thư giãn phục hồi</v>
      </c>
      <c r="G252" s="32">
        <v>450000</v>
      </c>
    </row>
    <row r="253">
      <c r="A253" s="33"/>
      <c r="B253" s="33" t="str">
        <v>304 NT TH</v>
      </c>
      <c r="C253" s="33" t="str">
        <v>DV_Cắt</v>
      </c>
      <c r="D253" s="33">
        <v>513</v>
      </c>
      <c r="E253" s="33">
        <f>B253&amp;D253</f>
      </c>
      <c r="F253" s="33" t="str">
        <v>[DV] ShineCombo 10 bước Ultra Care 2023</v>
      </c>
      <c r="G253" s="32">
        <v>122000</v>
      </c>
    </row>
    <row r="254">
      <c r="A254" s="33"/>
      <c r="B254" s="33" t="str">
        <v>304 NT TH</v>
      </c>
      <c r="C254" s="33" t="str">
        <v>DV_Cắt</v>
      </c>
      <c r="D254" s="33">
        <v>891</v>
      </c>
      <c r="E254" s="33">
        <f>B254&amp;D254</f>
      </c>
      <c r="F254" s="33" t="str">
        <v>Cắt xả tạo kiểu</v>
      </c>
      <c r="G254" s="32">
        <v>103000</v>
      </c>
    </row>
    <row r="255">
      <c r="A255" s="33"/>
      <c r="B255" s="33" t="str">
        <v>304 NT TH</v>
      </c>
      <c r="C255" s="33" t="str">
        <v>DV_Cắt</v>
      </c>
      <c r="D255" s="33">
        <v>1002</v>
      </c>
      <c r="E255" s="33">
        <f>B255&amp;D255</f>
      </c>
      <c r="F255" s="33" t="str">
        <v>Kid Cắt</v>
      </c>
      <c r="G255" s="32">
        <v>84000</v>
      </c>
    </row>
    <row r="256">
      <c r="A256" s="33"/>
      <c r="B256" s="33" t="str">
        <v>304 NT TH</v>
      </c>
      <c r="C256" s="33" t="str">
        <v>DV_Cắt</v>
      </c>
      <c r="D256" s="33">
        <v>1255</v>
      </c>
      <c r="E256" s="33">
        <f>B256&amp;D256</f>
      </c>
      <c r="F256" s="33" t="str">
        <v>VH Cắt gội dưỡng sinh Vip</v>
      </c>
      <c r="G256" s="32">
        <v>258000</v>
      </c>
    </row>
    <row r="257">
      <c r="A257" s="33"/>
      <c r="B257" s="33" t="str">
        <v>304 NT TH</v>
      </c>
      <c r="C257" s="33" t="str">
        <v>DV_Cắt_Vip</v>
      </c>
      <c r="D257" s="33">
        <v>1047</v>
      </c>
      <c r="E257" s="33">
        <f>B257&amp;D257</f>
      </c>
      <c r="F257" s="33" t="str">
        <v>Cắt Gội Combo 3 - Chăm da</v>
      </c>
      <c r="G257" s="32">
        <v>308000</v>
      </c>
    </row>
    <row r="258">
      <c r="A258" s="33"/>
      <c r="B258" s="33" t="str">
        <v>304 NT TH</v>
      </c>
      <c r="C258" s="33" t="str">
        <v>DV_Cắt_Vip</v>
      </c>
      <c r="D258" s="33">
        <v>1065</v>
      </c>
      <c r="E258" s="33">
        <f>B258&amp;D258</f>
      </c>
      <c r="F258" s="33" t="str">
        <v>Cắt Gội Combo 3 - Dưỡng sinh</v>
      </c>
      <c r="G258" s="32">
        <v>308000</v>
      </c>
    </row>
    <row r="259">
      <c r="A259" s="33"/>
      <c r="B259" s="33" t="str">
        <v>304 NT TH</v>
      </c>
      <c r="C259" s="33" t="str">
        <v>DV_Cắt_Vip</v>
      </c>
      <c r="D259" s="33">
        <v>1053</v>
      </c>
      <c r="E259" s="33">
        <f>B259&amp;D259</f>
      </c>
      <c r="F259" s="33" t="str">
        <v>Combo 2 - First Class 2</v>
      </c>
      <c r="G259" s="32">
        <v>238000</v>
      </c>
    </row>
    <row r="260">
      <c r="A260" s="33"/>
      <c r="B260" s="33" t="str">
        <v>304 NT TH</v>
      </c>
      <c r="C260" s="33" t="str">
        <v>DV_Cắt_Vip</v>
      </c>
      <c r="D260" s="33">
        <v>1048</v>
      </c>
      <c r="E260" s="33">
        <f>B260&amp;D260</f>
      </c>
      <c r="F260" s="33" t="str">
        <v>Combo 4</v>
      </c>
      <c r="G260" s="32">
        <v>398000</v>
      </c>
    </row>
    <row r="261">
      <c r="A261" s="33"/>
      <c r="B261" s="33" t="str">
        <v>304 NT TH</v>
      </c>
      <c r="C261" s="33" t="str">
        <v>DV_Cắt_Vip</v>
      </c>
      <c r="D261" s="33">
        <v>1046</v>
      </c>
      <c r="E261" s="33">
        <f>B261&amp;D261</f>
      </c>
      <c r="F261" s="33" t="str">
        <v>Shinecombo 2</v>
      </c>
      <c r="G261" s="32">
        <v>208000</v>
      </c>
    </row>
    <row r="262">
      <c r="A262" s="33"/>
      <c r="B262" s="33" t="str">
        <v>304 NT TH</v>
      </c>
      <c r="C262" s="33" t="str">
        <v>DV_Cắt_Vip</v>
      </c>
      <c r="D262" s="33">
        <v>1256</v>
      </c>
      <c r="E262" s="33">
        <f>B262&amp;D262</f>
      </c>
      <c r="F262" s="33" t="str">
        <v>VH Cắt gội dưỡng sinh Vip LRT</v>
      </c>
      <c r="G262" s="32">
        <v>308000</v>
      </c>
    </row>
    <row r="263">
      <c r="A263" s="33"/>
      <c r="B263" s="33" t="str">
        <v>304 NT TH</v>
      </c>
      <c r="C263" s="33" t="str">
        <v>DV_Cắt_Vip</v>
      </c>
      <c r="D263" s="33">
        <v>1257</v>
      </c>
      <c r="E263" s="33">
        <f>B263&amp;D263</f>
      </c>
      <c r="F263" s="33" t="str">
        <v>VH Cắt gội thư giãn phục hồi</v>
      </c>
      <c r="G263" s="32">
        <v>458000</v>
      </c>
    </row>
    <row r="264">
      <c r="A264" s="33"/>
      <c r="B264" s="33" t="str">
        <v>312 LVS</v>
      </c>
      <c r="C264" s="33" t="str">
        <v>DV_Cắt</v>
      </c>
      <c r="D264" s="33">
        <v>513</v>
      </c>
      <c r="E264" s="33">
        <f>B264&amp;D264</f>
      </c>
      <c r="F264" s="33" t="str">
        <v>[DV] ShineCombo 10 bước Ultra Care 2023</v>
      </c>
      <c r="G264" s="32">
        <v>122000</v>
      </c>
    </row>
    <row r="265">
      <c r="A265" s="33"/>
      <c r="B265" s="33" t="str">
        <v>312 LVS</v>
      </c>
      <c r="C265" s="33" t="str">
        <v>DV_Cắt</v>
      </c>
      <c r="D265" s="33">
        <v>1070</v>
      </c>
      <c r="E265" s="33">
        <f>B265&amp;D265</f>
      </c>
      <c r="F265" s="33" t="str">
        <v>Combo Cắt gội Kid</v>
      </c>
      <c r="G265" s="32">
        <v>100000</v>
      </c>
    </row>
    <row r="266">
      <c r="A266" s="33"/>
      <c r="B266" s="33" t="str">
        <v>312 LVS</v>
      </c>
      <c r="C266" s="33" t="str">
        <v>DV_Cắt</v>
      </c>
      <c r="D266" s="33">
        <v>891</v>
      </c>
      <c r="E266" s="33">
        <f>B266&amp;D266</f>
      </c>
      <c r="F266" s="33" t="str">
        <v>Cắt xả tạo kiểu</v>
      </c>
      <c r="G266" s="32">
        <v>97000</v>
      </c>
    </row>
    <row r="267">
      <c r="A267" s="33"/>
      <c r="B267" s="33" t="str">
        <v>312 LVS</v>
      </c>
      <c r="C267" s="33" t="str">
        <v>DV_Cắt</v>
      </c>
      <c r="D267" s="33">
        <v>1052</v>
      </c>
      <c r="E267" s="33">
        <f>B267&amp;D267</f>
      </c>
      <c r="F267" s="33" t="str">
        <v>Combo 1 - First Class 1</v>
      </c>
      <c r="G267" s="32">
        <v>159000</v>
      </c>
    </row>
    <row r="268">
      <c r="A268" s="33"/>
      <c r="B268" s="33" t="str">
        <v>312 LVS</v>
      </c>
      <c r="C268" s="33" t="str">
        <v>DV_Cắt</v>
      </c>
      <c r="D268" s="33">
        <v>1002</v>
      </c>
      <c r="E268" s="33">
        <f>B268&amp;D268</f>
      </c>
      <c r="F268" s="33" t="str">
        <v>Kid Cắt</v>
      </c>
      <c r="G268" s="32">
        <v>78000</v>
      </c>
    </row>
    <row r="269">
      <c r="A269" s="33"/>
      <c r="B269" s="33" t="str">
        <v>312 LVS</v>
      </c>
      <c r="C269" s="33" t="str">
        <v>DV_Cắt_Vip</v>
      </c>
      <c r="D269" s="33">
        <v>1047</v>
      </c>
      <c r="E269" s="33">
        <f>B269&amp;D269</f>
      </c>
      <c r="F269" s="33" t="str">
        <v>Cắt Gội Combo 3 - Chăm da</v>
      </c>
      <c r="G269" s="32">
        <v>302000</v>
      </c>
    </row>
    <row r="270">
      <c r="A270" s="33"/>
      <c r="B270" s="33" t="str">
        <v>312 LVS</v>
      </c>
      <c r="C270" s="33" t="str">
        <v>DV_Cắt_Vip</v>
      </c>
      <c r="D270" s="33">
        <v>1065</v>
      </c>
      <c r="E270" s="33">
        <f>B270&amp;D270</f>
      </c>
      <c r="F270" s="33" t="str">
        <v>Cắt Gội Combo 3 - Dưỡng sinh</v>
      </c>
      <c r="G270" s="32">
        <v>302000</v>
      </c>
    </row>
    <row r="271">
      <c r="A271" s="33"/>
      <c r="B271" s="33" t="str">
        <v>312 LVS</v>
      </c>
      <c r="C271" s="33" t="str">
        <v>DV_Cắt_Vip</v>
      </c>
      <c r="D271" s="33">
        <v>1064</v>
      </c>
      <c r="E271" s="33">
        <f>B271&amp;D271</f>
      </c>
      <c r="F271" s="33" t="str">
        <v>Cắt Gội Combo 5 - Dưỡng sinh</v>
      </c>
      <c r="G271" s="32">
        <v>462000</v>
      </c>
    </row>
    <row r="272">
      <c r="A272" s="33"/>
      <c r="B272" s="33" t="str">
        <v>312 LVS</v>
      </c>
      <c r="C272" s="33" t="str">
        <v>DV_Cắt_Vip</v>
      </c>
      <c r="D272" s="33">
        <v>1048</v>
      </c>
      <c r="E272" s="33">
        <f>B272&amp;D272</f>
      </c>
      <c r="F272" s="33" t="str">
        <v>Combo 4</v>
      </c>
      <c r="G272" s="32">
        <v>392000</v>
      </c>
    </row>
    <row r="273">
      <c r="A273" s="33"/>
      <c r="B273" s="33" t="str">
        <v>312 LVS</v>
      </c>
      <c r="C273" s="33" t="str">
        <v>DV_Cắt_Vip</v>
      </c>
      <c r="D273" s="33">
        <v>1046</v>
      </c>
      <c r="E273" s="33">
        <f>B273&amp;D273</f>
      </c>
      <c r="F273" s="33" t="str">
        <v>Shinecombo 2</v>
      </c>
      <c r="G273" s="32">
        <v>202000</v>
      </c>
    </row>
    <row r="274">
      <c r="A274" s="33"/>
      <c r="B274" s="33" t="str">
        <v>32 NAT</v>
      </c>
      <c r="C274" s="33" t="str">
        <v>DV_Cắt</v>
      </c>
      <c r="D274" s="33">
        <v>513</v>
      </c>
      <c r="E274" s="33">
        <f>B274&amp;D274</f>
      </c>
      <c r="F274" s="33" t="str">
        <v>[DV] ShineCombo 10 bước Ultra Care 2023</v>
      </c>
      <c r="G274" s="32">
        <v>122000</v>
      </c>
    </row>
    <row r="275">
      <c r="A275" s="33"/>
      <c r="B275" s="33" t="str">
        <v>32 NAT</v>
      </c>
      <c r="C275" s="33" t="str">
        <v>DV_Cắt</v>
      </c>
      <c r="D275" s="33">
        <v>1070</v>
      </c>
      <c r="E275" s="33">
        <f>B275&amp;D275</f>
      </c>
      <c r="F275" s="33" t="str">
        <v>Combo Cắt gội Kid</v>
      </c>
      <c r="G275" s="32">
        <v>100000</v>
      </c>
    </row>
    <row r="276">
      <c r="A276" s="33"/>
      <c r="B276" s="33" t="str">
        <v>32 NAT</v>
      </c>
      <c r="C276" s="33" t="str">
        <v>DV_Cắt</v>
      </c>
      <c r="D276" s="33">
        <v>891</v>
      </c>
      <c r="E276" s="33">
        <f>B276&amp;D276</f>
      </c>
      <c r="F276" s="33" t="str">
        <v>Cắt xả tạo kiểu</v>
      </c>
      <c r="G276" s="32">
        <v>103000</v>
      </c>
    </row>
    <row r="277">
      <c r="A277" s="33"/>
      <c r="B277" s="33" t="str">
        <v>32 NAT</v>
      </c>
      <c r="C277" s="33" t="str">
        <v>DV_Cắt</v>
      </c>
      <c r="D277" s="33">
        <v>1002</v>
      </c>
      <c r="E277" s="33">
        <f>B277&amp;D277</f>
      </c>
      <c r="F277" s="33" t="str">
        <v>Kid Cắt</v>
      </c>
      <c r="G277" s="32">
        <v>84000</v>
      </c>
    </row>
    <row r="278">
      <c r="A278" s="33"/>
      <c r="B278" s="33" t="str">
        <v>32 NAT</v>
      </c>
      <c r="C278" s="33" t="str">
        <v>DV_Cắt_Vip</v>
      </c>
      <c r="D278" s="33">
        <v>1047</v>
      </c>
      <c r="E278" s="33">
        <f>B278&amp;D278</f>
      </c>
      <c r="F278" s="33" t="str">
        <v>Cắt Gội Combo 3 - Chăm da</v>
      </c>
      <c r="G278" s="32">
        <v>308000</v>
      </c>
    </row>
    <row r="279">
      <c r="A279" s="33"/>
      <c r="B279" s="33" t="str">
        <v>32 NAT</v>
      </c>
      <c r="C279" s="33" t="str">
        <v>DV_Cắt_Vip</v>
      </c>
      <c r="D279" s="33">
        <v>1065</v>
      </c>
      <c r="E279" s="33">
        <f>B279&amp;D279</f>
      </c>
      <c r="F279" s="33" t="str">
        <v>Cắt Gội Combo 3 - Dưỡng sinh</v>
      </c>
      <c r="G279" s="32">
        <v>308000</v>
      </c>
    </row>
    <row r="280">
      <c r="A280" s="33"/>
      <c r="B280" s="33" t="str">
        <v>32 NAT</v>
      </c>
      <c r="C280" s="33" t="str">
        <v>DV_Cắt_Vip</v>
      </c>
      <c r="D280" s="33">
        <v>1048</v>
      </c>
      <c r="E280" s="33">
        <f>B280&amp;D280</f>
      </c>
      <c r="F280" s="33" t="str">
        <v>Combo 4</v>
      </c>
      <c r="G280" s="32">
        <v>398000</v>
      </c>
    </row>
    <row r="281">
      <c r="A281" s="33"/>
      <c r="B281" s="33" t="str">
        <v>32 NAT</v>
      </c>
      <c r="C281" s="33" t="str">
        <v>DV_Cắt_Vip</v>
      </c>
      <c r="D281" s="33">
        <v>1046</v>
      </c>
      <c r="E281" s="33">
        <f>B281&amp;D281</f>
      </c>
      <c r="F281" s="33" t="str">
        <v>Shinecombo 2</v>
      </c>
      <c r="G281" s="32">
        <v>208000</v>
      </c>
    </row>
    <row r="282">
      <c r="A282" s="33"/>
      <c r="B282" s="33" t="str">
        <v>341 XVNT</v>
      </c>
      <c r="C282" s="33" t="str">
        <v>DV_Cắt</v>
      </c>
      <c r="D282" s="33">
        <v>513</v>
      </c>
      <c r="E282" s="33">
        <f>B282&amp;D282</f>
      </c>
      <c r="F282" s="33" t="str">
        <v>[DV] ShineCombo 10 bước Ultra Care 2023</v>
      </c>
      <c r="G282" s="32">
        <v>122000</v>
      </c>
    </row>
    <row r="283">
      <c r="A283" s="33"/>
      <c r="B283" s="33" t="str">
        <v>341 XVNT</v>
      </c>
      <c r="C283" s="33" t="str">
        <v>DV_Cắt</v>
      </c>
      <c r="D283" s="33">
        <v>891</v>
      </c>
      <c r="E283" s="33">
        <f>B283&amp;D283</f>
      </c>
      <c r="F283" s="33" t="str">
        <v>Cắt xả tạo kiểu</v>
      </c>
      <c r="G283" s="32">
        <v>95000</v>
      </c>
    </row>
    <row r="284">
      <c r="A284" s="33"/>
      <c r="B284" s="33" t="str">
        <v>341 XVNT</v>
      </c>
      <c r="C284" s="33" t="str">
        <v>DV_Cắt</v>
      </c>
      <c r="D284" s="33">
        <v>1052</v>
      </c>
      <c r="E284" s="33">
        <f>B284&amp;D284</f>
      </c>
      <c r="F284" s="33" t="str">
        <v>Combo 1 - First Class 1</v>
      </c>
      <c r="G284" s="32">
        <v>159000</v>
      </c>
    </row>
    <row r="285">
      <c r="A285" s="33"/>
      <c r="B285" s="33" t="str">
        <v>341 XVNT</v>
      </c>
      <c r="C285" s="33" t="str">
        <v>DV_Cắt</v>
      </c>
      <c r="D285" s="33">
        <v>1002</v>
      </c>
      <c r="E285" s="33">
        <f>B285&amp;D285</f>
      </c>
      <c r="F285" s="33" t="str">
        <v>Kid Cắt</v>
      </c>
      <c r="G285" s="32">
        <v>76000</v>
      </c>
    </row>
    <row r="286">
      <c r="A286" s="33"/>
      <c r="B286" s="33" t="str">
        <v>341 XVNT</v>
      </c>
      <c r="C286" s="33" t="str">
        <v>DV_Cắt_Vip</v>
      </c>
      <c r="D286" s="33">
        <v>1047</v>
      </c>
      <c r="E286" s="33">
        <f>B286&amp;D286</f>
      </c>
      <c r="F286" s="33" t="str">
        <v>Cắt Gội Combo 3 - Chăm da</v>
      </c>
      <c r="G286" s="32">
        <v>300000</v>
      </c>
    </row>
    <row r="287">
      <c r="A287" s="33"/>
      <c r="B287" s="33" t="str">
        <v>341 XVNT</v>
      </c>
      <c r="C287" s="33" t="str">
        <v>DV_Cắt_Vip</v>
      </c>
      <c r="D287" s="33">
        <v>1054</v>
      </c>
      <c r="E287" s="33">
        <f>B287&amp;D287</f>
      </c>
      <c r="F287" s="33" t="str">
        <v>Combo 3 - First Class 3</v>
      </c>
      <c r="G287" s="32">
        <v>300000</v>
      </c>
    </row>
    <row r="288">
      <c r="A288" s="33"/>
      <c r="B288" s="33" t="str">
        <v>341 XVNT</v>
      </c>
      <c r="C288" s="33" t="str">
        <v>DV_Cắt_Vip</v>
      </c>
      <c r="D288" s="33">
        <v>1048</v>
      </c>
      <c r="E288" s="33">
        <f>B288&amp;D288</f>
      </c>
      <c r="F288" s="33" t="str">
        <v>Combo 4</v>
      </c>
      <c r="G288" s="32">
        <v>390000</v>
      </c>
    </row>
    <row r="289">
      <c r="A289" s="33"/>
      <c r="B289" s="33" t="str">
        <v>341 XVNT</v>
      </c>
      <c r="C289" s="33" t="str">
        <v>DV_Cắt_Vip</v>
      </c>
      <c r="D289" s="33">
        <v>1046</v>
      </c>
      <c r="E289" s="33">
        <f>B289&amp;D289</f>
      </c>
      <c r="F289" s="33" t="str">
        <v>Shinecombo 2</v>
      </c>
      <c r="G289" s="32">
        <v>200000</v>
      </c>
    </row>
    <row r="290">
      <c r="A290" s="33"/>
      <c r="B290" s="33" t="str">
        <v>346 KT</v>
      </c>
      <c r="C290" s="33" t="str">
        <v>DV_Cắt</v>
      </c>
      <c r="D290" s="33">
        <v>513</v>
      </c>
      <c r="E290" s="33">
        <f>B290&amp;D290</f>
      </c>
      <c r="F290" s="33" t="str">
        <v>[DV] ShineCombo 10 bước Ultra Care 2023</v>
      </c>
      <c r="G290" s="32">
        <v>122000</v>
      </c>
    </row>
    <row r="291">
      <c r="A291" s="33"/>
      <c r="B291" s="33" t="str">
        <v>346 KT</v>
      </c>
      <c r="C291" s="33" t="str">
        <v>DV_Cắt</v>
      </c>
      <c r="D291" s="33">
        <v>1070</v>
      </c>
      <c r="E291" s="33">
        <f>B291&amp;D291</f>
      </c>
      <c r="F291" s="33" t="str">
        <v>Combo Cắt gội Kid</v>
      </c>
      <c r="G291" s="32">
        <v>100000</v>
      </c>
    </row>
    <row r="292">
      <c r="A292" s="33"/>
      <c r="B292" s="33" t="str">
        <v>346 KT</v>
      </c>
      <c r="C292" s="33" t="str">
        <v>DV_Cắt</v>
      </c>
      <c r="D292" s="33">
        <v>891</v>
      </c>
      <c r="E292" s="33">
        <f>B292&amp;D292</f>
      </c>
      <c r="F292" s="33" t="str">
        <v>Cắt xả tạo kiểu</v>
      </c>
      <c r="G292" s="32">
        <v>100000</v>
      </c>
    </row>
    <row r="293">
      <c r="A293" s="33"/>
      <c r="B293" s="33" t="str">
        <v>346 KT</v>
      </c>
      <c r="C293" s="33" t="str">
        <v>DV_Cắt</v>
      </c>
      <c r="D293" s="33">
        <v>1052</v>
      </c>
      <c r="E293" s="33">
        <f>B293&amp;D293</f>
      </c>
      <c r="F293" s="33" t="str">
        <v>Combo 1 - First Class 1</v>
      </c>
      <c r="G293" s="32">
        <v>159000</v>
      </c>
    </row>
    <row r="294">
      <c r="A294" s="33"/>
      <c r="B294" s="33" t="str">
        <v>346 KT</v>
      </c>
      <c r="C294" s="33" t="str">
        <v>DV_Cắt</v>
      </c>
      <c r="D294" s="33">
        <v>1002</v>
      </c>
      <c r="E294" s="33">
        <f>B294&amp;D294</f>
      </c>
      <c r="F294" s="33" t="str">
        <v>Kid Cắt</v>
      </c>
      <c r="G294" s="32">
        <v>81000</v>
      </c>
    </row>
    <row r="295">
      <c r="A295" s="33"/>
      <c r="B295" s="33" t="str">
        <v>346 KT</v>
      </c>
      <c r="C295" s="33" t="str">
        <v>DV_Cắt_Vip</v>
      </c>
      <c r="D295" s="33">
        <v>1047</v>
      </c>
      <c r="E295" s="33">
        <f>B295&amp;D295</f>
      </c>
      <c r="F295" s="33" t="str">
        <v>Cắt Gội Combo 3 - Chăm da</v>
      </c>
      <c r="G295" s="32">
        <v>305000</v>
      </c>
    </row>
    <row r="296">
      <c r="A296" s="33"/>
      <c r="B296" s="33" t="str">
        <v>346 KT</v>
      </c>
      <c r="C296" s="33" t="str">
        <v>DV_Cắt_Vip</v>
      </c>
      <c r="D296" s="33">
        <v>1065</v>
      </c>
      <c r="E296" s="33">
        <f>B296&amp;D296</f>
      </c>
      <c r="F296" s="33" t="str">
        <v>Cắt Gội Combo 3 - Dưỡng sinh</v>
      </c>
      <c r="G296" s="32">
        <v>305000</v>
      </c>
    </row>
    <row r="297">
      <c r="A297" s="33"/>
      <c r="B297" s="33" t="str">
        <v>346 KT</v>
      </c>
      <c r="C297" s="33" t="str">
        <v>DV_Cắt_Vip</v>
      </c>
      <c r="D297" s="33">
        <v>1064</v>
      </c>
      <c r="E297" s="33">
        <f>B297&amp;D297</f>
      </c>
      <c r="F297" s="33" t="str">
        <v>Cắt Gội Combo 5 - Dưỡng sinh</v>
      </c>
      <c r="G297" s="32">
        <v>465000</v>
      </c>
    </row>
    <row r="298">
      <c r="A298" s="33"/>
      <c r="B298" s="33" t="str">
        <v>346 KT</v>
      </c>
      <c r="C298" s="33" t="str">
        <v>DV_Cắt_Vip</v>
      </c>
      <c r="D298" s="33">
        <v>1048</v>
      </c>
      <c r="E298" s="33">
        <f>B298&amp;D298</f>
      </c>
      <c r="F298" s="33" t="str">
        <v>Combo 4</v>
      </c>
      <c r="G298" s="32">
        <v>395000</v>
      </c>
    </row>
    <row r="299">
      <c r="A299" s="33"/>
      <c r="B299" s="33" t="str">
        <v>346 KT</v>
      </c>
      <c r="C299" s="33" t="str">
        <v>DV_Cắt_Vip</v>
      </c>
      <c r="D299" s="33">
        <v>1046</v>
      </c>
      <c r="E299" s="33">
        <f>B299&amp;D299</f>
      </c>
      <c r="F299" s="33" t="str">
        <v>Shinecombo 2</v>
      </c>
      <c r="G299" s="32">
        <v>205000</v>
      </c>
    </row>
    <row r="300">
      <c r="A300" s="33"/>
      <c r="B300" s="33" t="str">
        <v>36 N1 BD</v>
      </c>
      <c r="C300" s="33" t="str">
        <v>DV_Cắt</v>
      </c>
      <c r="D300" s="33">
        <v>513</v>
      </c>
      <c r="E300" s="33">
        <f>B300&amp;D300</f>
      </c>
      <c r="F300" s="33" t="str">
        <v>[DV] ShineCombo 10 bước Ultra Care 2023</v>
      </c>
      <c r="G300" s="32">
        <v>122000</v>
      </c>
    </row>
    <row r="301">
      <c r="A301" s="33"/>
      <c r="B301" s="33" t="str">
        <v>36 N1 BD</v>
      </c>
      <c r="C301" s="33" t="str">
        <v>DV_Cắt</v>
      </c>
      <c r="D301" s="33">
        <v>891</v>
      </c>
      <c r="E301" s="33">
        <f>B301&amp;D301</f>
      </c>
      <c r="F301" s="33" t="str">
        <v>Cắt xả tạo kiểu</v>
      </c>
      <c r="G301" s="32">
        <v>94000</v>
      </c>
    </row>
    <row r="302">
      <c r="A302" s="33"/>
      <c r="B302" s="33" t="str">
        <v>36 N1 BD</v>
      </c>
      <c r="C302" s="33" t="str">
        <v>DV_Cắt</v>
      </c>
      <c r="D302" s="33">
        <v>1070</v>
      </c>
      <c r="E302" s="33">
        <f>B302&amp;D302</f>
      </c>
      <c r="F302" s="33" t="str">
        <v>Combo Cắt gội Kid</v>
      </c>
      <c r="G302" s="32">
        <v>100000</v>
      </c>
    </row>
    <row r="303">
      <c r="A303" s="33"/>
      <c r="B303" s="33" t="str">
        <v>36 N1 BD</v>
      </c>
      <c r="C303" s="33" t="str">
        <v>DV_Cắt</v>
      </c>
      <c r="D303" s="33">
        <v>1002</v>
      </c>
      <c r="E303" s="33">
        <f>B303&amp;D303</f>
      </c>
      <c r="F303" s="33" t="str">
        <v>Kid Cắt</v>
      </c>
      <c r="G303" s="32">
        <v>75000</v>
      </c>
    </row>
    <row r="304">
      <c r="A304" s="33"/>
      <c r="B304" s="33" t="str">
        <v>36 N1 BD</v>
      </c>
      <c r="C304" s="33" t="str">
        <v>DV_Cắt_Vip</v>
      </c>
      <c r="D304" s="33">
        <v>1047</v>
      </c>
      <c r="E304" s="33">
        <f>B304&amp;D304</f>
      </c>
      <c r="F304" s="33" t="str">
        <v>Cắt Gội Combo 3 - Chăm da</v>
      </c>
      <c r="G304" s="32">
        <v>299000</v>
      </c>
    </row>
    <row r="305">
      <c r="A305" s="33"/>
      <c r="B305" s="33" t="str">
        <v>36 N1 BD</v>
      </c>
      <c r="C305" s="33" t="str">
        <v>DV_Cắt_Vip</v>
      </c>
      <c r="D305" s="33">
        <v>1065</v>
      </c>
      <c r="E305" s="33">
        <f>B305&amp;D305</f>
      </c>
      <c r="F305" s="33" t="str">
        <v>Cắt Gội Combo 3 - Dưỡng sinh</v>
      </c>
      <c r="G305" s="32">
        <v>299000</v>
      </c>
    </row>
    <row r="306">
      <c r="A306" s="33"/>
      <c r="B306" s="33" t="str">
        <v>36 N1 BD</v>
      </c>
      <c r="C306" s="33" t="str">
        <v>DV_Cắt_Vip</v>
      </c>
      <c r="D306" s="33">
        <v>1048</v>
      </c>
      <c r="E306" s="33">
        <f>B306&amp;D306</f>
      </c>
      <c r="F306" s="33" t="str">
        <v>Combo 4</v>
      </c>
      <c r="G306" s="32">
        <v>389000</v>
      </c>
    </row>
    <row r="307">
      <c r="A307" s="33"/>
      <c r="B307" s="33" t="str">
        <v>36 N1 BD</v>
      </c>
      <c r="C307" s="33" t="str">
        <v>DV_Cắt_Vip</v>
      </c>
      <c r="D307" s="33">
        <v>1150</v>
      </c>
      <c r="E307" s="33">
        <f>B307&amp;D307</f>
      </c>
      <c r="F307" s="33" t="str">
        <v>Combo cắt gội đỉnh cao thư giãn vip</v>
      </c>
      <c r="G307" s="32">
        <v>500000</v>
      </c>
    </row>
    <row r="308">
      <c r="A308" s="33"/>
      <c r="B308" s="33" t="str">
        <v>36 N1 BD</v>
      </c>
      <c r="C308" s="33" t="str">
        <v>DV_Cắt_Vip</v>
      </c>
      <c r="D308" s="33">
        <v>1046</v>
      </c>
      <c r="E308" s="33">
        <f>B308&amp;D308</f>
      </c>
      <c r="F308" s="33" t="str">
        <v>Shinecombo 2</v>
      </c>
      <c r="G308" s="32">
        <v>199000</v>
      </c>
    </row>
    <row r="309">
      <c r="A309" s="33"/>
      <c r="B309" s="33" t="str">
        <v>362 NGT BN</v>
      </c>
      <c r="C309" s="33" t="str">
        <v>DV_Cắt</v>
      </c>
      <c r="D309" s="33">
        <v>513</v>
      </c>
      <c r="E309" s="33">
        <f>B309&amp;D309</f>
      </c>
      <c r="F309" s="33" t="str">
        <v>[DV] ShineCombo 10 bước Ultra Care 2023</v>
      </c>
      <c r="G309" s="32">
        <v>122000</v>
      </c>
    </row>
    <row r="310">
      <c r="A310" s="33"/>
      <c r="B310" s="33" t="str">
        <v>362 NGT BN</v>
      </c>
      <c r="C310" s="33" t="str">
        <v>DV_Cắt</v>
      </c>
      <c r="D310" s="33">
        <v>891</v>
      </c>
      <c r="E310" s="33">
        <f>B310&amp;D310</f>
      </c>
      <c r="F310" s="33" t="str">
        <v>Cắt xả tạo kiểu</v>
      </c>
      <c r="G310" s="32">
        <v>94000</v>
      </c>
    </row>
    <row r="311">
      <c r="A311" s="33"/>
      <c r="B311" s="33" t="str">
        <v>362 NGT BN</v>
      </c>
      <c r="C311" s="33" t="str">
        <v>DV_Cắt</v>
      </c>
      <c r="D311" s="33">
        <v>1070</v>
      </c>
      <c r="E311" s="33">
        <f>B311&amp;D311</f>
      </c>
      <c r="F311" s="33" t="str">
        <v>Combo Cắt gội Kid</v>
      </c>
      <c r="G311" s="32">
        <v>100000</v>
      </c>
    </row>
    <row r="312">
      <c r="A312" s="33"/>
      <c r="B312" s="33" t="str">
        <v>362 NGT BN</v>
      </c>
      <c r="C312" s="33" t="str">
        <v>DV_Cắt</v>
      </c>
      <c r="D312" s="33">
        <v>1002</v>
      </c>
      <c r="E312" s="33">
        <f>B312&amp;D312</f>
      </c>
      <c r="F312" s="33" t="str">
        <v>Kid Cắt</v>
      </c>
      <c r="G312" s="32">
        <v>75000</v>
      </c>
    </row>
    <row r="313">
      <c r="A313" s="33"/>
      <c r="B313" s="33" t="str">
        <v>362 NGT BN</v>
      </c>
      <c r="C313" s="33" t="str">
        <v>DV_Cắt_Vip</v>
      </c>
      <c r="D313" s="33">
        <v>1047</v>
      </c>
      <c r="E313" s="33">
        <f>B313&amp;D313</f>
      </c>
      <c r="F313" s="33" t="str">
        <v>Cắt Gội Combo 3 - Chăm da</v>
      </c>
      <c r="G313" s="32">
        <v>299000</v>
      </c>
    </row>
    <row r="314">
      <c r="A314" s="33"/>
      <c r="B314" s="33" t="str">
        <v>362 NGT BN</v>
      </c>
      <c r="C314" s="33" t="str">
        <v>DV_Cắt_Vip</v>
      </c>
      <c r="D314" s="33">
        <v>1054</v>
      </c>
      <c r="E314" s="33">
        <f>B314&amp;D314</f>
      </c>
      <c r="F314" s="33" t="str">
        <v>Combo 3 - First Class 3</v>
      </c>
      <c r="G314" s="32">
        <v>299000</v>
      </c>
    </row>
    <row r="315">
      <c r="A315" s="33"/>
      <c r="B315" s="33" t="str">
        <v>362 NGT BN</v>
      </c>
      <c r="C315" s="33" t="str">
        <v>DV_Cắt_Vip</v>
      </c>
      <c r="D315" s="33">
        <v>1048</v>
      </c>
      <c r="E315" s="33">
        <f>B315&amp;D315</f>
      </c>
      <c r="F315" s="33" t="str">
        <v>Combo 4</v>
      </c>
      <c r="G315" s="32">
        <v>389000</v>
      </c>
    </row>
    <row r="316">
      <c r="A316" s="33"/>
      <c r="B316" s="33" t="str">
        <v>362 NGT BN</v>
      </c>
      <c r="C316" s="33" t="str">
        <v>DV_Cắt_Vip</v>
      </c>
      <c r="D316" s="33">
        <v>1046</v>
      </c>
      <c r="E316" s="33">
        <f>B316&amp;D316</f>
      </c>
      <c r="F316" s="33" t="str">
        <v>Shinecombo 2</v>
      </c>
      <c r="G316" s="32">
        <v>199000</v>
      </c>
    </row>
    <row r="317">
      <c r="A317" s="33"/>
      <c r="B317" s="33" t="str">
        <v>363 LNQ TN</v>
      </c>
      <c r="C317" s="33" t="str">
        <v>DV_Cắt</v>
      </c>
      <c r="D317" s="33">
        <v>513</v>
      </c>
      <c r="E317" s="33">
        <f>B317&amp;D317</f>
      </c>
      <c r="F317" s="33" t="str">
        <v>[DV] ShineCombo 10 bước Ultra Care 2023</v>
      </c>
      <c r="G317" s="32">
        <v>122000</v>
      </c>
    </row>
    <row r="318">
      <c r="A318" s="33"/>
      <c r="B318" s="33" t="str">
        <v>363 LNQ TN</v>
      </c>
      <c r="C318" s="33" t="str">
        <v>DV_Cắt</v>
      </c>
      <c r="D318" s="33">
        <v>891</v>
      </c>
      <c r="E318" s="33">
        <f>B318&amp;D318</f>
      </c>
      <c r="F318" s="33" t="str">
        <v>Cắt xả tạo kiểu</v>
      </c>
      <c r="G318" s="32">
        <v>103000</v>
      </c>
    </row>
    <row r="319">
      <c r="A319" s="33"/>
      <c r="B319" s="33" t="str">
        <v>363 LNQ TN</v>
      </c>
      <c r="C319" s="33" t="str">
        <v>DV_Cắt</v>
      </c>
      <c r="D319" s="33">
        <v>1052</v>
      </c>
      <c r="E319" s="33">
        <f>B319&amp;D319</f>
      </c>
      <c r="F319" s="33" t="str">
        <v>Combo 1 - First Class 1</v>
      </c>
      <c r="G319" s="32">
        <v>159000</v>
      </c>
    </row>
    <row r="320">
      <c r="A320" s="33"/>
      <c r="B320" s="33" t="str">
        <v>363 LNQ TN</v>
      </c>
      <c r="C320" s="33" t="str">
        <v>DV_Cắt</v>
      </c>
      <c r="D320" s="33">
        <v>1002</v>
      </c>
      <c r="E320" s="33">
        <f>B320&amp;D320</f>
      </c>
      <c r="F320" s="33" t="str">
        <v>Kid Cắt</v>
      </c>
      <c r="G320" s="32">
        <v>84000</v>
      </c>
    </row>
    <row r="321">
      <c r="A321" s="33"/>
      <c r="B321" s="33" t="str">
        <v>363 LNQ TN</v>
      </c>
      <c r="C321" s="33" t="str">
        <v>DV_Cắt</v>
      </c>
      <c r="D321" s="33">
        <v>1214</v>
      </c>
      <c r="E321" s="33">
        <f>B321&amp;D321</f>
      </c>
      <c r="F321" s="33" t="str">
        <v>Shine cut Genz</v>
      </c>
      <c r="G321" s="32">
        <v>68000</v>
      </c>
    </row>
    <row r="322">
      <c r="A322" s="33"/>
      <c r="B322" s="33" t="str">
        <v>363 LNQ TN</v>
      </c>
      <c r="C322" s="33" t="str">
        <v>DV_Cắt_Vip</v>
      </c>
      <c r="D322" s="33">
        <v>1047</v>
      </c>
      <c r="E322" s="33">
        <f>B322&amp;D322</f>
      </c>
      <c r="F322" s="33" t="str">
        <v>Cắt Gội Combo 3 - Chăm da</v>
      </c>
      <c r="G322" s="32">
        <v>308000</v>
      </c>
    </row>
    <row r="323">
      <c r="A323" s="33"/>
      <c r="B323" s="33" t="str">
        <v>363 LNQ TN</v>
      </c>
      <c r="C323" s="33" t="str">
        <v>DV_Cắt_Vip</v>
      </c>
      <c r="D323" s="33">
        <v>1048</v>
      </c>
      <c r="E323" s="33">
        <f>B323&amp;D323</f>
      </c>
      <c r="F323" s="33" t="str">
        <v>Combo 4</v>
      </c>
      <c r="G323" s="32">
        <v>398000</v>
      </c>
    </row>
    <row r="324">
      <c r="A324" s="33"/>
      <c r="B324" s="33" t="str">
        <v>363 LNQ TN</v>
      </c>
      <c r="C324" s="33" t="str">
        <v>DV_Cắt_Vip</v>
      </c>
      <c r="D324" s="33">
        <v>1046</v>
      </c>
      <c r="E324" s="33">
        <f>B324&amp;D324</f>
      </c>
      <c r="F324" s="33" t="str">
        <v>Shinecombo 2</v>
      </c>
      <c r="G324" s="32">
        <v>208000</v>
      </c>
    </row>
    <row r="325">
      <c r="A325" s="33"/>
      <c r="B325" s="33" t="str">
        <v>382 NT</v>
      </c>
      <c r="C325" s="33" t="str">
        <v>DV_Cắt</v>
      </c>
      <c r="D325" s="33">
        <v>513</v>
      </c>
      <c r="E325" s="33">
        <f>B325&amp;D325</f>
      </c>
      <c r="F325" s="33" t="str">
        <v>[DV] ShineCombo 10 bước Ultra Care 2023</v>
      </c>
      <c r="G325" s="32">
        <v>122000</v>
      </c>
    </row>
    <row r="326">
      <c r="A326" s="33"/>
      <c r="B326" s="33" t="str">
        <v>382 NT</v>
      </c>
      <c r="C326" s="33" t="str">
        <v>DV_Cắt</v>
      </c>
      <c r="D326" s="33">
        <v>1070</v>
      </c>
      <c r="E326" s="33">
        <f>B326&amp;D326</f>
      </c>
      <c r="F326" s="33" t="str">
        <v>Combo Cắt gội Kid</v>
      </c>
      <c r="G326" s="32">
        <v>100000</v>
      </c>
    </row>
    <row r="327">
      <c r="A327" s="33"/>
      <c r="B327" s="33" t="str">
        <v>382 NT</v>
      </c>
      <c r="C327" s="33" t="str">
        <v>DV_Cắt</v>
      </c>
      <c r="D327" s="33">
        <v>891</v>
      </c>
      <c r="E327" s="33">
        <f>B327&amp;D327</f>
      </c>
      <c r="F327" s="33" t="str">
        <v>Cắt xả tạo kiểu</v>
      </c>
      <c r="G327" s="32">
        <v>101999.99999999999</v>
      </c>
    </row>
    <row r="328">
      <c r="A328" s="33"/>
      <c r="B328" s="33" t="str">
        <v>382 NT</v>
      </c>
      <c r="C328" s="33" t="str">
        <v>DV_Cắt</v>
      </c>
      <c r="D328" s="33">
        <v>1052</v>
      </c>
      <c r="E328" s="33">
        <f>B328&amp;D328</f>
      </c>
      <c r="F328" s="33" t="str">
        <v>Combo 1 - First Class 1</v>
      </c>
      <c r="G328" s="32">
        <v>139000</v>
      </c>
    </row>
    <row r="329">
      <c r="A329" s="33"/>
      <c r="B329" s="33" t="str">
        <v>382 NT</v>
      </c>
      <c r="C329" s="33" t="str">
        <v>DV_Cắt</v>
      </c>
      <c r="D329" s="33">
        <v>1002</v>
      </c>
      <c r="E329" s="33">
        <f>B329&amp;D329</f>
      </c>
      <c r="F329" s="33" t="str">
        <v>Kid Cắt</v>
      </c>
      <c r="G329" s="32">
        <v>82999.99999999999</v>
      </c>
    </row>
    <row r="330">
      <c r="A330" s="33"/>
      <c r="B330" s="33" t="str">
        <v>382 NT</v>
      </c>
      <c r="C330" s="33" t="str">
        <v>DV_Cắt_Vip</v>
      </c>
      <c r="D330" s="33">
        <v>1047</v>
      </c>
      <c r="E330" s="33">
        <f>B330&amp;D330</f>
      </c>
      <c r="F330" s="33" t="str">
        <v>Cắt Gội Combo 3 - Chăm da</v>
      </c>
      <c r="G330" s="32">
        <v>307000</v>
      </c>
    </row>
    <row r="331">
      <c r="A331" s="33"/>
      <c r="B331" s="33" t="str">
        <v>382 NT</v>
      </c>
      <c r="C331" s="33" t="str">
        <v>DV_Cắt_Vip</v>
      </c>
      <c r="D331" s="33">
        <v>1064</v>
      </c>
      <c r="E331" s="33">
        <f>B331&amp;D331</f>
      </c>
      <c r="F331" s="33" t="str">
        <v>Cắt Gội Combo 5 - Dưỡng sinh</v>
      </c>
      <c r="G331" s="32">
        <v>467000</v>
      </c>
    </row>
    <row r="332">
      <c r="A332" s="33"/>
      <c r="B332" s="33" t="str">
        <v>382 NT</v>
      </c>
      <c r="C332" s="33" t="str">
        <v>DV_Cắt_Vip</v>
      </c>
      <c r="D332" s="33">
        <v>1053</v>
      </c>
      <c r="E332" s="33">
        <f>B332&amp;D332</f>
      </c>
      <c r="F332" s="33" t="str">
        <v>Combo 2 - First Class 2</v>
      </c>
      <c r="G332" s="32">
        <v>237000</v>
      </c>
    </row>
    <row r="333">
      <c r="A333" s="33"/>
      <c r="B333" s="33" t="str">
        <v>382 NT</v>
      </c>
      <c r="C333" s="33" t="str">
        <v>DV_Cắt_Vip</v>
      </c>
      <c r="D333" s="33">
        <v>1054</v>
      </c>
      <c r="E333" s="33">
        <f>B333&amp;D333</f>
      </c>
      <c r="F333" s="33" t="str">
        <v>Combo 3 - First Class 3</v>
      </c>
      <c r="G333" s="32">
        <v>317000</v>
      </c>
    </row>
    <row r="334">
      <c r="A334" s="33"/>
      <c r="B334" s="33" t="str">
        <v>382 NT</v>
      </c>
      <c r="C334" s="33" t="str">
        <v>DV_Cắt_Vip</v>
      </c>
      <c r="D334" s="33">
        <v>1048</v>
      </c>
      <c r="E334" s="33">
        <f>B334&amp;D334</f>
      </c>
      <c r="F334" s="33" t="str">
        <v>Combo 4</v>
      </c>
      <c r="G334" s="32">
        <v>397000</v>
      </c>
    </row>
    <row r="335">
      <c r="A335" s="33"/>
      <c r="B335" s="33" t="str">
        <v>382 NT</v>
      </c>
      <c r="C335" s="33" t="str">
        <v>DV_Cắt_Vip</v>
      </c>
      <c r="D335" s="33">
        <v>1046</v>
      </c>
      <c r="E335" s="33">
        <f>B335&amp;D335</f>
      </c>
      <c r="F335" s="33" t="str">
        <v>Shinecombo 2</v>
      </c>
      <c r="G335" s="32">
        <v>207000</v>
      </c>
    </row>
    <row r="336">
      <c r="A336" s="33"/>
      <c r="B336" s="33" t="str">
        <v>39 HBT</v>
      </c>
      <c r="C336" s="33" t="str">
        <v>DV_Cắt</v>
      </c>
      <c r="D336" s="33">
        <v>513</v>
      </c>
      <c r="E336" s="33">
        <f>B336&amp;D336</f>
      </c>
      <c r="F336" s="33" t="str">
        <v>[DV] ShineCombo 10 bước Ultra Care 2023</v>
      </c>
      <c r="G336" s="32">
        <v>122000</v>
      </c>
    </row>
    <row r="337">
      <c r="A337" s="33"/>
      <c r="B337" s="33" t="str">
        <v>39 HBT</v>
      </c>
      <c r="C337" s="33" t="str">
        <v>DV_Cắt</v>
      </c>
      <c r="D337" s="33">
        <v>1070</v>
      </c>
      <c r="E337" s="33">
        <f>B337&amp;D337</f>
      </c>
      <c r="F337" s="33" t="str">
        <v>Combo Cắt gội Kid</v>
      </c>
      <c r="G337" s="32">
        <v>100000</v>
      </c>
    </row>
    <row r="338">
      <c r="A338" s="33"/>
      <c r="B338" s="33" t="str">
        <v>39 HBT</v>
      </c>
      <c r="C338" s="33" t="str">
        <v>DV_Cắt</v>
      </c>
      <c r="D338" s="33">
        <v>891</v>
      </c>
      <c r="E338" s="33">
        <f>B338&amp;D338</f>
      </c>
      <c r="F338" s="33" t="str">
        <v>Cắt xả tạo kiểu</v>
      </c>
      <c r="G338" s="32">
        <v>100000</v>
      </c>
    </row>
    <row r="339">
      <c r="A339" s="33"/>
      <c r="B339" s="33" t="str">
        <v>39 HBT</v>
      </c>
      <c r="C339" s="33" t="str">
        <v>DV_Cắt</v>
      </c>
      <c r="D339" s="33">
        <v>1002</v>
      </c>
      <c r="E339" s="33">
        <f>B339&amp;D339</f>
      </c>
      <c r="F339" s="33" t="str">
        <v>Kid Cắt</v>
      </c>
      <c r="G339" s="32">
        <v>81000</v>
      </c>
    </row>
    <row r="340">
      <c r="A340" s="33"/>
      <c r="B340" s="33" t="str">
        <v>39 HBT</v>
      </c>
      <c r="C340" s="33" t="str">
        <v>DV_Cắt_Vip</v>
      </c>
      <c r="D340" s="33">
        <v>1047</v>
      </c>
      <c r="E340" s="33">
        <f>B340&amp;D340</f>
      </c>
      <c r="F340" s="33" t="str">
        <v>Cắt Gội Combo 3 - Chăm da</v>
      </c>
      <c r="G340" s="32">
        <v>305000</v>
      </c>
    </row>
    <row r="341">
      <c r="A341" s="33"/>
      <c r="B341" s="33" t="str">
        <v>39 HBT</v>
      </c>
      <c r="C341" s="33" t="str">
        <v>DV_Cắt_Vip</v>
      </c>
      <c r="D341" s="33">
        <v>1053</v>
      </c>
      <c r="E341" s="33">
        <f>B341&amp;D341</f>
      </c>
      <c r="F341" s="33" t="str">
        <v>Combo 2 - First Class 2</v>
      </c>
      <c r="G341" s="32">
        <v>235000</v>
      </c>
    </row>
    <row r="342">
      <c r="A342" s="33"/>
      <c r="B342" s="33" t="str">
        <v>39 HBT</v>
      </c>
      <c r="C342" s="33" t="str">
        <v>DV_Cắt_Vip</v>
      </c>
      <c r="D342" s="33">
        <v>1048</v>
      </c>
      <c r="E342" s="33">
        <f>B342&amp;D342</f>
      </c>
      <c r="F342" s="33" t="str">
        <v>Combo 4</v>
      </c>
      <c r="G342" s="32">
        <v>395000</v>
      </c>
    </row>
    <row r="343">
      <c r="A343" s="33"/>
      <c r="B343" s="33" t="str">
        <v>39 HBT</v>
      </c>
      <c r="C343" s="33" t="str">
        <v>DV_Cắt_Vip</v>
      </c>
      <c r="D343" s="33">
        <v>1046</v>
      </c>
      <c r="E343" s="33">
        <f>B343&amp;D343</f>
      </c>
      <c r="F343" s="33" t="str">
        <v>Shinecombo 2</v>
      </c>
      <c r="G343" s="32">
        <v>205000</v>
      </c>
    </row>
    <row r="344">
      <c r="A344" s="33"/>
      <c r="B344" s="33" t="str">
        <v>4 LQD BN</v>
      </c>
      <c r="C344" s="33" t="str">
        <v>DV_Cắt</v>
      </c>
      <c r="D344" s="33">
        <v>513</v>
      </c>
      <c r="E344" s="33">
        <f>B344&amp;D344</f>
      </c>
      <c r="F344" s="33" t="str">
        <v>[DV] ShineCombo 10 bước Ultra Care 2023</v>
      </c>
      <c r="G344" s="32">
        <v>122000</v>
      </c>
    </row>
    <row r="345">
      <c r="A345" s="33"/>
      <c r="B345" s="33" t="str">
        <v>4 LQD BN</v>
      </c>
      <c r="C345" s="33" t="str">
        <v>DV_Cắt</v>
      </c>
      <c r="D345" s="33">
        <v>891</v>
      </c>
      <c r="E345" s="33">
        <f>B345&amp;D345</f>
      </c>
      <c r="F345" s="33" t="str">
        <v>Cắt xả tạo kiểu</v>
      </c>
      <c r="G345" s="32">
        <v>94000</v>
      </c>
    </row>
    <row r="346">
      <c r="A346" s="33"/>
      <c r="B346" s="33" t="str">
        <v>4 LQD BN</v>
      </c>
      <c r="C346" s="33" t="str">
        <v>DV_Cắt</v>
      </c>
      <c r="D346" s="33">
        <v>1070</v>
      </c>
      <c r="E346" s="33">
        <f>B346&amp;D346</f>
      </c>
      <c r="F346" s="33" t="str">
        <v>Combo Cắt gội Kid</v>
      </c>
      <c r="G346" s="32">
        <v>100000</v>
      </c>
    </row>
    <row r="347">
      <c r="A347" s="33"/>
      <c r="B347" s="33" t="str">
        <v>4 LQD BN</v>
      </c>
      <c r="C347" s="33" t="str">
        <v>DV_Cắt</v>
      </c>
      <c r="D347" s="33">
        <v>1002</v>
      </c>
      <c r="E347" s="33">
        <f>B347&amp;D347</f>
      </c>
      <c r="F347" s="33" t="str">
        <v>Kid Cắt</v>
      </c>
      <c r="G347" s="32">
        <v>75000</v>
      </c>
    </row>
    <row r="348">
      <c r="A348" s="33"/>
      <c r="B348" s="33" t="str">
        <v>4 LQD BN</v>
      </c>
      <c r="C348" s="33" t="str">
        <v>DV_Cắt_Vip</v>
      </c>
      <c r="D348" s="33">
        <v>1047</v>
      </c>
      <c r="E348" s="33">
        <f>B348&amp;D348</f>
      </c>
      <c r="F348" s="33" t="str">
        <v>Cắt Gội Combo 3 - Chăm da</v>
      </c>
      <c r="G348" s="32">
        <v>299000</v>
      </c>
    </row>
    <row r="349">
      <c r="A349" s="33"/>
      <c r="B349" s="33" t="str">
        <v>4 LQD BN</v>
      </c>
      <c r="C349" s="33" t="str">
        <v>DV_Cắt_Vip</v>
      </c>
      <c r="D349" s="33">
        <v>1048</v>
      </c>
      <c r="E349" s="33">
        <f>B349&amp;D349</f>
      </c>
      <c r="F349" s="33" t="str">
        <v>Combo 4</v>
      </c>
      <c r="G349" s="32">
        <v>389000</v>
      </c>
    </row>
    <row r="350">
      <c r="A350" s="33"/>
      <c r="B350" s="33" t="str">
        <v>4 LQD BN</v>
      </c>
      <c r="C350" s="33" t="str">
        <v>DV_Cắt_Vip</v>
      </c>
      <c r="D350" s="33">
        <v>1046</v>
      </c>
      <c r="E350" s="33">
        <f>B350&amp;D350</f>
      </c>
      <c r="F350" s="33" t="str">
        <v>Shinecombo 2</v>
      </c>
      <c r="G350" s="32">
        <v>199000</v>
      </c>
    </row>
    <row r="351">
      <c r="A351" s="33"/>
      <c r="B351" s="33" t="str">
        <v>401/1 NDT</v>
      </c>
      <c r="C351" s="33" t="str">
        <v>DV_Cắt</v>
      </c>
      <c r="D351" s="33">
        <v>513</v>
      </c>
      <c r="E351" s="33">
        <f>B351&amp;D351</f>
      </c>
      <c r="F351" s="33" t="str">
        <v>[DV] ShineCombo 10 bước Ultra Care 2023</v>
      </c>
      <c r="G351" s="32">
        <v>122000</v>
      </c>
    </row>
    <row r="352">
      <c r="A352" s="33"/>
      <c r="B352" s="33" t="str">
        <v>401/1 NDT</v>
      </c>
      <c r="C352" s="33" t="str">
        <v>DV_Cắt</v>
      </c>
      <c r="D352" s="33">
        <v>891</v>
      </c>
      <c r="E352" s="33">
        <f>B352&amp;D352</f>
      </c>
      <c r="F352" s="33" t="str">
        <v>Cắt xả tạo kiểu</v>
      </c>
      <c r="G352" s="32">
        <v>94000</v>
      </c>
    </row>
    <row r="353">
      <c r="A353" s="33"/>
      <c r="B353" s="33" t="str">
        <v>401/1 NDT</v>
      </c>
      <c r="C353" s="33" t="str">
        <v>DV_Cắt</v>
      </c>
      <c r="D353" s="33">
        <v>1052</v>
      </c>
      <c r="E353" s="33">
        <f>B353&amp;D353</f>
      </c>
      <c r="F353" s="33" t="str">
        <v>Combo 1 - First Class 1</v>
      </c>
      <c r="G353" s="32">
        <v>159000</v>
      </c>
    </row>
    <row r="354">
      <c r="A354" s="33"/>
      <c r="B354" s="33" t="str">
        <v>401/1 NDT</v>
      </c>
      <c r="C354" s="33" t="str">
        <v>DV_Cắt</v>
      </c>
      <c r="D354" s="33">
        <v>1070</v>
      </c>
      <c r="E354" s="33">
        <f>B354&amp;D354</f>
      </c>
      <c r="F354" s="33" t="str">
        <v>Combo Cắt gội Kid</v>
      </c>
      <c r="G354" s="32">
        <v>100000</v>
      </c>
    </row>
    <row r="355">
      <c r="A355" s="33"/>
      <c r="B355" s="33" t="str">
        <v>401/1 NDT</v>
      </c>
      <c r="C355" s="33" t="str">
        <v>DV_Cắt</v>
      </c>
      <c r="D355" s="33">
        <v>1002</v>
      </c>
      <c r="E355" s="33">
        <f>B355&amp;D355</f>
      </c>
      <c r="F355" s="33" t="str">
        <v>Kid Cắt</v>
      </c>
      <c r="G355" s="32">
        <v>75000</v>
      </c>
    </row>
    <row r="356">
      <c r="A356" s="33"/>
      <c r="B356" s="33" t="str">
        <v>401/1 NDT</v>
      </c>
      <c r="C356" s="33" t="str">
        <v>DV_Cắt_Vip</v>
      </c>
      <c r="D356" s="33">
        <v>1047</v>
      </c>
      <c r="E356" s="33">
        <f>B356&amp;D356</f>
      </c>
      <c r="F356" s="33" t="str">
        <v>Cắt Gội Combo 3 - Chăm da</v>
      </c>
      <c r="G356" s="32">
        <v>299000</v>
      </c>
    </row>
    <row r="357">
      <c r="A357" s="33"/>
      <c r="B357" s="33" t="str">
        <v>401/1 NDT</v>
      </c>
      <c r="C357" s="33" t="str">
        <v>DV_Cắt_Vip</v>
      </c>
      <c r="D357" s="33">
        <v>1065</v>
      </c>
      <c r="E357" s="33">
        <f>B357&amp;D357</f>
      </c>
      <c r="F357" s="33" t="str">
        <v>Cắt Gội Combo 3 - Dưỡng sinh</v>
      </c>
      <c r="G357" s="32">
        <v>299000</v>
      </c>
    </row>
    <row r="358">
      <c r="A358" s="33"/>
      <c r="B358" s="33" t="str">
        <v>401/1 NDT</v>
      </c>
      <c r="C358" s="33" t="str">
        <v>DV_Cắt_Vip</v>
      </c>
      <c r="D358" s="33">
        <v>1064</v>
      </c>
      <c r="E358" s="33">
        <f>B358&amp;D358</f>
      </c>
      <c r="F358" s="33" t="str">
        <v>Cắt Gội Combo 5 - Dưỡng sinh</v>
      </c>
      <c r="G358" s="32">
        <v>459000</v>
      </c>
    </row>
    <row r="359">
      <c r="A359" s="33"/>
      <c r="B359" s="33" t="str">
        <v>401/1 NDT</v>
      </c>
      <c r="C359" s="33" t="str">
        <v>DV_Cắt_Vip</v>
      </c>
      <c r="D359" s="33">
        <v>1048</v>
      </c>
      <c r="E359" s="33">
        <f>B359&amp;D359</f>
      </c>
      <c r="F359" s="33" t="str">
        <v>Combo 4</v>
      </c>
      <c r="G359" s="32">
        <v>389000</v>
      </c>
    </row>
    <row r="360">
      <c r="A360" s="33"/>
      <c r="B360" s="33" t="str">
        <v>401/1 NDT</v>
      </c>
      <c r="C360" s="33" t="str">
        <v>DV_Cắt_Vip</v>
      </c>
      <c r="D360" s="33">
        <v>1046</v>
      </c>
      <c r="E360" s="33">
        <f>B360&amp;D360</f>
      </c>
      <c r="F360" s="33" t="str">
        <v>Shinecombo 2</v>
      </c>
      <c r="G360" s="32">
        <v>199000</v>
      </c>
    </row>
    <row r="361">
      <c r="A361" s="33"/>
      <c r="B361" s="33" t="str">
        <v>420 HTP</v>
      </c>
      <c r="C361" s="33" t="str">
        <v>DV_Cắt</v>
      </c>
      <c r="D361" s="33">
        <v>513</v>
      </c>
      <c r="E361" s="33">
        <f>B361&amp;D361</f>
      </c>
      <c r="F361" s="33" t="str">
        <v>[DV] ShineCombo 10 bước Ultra Care 2023</v>
      </c>
      <c r="G361" s="32">
        <v>122000</v>
      </c>
    </row>
    <row r="362">
      <c r="A362" s="33"/>
      <c r="B362" s="33" t="str">
        <v>420 HTP</v>
      </c>
      <c r="C362" s="33" t="str">
        <v>DV_Cắt</v>
      </c>
      <c r="D362" s="33">
        <v>891</v>
      </c>
      <c r="E362" s="33">
        <f>B362&amp;D362</f>
      </c>
      <c r="F362" s="33" t="str">
        <v>Cắt xả tạo kiểu</v>
      </c>
      <c r="G362" s="32">
        <v>94000</v>
      </c>
    </row>
    <row r="363">
      <c r="A363" s="33"/>
      <c r="B363" s="33" t="str">
        <v>420 HTP</v>
      </c>
      <c r="C363" s="33" t="str">
        <v>DV_Cắt</v>
      </c>
      <c r="D363" s="33">
        <v>1052</v>
      </c>
      <c r="E363" s="33">
        <f>B363&amp;D363</f>
      </c>
      <c r="F363" s="33" t="str">
        <v>Combo 1 - First Class 1</v>
      </c>
      <c r="G363" s="32">
        <v>159000</v>
      </c>
    </row>
    <row r="364">
      <c r="A364" s="33"/>
      <c r="B364" s="33" t="str">
        <v>420 HTP</v>
      </c>
      <c r="C364" s="33" t="str">
        <v>DV_Cắt</v>
      </c>
      <c r="D364" s="33">
        <v>1070</v>
      </c>
      <c r="E364" s="33">
        <f>B364&amp;D364</f>
      </c>
      <c r="F364" s="33" t="str">
        <v>Combo Cắt gội Kid</v>
      </c>
      <c r="G364" s="32">
        <v>100000</v>
      </c>
    </row>
    <row r="365">
      <c r="A365" s="33"/>
      <c r="B365" s="33" t="str">
        <v>420 HTP</v>
      </c>
      <c r="C365" s="33" t="str">
        <v>DV_Cắt</v>
      </c>
      <c r="D365" s="33">
        <v>1002</v>
      </c>
      <c r="E365" s="33">
        <f>B365&amp;D365</f>
      </c>
      <c r="F365" s="33" t="str">
        <v>Kid Cắt</v>
      </c>
      <c r="G365" s="32">
        <v>75000</v>
      </c>
    </row>
    <row r="366">
      <c r="A366" s="33"/>
      <c r="B366" s="33" t="str">
        <v>420 HTP</v>
      </c>
      <c r="C366" s="33" t="str">
        <v>DV_Cắt_Vip</v>
      </c>
      <c r="D366" s="33">
        <v>1047</v>
      </c>
      <c r="E366" s="33">
        <f>B366&amp;D366</f>
      </c>
      <c r="F366" s="33" t="str">
        <v>Cắt Gội Combo 3 - Chăm da</v>
      </c>
      <c r="G366" s="32">
        <v>299000</v>
      </c>
    </row>
    <row r="367">
      <c r="A367" s="33"/>
      <c r="B367" s="33" t="str">
        <v>420 HTP</v>
      </c>
      <c r="C367" s="33" t="str">
        <v>DV_Cắt_Vip</v>
      </c>
      <c r="D367" s="33">
        <v>1048</v>
      </c>
      <c r="E367" s="33">
        <f>B367&amp;D367</f>
      </c>
      <c r="F367" s="33" t="str">
        <v>Combo 4</v>
      </c>
      <c r="G367" s="32">
        <v>389000</v>
      </c>
    </row>
    <row r="368">
      <c r="A368" s="33"/>
      <c r="B368" s="33" t="str">
        <v>420 HTP</v>
      </c>
      <c r="C368" s="33" t="str">
        <v>DV_Cắt_Vip</v>
      </c>
      <c r="D368" s="33">
        <v>1055</v>
      </c>
      <c r="E368" s="33">
        <f>B368&amp;D368</f>
      </c>
      <c r="F368" s="33" t="str">
        <v>Combo 4- First Class 4</v>
      </c>
      <c r="G368" s="32">
        <v>399000</v>
      </c>
    </row>
    <row r="369">
      <c r="A369" s="33"/>
      <c r="B369" s="33" t="str">
        <v>420 HTP</v>
      </c>
      <c r="C369" s="33" t="str">
        <v>DV_Cắt_Vip</v>
      </c>
      <c r="D369" s="33">
        <v>1046</v>
      </c>
      <c r="E369" s="33">
        <f>B369&amp;D369</f>
      </c>
      <c r="F369" s="33" t="str">
        <v>Shinecombo 2</v>
      </c>
      <c r="G369" s="32">
        <v>199000</v>
      </c>
    </row>
    <row r="370">
      <c r="A370" s="33"/>
      <c r="B370" s="33" t="str">
        <v>451 PVT</v>
      </c>
      <c r="C370" s="33" t="str">
        <v>DV_Cắt</v>
      </c>
      <c r="D370" s="33">
        <v>513</v>
      </c>
      <c r="E370" s="33">
        <f>B370&amp;D370</f>
      </c>
      <c r="F370" s="33" t="str">
        <v>[DV] ShineCombo 10 bước Ultra Care 2023</v>
      </c>
      <c r="G370" s="32">
        <v>122000</v>
      </c>
    </row>
    <row r="371">
      <c r="A371" s="33"/>
      <c r="B371" s="33" t="str">
        <v>451 PVT</v>
      </c>
      <c r="C371" s="33" t="str">
        <v>DV_Cắt</v>
      </c>
      <c r="D371" s="33">
        <v>1070</v>
      </c>
      <c r="E371" s="33">
        <f>B371&amp;D371</f>
      </c>
      <c r="F371" s="33" t="str">
        <v>Combo Cắt gội Kid</v>
      </c>
      <c r="G371" s="32">
        <v>100000</v>
      </c>
    </row>
    <row r="372">
      <c r="A372" s="33"/>
      <c r="B372" s="33" t="str">
        <v>451 PVT</v>
      </c>
      <c r="C372" s="33" t="str">
        <v>DV_Cắt</v>
      </c>
      <c r="D372" s="33">
        <v>891</v>
      </c>
      <c r="E372" s="33">
        <f>B372&amp;D372</f>
      </c>
      <c r="F372" s="33" t="str">
        <v>Cắt xả tạo kiểu</v>
      </c>
      <c r="G372" s="32">
        <v>94000</v>
      </c>
    </row>
    <row r="373">
      <c r="A373" s="33"/>
      <c r="B373" s="33" t="str">
        <v>451 PVT</v>
      </c>
      <c r="C373" s="33" t="str">
        <v>DV_Cắt</v>
      </c>
      <c r="D373" s="33">
        <v>1002</v>
      </c>
      <c r="E373" s="33">
        <f>B373&amp;D373</f>
      </c>
      <c r="F373" s="33" t="str">
        <v>Kid Cắt</v>
      </c>
      <c r="G373" s="32">
        <v>75000</v>
      </c>
    </row>
    <row r="374">
      <c r="A374" s="33"/>
      <c r="B374" s="33" t="str">
        <v>451 PVT</v>
      </c>
      <c r="C374" s="33" t="str">
        <v>DV_Cắt_Vip</v>
      </c>
      <c r="D374" s="33">
        <v>1047</v>
      </c>
      <c r="E374" s="33">
        <f>B374&amp;D374</f>
      </c>
      <c r="F374" s="33" t="str">
        <v>Cắt Gội Combo 3 - Chăm da</v>
      </c>
      <c r="G374" s="32">
        <v>279000</v>
      </c>
    </row>
    <row r="375">
      <c r="A375" s="33"/>
      <c r="B375" s="33" t="str">
        <v>451 PVT</v>
      </c>
      <c r="C375" s="33" t="str">
        <v>DV_Cắt_Vip</v>
      </c>
      <c r="D375" s="33">
        <v>1065</v>
      </c>
      <c r="E375" s="33">
        <f>B375&amp;D375</f>
      </c>
      <c r="F375" s="33" t="str">
        <v>Cắt Gội Combo 3 - Dưỡng sinh</v>
      </c>
      <c r="G375" s="32">
        <v>299000</v>
      </c>
    </row>
    <row r="376">
      <c r="A376" s="33"/>
      <c r="B376" s="33" t="str">
        <v>451 PVT</v>
      </c>
      <c r="C376" s="33" t="str">
        <v>DV_Cắt_Vip</v>
      </c>
      <c r="D376" s="33">
        <v>1053</v>
      </c>
      <c r="E376" s="33">
        <f>B376&amp;D376</f>
      </c>
      <c r="F376" s="33" t="str">
        <v>Combo 2 - First Class 2</v>
      </c>
      <c r="G376" s="32">
        <v>229000</v>
      </c>
    </row>
    <row r="377">
      <c r="A377" s="33"/>
      <c r="B377" s="33" t="str">
        <v>451 PVT</v>
      </c>
      <c r="C377" s="33" t="str">
        <v>DV_Cắt_Vip</v>
      </c>
      <c r="D377" s="33">
        <v>1048</v>
      </c>
      <c r="E377" s="33">
        <f>B377&amp;D377</f>
      </c>
      <c r="F377" s="33" t="str">
        <v>Combo 4</v>
      </c>
      <c r="G377" s="32">
        <v>389000</v>
      </c>
    </row>
    <row r="378">
      <c r="A378" s="33"/>
      <c r="B378" s="33" t="str">
        <v>451 PVT</v>
      </c>
      <c r="C378" s="33" t="str">
        <v>DV_Cắt_Vip</v>
      </c>
      <c r="D378" s="33">
        <v>1150</v>
      </c>
      <c r="E378" s="33">
        <f>B378&amp;D378</f>
      </c>
      <c r="F378" s="33" t="str">
        <v>Combo cắt gội đỉnh cao thư giãn vip</v>
      </c>
      <c r="G378" s="32">
        <v>500000</v>
      </c>
    </row>
    <row r="379">
      <c r="A379" s="33"/>
      <c r="B379" s="33" t="str">
        <v>451 PVT</v>
      </c>
      <c r="C379" s="33" t="str">
        <v>DV_Cắt_Vip</v>
      </c>
      <c r="D379" s="33">
        <v>1046</v>
      </c>
      <c r="E379" s="33">
        <f>B379&amp;D379</f>
      </c>
      <c r="F379" s="33" t="str">
        <v>Shinecombo 2</v>
      </c>
      <c r="G379" s="32">
        <v>169000</v>
      </c>
    </row>
    <row r="380">
      <c r="A380" s="33"/>
      <c r="B380" s="33" t="str">
        <v>483 TN</v>
      </c>
      <c r="C380" s="33" t="str">
        <v>DV_Cắt</v>
      </c>
      <c r="D380" s="33">
        <v>513</v>
      </c>
      <c r="E380" s="33">
        <f>B380&amp;D380</f>
      </c>
      <c r="F380" s="33" t="str">
        <v>[DV] ShineCombo 10 bước Ultra Care 2023</v>
      </c>
      <c r="G380" s="32">
        <v>122000</v>
      </c>
    </row>
    <row r="381">
      <c r="A381" s="33"/>
      <c r="B381" s="33" t="str">
        <v>483 TN</v>
      </c>
      <c r="C381" s="33" t="str">
        <v>DV_Cắt</v>
      </c>
      <c r="D381" s="33">
        <v>1070</v>
      </c>
      <c r="E381" s="33">
        <f>B381&amp;D381</f>
      </c>
      <c r="F381" s="33" t="str">
        <v>Combo Cắt gội Kid</v>
      </c>
      <c r="G381" s="32">
        <v>100000</v>
      </c>
    </row>
    <row r="382">
      <c r="A382" s="33"/>
      <c r="B382" s="33" t="str">
        <v>483 TN</v>
      </c>
      <c r="C382" s="33" t="str">
        <v>DV_Cắt</v>
      </c>
      <c r="D382" s="33">
        <v>891</v>
      </c>
      <c r="E382" s="33">
        <f>B382&amp;D382</f>
      </c>
      <c r="F382" s="33" t="str">
        <v>Cắt xả tạo kiểu</v>
      </c>
      <c r="G382" s="32">
        <v>94000</v>
      </c>
    </row>
    <row r="383">
      <c r="A383" s="33"/>
      <c r="B383" s="33" t="str">
        <v>483 TN</v>
      </c>
      <c r="C383" s="33" t="str">
        <v>DV_Cắt</v>
      </c>
      <c r="D383" s="33">
        <v>1002</v>
      </c>
      <c r="E383" s="33">
        <f>B383&amp;D383</f>
      </c>
      <c r="F383" s="33" t="str">
        <v>Kid Cắt</v>
      </c>
      <c r="G383" s="32">
        <v>75000</v>
      </c>
    </row>
    <row r="384">
      <c r="A384" s="33"/>
      <c r="B384" s="33" t="str">
        <v>483 TN</v>
      </c>
      <c r="C384" s="33" t="str">
        <v>DV_Cắt_Vip</v>
      </c>
      <c r="D384" s="33">
        <v>1047</v>
      </c>
      <c r="E384" s="33">
        <f>B384&amp;D384</f>
      </c>
      <c r="F384" s="33" t="str">
        <v>Cắt Gội Combo 3 - Chăm da</v>
      </c>
      <c r="G384" s="32">
        <v>299000</v>
      </c>
    </row>
    <row r="385">
      <c r="A385" s="33"/>
      <c r="B385" s="33" t="str">
        <v>483 TN</v>
      </c>
      <c r="C385" s="33" t="str">
        <v>DV_Cắt_Vip</v>
      </c>
      <c r="D385" s="33">
        <v>1064</v>
      </c>
      <c r="E385" s="33">
        <f>B385&amp;D385</f>
      </c>
      <c r="F385" s="33" t="str">
        <v>Cắt Gội Combo 5 - Dưỡng sinh</v>
      </c>
      <c r="G385" s="32">
        <v>459000</v>
      </c>
    </row>
    <row r="386">
      <c r="A386" s="33"/>
      <c r="B386" s="33" t="str">
        <v>483 TN</v>
      </c>
      <c r="C386" s="33" t="str">
        <v>DV_Cắt_Vip</v>
      </c>
      <c r="D386" s="33">
        <v>1053</v>
      </c>
      <c r="E386" s="33">
        <f>B386&amp;D386</f>
      </c>
      <c r="F386" s="33" t="str">
        <v>Combo 2 - First Class 2</v>
      </c>
      <c r="G386" s="32">
        <v>229000</v>
      </c>
    </row>
    <row r="387">
      <c r="A387" s="33"/>
      <c r="B387" s="33" t="str">
        <v>483 TN</v>
      </c>
      <c r="C387" s="33" t="str">
        <v>DV_Cắt_Vip</v>
      </c>
      <c r="D387" s="33">
        <v>1054</v>
      </c>
      <c r="E387" s="33">
        <f>B387&amp;D387</f>
      </c>
      <c r="F387" s="33" t="str">
        <v>Combo 3 - First Class 3</v>
      </c>
      <c r="G387" s="32">
        <v>299000</v>
      </c>
    </row>
    <row r="388">
      <c r="A388" s="33"/>
      <c r="B388" s="33" t="str">
        <v>483 TN</v>
      </c>
      <c r="C388" s="33" t="str">
        <v>DV_Cắt_Vip</v>
      </c>
      <c r="D388" s="33">
        <v>1048</v>
      </c>
      <c r="E388" s="33">
        <f>B388&amp;D388</f>
      </c>
      <c r="F388" s="33" t="str">
        <v>Combo 4</v>
      </c>
      <c r="G388" s="32">
        <v>389000</v>
      </c>
    </row>
    <row r="389">
      <c r="A389" s="33"/>
      <c r="B389" s="33" t="str">
        <v>483 TN</v>
      </c>
      <c r="C389" s="33" t="str">
        <v>DV_Cắt_Vip</v>
      </c>
      <c r="D389" s="33">
        <v>1046</v>
      </c>
      <c r="E389" s="33">
        <f>B389&amp;D389</f>
      </c>
      <c r="F389" s="33" t="str">
        <v>Shinecombo 2</v>
      </c>
      <c r="G389" s="32">
        <v>199000</v>
      </c>
    </row>
    <row r="390">
      <c r="A390" s="33"/>
      <c r="B390" s="33" t="str">
        <v>50BT4 NPC LD</v>
      </c>
      <c r="C390" s="33" t="str">
        <v>DV_Cắt</v>
      </c>
      <c r="D390" s="33">
        <v>513</v>
      </c>
      <c r="E390" s="33">
        <f>B390&amp;D390</f>
      </c>
      <c r="F390" s="33" t="str">
        <v>[DV] ShineCombo 10 bước Ultra Care 2023</v>
      </c>
      <c r="G390" s="32">
        <v>122000</v>
      </c>
    </row>
    <row r="391">
      <c r="A391" s="33"/>
      <c r="B391" s="33" t="str">
        <v>50BT4 NPC LD</v>
      </c>
      <c r="C391" s="33" t="str">
        <v>DV_Cắt</v>
      </c>
      <c r="D391" s="33">
        <v>891</v>
      </c>
      <c r="E391" s="33">
        <f>B391&amp;D391</f>
      </c>
      <c r="F391" s="33" t="str">
        <v>Cắt xả tạo kiểu</v>
      </c>
      <c r="G391" s="32">
        <v>94000</v>
      </c>
    </row>
    <row r="392">
      <c r="A392" s="33"/>
      <c r="B392" s="33" t="str">
        <v>50BT4 NPC LD</v>
      </c>
      <c r="C392" s="33" t="str">
        <v>DV_Cắt</v>
      </c>
      <c r="D392" s="33">
        <v>1070</v>
      </c>
      <c r="E392" s="33">
        <f>B392&amp;D392</f>
      </c>
      <c r="F392" s="33" t="str">
        <v>Combo Cắt gội Kid</v>
      </c>
      <c r="G392" s="32">
        <v>100000</v>
      </c>
    </row>
    <row r="393">
      <c r="A393" s="33"/>
      <c r="B393" s="33" t="str">
        <v>50BT4 NPC LD</v>
      </c>
      <c r="C393" s="33" t="str">
        <v>DV_Cắt</v>
      </c>
      <c r="D393" s="33">
        <v>1002</v>
      </c>
      <c r="E393" s="33">
        <f>B393&amp;D393</f>
      </c>
      <c r="F393" s="33" t="str">
        <v>Kid Cắt</v>
      </c>
      <c r="G393" s="32">
        <v>75000</v>
      </c>
    </row>
    <row r="394">
      <c r="A394" s="33"/>
      <c r="B394" s="33" t="str">
        <v>50BT4 NPC LD</v>
      </c>
      <c r="C394" s="33" t="str">
        <v>DV_Cắt_Vip</v>
      </c>
      <c r="D394" s="33">
        <v>1047</v>
      </c>
      <c r="E394" s="33">
        <f>B394&amp;D394</f>
      </c>
      <c r="F394" s="33" t="str">
        <v>Cắt Gội Combo 3 - Chăm da</v>
      </c>
      <c r="G394" s="32">
        <v>299000</v>
      </c>
    </row>
    <row r="395">
      <c r="A395" s="33"/>
      <c r="B395" s="33" t="str">
        <v>50BT4 NPC LD</v>
      </c>
      <c r="C395" s="33" t="str">
        <v>DV_Cắt_Vip</v>
      </c>
      <c r="D395" s="33">
        <v>1065</v>
      </c>
      <c r="E395" s="33">
        <f>B395&amp;D395</f>
      </c>
      <c r="F395" s="33" t="str">
        <v>Cắt Gội Combo 3 - Dưỡng sinh</v>
      </c>
      <c r="G395" s="32">
        <v>299000</v>
      </c>
    </row>
    <row r="396">
      <c r="A396" s="33"/>
      <c r="B396" s="33" t="str">
        <v>50BT4 NPC LD</v>
      </c>
      <c r="C396" s="33" t="str">
        <v>DV_Cắt_Vip</v>
      </c>
      <c r="D396" s="33">
        <v>1053</v>
      </c>
      <c r="E396" s="33">
        <f>B396&amp;D396</f>
      </c>
      <c r="F396" s="33" t="str">
        <v>Combo 2 - First Class 2</v>
      </c>
      <c r="G396" s="32">
        <v>229000</v>
      </c>
    </row>
    <row r="397">
      <c r="A397" s="33"/>
      <c r="B397" s="33" t="str">
        <v>50BT4 NPC LD</v>
      </c>
      <c r="C397" s="33" t="str">
        <v>DV_Cắt_Vip</v>
      </c>
      <c r="D397" s="33">
        <v>1054</v>
      </c>
      <c r="E397" s="33">
        <f>B397&amp;D397</f>
      </c>
      <c r="F397" s="33" t="str">
        <v>Combo 3 - First Class 3</v>
      </c>
      <c r="G397" s="32">
        <v>299000</v>
      </c>
    </row>
    <row r="398">
      <c r="A398" s="33"/>
      <c r="B398" s="33" t="str">
        <v>50BT4 NPC LD</v>
      </c>
      <c r="C398" s="33" t="str">
        <v>DV_Cắt_Vip</v>
      </c>
      <c r="D398" s="33">
        <v>1048</v>
      </c>
      <c r="E398" s="33">
        <f>B398&amp;D398</f>
      </c>
      <c r="F398" s="33" t="str">
        <v>Combo 4</v>
      </c>
      <c r="G398" s="32">
        <v>389000</v>
      </c>
    </row>
    <row r="399">
      <c r="A399" s="33"/>
      <c r="B399" s="33" t="str">
        <v>50BT4 NPC LD</v>
      </c>
      <c r="C399" s="33" t="str">
        <v>DV_Cắt_Vip</v>
      </c>
      <c r="D399" s="33">
        <v>1046</v>
      </c>
      <c r="E399" s="33">
        <f>B399&amp;D399</f>
      </c>
      <c r="F399" s="33" t="str">
        <v>Shinecombo 2</v>
      </c>
      <c r="G399" s="32">
        <v>199000</v>
      </c>
    </row>
    <row r="400">
      <c r="A400" s="33"/>
      <c r="B400" s="33" t="str">
        <v>55A NVL</v>
      </c>
      <c r="C400" s="33" t="str">
        <v>DV_Cắt</v>
      </c>
      <c r="D400" s="33">
        <v>513</v>
      </c>
      <c r="E400" s="33">
        <f>B400&amp;D400</f>
      </c>
      <c r="F400" s="33" t="str">
        <v>[DV] ShineCombo 10 bước Ultra Care 2023</v>
      </c>
      <c r="G400" s="32">
        <v>122000</v>
      </c>
    </row>
    <row r="401">
      <c r="A401" s="33"/>
      <c r="B401" s="33" t="str">
        <v>55A NVL</v>
      </c>
      <c r="C401" s="33" t="str">
        <v>DV_Cắt</v>
      </c>
      <c r="D401" s="33">
        <v>1070</v>
      </c>
      <c r="E401" s="33">
        <f>B401&amp;D401</f>
      </c>
      <c r="F401" s="33" t="str">
        <v>Combo Cắt gội Kid</v>
      </c>
      <c r="G401" s="32">
        <v>100000</v>
      </c>
    </row>
    <row r="402">
      <c r="A402" s="33"/>
      <c r="B402" s="33" t="str">
        <v>55A NVL</v>
      </c>
      <c r="C402" s="33" t="str">
        <v>DV_Cắt</v>
      </c>
      <c r="D402" s="33">
        <v>891</v>
      </c>
      <c r="E402" s="33">
        <f>B402&amp;D402</f>
      </c>
      <c r="F402" s="33" t="str">
        <v>Cắt xả tạo kiểu</v>
      </c>
      <c r="G402" s="32">
        <v>95000</v>
      </c>
    </row>
    <row r="403">
      <c r="A403" s="33"/>
      <c r="B403" s="33" t="str">
        <v>55A NVL</v>
      </c>
      <c r="C403" s="33" t="str">
        <v>DV_Cắt</v>
      </c>
      <c r="D403" s="33">
        <v>1052</v>
      </c>
      <c r="E403" s="33">
        <f>B403&amp;D403</f>
      </c>
      <c r="F403" s="33" t="str">
        <v>Combo 1 - First Class 1</v>
      </c>
      <c r="G403" s="32">
        <v>159000</v>
      </c>
    </row>
    <row r="404">
      <c r="A404" s="33"/>
      <c r="B404" s="33" t="str">
        <v>55A NVL</v>
      </c>
      <c r="C404" s="33" t="str">
        <v>DV_Cắt</v>
      </c>
      <c r="D404" s="33">
        <v>1002</v>
      </c>
      <c r="E404" s="33">
        <f>B404&amp;D404</f>
      </c>
      <c r="F404" s="33" t="str">
        <v>Kid Cắt</v>
      </c>
      <c r="G404" s="32">
        <v>76000</v>
      </c>
    </row>
    <row r="405">
      <c r="A405" s="33"/>
      <c r="B405" s="33" t="str">
        <v>55A NVL</v>
      </c>
      <c r="C405" s="33" t="str">
        <v>DV_Cắt_Vip</v>
      </c>
      <c r="D405" s="33">
        <v>1047</v>
      </c>
      <c r="E405" s="33">
        <f>B405&amp;D405</f>
      </c>
      <c r="F405" s="33" t="str">
        <v>Cắt Gội Combo 3 - Chăm da</v>
      </c>
      <c r="G405" s="32">
        <v>300000</v>
      </c>
    </row>
    <row r="406">
      <c r="A406" s="33"/>
      <c r="B406" s="33" t="str">
        <v>55A NVL</v>
      </c>
      <c r="C406" s="33" t="str">
        <v>DV_Cắt_Vip</v>
      </c>
      <c r="D406" s="33">
        <v>1053</v>
      </c>
      <c r="E406" s="33">
        <f>B406&amp;D406</f>
      </c>
      <c r="F406" s="33" t="str">
        <v>Combo 2 - First Class 2</v>
      </c>
      <c r="G406" s="32">
        <v>230000</v>
      </c>
    </row>
    <row r="407">
      <c r="A407" s="33"/>
      <c r="B407" s="33" t="str">
        <v>55A NVL</v>
      </c>
      <c r="C407" s="33" t="str">
        <v>DV_Cắt_Vip</v>
      </c>
      <c r="D407" s="33">
        <v>1048</v>
      </c>
      <c r="E407" s="33">
        <f>B407&amp;D407</f>
      </c>
      <c r="F407" s="33" t="str">
        <v>Combo 4</v>
      </c>
      <c r="G407" s="32">
        <v>390000</v>
      </c>
    </row>
    <row r="408">
      <c r="A408" s="33"/>
      <c r="B408" s="33" t="str">
        <v>55A NVL</v>
      </c>
      <c r="C408" s="33" t="str">
        <v>DV_Cắt_Vip</v>
      </c>
      <c r="D408" s="33">
        <v>1046</v>
      </c>
      <c r="E408" s="33">
        <f>B408&amp;D408</f>
      </c>
      <c r="F408" s="33" t="str">
        <v>Shinecombo 2</v>
      </c>
      <c r="G408" s="32">
        <v>200000</v>
      </c>
    </row>
    <row r="409">
      <c r="A409" s="33"/>
      <c r="B409" s="33" t="str">
        <v>575 AC</v>
      </c>
      <c r="C409" s="33" t="str">
        <v>DV_Cắt</v>
      </c>
      <c r="D409" s="33">
        <v>513</v>
      </c>
      <c r="E409" s="33">
        <f>B409&amp;D409</f>
      </c>
      <c r="F409" s="33" t="str">
        <v>[DV] ShineCombo 10 bước Ultra Care 2023</v>
      </c>
      <c r="G409" s="32">
        <v>122000</v>
      </c>
    </row>
    <row r="410">
      <c r="A410" s="33"/>
      <c r="B410" s="33" t="str">
        <v>575 AC</v>
      </c>
      <c r="C410" s="33" t="str">
        <v>DV_Cắt</v>
      </c>
      <c r="D410" s="33">
        <v>1070</v>
      </c>
      <c r="E410" s="33">
        <f>B410&amp;D410</f>
      </c>
      <c r="F410" s="33" t="str">
        <v>Combo Cắt gội Kid</v>
      </c>
      <c r="G410" s="32">
        <v>100000</v>
      </c>
    </row>
    <row r="411">
      <c r="A411" s="33"/>
      <c r="B411" s="33" t="str">
        <v>575 AC</v>
      </c>
      <c r="C411" s="33" t="str">
        <v>DV_Cắt</v>
      </c>
      <c r="D411" s="33">
        <v>891</v>
      </c>
      <c r="E411" s="33">
        <f>B411&amp;D411</f>
      </c>
      <c r="F411" s="33" t="str">
        <v>Cắt xả tạo kiểu</v>
      </c>
      <c r="G411" s="32">
        <v>100000</v>
      </c>
    </row>
    <row r="412">
      <c r="A412" s="33"/>
      <c r="B412" s="33" t="str">
        <v>575 AC</v>
      </c>
      <c r="C412" s="33" t="str">
        <v>DV_Cắt</v>
      </c>
      <c r="D412" s="33">
        <v>1002</v>
      </c>
      <c r="E412" s="33">
        <f>B412&amp;D412</f>
      </c>
      <c r="F412" s="33" t="str">
        <v>Kid Cắt</v>
      </c>
      <c r="G412" s="32">
        <v>81000</v>
      </c>
    </row>
    <row r="413">
      <c r="A413" s="33"/>
      <c r="B413" s="33" t="str">
        <v>575 AC</v>
      </c>
      <c r="C413" s="33" t="str">
        <v>DV_Cắt_Vip</v>
      </c>
      <c r="D413" s="33">
        <v>1047</v>
      </c>
      <c r="E413" s="33">
        <f>B413&amp;D413</f>
      </c>
      <c r="F413" s="33" t="str">
        <v>Cắt Gội Combo 3 - Chăm da</v>
      </c>
      <c r="G413" s="32">
        <v>305000</v>
      </c>
    </row>
    <row r="414">
      <c r="A414" s="33"/>
      <c r="B414" s="33" t="str">
        <v>575 AC</v>
      </c>
      <c r="C414" s="33" t="str">
        <v>DV_Cắt_Vip</v>
      </c>
      <c r="D414" s="33">
        <v>1065</v>
      </c>
      <c r="E414" s="33">
        <f>B414&amp;D414</f>
      </c>
      <c r="F414" s="33" t="str">
        <v>Cắt Gội Combo 3 - Dưỡng sinh</v>
      </c>
      <c r="G414" s="32">
        <v>305000</v>
      </c>
    </row>
    <row r="415">
      <c r="A415" s="33"/>
      <c r="B415" s="33" t="str">
        <v>575 AC</v>
      </c>
      <c r="C415" s="33" t="str">
        <v>DV_Cắt_Vip</v>
      </c>
      <c r="D415" s="33">
        <v>1064</v>
      </c>
      <c r="E415" s="33">
        <f>B415&amp;D415</f>
      </c>
      <c r="F415" s="33" t="str">
        <v>Cắt Gội Combo 5 - Dưỡng sinh</v>
      </c>
      <c r="G415" s="32">
        <v>465000</v>
      </c>
    </row>
    <row r="416">
      <c r="A416" s="33"/>
      <c r="B416" s="33" t="str">
        <v>575 AC</v>
      </c>
      <c r="C416" s="33" t="str">
        <v>DV_Cắt_Vip</v>
      </c>
      <c r="D416" s="33">
        <v>1053</v>
      </c>
      <c r="E416" s="33">
        <f>B416&amp;D416</f>
      </c>
      <c r="F416" s="33" t="str">
        <v>Combo 2 - First Class 2</v>
      </c>
      <c r="G416" s="32">
        <v>245000</v>
      </c>
    </row>
    <row r="417">
      <c r="A417" s="33"/>
      <c r="B417" s="33" t="str">
        <v>575 AC</v>
      </c>
      <c r="C417" s="33" t="str">
        <v>DV_Cắt_Vip</v>
      </c>
      <c r="D417" s="33">
        <v>1054</v>
      </c>
      <c r="E417" s="33">
        <f>B417&amp;D417</f>
      </c>
      <c r="F417" s="33" t="str">
        <v>Combo 3 - First Class 3</v>
      </c>
      <c r="G417" s="32">
        <v>305000</v>
      </c>
    </row>
    <row r="418">
      <c r="A418" s="33"/>
      <c r="B418" s="33" t="str">
        <v>575 AC</v>
      </c>
      <c r="C418" s="33" t="str">
        <v>DV_Cắt_Vip</v>
      </c>
      <c r="D418" s="33">
        <v>1048</v>
      </c>
      <c r="E418" s="33">
        <f>B418&amp;D418</f>
      </c>
      <c r="F418" s="33" t="str">
        <v>Combo 4</v>
      </c>
      <c r="G418" s="32">
        <v>395000</v>
      </c>
    </row>
    <row r="419">
      <c r="A419" s="33"/>
      <c r="B419" s="33" t="str">
        <v>575 AC</v>
      </c>
      <c r="C419" s="33" t="str">
        <v>DV_Cắt_Vip</v>
      </c>
      <c r="D419" s="33">
        <v>1194</v>
      </c>
      <c r="E419" s="33">
        <f>B419&amp;D419</f>
      </c>
      <c r="F419" s="33" t="str">
        <v>Combo Best choice</v>
      </c>
      <c r="G419" s="32">
        <v>305000</v>
      </c>
    </row>
    <row r="420">
      <c r="A420" s="33"/>
      <c r="B420" s="33" t="str">
        <v>575 AC</v>
      </c>
      <c r="C420" s="33" t="str">
        <v>DV_Cắt_Vip</v>
      </c>
      <c r="D420" s="33">
        <v>1046</v>
      </c>
      <c r="E420" s="33">
        <f>B420&amp;D420</f>
      </c>
      <c r="F420" s="33" t="str">
        <v>Shinecombo 2</v>
      </c>
      <c r="G420" s="32">
        <v>205000</v>
      </c>
    </row>
    <row r="421">
      <c r="A421" s="33"/>
      <c r="B421" s="33" t="str">
        <v>58 NVC NA</v>
      </c>
      <c r="C421" s="33" t="str">
        <v>DV_Cắt</v>
      </c>
      <c r="D421" s="33">
        <v>513</v>
      </c>
      <c r="E421" s="33">
        <f>B421&amp;D421</f>
      </c>
      <c r="F421" s="33" t="str">
        <v>[DV] ShineCombo 10 bước Ultra Care 2023</v>
      </c>
      <c r="G421" s="32">
        <v>122000</v>
      </c>
    </row>
    <row r="422">
      <c r="A422" s="33"/>
      <c r="B422" s="33" t="str">
        <v>58 NVC NA</v>
      </c>
      <c r="C422" s="33" t="str">
        <v>DV_Cắt</v>
      </c>
      <c r="D422" s="33">
        <v>891</v>
      </c>
      <c r="E422" s="33">
        <f>B422&amp;D422</f>
      </c>
      <c r="F422" s="33" t="str">
        <v>Cắt xả tạo kiểu</v>
      </c>
      <c r="G422" s="32">
        <v>94000</v>
      </c>
    </row>
    <row r="423">
      <c r="A423" s="33"/>
      <c r="B423" s="33" t="str">
        <v>58 NVC NA</v>
      </c>
      <c r="C423" s="33" t="str">
        <v>DV_Cắt</v>
      </c>
      <c r="D423" s="33">
        <v>1002</v>
      </c>
      <c r="E423" s="33">
        <f>B423&amp;D423</f>
      </c>
      <c r="F423" s="33" t="str">
        <v>Kid Cắt</v>
      </c>
      <c r="G423" s="32">
        <v>75000</v>
      </c>
    </row>
    <row r="424">
      <c r="A424" s="33"/>
      <c r="B424" s="33" t="str">
        <v>58 NVC NA</v>
      </c>
      <c r="C424" s="33" t="str">
        <v>DV_Cắt</v>
      </c>
      <c r="D424" s="33">
        <v>1255</v>
      </c>
      <c r="E424" s="33">
        <f>B424&amp;D424</f>
      </c>
      <c r="F424" s="33" t="str">
        <v>VH Cắt gội dưỡng sinh Vip</v>
      </c>
      <c r="G424" s="32">
        <v>249000</v>
      </c>
    </row>
    <row r="425">
      <c r="A425" s="33"/>
      <c r="B425" s="33" t="str">
        <v>58 NVC NA</v>
      </c>
      <c r="C425" s="33" t="str">
        <v>DV_Cắt_Vip</v>
      </c>
      <c r="D425" s="33">
        <v>1047</v>
      </c>
      <c r="E425" s="33">
        <f>B425&amp;D425</f>
      </c>
      <c r="F425" s="33" t="str">
        <v>Cắt Gội Combo 3 - Chăm da</v>
      </c>
      <c r="G425" s="32">
        <v>299000</v>
      </c>
    </row>
    <row r="426">
      <c r="A426" s="33"/>
      <c r="B426" s="33" t="str">
        <v>58 NVC NA</v>
      </c>
      <c r="C426" s="33" t="str">
        <v>DV_Cắt_Vip</v>
      </c>
      <c r="D426" s="33">
        <v>1065</v>
      </c>
      <c r="E426" s="33">
        <f>B426&amp;D426</f>
      </c>
      <c r="F426" s="33" t="str">
        <v>Cắt Gội Combo 3 - Dưỡng sinh</v>
      </c>
      <c r="G426" s="32">
        <v>299000</v>
      </c>
    </row>
    <row r="427">
      <c r="A427" s="33"/>
      <c r="B427" s="33" t="str">
        <v>58 NVC NA</v>
      </c>
      <c r="C427" s="33" t="str">
        <v>DV_Cắt_Vip</v>
      </c>
      <c r="D427" s="33">
        <v>1054</v>
      </c>
      <c r="E427" s="33">
        <f>B427&amp;D427</f>
      </c>
      <c r="F427" s="33" t="str">
        <v>Combo 3 - First Class 3</v>
      </c>
      <c r="G427" s="32">
        <v>299000</v>
      </c>
    </row>
    <row r="428">
      <c r="A428" s="33"/>
      <c r="B428" s="33" t="str">
        <v>58 NVC NA</v>
      </c>
      <c r="C428" s="33" t="str">
        <v>DV_Cắt_Vip</v>
      </c>
      <c r="D428" s="33">
        <v>1048</v>
      </c>
      <c r="E428" s="33">
        <f>B428&amp;D428</f>
      </c>
      <c r="F428" s="33" t="str">
        <v>Combo 4</v>
      </c>
      <c r="G428" s="32">
        <v>389000</v>
      </c>
    </row>
    <row r="429">
      <c r="A429" s="33"/>
      <c r="B429" s="33" t="str">
        <v>58 NVC NA</v>
      </c>
      <c r="C429" s="33" t="str">
        <v>DV_Cắt_Vip</v>
      </c>
      <c r="D429" s="33">
        <v>1046</v>
      </c>
      <c r="E429" s="33">
        <f>B429&amp;D429</f>
      </c>
      <c r="F429" s="33" t="str">
        <v>Shinecombo 2</v>
      </c>
      <c r="G429" s="32">
        <v>199000</v>
      </c>
    </row>
    <row r="430">
      <c r="A430" s="33"/>
      <c r="B430" s="33" t="str">
        <v>58 NVC NA</v>
      </c>
      <c r="C430" s="33" t="str">
        <v>DV_Cắt_Vip</v>
      </c>
      <c r="D430" s="33">
        <v>1256</v>
      </c>
      <c r="E430" s="33">
        <f>B430&amp;D430</f>
      </c>
      <c r="F430" s="33" t="str">
        <v>VH Cắt gội dưỡng sinh Vip LRT</v>
      </c>
      <c r="G430" s="32">
        <v>299000</v>
      </c>
    </row>
    <row r="431">
      <c r="A431" s="33"/>
      <c r="B431" s="33" t="str">
        <v>595 BT TH</v>
      </c>
      <c r="C431" s="33" t="str">
        <v>DV_Cắt</v>
      </c>
      <c r="D431" s="33">
        <v>513</v>
      </c>
      <c r="E431" s="33">
        <f>B431&amp;D431</f>
      </c>
      <c r="F431" s="33" t="str">
        <v>[DV] ShineCombo 10 bước Ultra Care 2023</v>
      </c>
      <c r="G431" s="32">
        <v>122000</v>
      </c>
    </row>
    <row r="432">
      <c r="A432" s="33"/>
      <c r="B432" s="33" t="str">
        <v>595 BT TH</v>
      </c>
      <c r="C432" s="33" t="str">
        <v>DV_Cắt</v>
      </c>
      <c r="D432" s="33">
        <v>891</v>
      </c>
      <c r="E432" s="33">
        <f>B432&amp;D432</f>
      </c>
      <c r="F432" s="33" t="str">
        <v>Cắt xả tạo kiểu</v>
      </c>
      <c r="G432" s="32">
        <v>103000</v>
      </c>
    </row>
    <row r="433">
      <c r="A433" s="33"/>
      <c r="B433" s="33" t="str">
        <v>595 BT TH</v>
      </c>
      <c r="C433" s="33" t="str">
        <v>DV_Cắt</v>
      </c>
      <c r="D433" s="33">
        <v>1002</v>
      </c>
      <c r="E433" s="33">
        <f>B433&amp;D433</f>
      </c>
      <c r="F433" s="33" t="str">
        <v>Kid Cắt</v>
      </c>
      <c r="G433" s="32">
        <v>84000</v>
      </c>
    </row>
    <row r="434">
      <c r="A434" s="33"/>
      <c r="B434" s="33" t="str">
        <v>595 BT TH</v>
      </c>
      <c r="C434" s="33" t="str">
        <v>DV_Cắt</v>
      </c>
      <c r="D434" s="33">
        <v>1255</v>
      </c>
      <c r="E434" s="33">
        <f>B434&amp;D434</f>
      </c>
      <c r="F434" s="33" t="str">
        <v>VH Cắt gội dưỡng sinh Vip</v>
      </c>
      <c r="G434" s="32">
        <v>258000</v>
      </c>
    </row>
    <row r="435">
      <c r="A435" s="33"/>
      <c r="B435" s="33" t="str">
        <v>595 BT TH</v>
      </c>
      <c r="C435" s="33" t="str">
        <v>DV_Cắt_Vip</v>
      </c>
      <c r="D435" s="33">
        <v>1047</v>
      </c>
      <c r="E435" s="33">
        <f>B435&amp;D435</f>
      </c>
      <c r="F435" s="33" t="str">
        <v>Cắt Gội Combo 3 - Chăm da</v>
      </c>
      <c r="G435" s="32">
        <v>308000</v>
      </c>
    </row>
    <row r="436">
      <c r="A436" s="33"/>
      <c r="B436" s="33" t="str">
        <v>595 BT TH</v>
      </c>
      <c r="C436" s="33" t="str">
        <v>DV_Cắt_Vip</v>
      </c>
      <c r="D436" s="33">
        <v>1048</v>
      </c>
      <c r="E436" s="33">
        <f>B436&amp;D436</f>
      </c>
      <c r="F436" s="33" t="str">
        <v>Combo 4</v>
      </c>
      <c r="G436" s="32">
        <v>398000</v>
      </c>
    </row>
    <row r="437">
      <c r="A437" s="33"/>
      <c r="B437" s="33" t="str">
        <v>595 BT TH</v>
      </c>
      <c r="C437" s="33" t="str">
        <v>DV_Cắt_Vip</v>
      </c>
      <c r="D437" s="33">
        <v>1046</v>
      </c>
      <c r="E437" s="33">
        <f>B437&amp;D437</f>
      </c>
      <c r="F437" s="33" t="str">
        <v>Shinecombo 2</v>
      </c>
      <c r="G437" s="32">
        <v>208000</v>
      </c>
    </row>
    <row r="438">
      <c r="A438" s="33"/>
      <c r="B438" s="33" t="str">
        <v>595 BT TH</v>
      </c>
      <c r="C438" s="33" t="str">
        <v>DV_Cắt_Vip</v>
      </c>
      <c r="D438" s="33">
        <v>1256</v>
      </c>
      <c r="E438" s="33">
        <f>B438&amp;D438</f>
      </c>
      <c r="F438" s="33" t="str">
        <v>VH Cắt gội dưỡng sinh Vip LRT</v>
      </c>
      <c r="G438" s="32">
        <v>308000</v>
      </c>
    </row>
    <row r="439">
      <c r="A439" s="33"/>
      <c r="B439" s="33" t="str">
        <v>595 BT TH</v>
      </c>
      <c r="C439" s="33" t="str">
        <v>DV_Cắt_Vip</v>
      </c>
      <c r="D439" s="33">
        <v>1257</v>
      </c>
      <c r="E439" s="33">
        <f>B439&amp;D439</f>
      </c>
      <c r="F439" s="33" t="str">
        <v>VH Cắt gội thư giãn phục hồi</v>
      </c>
      <c r="G439" s="32">
        <v>458000</v>
      </c>
    </row>
    <row r="440">
      <c r="A440" s="33"/>
      <c r="B440" s="33" t="str">
        <v>62 LH</v>
      </c>
      <c r="C440" s="33" t="str">
        <v>DV_Cắt</v>
      </c>
      <c r="D440" s="33">
        <v>513</v>
      </c>
      <c r="E440" s="33">
        <f>B440&amp;D440</f>
      </c>
      <c r="F440" s="33" t="str">
        <v>[DV] ShineCombo 10 bước Ultra Care 2023</v>
      </c>
      <c r="G440" s="32">
        <v>122000</v>
      </c>
    </row>
    <row r="441">
      <c r="A441" s="33"/>
      <c r="B441" s="33" t="str">
        <v>62 LH</v>
      </c>
      <c r="C441" s="33" t="str">
        <v>DV_Cắt</v>
      </c>
      <c r="D441" s="33">
        <v>891</v>
      </c>
      <c r="E441" s="33">
        <f>B441&amp;D441</f>
      </c>
      <c r="F441" s="33" t="str">
        <v>Cắt xả tạo kiểu</v>
      </c>
      <c r="G441" s="32">
        <v>94000</v>
      </c>
    </row>
    <row r="442">
      <c r="A442" s="33"/>
      <c r="B442" s="33" t="str">
        <v>62 LH</v>
      </c>
      <c r="C442" s="33" t="str">
        <v>DV_Cắt</v>
      </c>
      <c r="D442" s="33">
        <v>1052</v>
      </c>
      <c r="E442" s="33">
        <f>B442&amp;D442</f>
      </c>
      <c r="F442" s="33" t="str">
        <v>Combo 1 - First Class 1</v>
      </c>
      <c r="G442" s="32">
        <v>159000</v>
      </c>
    </row>
    <row r="443">
      <c r="A443" s="33"/>
      <c r="B443" s="33" t="str">
        <v>62 LH</v>
      </c>
      <c r="C443" s="33" t="str">
        <v>DV_Cắt</v>
      </c>
      <c r="D443" s="33">
        <v>1070</v>
      </c>
      <c r="E443" s="33">
        <f>B443&amp;D443</f>
      </c>
      <c r="F443" s="33" t="str">
        <v>Combo Cắt gội Kid</v>
      </c>
      <c r="G443" s="32">
        <v>100000</v>
      </c>
    </row>
    <row r="444">
      <c r="A444" s="33"/>
      <c r="B444" s="33" t="str">
        <v>62 LH</v>
      </c>
      <c r="C444" s="33" t="str">
        <v>DV_Cắt</v>
      </c>
      <c r="D444" s="33">
        <v>1002</v>
      </c>
      <c r="E444" s="33">
        <f>B444&amp;D444</f>
      </c>
      <c r="F444" s="33" t="str">
        <v>Kid Cắt</v>
      </c>
      <c r="G444" s="32">
        <v>75000</v>
      </c>
    </row>
    <row r="445">
      <c r="A445" s="33"/>
      <c r="B445" s="33" t="str">
        <v>62 LH</v>
      </c>
      <c r="C445" s="33" t="str">
        <v>DV_Cắt_Vip</v>
      </c>
      <c r="D445" s="33">
        <v>1047</v>
      </c>
      <c r="E445" s="33">
        <f>B445&amp;D445</f>
      </c>
      <c r="F445" s="33" t="str">
        <v>Cắt Gội Combo 3 - Chăm da</v>
      </c>
      <c r="G445" s="32">
        <v>299000</v>
      </c>
    </row>
    <row r="446">
      <c r="A446" s="33"/>
      <c r="B446" s="33" t="str">
        <v>62 LH</v>
      </c>
      <c r="C446" s="33" t="str">
        <v>DV_Cắt_Vip</v>
      </c>
      <c r="D446" s="33">
        <v>1064</v>
      </c>
      <c r="E446" s="33">
        <f>B446&amp;D446</f>
      </c>
      <c r="F446" s="33" t="str">
        <v>Cắt Gội Combo 5 - Dưỡng sinh</v>
      </c>
      <c r="G446" s="32">
        <v>459000</v>
      </c>
    </row>
    <row r="447">
      <c r="A447" s="33"/>
      <c r="B447" s="33" t="str">
        <v>62 LH</v>
      </c>
      <c r="C447" s="33" t="str">
        <v>DV_Cắt_Vip</v>
      </c>
      <c r="D447" s="33">
        <v>1053</v>
      </c>
      <c r="E447" s="33">
        <f>B447&amp;D447</f>
      </c>
      <c r="F447" s="33" t="str">
        <v>Combo 2 - First Class 2</v>
      </c>
      <c r="G447" s="32">
        <v>239000</v>
      </c>
    </row>
    <row r="448">
      <c r="A448" s="33"/>
      <c r="B448" s="33" t="str">
        <v>62 LH</v>
      </c>
      <c r="C448" s="33" t="str">
        <v>DV_Cắt_Vip</v>
      </c>
      <c r="D448" s="33">
        <v>1054</v>
      </c>
      <c r="E448" s="33">
        <f>B448&amp;D448</f>
      </c>
      <c r="F448" s="33" t="str">
        <v>Combo 3 - First Class 3</v>
      </c>
      <c r="G448" s="32">
        <v>299000</v>
      </c>
    </row>
    <row r="449">
      <c r="A449" s="33"/>
      <c r="B449" s="33" t="str">
        <v>62 LH</v>
      </c>
      <c r="C449" s="33" t="str">
        <v>DV_Cắt_Vip</v>
      </c>
      <c r="D449" s="33">
        <v>1048</v>
      </c>
      <c r="E449" s="33">
        <f>B449&amp;D449</f>
      </c>
      <c r="F449" s="33" t="str">
        <v>Combo 4</v>
      </c>
      <c r="G449" s="32">
        <v>389000</v>
      </c>
    </row>
    <row r="450">
      <c r="A450" s="33"/>
      <c r="B450" s="33" t="str">
        <v>62 LH</v>
      </c>
      <c r="C450" s="33" t="str">
        <v>DV_Cắt_Vip</v>
      </c>
      <c r="D450" s="33">
        <v>1046</v>
      </c>
      <c r="E450" s="33">
        <f>B450&amp;D450</f>
      </c>
      <c r="F450" s="33" t="str">
        <v>Shinecombo 2</v>
      </c>
      <c r="G450" s="32">
        <v>199000</v>
      </c>
    </row>
    <row r="451">
      <c r="A451" s="33"/>
      <c r="B451" s="33" t="str">
        <v>65 CD</v>
      </c>
      <c r="C451" s="33" t="str">
        <v>DV_Cắt</v>
      </c>
      <c r="D451" s="33">
        <v>513</v>
      </c>
      <c r="E451" s="33">
        <f>B451&amp;D451</f>
      </c>
      <c r="F451" s="33" t="str">
        <v>[DV] ShineCombo 10 bước Ultra Care 2023</v>
      </c>
      <c r="G451" s="32">
        <v>122000</v>
      </c>
    </row>
    <row r="452">
      <c r="A452" s="33"/>
      <c r="B452" s="33" t="str">
        <v>65 CD</v>
      </c>
      <c r="C452" s="33" t="str">
        <v>DV_Cắt</v>
      </c>
      <c r="D452" s="33">
        <v>891</v>
      </c>
      <c r="E452" s="33">
        <f>B452&amp;D452</f>
      </c>
      <c r="F452" s="33" t="str">
        <v>Cắt xả tạo kiểu</v>
      </c>
      <c r="G452" s="32">
        <v>98999.99999999999</v>
      </c>
    </row>
    <row r="453">
      <c r="A453" s="33"/>
      <c r="B453" s="33" t="str">
        <v>65 CD</v>
      </c>
      <c r="C453" s="33" t="str">
        <v>DV_Cắt</v>
      </c>
      <c r="D453" s="33">
        <v>1002</v>
      </c>
      <c r="E453" s="33">
        <f>B453&amp;D453</f>
      </c>
      <c r="F453" s="33" t="str">
        <v>Kid Cắt</v>
      </c>
      <c r="G453" s="32">
        <v>79999.99999999999</v>
      </c>
    </row>
    <row r="454">
      <c r="A454" s="33"/>
      <c r="B454" s="33" t="str">
        <v>65 CD</v>
      </c>
      <c r="C454" s="33" t="str">
        <v>DV_Cắt_Vip</v>
      </c>
      <c r="D454" s="33">
        <v>1047</v>
      </c>
      <c r="E454" s="33">
        <f>B454&amp;D454</f>
      </c>
      <c r="F454" s="33" t="str">
        <v>Cắt Gội Combo 3 - Chăm da</v>
      </c>
      <c r="G454" s="32">
        <v>304000</v>
      </c>
    </row>
    <row r="455">
      <c r="A455" s="33"/>
      <c r="B455" s="33" t="str">
        <v>65 CD</v>
      </c>
      <c r="C455" s="33" t="str">
        <v>DV_Cắt_Vip</v>
      </c>
      <c r="D455" s="33">
        <v>1053</v>
      </c>
      <c r="E455" s="33">
        <f>B455&amp;D455</f>
      </c>
      <c r="F455" s="33" t="str">
        <v>Combo 2 - First Class 2</v>
      </c>
      <c r="G455" s="32">
        <v>234000</v>
      </c>
    </row>
    <row r="456">
      <c r="A456" s="33"/>
      <c r="B456" s="33" t="str">
        <v>65 CD</v>
      </c>
      <c r="C456" s="33" t="str">
        <v>DV_Cắt_Vip</v>
      </c>
      <c r="D456" s="33">
        <v>1048</v>
      </c>
      <c r="E456" s="33">
        <f>B456&amp;D456</f>
      </c>
      <c r="F456" s="33" t="str">
        <v>Combo 4</v>
      </c>
      <c r="G456" s="32">
        <v>394000</v>
      </c>
    </row>
    <row r="457">
      <c r="A457" s="33"/>
      <c r="B457" s="33" t="str">
        <v>65 CD</v>
      </c>
      <c r="C457" s="33" t="str">
        <v>DV_Cắt_Vip</v>
      </c>
      <c r="D457" s="33">
        <v>1046</v>
      </c>
      <c r="E457" s="33">
        <f>B457&amp;D457</f>
      </c>
      <c r="F457" s="33" t="str">
        <v>Shinecombo 2</v>
      </c>
      <c r="G457" s="32">
        <v>204000</v>
      </c>
    </row>
    <row r="458">
      <c r="A458" s="33"/>
      <c r="B458" s="33" t="str">
        <v>68 LN NA</v>
      </c>
      <c r="C458" s="33" t="str">
        <v>DV_Cắt</v>
      </c>
      <c r="D458" s="33">
        <v>513</v>
      </c>
      <c r="E458" s="33">
        <f>B458&amp;D458</f>
      </c>
      <c r="F458" s="33" t="str">
        <v>[DV] ShineCombo 10 bước Ultra Care 2023</v>
      </c>
      <c r="G458" s="32">
        <v>122000</v>
      </c>
    </row>
    <row r="459">
      <c r="A459" s="33"/>
      <c r="B459" s="33" t="str">
        <v>68 LN NA</v>
      </c>
      <c r="C459" s="33" t="str">
        <v>DV_Cắt</v>
      </c>
      <c r="D459" s="33">
        <v>891</v>
      </c>
      <c r="E459" s="33">
        <f>B459&amp;D459</f>
      </c>
      <c r="F459" s="33" t="str">
        <v>Cắt xả tạo kiểu</v>
      </c>
      <c r="G459" s="32">
        <v>103000</v>
      </c>
    </row>
    <row r="460">
      <c r="A460" s="33"/>
      <c r="B460" s="33" t="str">
        <v>68 LN NA</v>
      </c>
      <c r="C460" s="33" t="str">
        <v>DV_Cắt</v>
      </c>
      <c r="D460" s="33">
        <v>1002</v>
      </c>
      <c r="E460" s="33">
        <f>B460&amp;D460</f>
      </c>
      <c r="F460" s="33" t="str">
        <v>Kid Cắt</v>
      </c>
      <c r="G460" s="32">
        <v>84000</v>
      </c>
    </row>
    <row r="461">
      <c r="A461" s="33"/>
      <c r="B461" s="33" t="str">
        <v>68 LN NA</v>
      </c>
      <c r="C461" s="33" t="str">
        <v>DV_Cắt</v>
      </c>
      <c r="D461" s="33">
        <v>1255</v>
      </c>
      <c r="E461" s="33">
        <f>B461&amp;D461</f>
      </c>
      <c r="F461" s="33" t="str">
        <v>VH Cắt gội dưỡng sinh Vip</v>
      </c>
      <c r="G461" s="32">
        <v>258000</v>
      </c>
    </row>
    <row r="462">
      <c r="A462" s="33"/>
      <c r="B462" s="33" t="str">
        <v>68 LN NA</v>
      </c>
      <c r="C462" s="33" t="str">
        <v>DV_Cắt_Vip</v>
      </c>
      <c r="D462" s="33">
        <v>1047</v>
      </c>
      <c r="E462" s="33">
        <f>B462&amp;D462</f>
      </c>
      <c r="F462" s="33" t="str">
        <v>Cắt Gội Combo 3 - Chăm da</v>
      </c>
      <c r="G462" s="32">
        <v>308000</v>
      </c>
    </row>
    <row r="463">
      <c r="A463" s="33"/>
      <c r="B463" s="33" t="str">
        <v>68 LN NA</v>
      </c>
      <c r="C463" s="33" t="str">
        <v>DV_Cắt_Vip</v>
      </c>
      <c r="D463" s="33">
        <v>1065</v>
      </c>
      <c r="E463" s="33">
        <f>B463&amp;D463</f>
      </c>
      <c r="F463" s="33" t="str">
        <v>Cắt Gội Combo 3 - Dưỡng sinh</v>
      </c>
      <c r="G463" s="32">
        <v>308000</v>
      </c>
    </row>
    <row r="464">
      <c r="A464" s="33"/>
      <c r="B464" s="33" t="str">
        <v>68 LN NA</v>
      </c>
      <c r="C464" s="33" t="str">
        <v>DV_Cắt_Vip</v>
      </c>
      <c r="D464" s="33">
        <v>1048</v>
      </c>
      <c r="E464" s="33">
        <f>B464&amp;D464</f>
      </c>
      <c r="F464" s="33" t="str">
        <v>Combo 4</v>
      </c>
      <c r="G464" s="32">
        <v>398000</v>
      </c>
    </row>
    <row r="465">
      <c r="A465" s="33"/>
      <c r="B465" s="33" t="str">
        <v>68 LN NA</v>
      </c>
      <c r="C465" s="33" t="str">
        <v>DV_Cắt_Vip</v>
      </c>
      <c r="D465" s="33">
        <v>1046</v>
      </c>
      <c r="E465" s="33">
        <f>B465&amp;D465</f>
      </c>
      <c r="F465" s="33" t="str">
        <v>Shinecombo 2</v>
      </c>
      <c r="G465" s="32">
        <v>208000</v>
      </c>
    </row>
    <row r="466">
      <c r="A466" s="33"/>
      <c r="B466" s="33" t="str">
        <v>7 DTP LA</v>
      </c>
      <c r="C466" s="33" t="str">
        <v>DV_Cắt</v>
      </c>
      <c r="D466" s="33">
        <v>513</v>
      </c>
      <c r="E466" s="33">
        <f>B466&amp;D466</f>
      </c>
      <c r="F466" s="33" t="str">
        <v>[DV] ShineCombo 10 bước Ultra Care 2023</v>
      </c>
      <c r="G466" s="32">
        <v>122000</v>
      </c>
    </row>
    <row r="467">
      <c r="A467" s="33"/>
      <c r="B467" s="33" t="str">
        <v>7 DTP LA</v>
      </c>
      <c r="C467" s="33" t="str">
        <v>DV_Cắt</v>
      </c>
      <c r="D467" s="33">
        <v>891</v>
      </c>
      <c r="E467" s="33">
        <f>B467&amp;D467</f>
      </c>
      <c r="F467" s="33" t="str">
        <v>Cắt xả tạo kiểu</v>
      </c>
      <c r="G467" s="32">
        <v>103000</v>
      </c>
    </row>
    <row r="468">
      <c r="A468" s="33"/>
      <c r="B468" s="33" t="str">
        <v>7 DTP LA</v>
      </c>
      <c r="C468" s="33" t="str">
        <v>DV_Cắt</v>
      </c>
      <c r="D468" s="33">
        <v>1002</v>
      </c>
      <c r="E468" s="33">
        <f>B468&amp;D468</f>
      </c>
      <c r="F468" s="33" t="str">
        <v>Kid Cắt</v>
      </c>
      <c r="G468" s="32">
        <v>84000</v>
      </c>
    </row>
    <row r="469">
      <c r="A469" s="33"/>
      <c r="B469" s="33" t="str">
        <v>7 DTP LA</v>
      </c>
      <c r="C469" s="33" t="str">
        <v>DV_Cắt_Vip</v>
      </c>
      <c r="D469" s="33">
        <v>1047</v>
      </c>
      <c r="E469" s="33">
        <f>B469&amp;D469</f>
      </c>
      <c r="F469" s="33" t="str">
        <v>Cắt Gội Combo 3 - Chăm da</v>
      </c>
      <c r="G469" s="32">
        <v>308000</v>
      </c>
    </row>
    <row r="470">
      <c r="A470" s="33"/>
      <c r="B470" s="33" t="str">
        <v>7 DTP LA</v>
      </c>
      <c r="C470" s="33" t="str">
        <v>DV_Cắt_Vip</v>
      </c>
      <c r="D470" s="33">
        <v>1048</v>
      </c>
      <c r="E470" s="33">
        <f>B470&amp;D470</f>
      </c>
      <c r="F470" s="33" t="str">
        <v>Combo 4</v>
      </c>
      <c r="G470" s="32">
        <v>398000</v>
      </c>
    </row>
    <row r="471">
      <c r="A471" s="33"/>
      <c r="B471" s="33" t="str">
        <v>7 DTP LA</v>
      </c>
      <c r="C471" s="33" t="str">
        <v>DV_Cắt_Vip</v>
      </c>
      <c r="D471" s="33">
        <v>1046</v>
      </c>
      <c r="E471" s="33">
        <f>B471&amp;D471</f>
      </c>
      <c r="F471" s="33" t="str">
        <v>Shinecombo 2</v>
      </c>
      <c r="G471" s="32">
        <v>208000</v>
      </c>
    </row>
    <row r="472">
      <c r="A472" s="33"/>
      <c r="B472" s="33" t="str">
        <v>708 LTT</v>
      </c>
      <c r="C472" s="33" t="str">
        <v>DV_Cắt</v>
      </c>
      <c r="D472" s="33">
        <v>513</v>
      </c>
      <c r="E472" s="33">
        <f>B472&amp;D472</f>
      </c>
      <c r="F472" s="33" t="str">
        <v>[DV] ShineCombo 10 bước Ultra Care 2023</v>
      </c>
      <c r="G472" s="32">
        <v>122000</v>
      </c>
    </row>
    <row r="473">
      <c r="A473" s="33"/>
      <c r="B473" s="33" t="str">
        <v>708 LTT</v>
      </c>
      <c r="C473" s="33" t="str">
        <v>DV_Cắt</v>
      </c>
      <c r="D473" s="33">
        <v>1070</v>
      </c>
      <c r="E473" s="33">
        <f>B473&amp;D473</f>
      </c>
      <c r="F473" s="33" t="str">
        <v>Combo Cắt gội Kid</v>
      </c>
      <c r="G473" s="32">
        <v>100000</v>
      </c>
    </row>
    <row r="474">
      <c r="A474" s="33"/>
      <c r="B474" s="33" t="str">
        <v>708 LTT</v>
      </c>
      <c r="C474" s="33" t="str">
        <v>DV_Cắt</v>
      </c>
      <c r="D474" s="33">
        <v>891</v>
      </c>
      <c r="E474" s="33">
        <f>B474&amp;D474</f>
      </c>
      <c r="F474" s="33" t="str">
        <v>Cắt xả tạo kiểu</v>
      </c>
      <c r="G474" s="32">
        <v>103000</v>
      </c>
    </row>
    <row r="475">
      <c r="A475" s="33"/>
      <c r="B475" s="33" t="str">
        <v>708 LTT</v>
      </c>
      <c r="C475" s="33" t="str">
        <v>DV_Cắt</v>
      </c>
      <c r="D475" s="33">
        <v>1002</v>
      </c>
      <c r="E475" s="33">
        <f>B475&amp;D475</f>
      </c>
      <c r="F475" s="33" t="str">
        <v>Kid Cắt</v>
      </c>
      <c r="G475" s="32">
        <v>84000</v>
      </c>
    </row>
    <row r="476">
      <c r="A476" s="33"/>
      <c r="B476" s="33" t="str">
        <v>708 LTT</v>
      </c>
      <c r="C476" s="33" t="str">
        <v>DV_Cắt_Vip</v>
      </c>
      <c r="D476" s="33">
        <v>1047</v>
      </c>
      <c r="E476" s="33">
        <f>B476&amp;D476</f>
      </c>
      <c r="F476" s="33" t="str">
        <v>Cắt Gội Combo 3 - Chăm da</v>
      </c>
      <c r="G476" s="32">
        <v>308000</v>
      </c>
    </row>
    <row r="477">
      <c r="A477" s="33"/>
      <c r="B477" s="33" t="str">
        <v>708 LTT</v>
      </c>
      <c r="C477" s="33" t="str">
        <v>DV_Cắt_Vip</v>
      </c>
      <c r="D477" s="33">
        <v>1065</v>
      </c>
      <c r="E477" s="33">
        <f>B477&amp;D477</f>
      </c>
      <c r="F477" s="33" t="str">
        <v>Cắt Gội Combo 3 - Dưỡng sinh</v>
      </c>
      <c r="G477" s="32">
        <v>308000</v>
      </c>
    </row>
    <row r="478">
      <c r="A478" s="33"/>
      <c r="B478" s="33" t="str">
        <v>708 LTT</v>
      </c>
      <c r="C478" s="33" t="str">
        <v>DV_Cắt_Vip</v>
      </c>
      <c r="D478" s="33">
        <v>1048</v>
      </c>
      <c r="E478" s="33">
        <f>B478&amp;D478</f>
      </c>
      <c r="F478" s="33" t="str">
        <v>Combo 4</v>
      </c>
      <c r="G478" s="32">
        <v>398000</v>
      </c>
    </row>
    <row r="479">
      <c r="A479" s="33"/>
      <c r="B479" s="33" t="str">
        <v>708 LTT</v>
      </c>
      <c r="C479" s="33" t="str">
        <v>DV_Cắt_Vip</v>
      </c>
      <c r="D479" s="33">
        <v>1194</v>
      </c>
      <c r="E479" s="33">
        <f>B479&amp;D479</f>
      </c>
      <c r="F479" s="33" t="str">
        <v>Combo Best choice</v>
      </c>
      <c r="G479" s="32">
        <v>308000</v>
      </c>
    </row>
    <row r="480">
      <c r="A480" s="33"/>
      <c r="B480" s="33" t="str">
        <v>708 LTT</v>
      </c>
      <c r="C480" s="33" t="str">
        <v>DV_Cắt_Vip</v>
      </c>
      <c r="D480" s="33">
        <v>1046</v>
      </c>
      <c r="E480" s="33">
        <f>B480&amp;D480</f>
      </c>
      <c r="F480" s="33" t="str">
        <v>Shinecombo 2</v>
      </c>
      <c r="G480" s="32">
        <v>208000</v>
      </c>
    </row>
    <row r="481">
      <c r="A481" s="33"/>
      <c r="B481" s="33" t="str">
        <v>730 TL10</v>
      </c>
      <c r="C481" s="33" t="str">
        <v>DV_Cắt</v>
      </c>
      <c r="D481" s="33">
        <v>513</v>
      </c>
      <c r="E481" s="33">
        <f>B481&amp;D481</f>
      </c>
      <c r="F481" s="33" t="str">
        <v>[DV] ShineCombo 10 bước Ultra Care 2023</v>
      </c>
      <c r="G481" s="32">
        <v>122000</v>
      </c>
    </row>
    <row r="482">
      <c r="A482" s="33"/>
      <c r="B482" s="33" t="str">
        <v>730 TL10</v>
      </c>
      <c r="C482" s="33" t="str">
        <v>DV_Cắt</v>
      </c>
      <c r="D482" s="33">
        <v>891</v>
      </c>
      <c r="E482" s="33">
        <f>B482&amp;D482</f>
      </c>
      <c r="F482" s="33" t="str">
        <v>Cắt xả tạo kiểu</v>
      </c>
      <c r="G482" s="32">
        <v>100000</v>
      </c>
    </row>
    <row r="483">
      <c r="A483" s="33"/>
      <c r="B483" s="33" t="str">
        <v>730 TL10</v>
      </c>
      <c r="C483" s="33" t="str">
        <v>DV_Cắt</v>
      </c>
      <c r="D483" s="33">
        <v>1052</v>
      </c>
      <c r="E483" s="33">
        <f>B483&amp;D483</f>
      </c>
      <c r="F483" s="33" t="str">
        <v>Combo 1 - First Class 1</v>
      </c>
      <c r="G483" s="32">
        <v>159000</v>
      </c>
    </row>
    <row r="484">
      <c r="A484" s="33"/>
      <c r="B484" s="33" t="str">
        <v>730 TL10</v>
      </c>
      <c r="C484" s="33" t="str">
        <v>DV_Cắt</v>
      </c>
      <c r="D484" s="33">
        <v>1002</v>
      </c>
      <c r="E484" s="33">
        <f>B484&amp;D484</f>
      </c>
      <c r="F484" s="33" t="str">
        <v>Kid Cắt</v>
      </c>
      <c r="G484" s="32">
        <v>81000</v>
      </c>
    </row>
    <row r="485">
      <c r="A485" s="33"/>
      <c r="B485" s="33" t="str">
        <v>730 TL10</v>
      </c>
      <c r="C485" s="33" t="str">
        <v>DV_Cắt_Vip</v>
      </c>
      <c r="D485" s="33">
        <v>1047</v>
      </c>
      <c r="E485" s="33">
        <f>B485&amp;D485</f>
      </c>
      <c r="F485" s="33" t="str">
        <v>Cắt Gội Combo 3 - Chăm da</v>
      </c>
      <c r="G485" s="32">
        <v>305000</v>
      </c>
    </row>
    <row r="486">
      <c r="A486" s="33"/>
      <c r="B486" s="33" t="str">
        <v>730 TL10</v>
      </c>
      <c r="C486" s="33" t="str">
        <v>DV_Cắt_Vip</v>
      </c>
      <c r="D486" s="33">
        <v>1065</v>
      </c>
      <c r="E486" s="33">
        <f>B486&amp;D486</f>
      </c>
      <c r="F486" s="33" t="str">
        <v>Cắt Gội Combo 3 - Dưỡng sinh</v>
      </c>
      <c r="G486" s="32">
        <v>305000</v>
      </c>
    </row>
    <row r="487">
      <c r="A487" s="33"/>
      <c r="B487" s="33" t="str">
        <v>730 TL10</v>
      </c>
      <c r="C487" s="33" t="str">
        <v>DV_Cắt_Vip</v>
      </c>
      <c r="D487" s="33">
        <v>1064</v>
      </c>
      <c r="E487" s="33">
        <f>B487&amp;D487</f>
      </c>
      <c r="F487" s="33" t="str">
        <v>Cắt Gội Combo 5 - Dưỡng sinh</v>
      </c>
      <c r="G487" s="32">
        <v>465000</v>
      </c>
    </row>
    <row r="488">
      <c r="A488" s="33"/>
      <c r="B488" s="33" t="str">
        <v>730 TL10</v>
      </c>
      <c r="C488" s="33" t="str">
        <v>DV_Cắt_Vip</v>
      </c>
      <c r="D488" s="33">
        <v>1048</v>
      </c>
      <c r="E488" s="33">
        <f>B488&amp;D488</f>
      </c>
      <c r="F488" s="33" t="str">
        <v>Combo 4</v>
      </c>
      <c r="G488" s="32">
        <v>395000</v>
      </c>
    </row>
    <row r="489">
      <c r="A489" s="33"/>
      <c r="B489" s="33" t="str">
        <v>730 TL10</v>
      </c>
      <c r="C489" s="33" t="str">
        <v>DV_Cắt</v>
      </c>
      <c r="D489" s="33">
        <v>1070</v>
      </c>
      <c r="E489" s="33">
        <f>B489&amp;D489</f>
      </c>
      <c r="F489" s="33" t="str">
        <v>Combo Cắt gội Kid</v>
      </c>
      <c r="G489" s="32">
        <v>100000</v>
      </c>
    </row>
    <row r="490">
      <c r="A490" s="33"/>
      <c r="B490" s="33" t="str">
        <v>730 TL10</v>
      </c>
      <c r="C490" s="33" t="str">
        <v>DV_Cắt_Vip</v>
      </c>
      <c r="D490" s="33">
        <v>1194</v>
      </c>
      <c r="E490" s="33">
        <f>B490&amp;D490</f>
      </c>
      <c r="F490" s="33" t="str">
        <v>Combo Best choice</v>
      </c>
      <c r="G490" s="32">
        <v>305000</v>
      </c>
    </row>
    <row r="491">
      <c r="A491" s="33"/>
      <c r="B491" s="33" t="str">
        <v>730 TL10</v>
      </c>
      <c r="C491" s="33" t="str">
        <v>DV_Cắt_Vip</v>
      </c>
      <c r="D491" s="33">
        <v>1046</v>
      </c>
      <c r="E491" s="33">
        <f>B491&amp;D491</f>
      </c>
      <c r="F491" s="33" t="str">
        <v>Shinecombo 2</v>
      </c>
      <c r="G491" s="32">
        <v>205000</v>
      </c>
    </row>
    <row r="492">
      <c r="A492" s="33"/>
      <c r="B492" s="33" t="str">
        <v>76 PVH</v>
      </c>
      <c r="C492" s="33" t="str">
        <v>DV_Cắt</v>
      </c>
      <c r="D492" s="33">
        <v>513</v>
      </c>
      <c r="E492" s="33">
        <f>B492&amp;D492</f>
      </c>
      <c r="F492" s="33" t="str">
        <v>[DV] ShineCombo 10 bước Ultra Care 2023</v>
      </c>
      <c r="G492" s="32">
        <v>122000</v>
      </c>
    </row>
    <row r="493">
      <c r="A493" s="33"/>
      <c r="B493" s="33" t="str">
        <v>76 PVH</v>
      </c>
      <c r="C493" s="33" t="str">
        <v>DV_Cắt</v>
      </c>
      <c r="D493" s="33">
        <v>891</v>
      </c>
      <c r="E493" s="33">
        <f>B493&amp;D493</f>
      </c>
      <c r="F493" s="33" t="str">
        <v>Cắt xả tạo kiểu</v>
      </c>
      <c r="G493" s="32">
        <v>94000</v>
      </c>
    </row>
    <row r="494">
      <c r="A494" s="33"/>
      <c r="B494" s="33" t="str">
        <v>76 PVH</v>
      </c>
      <c r="C494" s="33" t="str">
        <v>DV_Cắt</v>
      </c>
      <c r="D494" s="33">
        <v>1002</v>
      </c>
      <c r="E494" s="33">
        <f>B494&amp;D494</f>
      </c>
      <c r="F494" s="33" t="str">
        <v>Kid Cắt</v>
      </c>
      <c r="G494" s="32">
        <v>75000</v>
      </c>
    </row>
    <row r="495">
      <c r="A495" s="33"/>
      <c r="B495" s="33" t="str">
        <v>76 PVH</v>
      </c>
      <c r="C495" s="33" t="str">
        <v>DV_Cắt_Vip</v>
      </c>
      <c r="D495" s="33">
        <v>1047</v>
      </c>
      <c r="E495" s="33">
        <f>B495&amp;D495</f>
      </c>
      <c r="F495" s="33" t="str">
        <v>Cắt Gội Combo 3 - Chăm da</v>
      </c>
      <c r="G495" s="32">
        <v>299000</v>
      </c>
    </row>
    <row r="496">
      <c r="A496" s="33"/>
      <c r="B496" s="33" t="str">
        <v>76 PVH</v>
      </c>
      <c r="C496" s="33" t="str">
        <v>DV_Cắt_Vip</v>
      </c>
      <c r="D496" s="33">
        <v>1065</v>
      </c>
      <c r="E496" s="33">
        <f>B496&amp;D496</f>
      </c>
      <c r="F496" s="33" t="str">
        <v>Cắt Gội Combo 3 - Dưỡng sinh</v>
      </c>
      <c r="G496" s="32">
        <v>299000</v>
      </c>
    </row>
    <row r="497">
      <c r="A497" s="33"/>
      <c r="B497" s="33" t="str">
        <v>76 PVH</v>
      </c>
      <c r="C497" s="33" t="str">
        <v>DV_Cắt_Vip</v>
      </c>
      <c r="D497" s="33">
        <v>1064</v>
      </c>
      <c r="E497" s="33">
        <f>B497&amp;D497</f>
      </c>
      <c r="F497" s="33" t="str">
        <v>Cắt Gội Combo 5 - Dưỡng sinh</v>
      </c>
      <c r="G497" s="32">
        <v>459000</v>
      </c>
    </row>
    <row r="498">
      <c r="A498" s="33"/>
      <c r="B498" s="33" t="str">
        <v>76 PVH</v>
      </c>
      <c r="C498" s="33" t="str">
        <v>DV_Cắt_Vip</v>
      </c>
      <c r="D498" s="33">
        <v>1048</v>
      </c>
      <c r="E498" s="33">
        <f>B498&amp;D498</f>
      </c>
      <c r="F498" s="33" t="str">
        <v>Combo 4</v>
      </c>
      <c r="G498" s="32">
        <v>389000</v>
      </c>
    </row>
    <row r="499">
      <c r="A499" s="33"/>
      <c r="B499" s="33" t="str">
        <v>76 PVH</v>
      </c>
      <c r="C499" s="33" t="str">
        <v>DV_Cắt_Vip</v>
      </c>
      <c r="D499" s="33">
        <v>1194</v>
      </c>
      <c r="E499" s="33">
        <f>B499&amp;D499</f>
      </c>
      <c r="F499" s="33" t="str">
        <v>Combo Best choice</v>
      </c>
      <c r="G499" s="32">
        <v>299000</v>
      </c>
    </row>
    <row r="500">
      <c r="A500" s="33"/>
      <c r="B500" s="33" t="str">
        <v>76 PVH</v>
      </c>
      <c r="C500" s="33" t="str">
        <v>DV_Cắt_Vip</v>
      </c>
      <c r="D500" s="33">
        <v>1046</v>
      </c>
      <c r="E500" s="33">
        <f>B500&amp;D500</f>
      </c>
      <c r="F500" s="33" t="str">
        <v>Shinecombo 2</v>
      </c>
      <c r="G500" s="32">
        <v>199000</v>
      </c>
    </row>
    <row r="501">
      <c r="A501" s="33"/>
      <c r="B501" s="33" t="str">
        <v>8 CVL</v>
      </c>
      <c r="C501" s="33" t="str">
        <v>DV_Cắt</v>
      </c>
      <c r="D501" s="33">
        <v>513</v>
      </c>
      <c r="E501" s="33">
        <f>B501&amp;D501</f>
      </c>
      <c r="F501" s="33" t="str">
        <v>[DV] ShineCombo 10 bước Ultra Care 2023</v>
      </c>
      <c r="G501" s="32">
        <v>122000</v>
      </c>
    </row>
    <row r="502">
      <c r="A502" s="33"/>
      <c r="B502" s="33" t="str">
        <v>8 CVL</v>
      </c>
      <c r="C502" s="33" t="str">
        <v>DV_Cắt</v>
      </c>
      <c r="D502" s="33">
        <v>891</v>
      </c>
      <c r="E502" s="33">
        <f>B502&amp;D502</f>
      </c>
      <c r="F502" s="33" t="str">
        <v>Cắt xả tạo kiểu</v>
      </c>
      <c r="G502" s="32">
        <v>100000</v>
      </c>
    </row>
    <row r="503">
      <c r="A503" s="33"/>
      <c r="B503" s="33" t="str">
        <v>8 CVL</v>
      </c>
      <c r="C503" s="33" t="str">
        <v>DV_Cắt</v>
      </c>
      <c r="D503" s="33">
        <v>1052</v>
      </c>
      <c r="E503" s="33">
        <f>B503&amp;D503</f>
      </c>
      <c r="F503" s="33" t="str">
        <v>Combo 1 - First Class 1</v>
      </c>
      <c r="G503" s="32">
        <v>159000</v>
      </c>
    </row>
    <row r="504">
      <c r="A504" s="33"/>
      <c r="B504" s="33" t="str">
        <v>8 CVL</v>
      </c>
      <c r="C504" s="33" t="str">
        <v>DV_Cắt</v>
      </c>
      <c r="D504" s="33">
        <v>1002</v>
      </c>
      <c r="E504" s="33">
        <f>B504&amp;D504</f>
      </c>
      <c r="F504" s="33" t="str">
        <v>Kid Cắt</v>
      </c>
      <c r="G504" s="32">
        <v>81000</v>
      </c>
    </row>
    <row r="505">
      <c r="A505" s="33"/>
      <c r="B505" s="33" t="str">
        <v>8 CVL</v>
      </c>
      <c r="C505" s="33" t="str">
        <v>DV_Cắt_Vip</v>
      </c>
      <c r="D505" s="33">
        <v>1047</v>
      </c>
      <c r="E505" s="33">
        <f>B505&amp;D505</f>
      </c>
      <c r="F505" s="33" t="str">
        <v>Cắt Gội Combo 3 - Chăm da</v>
      </c>
      <c r="G505" s="32">
        <v>293000</v>
      </c>
    </row>
    <row r="506">
      <c r="A506" s="33"/>
      <c r="B506" s="33" t="str">
        <v>8 CVL</v>
      </c>
      <c r="C506" s="33" t="str">
        <v>DV_Cắt_Vip</v>
      </c>
      <c r="D506" s="33">
        <v>1065</v>
      </c>
      <c r="E506" s="33">
        <f>B506&amp;D506</f>
      </c>
      <c r="F506" s="33" t="str">
        <v>Cắt Gội Combo 3 - Dưỡng sinh</v>
      </c>
      <c r="G506" s="32">
        <v>305000</v>
      </c>
    </row>
    <row r="507">
      <c r="A507" s="33"/>
      <c r="B507" s="33" t="str">
        <v>8 CVL</v>
      </c>
      <c r="C507" s="33" t="str">
        <v>DV_Cắt_Vip</v>
      </c>
      <c r="D507" s="33">
        <v>1064</v>
      </c>
      <c r="E507" s="33">
        <f>B507&amp;D507</f>
      </c>
      <c r="F507" s="33" t="str">
        <v>Cắt Gội Combo 5 - Dưỡng sinh</v>
      </c>
      <c r="G507" s="32">
        <v>465000</v>
      </c>
    </row>
    <row r="508">
      <c r="A508" s="33"/>
      <c r="B508" s="33" t="str">
        <v>8 CVL</v>
      </c>
      <c r="C508" s="33" t="str">
        <v>DV_Cắt_Vip</v>
      </c>
      <c r="D508" s="33">
        <v>1054</v>
      </c>
      <c r="E508" s="33">
        <f>B508&amp;D508</f>
      </c>
      <c r="F508" s="33" t="str">
        <v>Combo 3 - First Class 3</v>
      </c>
      <c r="G508" s="32">
        <v>305000</v>
      </c>
    </row>
    <row r="509">
      <c r="A509" s="33"/>
      <c r="B509" s="33" t="str">
        <v>8 CVL</v>
      </c>
      <c r="C509" s="33" t="str">
        <v>DV_Cắt_Vip</v>
      </c>
      <c r="D509" s="33">
        <v>1048</v>
      </c>
      <c r="E509" s="33">
        <f>B509&amp;D509</f>
      </c>
      <c r="F509" s="33" t="str">
        <v>Combo 4</v>
      </c>
      <c r="G509" s="32">
        <v>395000</v>
      </c>
    </row>
    <row r="510">
      <c r="A510" s="33"/>
      <c r="B510" s="33" t="str">
        <v>8 CVL</v>
      </c>
      <c r="C510" s="33" t="str">
        <v>DV_Cắt_Vip</v>
      </c>
      <c r="D510" s="33">
        <v>1194</v>
      </c>
      <c r="E510" s="33">
        <f>B510&amp;D510</f>
      </c>
      <c r="F510" s="33" t="str">
        <v>Combo Best choice</v>
      </c>
      <c r="G510" s="32">
        <v>305000</v>
      </c>
    </row>
    <row r="511">
      <c r="A511" s="33"/>
      <c r="B511" s="33" t="str">
        <v>8 CVL</v>
      </c>
      <c r="C511" s="33" t="str">
        <v>DV_Cắt_Vip</v>
      </c>
      <c r="D511" s="33">
        <v>1046</v>
      </c>
      <c r="E511" s="33">
        <f>B511&amp;D511</f>
      </c>
      <c r="F511" s="33" t="str">
        <v>Shinecombo 2</v>
      </c>
      <c r="G511" s="32">
        <v>205000</v>
      </c>
    </row>
    <row r="512">
      <c r="A512" s="33"/>
      <c r="B512" s="33" t="str">
        <v>80 PL BD</v>
      </c>
      <c r="C512" s="33" t="str">
        <v>DV_Cắt</v>
      </c>
      <c r="D512" s="33">
        <v>513</v>
      </c>
      <c r="E512" s="33">
        <f>B512&amp;D512</f>
      </c>
      <c r="F512" s="33" t="str">
        <v>[DV] ShineCombo 10 bước Ultra Care 2023</v>
      </c>
      <c r="G512" s="32">
        <v>122000</v>
      </c>
    </row>
    <row r="513">
      <c r="A513" s="33"/>
      <c r="B513" s="33" t="str">
        <v>80 PL BD</v>
      </c>
      <c r="C513" s="33" t="str">
        <v>DV_Cắt</v>
      </c>
      <c r="D513" s="33">
        <v>891</v>
      </c>
      <c r="E513" s="33">
        <f>B513&amp;D513</f>
      </c>
      <c r="F513" s="33" t="str">
        <v>Cắt xả tạo kiểu</v>
      </c>
      <c r="G513" s="32">
        <v>94000</v>
      </c>
    </row>
    <row r="514">
      <c r="A514" s="33"/>
      <c r="B514" s="33" t="str">
        <v>80 PL BD</v>
      </c>
      <c r="C514" s="33" t="str">
        <v>DV_Cắt</v>
      </c>
      <c r="D514" s="33">
        <v>1052</v>
      </c>
      <c r="E514" s="33">
        <f>B514&amp;D514</f>
      </c>
      <c r="F514" s="33" t="str">
        <v>Combo 1 - First Class 1</v>
      </c>
      <c r="G514" s="32">
        <v>159000</v>
      </c>
    </row>
    <row r="515">
      <c r="A515" s="33"/>
      <c r="B515" s="33" t="str">
        <v>80 PL BD</v>
      </c>
      <c r="C515" s="33" t="str">
        <v>DV_Cắt</v>
      </c>
      <c r="D515" s="33">
        <v>1070</v>
      </c>
      <c r="E515" s="33">
        <f>B515&amp;D515</f>
      </c>
      <c r="F515" s="33" t="str">
        <v>Combo Cắt gội Kid</v>
      </c>
      <c r="G515" s="32">
        <v>100000</v>
      </c>
    </row>
    <row r="516">
      <c r="A516" s="33"/>
      <c r="B516" s="33" t="str">
        <v>80 PL BD</v>
      </c>
      <c r="C516" s="33" t="str">
        <v>DV_Cắt</v>
      </c>
      <c r="D516" s="33">
        <v>1002</v>
      </c>
      <c r="E516" s="33">
        <f>B516&amp;D516</f>
      </c>
      <c r="F516" s="33" t="str">
        <v>Kid Cắt</v>
      </c>
      <c r="G516" s="32">
        <v>75000</v>
      </c>
    </row>
    <row r="517">
      <c r="A517" s="33"/>
      <c r="B517" s="33" t="str">
        <v>80 PL BD</v>
      </c>
      <c r="C517" s="33" t="str">
        <v>DV_Cắt_Vip</v>
      </c>
      <c r="D517" s="33">
        <v>1047</v>
      </c>
      <c r="E517" s="33">
        <f>B517&amp;D517</f>
      </c>
      <c r="F517" s="33" t="str">
        <v>Cắt Gội Combo 3 - Chăm da</v>
      </c>
      <c r="G517" s="32">
        <v>299000</v>
      </c>
    </row>
    <row r="518">
      <c r="A518" s="33"/>
      <c r="B518" s="33" t="str">
        <v>80 PL BD</v>
      </c>
      <c r="C518" s="33" t="str">
        <v>DV_Cắt_Vip</v>
      </c>
      <c r="D518" s="33">
        <v>1065</v>
      </c>
      <c r="E518" s="33">
        <f>B518&amp;D518</f>
      </c>
      <c r="F518" s="33" t="str">
        <v>Cắt Gội Combo 3 - Dưỡng sinh</v>
      </c>
      <c r="G518" s="32">
        <v>299000</v>
      </c>
    </row>
    <row r="519">
      <c r="A519" s="33"/>
      <c r="B519" s="33" t="str">
        <v>80 PL BD</v>
      </c>
      <c r="C519" s="33" t="str">
        <v>DV_Cắt_Vip</v>
      </c>
      <c r="D519" s="33">
        <v>1048</v>
      </c>
      <c r="E519" s="33">
        <f>B519&amp;D519</f>
      </c>
      <c r="F519" s="33" t="str">
        <v>Combo 4</v>
      </c>
      <c r="G519" s="32">
        <v>389000</v>
      </c>
    </row>
    <row r="520">
      <c r="A520" s="33"/>
      <c r="B520" s="33" t="str">
        <v>80 PL BD</v>
      </c>
      <c r="C520" s="33" t="str">
        <v>DV_Cắt_Vip</v>
      </c>
      <c r="D520" s="33">
        <v>1150</v>
      </c>
      <c r="E520" s="33">
        <f>B520&amp;D520</f>
      </c>
      <c r="F520" s="33" t="str">
        <v>Combo cắt gội đỉnh cao thư giãn vip</v>
      </c>
      <c r="G520" s="32">
        <v>500000</v>
      </c>
    </row>
    <row r="521">
      <c r="A521" s="33"/>
      <c r="B521" s="33" t="str">
        <v>80 PL BD</v>
      </c>
      <c r="C521" s="33" t="str">
        <v>DV_Cắt_Vip</v>
      </c>
      <c r="D521" s="33">
        <v>1046</v>
      </c>
      <c r="E521" s="33">
        <f>B521&amp;D521</f>
      </c>
      <c r="F521" s="33" t="str">
        <v>Shinecombo 2</v>
      </c>
      <c r="G521" s="32">
        <v>199000</v>
      </c>
    </row>
    <row r="522">
      <c r="A522" s="33"/>
      <c r="B522" s="33" t="str">
        <v>80 TP TH</v>
      </c>
      <c r="C522" s="33" t="str">
        <v>DV_Cắt</v>
      </c>
      <c r="D522" s="33">
        <v>513</v>
      </c>
      <c r="E522" s="33">
        <f>B522&amp;D522</f>
      </c>
      <c r="F522" s="33" t="str">
        <v>[DV] ShineCombo 10 bước Ultra Care 2023</v>
      </c>
      <c r="G522" s="32">
        <v>122000</v>
      </c>
    </row>
    <row r="523">
      <c r="A523" s="33"/>
      <c r="B523" s="33" t="str">
        <v>80 TP TH</v>
      </c>
      <c r="C523" s="33" t="str">
        <v>DV_Cắt</v>
      </c>
      <c r="D523" s="33">
        <v>891</v>
      </c>
      <c r="E523" s="33">
        <f>B523&amp;D523</f>
      </c>
      <c r="F523" s="33" t="str">
        <v>Cắt xả tạo kiểu</v>
      </c>
      <c r="G523" s="32">
        <v>103000</v>
      </c>
    </row>
    <row r="524">
      <c r="A524" s="33"/>
      <c r="B524" s="33" t="str">
        <v>80 TP TH</v>
      </c>
      <c r="C524" s="33" t="str">
        <v>DV_Cắt</v>
      </c>
      <c r="D524" s="33">
        <v>1002</v>
      </c>
      <c r="E524" s="33">
        <f>B524&amp;D524</f>
      </c>
      <c r="F524" s="33" t="str">
        <v>Kid Cắt</v>
      </c>
      <c r="G524" s="32">
        <v>84000</v>
      </c>
    </row>
    <row r="525">
      <c r="A525" s="33"/>
      <c r="B525" s="33" t="str">
        <v>80 TP TH</v>
      </c>
      <c r="C525" s="33" t="str">
        <v>DV_Cắt</v>
      </c>
      <c r="D525" s="33">
        <v>1255</v>
      </c>
      <c r="E525" s="33">
        <f>B525&amp;D525</f>
      </c>
      <c r="F525" s="33" t="str">
        <v>VH Cắt gội dưỡng sinh Vip</v>
      </c>
      <c r="G525" s="32">
        <v>258000</v>
      </c>
    </row>
    <row r="526">
      <c r="A526" s="33"/>
      <c r="B526" s="33" t="str">
        <v>80 TP TH</v>
      </c>
      <c r="C526" s="33" t="str">
        <v>DV_Cắt_Vip</v>
      </c>
      <c r="D526" s="33">
        <v>1047</v>
      </c>
      <c r="E526" s="33">
        <f>B526&amp;D526</f>
      </c>
      <c r="F526" s="33" t="str">
        <v>Cắt Gội Combo 3 - Chăm da</v>
      </c>
      <c r="G526" s="32">
        <v>308000</v>
      </c>
    </row>
    <row r="527">
      <c r="A527" s="33"/>
      <c r="B527" s="33" t="str">
        <v>80 TP TH</v>
      </c>
      <c r="C527" s="33" t="str">
        <v>DV_Cắt_Vip</v>
      </c>
      <c r="D527" s="33">
        <v>1065</v>
      </c>
      <c r="E527" s="33">
        <f>B527&amp;D527</f>
      </c>
      <c r="F527" s="33" t="str">
        <v>Cắt Gội Combo 3 - Dưỡng sinh</v>
      </c>
      <c r="G527" s="32">
        <v>308000</v>
      </c>
    </row>
    <row r="528">
      <c r="A528" s="33"/>
      <c r="B528" s="33" t="str">
        <v>80 TP TH</v>
      </c>
      <c r="C528" s="33" t="str">
        <v>DV_Cắt_Vip</v>
      </c>
      <c r="D528" s="33">
        <v>1048</v>
      </c>
      <c r="E528" s="33">
        <f>B528&amp;D528</f>
      </c>
      <c r="F528" s="33" t="str">
        <v>Combo 4</v>
      </c>
      <c r="G528" s="32">
        <v>398000</v>
      </c>
    </row>
    <row r="529">
      <c r="A529" s="33"/>
      <c r="B529" s="33" t="str">
        <v>80 TP TH</v>
      </c>
      <c r="C529" s="33" t="str">
        <v>DV_Cắt_Vip</v>
      </c>
      <c r="D529" s="33">
        <v>1046</v>
      </c>
      <c r="E529" s="33">
        <f>B529&amp;D529</f>
      </c>
      <c r="F529" s="33" t="str">
        <v>Shinecombo 2</v>
      </c>
      <c r="G529" s="32">
        <v>208000</v>
      </c>
    </row>
    <row r="530">
      <c r="A530" s="33"/>
      <c r="B530" s="33" t="str">
        <v>80 TP TH</v>
      </c>
      <c r="C530" s="33" t="str">
        <v>DV_Cắt_Vip</v>
      </c>
      <c r="D530" s="33">
        <v>1256</v>
      </c>
      <c r="E530" s="33">
        <f>B530&amp;D530</f>
      </c>
      <c r="F530" s="33" t="str">
        <v>VH Cắt gội dưỡng sinh Vip LRT</v>
      </c>
      <c r="G530" s="32">
        <v>308000</v>
      </c>
    </row>
    <row r="531">
      <c r="A531" s="33"/>
      <c r="B531" s="33" t="str">
        <v>80 TP TH</v>
      </c>
      <c r="C531" s="33" t="str">
        <v>DV_Cắt_Vip</v>
      </c>
      <c r="D531" s="33">
        <v>1257</v>
      </c>
      <c r="E531" s="33">
        <f>B531&amp;D531</f>
      </c>
      <c r="F531" s="33" t="str">
        <v>VH Cắt gội thư giãn phục hồi</v>
      </c>
      <c r="G531" s="32">
        <v>458000</v>
      </c>
    </row>
    <row r="532">
      <c r="A532" s="33"/>
      <c r="B532" s="33" t="str">
        <v>90 NH</v>
      </c>
      <c r="C532" s="33" t="str">
        <v>DV_Cắt</v>
      </c>
      <c r="D532" s="33">
        <v>513</v>
      </c>
      <c r="E532" s="33">
        <f>B532&amp;D532</f>
      </c>
      <c r="F532" s="33" t="str">
        <v>[DV] ShineCombo 10 bước Ultra Care 2023</v>
      </c>
      <c r="G532" s="32">
        <v>122000</v>
      </c>
    </row>
    <row r="533">
      <c r="A533" s="33"/>
      <c r="B533" s="33" t="str">
        <v>90 NH</v>
      </c>
      <c r="C533" s="33" t="str">
        <v>DV_Cắt</v>
      </c>
      <c r="D533" s="33">
        <v>891</v>
      </c>
      <c r="E533" s="33">
        <f>B533&amp;D533</f>
      </c>
      <c r="F533" s="33" t="str">
        <v>Cắt xả tạo kiểu</v>
      </c>
      <c r="G533" s="32">
        <v>94000</v>
      </c>
    </row>
    <row r="534">
      <c r="A534" s="33"/>
      <c r="B534" s="33" t="str">
        <v>90 NH</v>
      </c>
      <c r="C534" s="33" t="str">
        <v>DV_Cắt</v>
      </c>
      <c r="D534" s="33">
        <v>1002</v>
      </c>
      <c r="E534" s="33">
        <f>B534&amp;D534</f>
      </c>
      <c r="F534" s="33" t="str">
        <v>Kid Cắt</v>
      </c>
      <c r="G534" s="32">
        <v>75000</v>
      </c>
    </row>
    <row r="535">
      <c r="A535" s="33"/>
      <c r="B535" s="33" t="str">
        <v>90 NH</v>
      </c>
      <c r="C535" s="33" t="str">
        <v>DV_Cắt_Vip</v>
      </c>
      <c r="D535" s="33">
        <v>1047</v>
      </c>
      <c r="E535" s="33">
        <f>B535&amp;D535</f>
      </c>
      <c r="F535" s="33" t="str">
        <v>Cắt Gội Combo 3 - Chăm da</v>
      </c>
      <c r="G535" s="32">
        <v>299000</v>
      </c>
    </row>
    <row r="536">
      <c r="A536" s="33"/>
      <c r="B536" s="33" t="str">
        <v>90 NH</v>
      </c>
      <c r="C536" s="33" t="str">
        <v>DV_Cắt_Vip</v>
      </c>
      <c r="D536" s="33">
        <v>1065</v>
      </c>
      <c r="E536" s="33">
        <f>B536&amp;D536</f>
      </c>
      <c r="F536" s="33" t="str">
        <v>Cắt Gội Combo 3 - Dưỡng sinh</v>
      </c>
      <c r="G536" s="32">
        <v>299000</v>
      </c>
    </row>
    <row r="537">
      <c r="A537" s="33"/>
      <c r="B537" s="33" t="str">
        <v>90 NH</v>
      </c>
      <c r="C537" s="33" t="str">
        <v>DV_Cắt_Vip</v>
      </c>
      <c r="D537" s="33">
        <v>1064</v>
      </c>
      <c r="E537" s="33">
        <f>B537&amp;D537</f>
      </c>
      <c r="F537" s="33" t="str">
        <v>Cắt Gội Combo 5 - Dưỡng sinh</v>
      </c>
      <c r="G537" s="32">
        <v>459000</v>
      </c>
    </row>
    <row r="538">
      <c r="A538" s="33"/>
      <c r="B538" s="33" t="str">
        <v>90 NH</v>
      </c>
      <c r="C538" s="33" t="str">
        <v>DV_Cắt_Vip</v>
      </c>
      <c r="D538" s="33">
        <v>1048</v>
      </c>
      <c r="E538" s="33">
        <f>B538&amp;D538</f>
      </c>
      <c r="F538" s="33" t="str">
        <v>Combo 4</v>
      </c>
      <c r="G538" s="32">
        <v>389000</v>
      </c>
    </row>
    <row r="539">
      <c r="A539" s="33"/>
      <c r="B539" s="33" t="str">
        <v>90 NH</v>
      </c>
      <c r="C539" s="33" t="str">
        <v>DV_Cắt_Vip</v>
      </c>
      <c r="D539" s="33">
        <v>1046</v>
      </c>
      <c r="E539" s="33">
        <f>B539&amp;D539</f>
      </c>
      <c r="F539" s="33" t="str">
        <v>Shinecombo 2</v>
      </c>
      <c r="G539" s="32">
        <v>199000</v>
      </c>
    </row>
    <row r="540">
      <c r="A540" s="33"/>
      <c r="B540" s="33" t="str">
        <v>927 HG</v>
      </c>
      <c r="C540" s="33" t="str">
        <v>DV_Cắt</v>
      </c>
      <c r="D540" s="33">
        <v>513</v>
      </c>
      <c r="E540" s="33">
        <f>B540&amp;D540</f>
      </c>
      <c r="F540" s="33" t="str">
        <v>[DV] ShineCombo 10 bước Ultra Care 2023</v>
      </c>
      <c r="G540" s="32">
        <v>122000</v>
      </c>
    </row>
    <row r="541">
      <c r="A541" s="33"/>
      <c r="B541" s="33" t="str">
        <v>927 HG</v>
      </c>
      <c r="C541" s="33" t="str">
        <v>DV_Cắt</v>
      </c>
      <c r="D541" s="33">
        <v>891</v>
      </c>
      <c r="E541" s="33">
        <f>B541&amp;D541</f>
      </c>
      <c r="F541" s="33" t="str">
        <v>Cắt xả tạo kiểu</v>
      </c>
      <c r="G541" s="32">
        <v>100000</v>
      </c>
    </row>
    <row r="542">
      <c r="A542" s="33"/>
      <c r="B542" s="33" t="str">
        <v>927 HG</v>
      </c>
      <c r="C542" s="33" t="str">
        <v>DV_Cắt</v>
      </c>
      <c r="D542" s="33">
        <v>1052</v>
      </c>
      <c r="E542" s="33">
        <f>B542&amp;D542</f>
      </c>
      <c r="F542" s="33" t="str">
        <v>Combo 1 - First Class 1</v>
      </c>
      <c r="G542" s="32">
        <v>139000</v>
      </c>
    </row>
    <row r="543">
      <c r="A543" s="33"/>
      <c r="B543" s="33" t="str">
        <v>927 HG</v>
      </c>
      <c r="C543" s="33" t="str">
        <v>DV_Cắt</v>
      </c>
      <c r="D543" s="33">
        <v>1002</v>
      </c>
      <c r="E543" s="33">
        <f>B543&amp;D543</f>
      </c>
      <c r="F543" s="33" t="str">
        <v>Kid Cắt</v>
      </c>
      <c r="G543" s="32">
        <v>81000</v>
      </c>
    </row>
    <row r="544">
      <c r="A544" s="33"/>
      <c r="B544" s="33" t="str">
        <v>927 HG</v>
      </c>
      <c r="C544" s="33" t="str">
        <v>DV_Cắt_Vip</v>
      </c>
      <c r="D544" s="33">
        <v>1047</v>
      </c>
      <c r="E544" s="33">
        <f>B544&amp;D544</f>
      </c>
      <c r="F544" s="33" t="str">
        <v>Cắt Gội Combo 3 - Chăm da</v>
      </c>
      <c r="G544" s="32">
        <v>305000</v>
      </c>
    </row>
    <row r="545">
      <c r="A545" s="33"/>
      <c r="B545" s="33" t="str">
        <v>927 HG</v>
      </c>
      <c r="C545" s="33" t="str">
        <v>DV_Cắt_Vip</v>
      </c>
      <c r="D545" s="33">
        <v>1053</v>
      </c>
      <c r="E545" s="33">
        <f>B545&amp;D545</f>
      </c>
      <c r="F545" s="33" t="str">
        <v>Combo 2 - First Class 2</v>
      </c>
      <c r="G545" s="32">
        <v>245000</v>
      </c>
    </row>
    <row r="546">
      <c r="A546" s="33"/>
      <c r="B546" s="33" t="str">
        <v>927 HG</v>
      </c>
      <c r="C546" s="33" t="str">
        <v>DV_Cắt_Vip</v>
      </c>
      <c r="D546" s="33">
        <v>1054</v>
      </c>
      <c r="E546" s="33">
        <f>B546&amp;D546</f>
      </c>
      <c r="F546" s="33" t="str">
        <v>Combo 3 - First Class 3</v>
      </c>
      <c r="G546" s="32">
        <v>315000</v>
      </c>
    </row>
    <row r="547">
      <c r="A547" s="33"/>
      <c r="B547" s="33" t="str">
        <v>927 HG</v>
      </c>
      <c r="C547" s="33" t="str">
        <v>DV_Cắt_Vip</v>
      </c>
      <c r="D547" s="33">
        <v>1048</v>
      </c>
      <c r="E547" s="33">
        <f>B547&amp;D547</f>
      </c>
      <c r="F547" s="33" t="str">
        <v>Combo 4</v>
      </c>
      <c r="G547" s="32">
        <v>395000</v>
      </c>
    </row>
    <row r="548">
      <c r="A548" s="33"/>
      <c r="B548" s="33" t="str">
        <v>927 HG</v>
      </c>
      <c r="C548" s="33" t="str">
        <v>DV_Cắt_Vip</v>
      </c>
      <c r="D548" s="33">
        <v>1055</v>
      </c>
      <c r="E548" s="33">
        <f>B548&amp;D548</f>
      </c>
      <c r="F548" s="33" t="str">
        <v>Combo 4- First Class 4</v>
      </c>
      <c r="G548" s="32">
        <v>415000</v>
      </c>
    </row>
    <row r="549">
      <c r="A549" s="33"/>
      <c r="B549" s="33" t="str">
        <v>927 HG</v>
      </c>
      <c r="C549" s="33" t="str">
        <v>DV_Cắt_Vip</v>
      </c>
      <c r="D549" s="33">
        <v>1046</v>
      </c>
      <c r="E549" s="33">
        <f>B549&amp;D549</f>
      </c>
      <c r="F549" s="33" t="str">
        <v>Shinecombo 2</v>
      </c>
      <c r="G549" s="32">
        <v>205000</v>
      </c>
    </row>
    <row r="550">
      <c r="A550" s="33"/>
      <c r="B550" s="33" t="str">
        <v>927 HG</v>
      </c>
      <c r="C550" s="33" t="str">
        <v>DV_Cắt</v>
      </c>
      <c r="D550" s="33">
        <v>1070</v>
      </c>
      <c r="E550" s="33">
        <f>B550&amp;D550</f>
      </c>
      <c r="F550" s="33" t="str">
        <v>Combo Cắt gội Kid</v>
      </c>
      <c r="G550" s="32">
        <v>100000</v>
      </c>
    </row>
    <row r="551">
      <c r="A551" s="33"/>
      <c r="B551" s="33" t="str">
        <v>99 TSN</v>
      </c>
      <c r="C551" s="33" t="str">
        <v>DV_Cắt</v>
      </c>
      <c r="D551" s="33">
        <v>513</v>
      </c>
      <c r="E551" s="33">
        <f>B551&amp;D551</f>
      </c>
      <c r="F551" s="33" t="str">
        <v>[DV] ShineCombo 10 bước Ultra Care 2023</v>
      </c>
      <c r="G551" s="32">
        <v>122000</v>
      </c>
    </row>
    <row r="552">
      <c r="A552" s="33"/>
      <c r="B552" s="33" t="str">
        <v>99 TSN</v>
      </c>
      <c r="C552" s="33" t="str">
        <v>DV_Cắt</v>
      </c>
      <c r="D552" s="33">
        <v>891</v>
      </c>
      <c r="E552" s="33">
        <f>B552&amp;D552</f>
      </c>
      <c r="F552" s="33" t="str">
        <v>Cắt xả tạo kiểu</v>
      </c>
      <c r="G552" s="32">
        <v>100000</v>
      </c>
    </row>
    <row r="553">
      <c r="A553" s="33"/>
      <c r="B553" s="33" t="str">
        <v>99 TSN</v>
      </c>
      <c r="C553" s="33" t="str">
        <v>DV_Cắt</v>
      </c>
      <c r="D553" s="33">
        <v>1002</v>
      </c>
      <c r="E553" s="33">
        <f>B553&amp;D553</f>
      </c>
      <c r="F553" s="33" t="str">
        <v>Kid Cắt</v>
      </c>
      <c r="G553" s="32">
        <v>81000</v>
      </c>
    </row>
    <row r="554">
      <c r="A554" s="33"/>
      <c r="B554" s="33" t="str">
        <v>99 TSN</v>
      </c>
      <c r="C554" s="33" t="str">
        <v>DV_Cắt_Vip</v>
      </c>
      <c r="D554" s="33">
        <v>1047</v>
      </c>
      <c r="E554" s="33">
        <f>B554&amp;D554</f>
      </c>
      <c r="F554" s="33" t="str">
        <v>Cắt Gội Combo 3 - Chăm da</v>
      </c>
      <c r="G554" s="32">
        <v>305000</v>
      </c>
    </row>
    <row r="555">
      <c r="A555" s="33"/>
      <c r="B555" s="33" t="str">
        <v>99 TSN</v>
      </c>
      <c r="C555" s="33" t="str">
        <v>DV_Cắt_Vip</v>
      </c>
      <c r="D555" s="33">
        <v>1065</v>
      </c>
      <c r="E555" s="33">
        <f>B555&amp;D555</f>
      </c>
      <c r="F555" s="33" t="str">
        <v>Cắt Gội Combo 3 - Dưỡng sinh</v>
      </c>
      <c r="G555" s="32">
        <v>305000</v>
      </c>
    </row>
    <row r="556">
      <c r="A556" s="33"/>
      <c r="B556" s="33" t="str">
        <v>99 TSN</v>
      </c>
      <c r="C556" s="33" t="str">
        <v>DV_Cắt_Vip</v>
      </c>
      <c r="D556" s="33">
        <v>1064</v>
      </c>
      <c r="E556" s="33">
        <f>B556&amp;D556</f>
      </c>
      <c r="F556" s="33" t="str">
        <v>Cắt Gội Combo 5 - Dưỡng sinh</v>
      </c>
      <c r="G556" s="32">
        <v>465000</v>
      </c>
    </row>
    <row r="557">
      <c r="A557" s="33"/>
      <c r="B557" s="33" t="str">
        <v>99 TSN</v>
      </c>
      <c r="C557" s="33" t="str">
        <v>DV_Cắt_Vip</v>
      </c>
      <c r="D557" s="33">
        <v>1053</v>
      </c>
      <c r="E557" s="33">
        <f>B557&amp;D557</f>
      </c>
      <c r="F557" s="33" t="str">
        <v>Combo 2 - First Class 2</v>
      </c>
      <c r="G557" s="32">
        <v>235000</v>
      </c>
    </row>
    <row r="558">
      <c r="A558" s="33"/>
      <c r="B558" s="33" t="str">
        <v>99 TSN</v>
      </c>
      <c r="C558" s="33" t="str">
        <v>DV_Cắt_Vip</v>
      </c>
      <c r="D558" s="33">
        <v>1048</v>
      </c>
      <c r="E558" s="33">
        <f>B558&amp;D558</f>
      </c>
      <c r="F558" s="33" t="str">
        <v>Combo 4</v>
      </c>
      <c r="G558" s="32">
        <v>395000</v>
      </c>
    </row>
    <row r="559">
      <c r="A559" s="33"/>
      <c r="B559" s="33" t="str">
        <v>99 TSN</v>
      </c>
      <c r="C559" s="33" t="str">
        <v>DV_Cắt_Vip</v>
      </c>
      <c r="D559" s="33">
        <v>1046</v>
      </c>
      <c r="E559" s="33">
        <f>B559&amp;D559</f>
      </c>
      <c r="F559" s="33" t="str">
        <v>Shinecombo 2</v>
      </c>
      <c r="G559" s="32">
        <v>205000</v>
      </c>
    </row>
    <row r="560">
      <c r="A560" s="33"/>
      <c r="B560" s="33" t="str">
        <v>99 TSN</v>
      </c>
      <c r="C560" s="33" t="str">
        <v>DV_Cắt</v>
      </c>
      <c r="D560" s="33">
        <v>1070</v>
      </c>
      <c r="E560" s="33">
        <f>B560&amp;D560</f>
      </c>
      <c r="F560" s="33" t="str">
        <v>Combo Cắt gội Kid</v>
      </c>
      <c r="G560" s="32">
        <v>100000</v>
      </c>
    </row>
    <row r="561">
      <c r="A561" s="33"/>
      <c r="B561" s="33" t="str">
        <v>TG 25/4 QN</v>
      </c>
      <c r="C561" s="33" t="str">
        <v>DV_Cắt</v>
      </c>
      <c r="D561" s="33">
        <v>513</v>
      </c>
      <c r="E561" s="33">
        <f>B561&amp;D561</f>
      </c>
      <c r="F561" s="33" t="str">
        <v>[DV] ShineCombo 10 bước Ultra Care 2023</v>
      </c>
      <c r="G561" s="32">
        <v>122000</v>
      </c>
    </row>
    <row r="562">
      <c r="A562" s="33"/>
      <c r="B562" s="33" t="str">
        <v>TG 25/4 QN</v>
      </c>
      <c r="C562" s="33" t="str">
        <v>DV_Cắt</v>
      </c>
      <c r="D562" s="33">
        <v>891</v>
      </c>
      <c r="E562" s="33">
        <f>B562&amp;D562</f>
      </c>
      <c r="F562" s="33" t="str">
        <v>Cắt xả tạo kiểu</v>
      </c>
      <c r="G562" s="32">
        <v>94000</v>
      </c>
    </row>
    <row r="563">
      <c r="A563" s="33"/>
      <c r="B563" s="33" t="str">
        <v>TG 25/4 QN</v>
      </c>
      <c r="C563" s="33" t="str">
        <v>DV_Cắt</v>
      </c>
      <c r="D563" s="33">
        <v>1070</v>
      </c>
      <c r="E563" s="33">
        <f>B563&amp;D563</f>
      </c>
      <c r="F563" s="33" t="str">
        <v>Combo Cắt gội Kid</v>
      </c>
      <c r="G563" s="32">
        <v>100000</v>
      </c>
    </row>
    <row r="564">
      <c r="A564" s="33"/>
      <c r="B564" s="33" t="str">
        <v>TG 25/4 QN</v>
      </c>
      <c r="C564" s="33" t="str">
        <v>DV_Cắt</v>
      </c>
      <c r="D564" s="33">
        <v>1002</v>
      </c>
      <c r="E564" s="33">
        <f>B564&amp;D564</f>
      </c>
      <c r="F564" s="33" t="str">
        <v>Kid Cắt</v>
      </c>
      <c r="G564" s="32">
        <v>75000</v>
      </c>
    </row>
    <row r="565">
      <c r="A565" s="33"/>
      <c r="B565" s="33" t="str">
        <v>TG 25/4 QN</v>
      </c>
      <c r="C565" s="33" t="str">
        <v>DV_Cắt_Vip</v>
      </c>
      <c r="D565" s="33">
        <v>1047</v>
      </c>
      <c r="E565" s="33">
        <f>B565&amp;D565</f>
      </c>
      <c r="F565" s="33" t="str">
        <v>Cắt Gội Combo 3 - Chăm da</v>
      </c>
      <c r="G565" s="32">
        <v>299000</v>
      </c>
    </row>
    <row r="566">
      <c r="A566" s="33"/>
      <c r="B566" s="33" t="str">
        <v>TG 25/4 QN</v>
      </c>
      <c r="C566" s="33" t="str">
        <v>DV_Cắt_Vip</v>
      </c>
      <c r="D566" s="33">
        <v>1048</v>
      </c>
      <c r="E566" s="33">
        <f>B566&amp;D566</f>
      </c>
      <c r="F566" s="33" t="str">
        <v>Combo 4</v>
      </c>
      <c r="G566" s="32">
        <v>389000</v>
      </c>
    </row>
    <row r="567">
      <c r="A567" s="33"/>
      <c r="B567" s="33" t="str">
        <v>TG 25/4 QN</v>
      </c>
      <c r="C567" s="33" t="str">
        <v>DV_Cắt_Vip</v>
      </c>
      <c r="D567" s="33">
        <v>1046</v>
      </c>
      <c r="E567" s="33">
        <f>B567&amp;D567</f>
      </c>
      <c r="F567" s="33" t="str">
        <v>Shinecombo 2</v>
      </c>
      <c r="G567" s="32">
        <v>199000</v>
      </c>
    </row>
    <row customHeight="true" ht="19" r="568">
      <c r="A568" s="33">
        <v>2</v>
      </c>
      <c r="B568" s="33">
        <f>VLOOKUP(A568,'Cắt Gội'!$A:$C,3,0)</f>
      </c>
      <c r="C568" s="33"/>
      <c r="D568" s="33">
        <v>1058</v>
      </c>
      <c r="E568" s="33">
        <f>B568&amp;D568</f>
      </c>
      <c r="F568" s="33" t="str">
        <v>Gội Combo 2</v>
      </c>
      <c r="G568" s="32">
        <v>159000</v>
      </c>
    </row>
    <row r="569">
      <c r="A569">
        <v>2</v>
      </c>
      <c r="B569" s="33">
        <f>VLOOKUP(A569,'Cắt Gội'!$A:$C,3,0)</f>
      </c>
      <c r="D569">
        <v>1059</v>
      </c>
      <c r="E569" s="33">
        <f>B569&amp;D569</f>
      </c>
      <c r="F569" t="str">
        <v>Gội Combo 3 - Chăm da</v>
      </c>
      <c r="G569">
        <v>219000</v>
      </c>
    </row>
    <row r="570">
      <c r="A570">
        <v>2</v>
      </c>
      <c r="B570" s="33">
        <f>VLOOKUP(A570,'Cắt Gội'!$A:$C,3,0)</f>
      </c>
      <c r="D570">
        <v>1059</v>
      </c>
      <c r="E570" s="33">
        <f>B570&amp;D570</f>
      </c>
      <c r="F570" t="str">
        <v>Gội Combo 3 - Chăm da</v>
      </c>
      <c r="G570">
        <v>239000</v>
      </c>
    </row>
    <row r="571">
      <c r="A571">
        <v>2</v>
      </c>
      <c r="B571" s="33">
        <f>VLOOKUP(A571,'Cắt Gội'!$A:$C,3,0)</f>
      </c>
      <c r="D571">
        <v>1060</v>
      </c>
      <c r="E571" s="33">
        <f>B571&amp;D571</f>
      </c>
      <c r="F571" t="str">
        <v>Gội Combo 4</v>
      </c>
      <c r="G571">
        <v>289000</v>
      </c>
    </row>
    <row r="572">
      <c r="A572">
        <v>2</v>
      </c>
      <c r="B572" s="33">
        <f>VLOOKUP(A572,'Cắt Gội'!$A:$C,3,0)</f>
      </c>
      <c r="D572">
        <v>1060</v>
      </c>
      <c r="E572" s="33">
        <f>B572&amp;D572</f>
      </c>
      <c r="F572" t="str">
        <v>Gội Combo 4</v>
      </c>
      <c r="G572">
        <v>319000</v>
      </c>
    </row>
    <row r="573">
      <c r="A573">
        <v>2</v>
      </c>
      <c r="B573" s="33">
        <f>VLOOKUP(A573,'Cắt Gội'!$A:$C,3,0)</f>
      </c>
      <c r="D573">
        <v>867</v>
      </c>
      <c r="E573" s="33">
        <f>B573&amp;D573</f>
      </c>
      <c r="F573" t="str">
        <v>Gội dưỡng sinh cổ vai gáy</v>
      </c>
      <c r="G573">
        <v>95000</v>
      </c>
    </row>
    <row r="574">
      <c r="A574">
        <v>2</v>
      </c>
      <c r="B574" s="33">
        <f>VLOOKUP(A574,'Cắt Gội'!$A:$C,3,0)</f>
      </c>
      <c r="D574">
        <v>867</v>
      </c>
      <c r="E574" s="33">
        <f>B574&amp;D574</f>
      </c>
      <c r="F574" t="str">
        <v>Gội dưỡng sinh cổ vai gáy</v>
      </c>
      <c r="G574">
        <v>99000</v>
      </c>
    </row>
    <row r="575">
      <c r="A575">
        <v>2</v>
      </c>
      <c r="B575" s="33">
        <f>VLOOKUP(A575,'Cắt Gội'!$A:$C,3,0)</f>
      </c>
      <c r="D575">
        <v>1066</v>
      </c>
      <c r="E575" s="33">
        <f>B575&amp;D575</f>
      </c>
      <c r="F575" t="str">
        <v>Gội trải nghiệm 75p</v>
      </c>
      <c r="G575">
        <v>589000</v>
      </c>
    </row>
    <row r="576">
      <c r="A576">
        <v>2</v>
      </c>
      <c r="B576" s="33">
        <f>VLOOKUP(A576,'Cắt Gội'!$A:$C,3,0)</f>
      </c>
      <c r="D576">
        <v>1067</v>
      </c>
      <c r="E576" s="33">
        <f>B576&amp;D576</f>
      </c>
      <c r="F576" t="str">
        <v>Gội trải nghiệm 90p</v>
      </c>
      <c r="G576">
        <v>789000</v>
      </c>
    </row>
    <row r="577">
      <c r="A577">
        <v>2</v>
      </c>
      <c r="B577" s="33">
        <f>VLOOKUP(A577,'Cắt Gội'!$A:$C,3,0)</f>
      </c>
      <c r="D577">
        <v>940</v>
      </c>
      <c r="E577" s="33">
        <f>B577&amp;D577</f>
      </c>
      <c r="F577" t="str">
        <v>[NEW] Gội dưỡng sinh</v>
      </c>
      <c r="G577">
        <v>59000</v>
      </c>
    </row>
    <row r="578">
      <c r="A578">
        <v>11</v>
      </c>
      <c r="B578" s="33">
        <f>VLOOKUP(A578,'Cắt Gội'!$A:$C,3,0)</f>
      </c>
      <c r="D578">
        <v>1058</v>
      </c>
      <c r="E578" s="33">
        <f>B578&amp;D578</f>
      </c>
      <c r="F578" t="str">
        <v>Gội Combo 2</v>
      </c>
      <c r="G578">
        <v>159000</v>
      </c>
    </row>
    <row r="579">
      <c r="A579">
        <v>11</v>
      </c>
      <c r="B579" s="33">
        <f>VLOOKUP(A579,'Cắt Gội'!$A:$C,3,0)</f>
      </c>
      <c r="D579">
        <v>1059</v>
      </c>
      <c r="E579" s="33">
        <f>B579&amp;D579</f>
      </c>
      <c r="F579" t="str">
        <v>Gội Combo 3 - Chăm da</v>
      </c>
      <c r="G579">
        <v>219000</v>
      </c>
    </row>
    <row r="580">
      <c r="A580">
        <v>11</v>
      </c>
      <c r="B580" s="33">
        <f>VLOOKUP(A580,'Cắt Gội'!$A:$C,3,0)</f>
      </c>
      <c r="D580">
        <v>1060</v>
      </c>
      <c r="E580" s="33">
        <f>B580&amp;D580</f>
      </c>
      <c r="F580" t="str">
        <v>Gội Combo 4</v>
      </c>
      <c r="G580">
        <v>319000</v>
      </c>
    </row>
    <row r="581">
      <c r="A581">
        <v>11</v>
      </c>
      <c r="B581" s="33">
        <f>VLOOKUP(A581,'Cắt Gội'!$A:$C,3,0)</f>
      </c>
      <c r="D581">
        <v>1060</v>
      </c>
      <c r="E581" s="33">
        <f>B581&amp;D581</f>
      </c>
      <c r="F581" t="str">
        <v>Gội Combo 4</v>
      </c>
      <c r="G581">
        <v>289000</v>
      </c>
    </row>
    <row r="582">
      <c r="A582">
        <v>11</v>
      </c>
      <c r="B582" s="33">
        <f>VLOOKUP(A582,'Cắt Gội'!$A:$C,3,0)</f>
      </c>
      <c r="D582">
        <v>934</v>
      </c>
      <c r="E582" s="33">
        <f>B582&amp;D582</f>
      </c>
      <c r="F582" t="str">
        <v>Gội combo 3 - Dưỡng sinh</v>
      </c>
      <c r="G582">
        <v>229000</v>
      </c>
    </row>
    <row r="583">
      <c r="A583">
        <v>11</v>
      </c>
      <c r="B583" s="33">
        <f>VLOOKUP(A583,'Cắt Gội'!$A:$C,3,0)</f>
      </c>
      <c r="D583">
        <v>932</v>
      </c>
      <c r="E583" s="33">
        <f>B583&amp;D583</f>
      </c>
      <c r="F583" t="str">
        <v>Gội combo 5 dưỡng sinh</v>
      </c>
      <c r="G583">
        <v>389000</v>
      </c>
    </row>
    <row r="584">
      <c r="A584">
        <v>11</v>
      </c>
      <c r="B584" s="33">
        <f>VLOOKUP(A584,'Cắt Gội'!$A:$C,3,0)</f>
      </c>
      <c r="D584">
        <v>867</v>
      </c>
      <c r="E584" s="33">
        <f>B584&amp;D584</f>
      </c>
      <c r="F584" t="str">
        <v>Gội dưỡng sinh cổ vai gáy</v>
      </c>
      <c r="G584">
        <v>95000</v>
      </c>
    </row>
    <row r="585">
      <c r="A585">
        <v>11</v>
      </c>
      <c r="B585" s="33">
        <f>VLOOKUP(A585,'Cắt Gội'!$A:$C,3,0)</f>
      </c>
      <c r="D585">
        <v>867</v>
      </c>
      <c r="E585" s="33">
        <f>B585&amp;D585</f>
      </c>
      <c r="F585" t="str">
        <v>Gội dưỡng sinh cổ vai gáy</v>
      </c>
      <c r="G585">
        <v>99000</v>
      </c>
    </row>
    <row r="586">
      <c r="A586">
        <v>11</v>
      </c>
      <c r="B586" s="33">
        <f>VLOOKUP(A586,'Cắt Gội'!$A:$C,3,0)</f>
      </c>
      <c r="D586">
        <v>1068</v>
      </c>
      <c r="E586" s="33">
        <f>B586&amp;D586</f>
      </c>
      <c r="F586" t="str">
        <v>Gội trải nghiệm 115p</v>
      </c>
      <c r="G586">
        <v>999000</v>
      </c>
    </row>
    <row r="587">
      <c r="A587">
        <v>11</v>
      </c>
      <c r="B587" s="33">
        <f>VLOOKUP(A587,'Cắt Gội'!$A:$C,3,0)</f>
      </c>
      <c r="D587">
        <v>940</v>
      </c>
      <c r="E587" s="33">
        <f>B587&amp;D587</f>
      </c>
      <c r="F587" t="str">
        <v>[NEW] Gội dưỡng sinh</v>
      </c>
      <c r="G587">
        <v>50000</v>
      </c>
    </row>
    <row r="588">
      <c r="A588">
        <v>11</v>
      </c>
      <c r="B588" s="33">
        <f>VLOOKUP(A588,'Cắt Gội'!$A:$C,3,0)</f>
      </c>
      <c r="D588">
        <v>940</v>
      </c>
      <c r="E588" s="33">
        <f>B588&amp;D588</f>
      </c>
      <c r="F588" t="str">
        <v>[NEW] Gội dưỡng sinh</v>
      </c>
      <c r="G588">
        <v>59000</v>
      </c>
    </row>
    <row r="589">
      <c r="A589">
        <v>12</v>
      </c>
      <c r="B589" s="33">
        <f>VLOOKUP(A589,'Cắt Gội'!$A:$C,3,0)</f>
      </c>
      <c r="D589">
        <v>1058</v>
      </c>
      <c r="E589" s="33">
        <f>B589&amp;D589</f>
      </c>
      <c r="F589" t="str">
        <v>Gội Combo 2</v>
      </c>
      <c r="G589">
        <v>159000</v>
      </c>
    </row>
    <row r="590">
      <c r="A590">
        <v>12</v>
      </c>
      <c r="B590" s="33">
        <f>VLOOKUP(A590,'Cắt Gội'!$A:$C,3,0)</f>
      </c>
      <c r="D590">
        <v>1059</v>
      </c>
      <c r="E590" s="33">
        <f>B590&amp;D590</f>
      </c>
      <c r="F590" t="str">
        <v>Gội Combo 3 - Chăm da</v>
      </c>
      <c r="G590">
        <v>239000</v>
      </c>
    </row>
    <row r="591">
      <c r="A591">
        <v>12</v>
      </c>
      <c r="B591" s="33">
        <f>VLOOKUP(A591,'Cắt Gội'!$A:$C,3,0)</f>
      </c>
      <c r="D591">
        <v>1060</v>
      </c>
      <c r="E591" s="33">
        <f>B591&amp;D591</f>
      </c>
      <c r="F591" t="str">
        <v>Gội Combo 4</v>
      </c>
      <c r="G591">
        <v>319000</v>
      </c>
    </row>
    <row r="592">
      <c r="A592">
        <v>12</v>
      </c>
      <c r="B592" s="33">
        <f>VLOOKUP(A592,'Cắt Gội'!$A:$C,3,0)</f>
      </c>
      <c r="D592">
        <v>1060</v>
      </c>
      <c r="E592" s="33">
        <f>B592&amp;D592</f>
      </c>
      <c r="F592" t="str">
        <v>Gội Combo 4</v>
      </c>
      <c r="G592">
        <v>329000</v>
      </c>
    </row>
    <row r="593">
      <c r="A593">
        <v>12</v>
      </c>
      <c r="B593" s="33">
        <f>VLOOKUP(A593,'Cắt Gội'!$A:$C,3,0)</f>
      </c>
      <c r="D593">
        <v>1061</v>
      </c>
      <c r="E593" s="33">
        <f>B593&amp;D593</f>
      </c>
      <c r="F593" t="str">
        <v>Gội Combo 5 - Chăm da</v>
      </c>
      <c r="G593">
        <v>359000</v>
      </c>
    </row>
    <row r="594">
      <c r="A594">
        <v>12</v>
      </c>
      <c r="B594" s="33">
        <f>VLOOKUP(A594,'Cắt Gội'!$A:$C,3,0)</f>
      </c>
      <c r="D594">
        <v>934</v>
      </c>
      <c r="E594" s="33">
        <f>B594&amp;D594</f>
      </c>
      <c r="F594" t="str">
        <v>Gội combo 3 - Dưỡng sinh</v>
      </c>
      <c r="G594">
        <v>229000</v>
      </c>
    </row>
    <row r="595">
      <c r="A595">
        <v>12</v>
      </c>
      <c r="B595" s="33">
        <f>VLOOKUP(A595,'Cắt Gội'!$A:$C,3,0)</f>
      </c>
      <c r="D595">
        <v>867</v>
      </c>
      <c r="E595" s="33">
        <f>B595&amp;D595</f>
      </c>
      <c r="F595" t="str">
        <v>Gội dưỡng sinh cổ vai gáy</v>
      </c>
      <c r="G595">
        <v>99000</v>
      </c>
    </row>
    <row r="596">
      <c r="A596">
        <v>12</v>
      </c>
      <c r="B596" s="33">
        <f>VLOOKUP(A596,'Cắt Gội'!$A:$C,3,0)</f>
      </c>
      <c r="D596">
        <v>867</v>
      </c>
      <c r="E596" s="33">
        <f>B596&amp;D596</f>
      </c>
      <c r="F596" t="str">
        <v>Gội dưỡng sinh cổ vai gáy</v>
      </c>
      <c r="G596">
        <v>95000</v>
      </c>
    </row>
    <row r="597">
      <c r="A597">
        <v>12</v>
      </c>
      <c r="B597" s="33">
        <f>VLOOKUP(A597,'Cắt Gội'!$A:$C,3,0)</f>
      </c>
      <c r="D597">
        <v>1068</v>
      </c>
      <c r="E597" s="33">
        <f>B597&amp;D597</f>
      </c>
      <c r="F597" t="str">
        <v>Gội trải nghiệm 115p</v>
      </c>
      <c r="G597">
        <v>999000</v>
      </c>
    </row>
    <row r="598">
      <c r="A598">
        <v>12</v>
      </c>
      <c r="B598" s="33">
        <f>VLOOKUP(A598,'Cắt Gội'!$A:$C,3,0)</f>
      </c>
      <c r="D598">
        <v>940</v>
      </c>
      <c r="E598" s="33">
        <f>B598&amp;D598</f>
      </c>
      <c r="F598" t="str">
        <v>[NEW] Gội dưỡng sinh</v>
      </c>
      <c r="G598">
        <v>59000</v>
      </c>
    </row>
    <row r="599">
      <c r="A599">
        <v>20</v>
      </c>
      <c r="B599" s="33">
        <f>VLOOKUP(A599,'Cắt Gội'!$A:$C,3,0)</f>
      </c>
      <c r="D599">
        <v>1058</v>
      </c>
      <c r="E599" s="33">
        <f>B599&amp;D599</f>
      </c>
      <c r="F599" t="str">
        <v>Gội Combo 2</v>
      </c>
      <c r="G599">
        <v>159000</v>
      </c>
    </row>
    <row r="600">
      <c r="A600">
        <v>20</v>
      </c>
      <c r="B600" s="33">
        <f>VLOOKUP(A600,'Cắt Gội'!$A:$C,3,0)</f>
      </c>
      <c r="D600">
        <v>1059</v>
      </c>
      <c r="E600" s="33">
        <f>B600&amp;D600</f>
      </c>
      <c r="F600" t="str">
        <v>Gội Combo 3 - Chăm da</v>
      </c>
      <c r="G600">
        <v>219000</v>
      </c>
    </row>
    <row r="601">
      <c r="A601">
        <v>20</v>
      </c>
      <c r="B601" s="33">
        <f>VLOOKUP(A601,'Cắt Gội'!$A:$C,3,0)</f>
      </c>
      <c r="D601">
        <v>1059</v>
      </c>
      <c r="E601" s="33">
        <f>B601&amp;D601</f>
      </c>
      <c r="F601" t="str">
        <v>Gội Combo 3 - Chăm da</v>
      </c>
      <c r="G601">
        <v>239000</v>
      </c>
    </row>
    <row r="602">
      <c r="A602">
        <v>20</v>
      </c>
      <c r="B602" s="33">
        <f>VLOOKUP(A602,'Cắt Gội'!$A:$C,3,0)</f>
      </c>
      <c r="D602">
        <v>1060</v>
      </c>
      <c r="E602" s="33">
        <f>B602&amp;D602</f>
      </c>
      <c r="F602" t="str">
        <v>Gội Combo 4</v>
      </c>
      <c r="G602">
        <v>319000</v>
      </c>
    </row>
    <row r="603">
      <c r="A603">
        <v>20</v>
      </c>
      <c r="B603" s="33">
        <f>VLOOKUP(A603,'Cắt Gội'!$A:$C,3,0)</f>
      </c>
      <c r="D603">
        <v>1060</v>
      </c>
      <c r="E603" s="33">
        <f>B603&amp;D603</f>
      </c>
      <c r="F603" t="str">
        <v>Gội Combo 4</v>
      </c>
      <c r="G603">
        <v>289000</v>
      </c>
    </row>
    <row r="604">
      <c r="A604">
        <v>20</v>
      </c>
      <c r="B604" s="33">
        <f>VLOOKUP(A604,'Cắt Gội'!$A:$C,3,0)</f>
      </c>
      <c r="D604">
        <v>1061</v>
      </c>
      <c r="E604" s="33">
        <f>B604&amp;D604</f>
      </c>
      <c r="F604" t="str">
        <v>Gội Combo 5 - Chăm da</v>
      </c>
      <c r="G604">
        <v>359000</v>
      </c>
    </row>
    <row r="605">
      <c r="A605">
        <v>20</v>
      </c>
      <c r="B605" s="33">
        <f>VLOOKUP(A605,'Cắt Gội'!$A:$C,3,0)</f>
      </c>
      <c r="D605">
        <v>934</v>
      </c>
      <c r="E605" s="33">
        <f>B605&amp;D605</f>
      </c>
      <c r="F605" t="str">
        <v>Gội combo 3 - Dưỡng sinh</v>
      </c>
      <c r="G605">
        <v>229000</v>
      </c>
    </row>
    <row r="606">
      <c r="A606">
        <v>20</v>
      </c>
      <c r="B606" s="33">
        <f>VLOOKUP(A606,'Cắt Gội'!$A:$C,3,0)</f>
      </c>
      <c r="D606">
        <v>867</v>
      </c>
      <c r="E606" s="33">
        <f>B606&amp;D606</f>
      </c>
      <c r="F606" t="str">
        <v>Gội dưỡng sinh cổ vai gáy</v>
      </c>
      <c r="G606">
        <v>99000</v>
      </c>
    </row>
    <row r="607">
      <c r="A607">
        <v>20</v>
      </c>
      <c r="B607" s="33">
        <f>VLOOKUP(A607,'Cắt Gội'!$A:$C,3,0)</f>
      </c>
      <c r="D607">
        <v>867</v>
      </c>
      <c r="E607" s="33">
        <f>B607&amp;D607</f>
      </c>
      <c r="F607" t="str">
        <v>Gội dưỡng sinh cổ vai gáy</v>
      </c>
      <c r="G607">
        <v>95000</v>
      </c>
    </row>
    <row r="608">
      <c r="A608">
        <v>20</v>
      </c>
      <c r="B608" s="33">
        <f>VLOOKUP(A608,'Cắt Gội'!$A:$C,3,0)</f>
      </c>
      <c r="D608">
        <v>1068</v>
      </c>
      <c r="E608" s="33">
        <f>B608&amp;D608</f>
      </c>
      <c r="F608" t="str">
        <v>Gội trải nghiệm 115p</v>
      </c>
      <c r="G608">
        <v>999000</v>
      </c>
    </row>
    <row r="609">
      <c r="A609">
        <v>20</v>
      </c>
      <c r="B609" s="33">
        <f>VLOOKUP(A609,'Cắt Gội'!$A:$C,3,0)</f>
      </c>
      <c r="D609">
        <v>1069</v>
      </c>
      <c r="E609" s="33">
        <f>B609&amp;D609</f>
      </c>
      <c r="F609" t="str">
        <v>Gội trải nghiệm 140p</v>
      </c>
      <c r="G609">
        <v>1199000</v>
      </c>
    </row>
    <row r="610">
      <c r="A610">
        <v>20</v>
      </c>
      <c r="B610" s="33">
        <f>VLOOKUP(A610,'Cắt Gội'!$A:$C,3,0)</f>
      </c>
      <c r="D610">
        <v>1066</v>
      </c>
      <c r="E610" s="33">
        <f>B610&amp;D610</f>
      </c>
      <c r="F610" t="str">
        <v>Gội trải nghiệm 75p</v>
      </c>
      <c r="G610">
        <v>589000</v>
      </c>
    </row>
    <row r="611">
      <c r="A611">
        <v>20</v>
      </c>
      <c r="B611" s="33">
        <f>VLOOKUP(A611,'Cắt Gội'!$A:$C,3,0)</f>
      </c>
      <c r="D611">
        <v>1067</v>
      </c>
      <c r="E611" s="33">
        <f>B611&amp;D611</f>
      </c>
      <c r="F611" t="str">
        <v>Gội trải nghiệm 90p</v>
      </c>
      <c r="G611">
        <v>789000</v>
      </c>
    </row>
    <row r="612">
      <c r="A612">
        <v>20</v>
      </c>
      <c r="B612" s="33">
        <f>VLOOKUP(A612,'Cắt Gội'!$A:$C,3,0)</f>
      </c>
      <c r="D612">
        <v>940</v>
      </c>
      <c r="E612" s="33">
        <f>B612&amp;D612</f>
      </c>
      <c r="F612" t="str">
        <v>[NEW] Gội dưỡng sinh</v>
      </c>
      <c r="G612">
        <v>59000</v>
      </c>
    </row>
    <row r="613">
      <c r="A613">
        <v>21</v>
      </c>
      <c r="B613" s="33">
        <f>VLOOKUP(A613,'Cắt Gội'!$A:$C,3,0)</f>
      </c>
      <c r="D613">
        <v>1058</v>
      </c>
      <c r="E613" s="33">
        <f>B613&amp;D613</f>
      </c>
      <c r="F613" t="str">
        <v>Gội Combo 2</v>
      </c>
      <c r="G613">
        <v>159000</v>
      </c>
    </row>
    <row r="614">
      <c r="A614">
        <v>21</v>
      </c>
      <c r="B614" s="33">
        <f>VLOOKUP(A614,'Cắt Gội'!$A:$C,3,0)</f>
      </c>
      <c r="D614">
        <v>1059</v>
      </c>
      <c r="E614" s="33">
        <f>B614&amp;D614</f>
      </c>
      <c r="F614" t="str">
        <v>Gội Combo 3 - Chăm da</v>
      </c>
      <c r="G614">
        <v>219000</v>
      </c>
    </row>
    <row r="615">
      <c r="A615">
        <v>21</v>
      </c>
      <c r="B615" s="33">
        <f>VLOOKUP(A615,'Cắt Gội'!$A:$C,3,0)</f>
      </c>
      <c r="D615">
        <v>1059</v>
      </c>
      <c r="E615" s="33">
        <f>B615&amp;D615</f>
      </c>
      <c r="F615" t="str">
        <v>Gội Combo 3 - Chăm da</v>
      </c>
      <c r="G615">
        <v>239000</v>
      </c>
    </row>
    <row r="616">
      <c r="A616">
        <v>21</v>
      </c>
      <c r="B616" s="33">
        <f>VLOOKUP(A616,'Cắt Gội'!$A:$C,3,0)</f>
      </c>
      <c r="D616">
        <v>1060</v>
      </c>
      <c r="E616" s="33">
        <f>B616&amp;D616</f>
      </c>
      <c r="F616" t="str">
        <v>Gội Combo 4</v>
      </c>
      <c r="G616">
        <v>319000</v>
      </c>
    </row>
    <row r="617">
      <c r="A617">
        <v>21</v>
      </c>
      <c r="B617" s="33">
        <f>VLOOKUP(A617,'Cắt Gội'!$A:$C,3,0)</f>
      </c>
      <c r="D617">
        <v>1060</v>
      </c>
      <c r="E617" s="33">
        <f>B617&amp;D617</f>
      </c>
      <c r="F617" t="str">
        <v>Gội Combo 4</v>
      </c>
      <c r="G617">
        <v>289000</v>
      </c>
    </row>
    <row r="618">
      <c r="A618">
        <v>21</v>
      </c>
      <c r="B618" s="33">
        <f>VLOOKUP(A618,'Cắt Gội'!$A:$C,3,0)</f>
      </c>
      <c r="D618">
        <v>934</v>
      </c>
      <c r="E618" s="33">
        <f>B618&amp;D618</f>
      </c>
      <c r="F618" t="str">
        <v>Gội combo 3 - Dưỡng sinh</v>
      </c>
      <c r="G618">
        <v>229000</v>
      </c>
    </row>
    <row r="619">
      <c r="A619">
        <v>21</v>
      </c>
      <c r="B619" s="33">
        <f>VLOOKUP(A619,'Cắt Gội'!$A:$C,3,0)</f>
      </c>
      <c r="D619">
        <v>932</v>
      </c>
      <c r="E619" s="33">
        <f>B619&amp;D619</f>
      </c>
      <c r="F619" t="str">
        <v>Gội combo 5 dưỡng sinh</v>
      </c>
      <c r="G619">
        <v>389000</v>
      </c>
    </row>
    <row r="620">
      <c r="A620">
        <v>21</v>
      </c>
      <c r="B620" s="33">
        <f>VLOOKUP(A620,'Cắt Gội'!$A:$C,3,0)</f>
      </c>
      <c r="D620">
        <v>867</v>
      </c>
      <c r="E620" s="33">
        <f>B620&amp;D620</f>
      </c>
      <c r="F620" t="str">
        <v>Gội dưỡng sinh cổ vai gáy</v>
      </c>
      <c r="G620">
        <v>100000</v>
      </c>
    </row>
    <row r="621">
      <c r="A621">
        <v>21</v>
      </c>
      <c r="B621" s="33">
        <f>VLOOKUP(A621,'Cắt Gội'!$A:$C,3,0)</f>
      </c>
      <c r="D621">
        <v>867</v>
      </c>
      <c r="E621" s="33">
        <f>B621&amp;D621</f>
      </c>
      <c r="F621" t="str">
        <v>Gội dưỡng sinh cổ vai gáy</v>
      </c>
      <c r="G621">
        <v>95000</v>
      </c>
    </row>
    <row r="622">
      <c r="A622">
        <v>21</v>
      </c>
      <c r="B622" s="33">
        <f>VLOOKUP(A622,'Cắt Gội'!$A:$C,3,0)</f>
      </c>
      <c r="D622">
        <v>1068</v>
      </c>
      <c r="E622" s="33">
        <f>B622&amp;D622</f>
      </c>
      <c r="F622" t="str">
        <v>Gội trải nghiệm 115p</v>
      </c>
      <c r="G622">
        <v>999000</v>
      </c>
    </row>
    <row r="623">
      <c r="A623">
        <v>21</v>
      </c>
      <c r="B623" s="33">
        <f>VLOOKUP(A623,'Cắt Gội'!$A:$C,3,0)</f>
      </c>
      <c r="D623">
        <v>1066</v>
      </c>
      <c r="E623" s="33">
        <f>B623&amp;D623</f>
      </c>
      <c r="F623" t="str">
        <v>Gội trải nghiệm 75p</v>
      </c>
      <c r="G623">
        <v>459000</v>
      </c>
    </row>
    <row r="624">
      <c r="A624">
        <v>21</v>
      </c>
      <c r="B624" s="33">
        <f>VLOOKUP(A624,'Cắt Gội'!$A:$C,3,0)</f>
      </c>
      <c r="D624">
        <v>1067</v>
      </c>
      <c r="E624" s="33">
        <f>B624&amp;D624</f>
      </c>
      <c r="F624" t="str">
        <v>Gội trải nghiệm 90p</v>
      </c>
      <c r="G624">
        <v>789000</v>
      </c>
    </row>
    <row r="625">
      <c r="A625">
        <v>21</v>
      </c>
      <c r="B625" s="33">
        <f>VLOOKUP(A625,'Cắt Gội'!$A:$C,3,0)</f>
      </c>
      <c r="D625">
        <v>940</v>
      </c>
      <c r="E625" s="33">
        <f>B625&amp;D625</f>
      </c>
      <c r="F625" t="str">
        <v>[NEW] Gội dưỡng sinh</v>
      </c>
      <c r="G625">
        <v>59000</v>
      </c>
    </row>
    <row r="626">
      <c r="A626">
        <v>21</v>
      </c>
      <c r="B626" s="33">
        <f>VLOOKUP(A626,'Cắt Gội'!$A:$C,3,0)</f>
      </c>
      <c r="D626">
        <v>940</v>
      </c>
      <c r="E626" s="33">
        <f>B626&amp;D626</f>
      </c>
      <c r="F626" t="str">
        <v>[NEW] Gội dưỡng sinh</v>
      </c>
      <c r="G626">
        <v>50000</v>
      </c>
    </row>
    <row r="627">
      <c r="A627">
        <v>22</v>
      </c>
      <c r="B627" s="33">
        <f>VLOOKUP(A627,'Cắt Gội'!$A:$C,3,0)</f>
      </c>
      <c r="D627">
        <v>1058</v>
      </c>
      <c r="E627" s="33">
        <f>B627&amp;D627</f>
      </c>
      <c r="F627" t="str">
        <v>Gội Combo 2</v>
      </c>
      <c r="G627">
        <v>159000</v>
      </c>
    </row>
    <row r="628">
      <c r="A628">
        <v>22</v>
      </c>
      <c r="B628" s="33">
        <f>VLOOKUP(A628,'Cắt Gội'!$A:$C,3,0)</f>
      </c>
      <c r="D628">
        <v>1059</v>
      </c>
      <c r="E628" s="33">
        <f>B628&amp;D628</f>
      </c>
      <c r="F628" t="str">
        <v>Gội Combo 3 - Chăm da</v>
      </c>
      <c r="G628">
        <v>239000</v>
      </c>
    </row>
    <row r="629">
      <c r="A629">
        <v>22</v>
      </c>
      <c r="B629" s="33">
        <f>VLOOKUP(A629,'Cắt Gội'!$A:$C,3,0)</f>
      </c>
      <c r="D629">
        <v>1059</v>
      </c>
      <c r="E629" s="33">
        <f>B629&amp;D629</f>
      </c>
      <c r="F629" t="str">
        <v>Gội Combo 3 - Chăm da</v>
      </c>
      <c r="G629">
        <v>219000</v>
      </c>
    </row>
    <row r="630">
      <c r="A630">
        <v>22</v>
      </c>
      <c r="B630" s="33">
        <f>VLOOKUP(A630,'Cắt Gội'!$A:$C,3,0)</f>
      </c>
      <c r="D630">
        <v>1060</v>
      </c>
      <c r="E630" s="33">
        <f>B630&amp;D630</f>
      </c>
      <c r="F630" t="str">
        <v>Gội Combo 4</v>
      </c>
      <c r="G630">
        <v>319000</v>
      </c>
    </row>
    <row r="631">
      <c r="A631">
        <v>22</v>
      </c>
      <c r="B631" s="33">
        <f>VLOOKUP(A631,'Cắt Gội'!$A:$C,3,0)</f>
      </c>
      <c r="D631">
        <v>1060</v>
      </c>
      <c r="E631" s="33">
        <f>B631&amp;D631</f>
      </c>
      <c r="F631" t="str">
        <v>Gội Combo 4</v>
      </c>
      <c r="G631">
        <v>329000</v>
      </c>
    </row>
    <row r="632">
      <c r="A632">
        <v>22</v>
      </c>
      <c r="B632" s="33">
        <f>VLOOKUP(A632,'Cắt Gội'!$A:$C,3,0)</f>
      </c>
      <c r="D632">
        <v>1061</v>
      </c>
      <c r="E632" s="33">
        <f>B632&amp;D632</f>
      </c>
      <c r="F632" t="str">
        <v>Gội Combo 5 - Chăm da</v>
      </c>
      <c r="G632">
        <v>359000</v>
      </c>
    </row>
    <row r="633">
      <c r="A633">
        <v>22</v>
      </c>
      <c r="B633" s="33">
        <f>VLOOKUP(A633,'Cắt Gội'!$A:$C,3,0)</f>
      </c>
      <c r="D633">
        <v>934</v>
      </c>
      <c r="E633" s="33">
        <f>B633&amp;D633</f>
      </c>
      <c r="F633" t="str">
        <v>Gội combo 3 - Dưỡng sinh</v>
      </c>
      <c r="G633">
        <v>229000</v>
      </c>
    </row>
    <row r="634">
      <c r="A634">
        <v>22</v>
      </c>
      <c r="B634" s="33">
        <f>VLOOKUP(A634,'Cắt Gội'!$A:$C,3,0)</f>
      </c>
      <c r="D634">
        <v>932</v>
      </c>
      <c r="E634" s="33">
        <f>B634&amp;D634</f>
      </c>
      <c r="F634" t="str">
        <v>Gội combo 5 dưỡng sinh</v>
      </c>
      <c r="G634">
        <v>399000</v>
      </c>
    </row>
    <row r="635">
      <c r="A635">
        <v>22</v>
      </c>
      <c r="B635" s="33">
        <f>VLOOKUP(A635,'Cắt Gội'!$A:$C,3,0)</f>
      </c>
      <c r="D635">
        <v>867</v>
      </c>
      <c r="E635" s="33">
        <f>B635&amp;D635</f>
      </c>
      <c r="F635" t="str">
        <v>Gội dưỡng sinh cổ vai gáy</v>
      </c>
      <c r="G635">
        <v>95000</v>
      </c>
    </row>
    <row r="636">
      <c r="A636">
        <v>22</v>
      </c>
      <c r="B636" s="33">
        <f>VLOOKUP(A636,'Cắt Gội'!$A:$C,3,0)</f>
      </c>
      <c r="D636">
        <v>867</v>
      </c>
      <c r="E636" s="33">
        <f>B636&amp;D636</f>
      </c>
      <c r="F636" t="str">
        <v>Gội dưỡng sinh cổ vai gáy</v>
      </c>
      <c r="G636">
        <v>99000</v>
      </c>
    </row>
    <row r="637">
      <c r="A637">
        <v>22</v>
      </c>
      <c r="B637" s="33">
        <f>VLOOKUP(A637,'Cắt Gội'!$A:$C,3,0)</f>
      </c>
      <c r="D637">
        <v>1068</v>
      </c>
      <c r="E637" s="33">
        <f>B637&amp;D637</f>
      </c>
      <c r="F637" t="str">
        <v>Gội trải nghiệm 115p</v>
      </c>
      <c r="G637">
        <v>999000</v>
      </c>
    </row>
    <row r="638">
      <c r="A638">
        <v>22</v>
      </c>
      <c r="B638" s="33">
        <f>VLOOKUP(A638,'Cắt Gội'!$A:$C,3,0)</f>
      </c>
      <c r="D638">
        <v>1066</v>
      </c>
      <c r="E638" s="33">
        <f>B638&amp;D638</f>
      </c>
      <c r="F638" t="str">
        <v>Gội trải nghiệm 75p</v>
      </c>
      <c r="G638">
        <v>589000</v>
      </c>
    </row>
    <row r="639">
      <c r="A639">
        <v>22</v>
      </c>
      <c r="B639" s="33">
        <f>VLOOKUP(A639,'Cắt Gội'!$A:$C,3,0)</f>
      </c>
      <c r="D639">
        <v>1067</v>
      </c>
      <c r="E639" s="33">
        <f>B639&amp;D639</f>
      </c>
      <c r="F639" t="str">
        <v>Gội trải nghiệm 90p</v>
      </c>
      <c r="G639">
        <v>789000</v>
      </c>
    </row>
    <row r="640">
      <c r="A640">
        <v>22</v>
      </c>
      <c r="B640" s="33">
        <f>VLOOKUP(A640,'Cắt Gội'!$A:$C,3,0)</f>
      </c>
      <c r="D640">
        <v>940</v>
      </c>
      <c r="E640" s="33">
        <f>B640&amp;D640</f>
      </c>
      <c r="F640" t="str">
        <v>[NEW] Gội dưỡng sinh</v>
      </c>
      <c r="G640">
        <v>50000</v>
      </c>
    </row>
    <row r="641">
      <c r="A641">
        <v>39</v>
      </c>
      <c r="B641" s="33">
        <f>VLOOKUP(A641,'Cắt Gội'!$A:$C,3,0)</f>
      </c>
      <c r="D641">
        <v>1058</v>
      </c>
      <c r="E641" s="33">
        <f>B641&amp;D641</f>
      </c>
      <c r="F641" t="str">
        <v>Gội Combo 2</v>
      </c>
      <c r="G641">
        <v>159000</v>
      </c>
    </row>
    <row r="642">
      <c r="A642">
        <v>39</v>
      </c>
      <c r="B642" s="33">
        <f>VLOOKUP(A642,'Cắt Gội'!$A:$C,3,0)</f>
      </c>
      <c r="D642">
        <v>1059</v>
      </c>
      <c r="E642" s="33">
        <f>B642&amp;D642</f>
      </c>
      <c r="F642" t="str">
        <v>Gội Combo 3 - Chăm da</v>
      </c>
      <c r="G642">
        <v>219000</v>
      </c>
    </row>
    <row r="643">
      <c r="A643">
        <v>39</v>
      </c>
      <c r="B643" s="33">
        <f>VLOOKUP(A643,'Cắt Gội'!$A:$C,3,0)</f>
      </c>
      <c r="D643">
        <v>1059</v>
      </c>
      <c r="E643" s="33">
        <f>B643&amp;D643</f>
      </c>
      <c r="F643" t="str">
        <v>Gội Combo 3 - Chăm da</v>
      </c>
      <c r="G643">
        <v>239000</v>
      </c>
    </row>
    <row r="644">
      <c r="A644">
        <v>39</v>
      </c>
      <c r="B644" s="33">
        <f>VLOOKUP(A644,'Cắt Gội'!$A:$C,3,0)</f>
      </c>
      <c r="D644">
        <v>1060</v>
      </c>
      <c r="E644" s="33">
        <f>B644&amp;D644</f>
      </c>
      <c r="F644" t="str">
        <v>Gội Combo 4</v>
      </c>
      <c r="G644">
        <v>319000</v>
      </c>
    </row>
    <row r="645">
      <c r="A645">
        <v>39</v>
      </c>
      <c r="B645" s="33">
        <f>VLOOKUP(A645,'Cắt Gội'!$A:$C,3,0)</f>
      </c>
      <c r="D645">
        <v>1060</v>
      </c>
      <c r="E645" s="33">
        <f>B645&amp;D645</f>
      </c>
      <c r="F645" t="str">
        <v>Gội Combo 4</v>
      </c>
      <c r="G645">
        <v>289000</v>
      </c>
    </row>
    <row r="646">
      <c r="A646">
        <v>39</v>
      </c>
      <c r="B646" s="33">
        <f>VLOOKUP(A646,'Cắt Gội'!$A:$C,3,0)</f>
      </c>
      <c r="D646">
        <v>934</v>
      </c>
      <c r="E646" s="33">
        <f>B646&amp;D646</f>
      </c>
      <c r="F646" t="str">
        <v>Gội combo 3 - Dưỡng sinh</v>
      </c>
      <c r="G646">
        <v>229000</v>
      </c>
    </row>
    <row r="647">
      <c r="A647">
        <v>39</v>
      </c>
      <c r="B647" s="33">
        <f>VLOOKUP(A647,'Cắt Gội'!$A:$C,3,0)</f>
      </c>
      <c r="D647">
        <v>867</v>
      </c>
      <c r="E647" s="33">
        <f>B647&amp;D647</f>
      </c>
      <c r="F647" t="str">
        <v>Gội dưỡng sinh cổ vai gáy</v>
      </c>
      <c r="G647">
        <v>95000</v>
      </c>
    </row>
    <row r="648">
      <c r="A648">
        <v>39</v>
      </c>
      <c r="B648" s="33">
        <f>VLOOKUP(A648,'Cắt Gội'!$A:$C,3,0)</f>
      </c>
      <c r="D648">
        <v>867</v>
      </c>
      <c r="E648" s="33">
        <f>B648&amp;D648</f>
      </c>
      <c r="F648" t="str">
        <v>Gội dưỡng sinh cổ vai gáy</v>
      </c>
      <c r="G648">
        <v>99000</v>
      </c>
    </row>
    <row r="649">
      <c r="A649">
        <v>39</v>
      </c>
      <c r="B649" s="33">
        <f>VLOOKUP(A649,'Cắt Gội'!$A:$C,3,0)</f>
      </c>
      <c r="D649">
        <v>1068</v>
      </c>
      <c r="E649" s="33">
        <f>B649&amp;D649</f>
      </c>
      <c r="F649" t="str">
        <v>Gội trải nghiệm 115p</v>
      </c>
      <c r="G649">
        <v>999000</v>
      </c>
    </row>
    <row r="650">
      <c r="A650">
        <v>39</v>
      </c>
      <c r="B650" s="33">
        <f>VLOOKUP(A650,'Cắt Gội'!$A:$C,3,0)</f>
      </c>
      <c r="D650">
        <v>1066</v>
      </c>
      <c r="E650" s="33">
        <f>B650&amp;D650</f>
      </c>
      <c r="F650" t="str">
        <v>Gội trải nghiệm 75p</v>
      </c>
      <c r="G650">
        <v>589000</v>
      </c>
    </row>
    <row r="651">
      <c r="A651">
        <v>39</v>
      </c>
      <c r="B651" s="33">
        <f>VLOOKUP(A651,'Cắt Gội'!$A:$C,3,0)</f>
      </c>
      <c r="D651">
        <v>1067</v>
      </c>
      <c r="E651" s="33">
        <f>B651&amp;D651</f>
      </c>
      <c r="F651" t="str">
        <v>Gội trải nghiệm 90p</v>
      </c>
      <c r="G651">
        <v>789000</v>
      </c>
    </row>
    <row r="652">
      <c r="A652">
        <v>39</v>
      </c>
      <c r="B652" s="33">
        <f>VLOOKUP(A652,'Cắt Gội'!$A:$C,3,0)</f>
      </c>
      <c r="D652">
        <v>940</v>
      </c>
      <c r="E652" s="33">
        <f>B652&amp;D652</f>
      </c>
      <c r="F652" t="str">
        <v>[NEW] Gội dưỡng sinh</v>
      </c>
      <c r="G652">
        <v>59000</v>
      </c>
    </row>
    <row r="653">
      <c r="A653">
        <v>44</v>
      </c>
      <c r="B653" s="33">
        <f>VLOOKUP(A653,'Cắt Gội'!$A:$C,3,0)</f>
      </c>
      <c r="D653">
        <v>1058</v>
      </c>
      <c r="E653" s="33">
        <f>B653&amp;D653</f>
      </c>
      <c r="F653" t="str">
        <v>Gội Combo 2</v>
      </c>
      <c r="G653">
        <v>159000</v>
      </c>
    </row>
    <row r="654">
      <c r="A654">
        <v>44</v>
      </c>
      <c r="B654" s="33">
        <f>VLOOKUP(A654,'Cắt Gội'!$A:$C,3,0)</f>
      </c>
      <c r="D654">
        <v>1059</v>
      </c>
      <c r="E654" s="33">
        <f>B654&amp;D654</f>
      </c>
      <c r="F654" t="str">
        <v>Gội Combo 3 - Chăm da</v>
      </c>
      <c r="G654">
        <v>219000</v>
      </c>
    </row>
    <row r="655">
      <c r="A655">
        <v>44</v>
      </c>
      <c r="B655" s="33">
        <f>VLOOKUP(A655,'Cắt Gội'!$A:$C,3,0)</f>
      </c>
      <c r="D655">
        <v>1059</v>
      </c>
      <c r="E655" s="33">
        <f>B655&amp;D655</f>
      </c>
      <c r="F655" t="str">
        <v>Gội Combo 3 - Chăm da</v>
      </c>
      <c r="G655">
        <v>239000</v>
      </c>
    </row>
    <row r="656">
      <c r="A656">
        <v>44</v>
      </c>
      <c r="B656" s="33">
        <f>VLOOKUP(A656,'Cắt Gội'!$A:$C,3,0)</f>
      </c>
      <c r="D656">
        <v>1060</v>
      </c>
      <c r="E656" s="33">
        <f>B656&amp;D656</f>
      </c>
      <c r="F656" t="str">
        <v>Gội Combo 4</v>
      </c>
      <c r="G656">
        <v>319000</v>
      </c>
    </row>
    <row r="657">
      <c r="A657">
        <v>44</v>
      </c>
      <c r="B657" s="33">
        <f>VLOOKUP(A657,'Cắt Gội'!$A:$C,3,0)</f>
      </c>
      <c r="D657">
        <v>1060</v>
      </c>
      <c r="E657" s="33">
        <f>B657&amp;D657</f>
      </c>
      <c r="F657" t="str">
        <v>Gội Combo 4</v>
      </c>
      <c r="G657">
        <v>329000</v>
      </c>
    </row>
    <row r="658">
      <c r="A658">
        <v>44</v>
      </c>
      <c r="B658" s="33">
        <f>VLOOKUP(A658,'Cắt Gội'!$A:$C,3,0)</f>
      </c>
      <c r="D658">
        <v>934</v>
      </c>
      <c r="E658" s="33">
        <f>B658&amp;D658</f>
      </c>
      <c r="F658" t="str">
        <v>Gội combo 3 - Dưỡng sinh</v>
      </c>
      <c r="G658">
        <v>229000</v>
      </c>
    </row>
    <row r="659">
      <c r="A659">
        <v>44</v>
      </c>
      <c r="B659" s="33">
        <f>VLOOKUP(A659,'Cắt Gội'!$A:$C,3,0)</f>
      </c>
      <c r="D659">
        <v>867</v>
      </c>
      <c r="E659" s="33">
        <f>B659&amp;D659</f>
      </c>
      <c r="F659" t="str">
        <v>Gội dưỡng sinh cổ vai gáy</v>
      </c>
      <c r="G659">
        <v>95000</v>
      </c>
    </row>
    <row r="660">
      <c r="A660">
        <v>44</v>
      </c>
      <c r="B660" s="33">
        <f>VLOOKUP(A660,'Cắt Gội'!$A:$C,3,0)</f>
      </c>
      <c r="D660">
        <v>867</v>
      </c>
      <c r="E660" s="33">
        <f>B660&amp;D660</f>
      </c>
      <c r="F660" t="str">
        <v>Gội dưỡng sinh cổ vai gáy</v>
      </c>
      <c r="G660">
        <v>99000</v>
      </c>
    </row>
    <row r="661">
      <c r="A661">
        <v>44</v>
      </c>
      <c r="B661" s="33">
        <f>VLOOKUP(A661,'Cắt Gội'!$A:$C,3,0)</f>
      </c>
      <c r="D661">
        <v>1068</v>
      </c>
      <c r="E661" s="33">
        <f>B661&amp;D661</f>
      </c>
      <c r="F661" t="str">
        <v>Gội trải nghiệm 115p</v>
      </c>
      <c r="G661">
        <v>999000</v>
      </c>
    </row>
    <row r="662">
      <c r="A662">
        <v>44</v>
      </c>
      <c r="B662" s="33">
        <f>VLOOKUP(A662,'Cắt Gội'!$A:$C,3,0)</f>
      </c>
      <c r="D662">
        <v>1066</v>
      </c>
      <c r="E662" s="33">
        <f>B662&amp;D662</f>
      </c>
      <c r="F662" t="str">
        <v>Gội trải nghiệm 75p</v>
      </c>
      <c r="G662">
        <v>589000</v>
      </c>
    </row>
    <row r="663">
      <c r="A663">
        <v>44</v>
      </c>
      <c r="B663" s="33">
        <f>VLOOKUP(A663,'Cắt Gội'!$A:$C,3,0)</f>
      </c>
      <c r="D663">
        <v>940</v>
      </c>
      <c r="E663" s="33">
        <f>B663&amp;D663</f>
      </c>
      <c r="F663" t="str">
        <v>[NEW] Gội dưỡng sinh</v>
      </c>
      <c r="G663">
        <v>50000</v>
      </c>
    </row>
    <row r="664">
      <c r="A664">
        <v>44</v>
      </c>
      <c r="B664" s="33">
        <f>VLOOKUP(A664,'Cắt Gội'!$A:$C,3,0)</f>
      </c>
      <c r="D664">
        <v>940</v>
      </c>
      <c r="E664" s="33">
        <f>B664&amp;D664</f>
      </c>
      <c r="F664" t="str">
        <v>[NEW] Gội dưỡng sinh</v>
      </c>
      <c r="G664">
        <v>59000</v>
      </c>
    </row>
    <row r="665">
      <c r="A665">
        <v>45</v>
      </c>
      <c r="B665" s="33">
        <f>VLOOKUP(A665,'Cắt Gội'!$A:$C,3,0)</f>
      </c>
      <c r="D665">
        <v>1058</v>
      </c>
      <c r="E665" s="33">
        <f>B665&amp;D665</f>
      </c>
      <c r="F665" t="str">
        <v>Gội Combo 2</v>
      </c>
      <c r="G665">
        <v>159000</v>
      </c>
    </row>
    <row r="666">
      <c r="A666">
        <v>45</v>
      </c>
      <c r="B666" s="33">
        <f>VLOOKUP(A666,'Cắt Gội'!$A:$C,3,0)</f>
      </c>
      <c r="D666">
        <v>1059</v>
      </c>
      <c r="E666" s="33">
        <f>B666&amp;D666</f>
      </c>
      <c r="F666" t="str">
        <v>Gội Combo 3 - Chăm da</v>
      </c>
      <c r="G666">
        <v>219000</v>
      </c>
    </row>
    <row r="667">
      <c r="A667">
        <v>45</v>
      </c>
      <c r="B667" s="33">
        <f>VLOOKUP(A667,'Cắt Gội'!$A:$C,3,0)</f>
      </c>
      <c r="D667">
        <v>1059</v>
      </c>
      <c r="E667" s="33">
        <f>B667&amp;D667</f>
      </c>
      <c r="F667" t="str">
        <v>Gội Combo 3 - Chăm da</v>
      </c>
      <c r="G667">
        <v>239000</v>
      </c>
    </row>
    <row r="668">
      <c r="A668">
        <v>45</v>
      </c>
      <c r="B668" s="33">
        <f>VLOOKUP(A668,'Cắt Gội'!$A:$C,3,0)</f>
      </c>
      <c r="D668">
        <v>1060</v>
      </c>
      <c r="E668" s="33">
        <f>B668&amp;D668</f>
      </c>
      <c r="F668" t="str">
        <v>Gội Combo 4</v>
      </c>
      <c r="G668">
        <v>329000</v>
      </c>
    </row>
    <row r="669">
      <c r="A669">
        <v>45</v>
      </c>
      <c r="B669" s="33">
        <f>VLOOKUP(A669,'Cắt Gội'!$A:$C,3,0)</f>
      </c>
      <c r="D669">
        <v>1060</v>
      </c>
      <c r="E669" s="33">
        <f>B669&amp;D669</f>
      </c>
      <c r="F669" t="str">
        <v>Gội Combo 4</v>
      </c>
      <c r="G669">
        <v>319000</v>
      </c>
    </row>
    <row r="670">
      <c r="A670">
        <v>45</v>
      </c>
      <c r="B670" s="33">
        <f>VLOOKUP(A670,'Cắt Gội'!$A:$C,3,0)</f>
      </c>
      <c r="D670">
        <v>932</v>
      </c>
      <c r="E670" s="33">
        <f>B670&amp;D670</f>
      </c>
      <c r="F670" t="str">
        <v>Gội combo 5 dưỡng sinh</v>
      </c>
      <c r="G670">
        <v>399000</v>
      </c>
    </row>
    <row r="671">
      <c r="A671">
        <v>45</v>
      </c>
      <c r="B671" s="33">
        <f>VLOOKUP(A671,'Cắt Gội'!$A:$C,3,0)</f>
      </c>
      <c r="D671">
        <v>867</v>
      </c>
      <c r="E671" s="33">
        <f>B671&amp;D671</f>
      </c>
      <c r="F671" t="str">
        <v>Gội dưỡng sinh cổ vai gáy</v>
      </c>
      <c r="G671">
        <v>99000</v>
      </c>
    </row>
    <row r="672">
      <c r="A672">
        <v>45</v>
      </c>
      <c r="B672" s="33">
        <f>VLOOKUP(A672,'Cắt Gội'!$A:$C,3,0)</f>
      </c>
      <c r="D672">
        <v>867</v>
      </c>
      <c r="E672" s="33">
        <f>B672&amp;D672</f>
      </c>
      <c r="F672" t="str">
        <v>Gội dưỡng sinh cổ vai gáy</v>
      </c>
      <c r="G672">
        <v>95000</v>
      </c>
    </row>
    <row r="673">
      <c r="A673">
        <v>45</v>
      </c>
      <c r="B673" s="33">
        <f>VLOOKUP(A673,'Cắt Gội'!$A:$C,3,0)</f>
      </c>
      <c r="D673">
        <v>940</v>
      </c>
      <c r="E673" s="33">
        <f>B673&amp;D673</f>
      </c>
      <c r="F673" t="str">
        <v>[NEW] Gội dưỡng sinh</v>
      </c>
      <c r="G673">
        <v>50000</v>
      </c>
    </row>
    <row r="674">
      <c r="A674">
        <v>45</v>
      </c>
      <c r="B674" s="33">
        <f>VLOOKUP(A674,'Cắt Gội'!$A:$C,3,0)</f>
      </c>
      <c r="D674">
        <v>940</v>
      </c>
      <c r="E674" s="33">
        <f>B674&amp;D674</f>
      </c>
      <c r="F674" t="str">
        <v>[NEW] Gội dưỡng sinh</v>
      </c>
      <c r="G674">
        <v>59000</v>
      </c>
    </row>
    <row r="675">
      <c r="A675">
        <v>46</v>
      </c>
      <c r="B675" s="33">
        <f>VLOOKUP(A675,'Cắt Gội'!$A:$C,3,0)</f>
      </c>
      <c r="D675">
        <v>1058</v>
      </c>
      <c r="E675" s="33">
        <f>B675&amp;D675</f>
      </c>
      <c r="F675" t="str">
        <v>Gội Combo 2</v>
      </c>
      <c r="G675">
        <v>159000</v>
      </c>
    </row>
    <row r="676">
      <c r="A676">
        <v>46</v>
      </c>
      <c r="B676" s="33">
        <f>VLOOKUP(A676,'Cắt Gội'!$A:$C,3,0)</f>
      </c>
      <c r="D676">
        <v>1059</v>
      </c>
      <c r="E676" s="33">
        <f>B676&amp;D676</f>
      </c>
      <c r="F676" t="str">
        <v>Gội Combo 3 - Chăm da</v>
      </c>
      <c r="G676">
        <v>239000</v>
      </c>
    </row>
    <row r="677">
      <c r="A677">
        <v>46</v>
      </c>
      <c r="B677" s="33">
        <f>VLOOKUP(A677,'Cắt Gội'!$A:$C,3,0)</f>
      </c>
      <c r="D677">
        <v>1059</v>
      </c>
      <c r="E677" s="33">
        <f>B677&amp;D677</f>
      </c>
      <c r="F677" t="str">
        <v>Gội Combo 3 - Chăm da</v>
      </c>
      <c r="G677">
        <v>219000</v>
      </c>
    </row>
    <row r="678">
      <c r="A678">
        <v>46</v>
      </c>
      <c r="B678" s="33">
        <f>VLOOKUP(A678,'Cắt Gội'!$A:$C,3,0)</f>
      </c>
      <c r="D678">
        <v>1060</v>
      </c>
      <c r="E678" s="33">
        <f>B678&amp;D678</f>
      </c>
      <c r="F678" t="str">
        <v>Gội Combo 4</v>
      </c>
      <c r="G678">
        <v>319000</v>
      </c>
    </row>
    <row r="679">
      <c r="A679">
        <v>46</v>
      </c>
      <c r="B679" s="33">
        <f>VLOOKUP(A679,'Cắt Gội'!$A:$C,3,0)</f>
      </c>
      <c r="D679">
        <v>1060</v>
      </c>
      <c r="E679" s="33">
        <f>B679&amp;D679</f>
      </c>
      <c r="F679" t="str">
        <v>Gội Combo 4</v>
      </c>
      <c r="G679">
        <v>289000</v>
      </c>
    </row>
    <row r="680">
      <c r="A680">
        <v>46</v>
      </c>
      <c r="B680" s="33">
        <f>VLOOKUP(A680,'Cắt Gội'!$A:$C,3,0)</f>
      </c>
      <c r="D680">
        <v>1061</v>
      </c>
      <c r="E680" s="33">
        <f>B680&amp;D680</f>
      </c>
      <c r="F680" t="str">
        <v>Gội Combo 5 - Chăm da</v>
      </c>
      <c r="G680">
        <v>359000</v>
      </c>
    </row>
    <row r="681">
      <c r="A681">
        <v>46</v>
      </c>
      <c r="B681" s="33">
        <f>VLOOKUP(A681,'Cắt Gội'!$A:$C,3,0)</f>
      </c>
      <c r="D681">
        <v>867</v>
      </c>
      <c r="E681" s="33">
        <f>B681&amp;D681</f>
      </c>
      <c r="F681" t="str">
        <v>Gội dưỡng sinh cổ vai gáy</v>
      </c>
      <c r="G681">
        <v>95000</v>
      </c>
    </row>
    <row r="682">
      <c r="A682">
        <v>46</v>
      </c>
      <c r="B682" s="33">
        <f>VLOOKUP(A682,'Cắt Gội'!$A:$C,3,0)</f>
      </c>
      <c r="D682">
        <v>867</v>
      </c>
      <c r="E682" s="33">
        <f>B682&amp;D682</f>
      </c>
      <c r="F682" t="str">
        <v>Gội dưỡng sinh cổ vai gáy</v>
      </c>
      <c r="G682">
        <v>99000</v>
      </c>
    </row>
    <row r="683">
      <c r="A683">
        <v>46</v>
      </c>
      <c r="B683" s="33">
        <f>VLOOKUP(A683,'Cắt Gội'!$A:$C,3,0)</f>
      </c>
      <c r="D683">
        <v>1067</v>
      </c>
      <c r="E683" s="33">
        <f>B683&amp;D683</f>
      </c>
      <c r="F683" t="str">
        <v>Gội trải nghiệm 90p</v>
      </c>
      <c r="G683">
        <v>789000</v>
      </c>
    </row>
    <row r="684">
      <c r="A684">
        <v>46</v>
      </c>
      <c r="B684" s="33">
        <f>VLOOKUP(A684,'Cắt Gội'!$A:$C,3,0)</f>
      </c>
      <c r="D684">
        <v>940</v>
      </c>
      <c r="E684" s="33">
        <f>B684&amp;D684</f>
      </c>
      <c r="F684" t="str">
        <v>[NEW] Gội dưỡng sinh</v>
      </c>
      <c r="G684">
        <v>59000</v>
      </c>
    </row>
    <row r="685">
      <c r="A685">
        <v>47</v>
      </c>
      <c r="B685" s="33">
        <f>VLOOKUP(A685,'Cắt Gội'!$A:$C,3,0)</f>
      </c>
      <c r="D685">
        <v>1058</v>
      </c>
      <c r="E685" s="33">
        <f>B685&amp;D685</f>
      </c>
      <c r="F685" t="str">
        <v>Gội Combo 2</v>
      </c>
      <c r="G685">
        <v>159000</v>
      </c>
    </row>
    <row r="686">
      <c r="A686">
        <v>47</v>
      </c>
      <c r="B686" s="33">
        <f>VLOOKUP(A686,'Cắt Gội'!$A:$C,3,0)</f>
      </c>
      <c r="D686">
        <v>1059</v>
      </c>
      <c r="E686" s="33">
        <f>B686&amp;D686</f>
      </c>
      <c r="F686" t="str">
        <v>Gội Combo 3 - Chăm da</v>
      </c>
      <c r="G686">
        <v>239000</v>
      </c>
    </row>
    <row r="687">
      <c r="A687">
        <v>47</v>
      </c>
      <c r="B687" s="33">
        <f>VLOOKUP(A687,'Cắt Gội'!$A:$C,3,0)</f>
      </c>
      <c r="D687">
        <v>1059</v>
      </c>
      <c r="E687" s="33">
        <f>B687&amp;D687</f>
      </c>
      <c r="F687" t="str">
        <v>Gội Combo 3 - Chăm da</v>
      </c>
      <c r="G687">
        <v>219000</v>
      </c>
    </row>
    <row r="688">
      <c r="A688">
        <v>47</v>
      </c>
      <c r="B688" s="33">
        <f>VLOOKUP(A688,'Cắt Gội'!$A:$C,3,0)</f>
      </c>
      <c r="D688">
        <v>1060</v>
      </c>
      <c r="E688" s="33">
        <f>B688&amp;D688</f>
      </c>
      <c r="F688" t="str">
        <v>Gội Combo 4</v>
      </c>
      <c r="G688">
        <v>289000</v>
      </c>
    </row>
    <row r="689">
      <c r="A689">
        <v>47</v>
      </c>
      <c r="B689" s="33">
        <f>VLOOKUP(A689,'Cắt Gội'!$A:$C,3,0)</f>
      </c>
      <c r="D689">
        <v>1060</v>
      </c>
      <c r="E689" s="33">
        <f>B689&amp;D689</f>
      </c>
      <c r="F689" t="str">
        <v>Gội Combo 4</v>
      </c>
      <c r="G689">
        <v>319000</v>
      </c>
    </row>
    <row r="690">
      <c r="A690">
        <v>47</v>
      </c>
      <c r="B690" s="33">
        <f>VLOOKUP(A690,'Cắt Gội'!$A:$C,3,0)</f>
      </c>
      <c r="D690">
        <v>934</v>
      </c>
      <c r="E690" s="33">
        <f>B690&amp;D690</f>
      </c>
      <c r="F690" t="str">
        <v>Gội combo 3 - Dưỡng sinh</v>
      </c>
      <c r="G690">
        <v>229000</v>
      </c>
    </row>
    <row r="691">
      <c r="A691">
        <v>47</v>
      </c>
      <c r="B691" s="33">
        <f>VLOOKUP(A691,'Cắt Gội'!$A:$C,3,0)</f>
      </c>
      <c r="D691">
        <v>867</v>
      </c>
      <c r="E691" s="33">
        <f>B691&amp;D691</f>
      </c>
      <c r="F691" t="str">
        <v>Gội dưỡng sinh cổ vai gáy</v>
      </c>
      <c r="G691">
        <v>100000</v>
      </c>
    </row>
    <row r="692">
      <c r="A692">
        <v>47</v>
      </c>
      <c r="B692" s="33">
        <f>VLOOKUP(A692,'Cắt Gội'!$A:$C,3,0)</f>
      </c>
      <c r="D692">
        <v>940</v>
      </c>
      <c r="E692" s="33">
        <f>B692&amp;D692</f>
      </c>
      <c r="F692" t="str">
        <v>[NEW] Gội dưỡng sinh</v>
      </c>
      <c r="G692">
        <v>59000</v>
      </c>
    </row>
    <row r="693">
      <c r="A693">
        <v>51</v>
      </c>
      <c r="B693" s="33">
        <f>VLOOKUP(A693,'Cắt Gội'!$A:$C,3,0)</f>
      </c>
      <c r="D693">
        <v>1058</v>
      </c>
      <c r="E693" s="33">
        <f>B693&amp;D693</f>
      </c>
      <c r="F693" t="str">
        <v>Gội Combo 2</v>
      </c>
      <c r="G693">
        <v>159000</v>
      </c>
    </row>
    <row r="694">
      <c r="A694">
        <v>51</v>
      </c>
      <c r="B694" s="33">
        <f>VLOOKUP(A694,'Cắt Gội'!$A:$C,3,0)</f>
      </c>
      <c r="D694">
        <v>1059</v>
      </c>
      <c r="E694" s="33">
        <f>B694&amp;D694</f>
      </c>
      <c r="F694" t="str">
        <v>Gội Combo 3 - Chăm da</v>
      </c>
      <c r="G694">
        <v>239000</v>
      </c>
    </row>
    <row r="695">
      <c r="A695">
        <v>51</v>
      </c>
      <c r="B695" s="33">
        <f>VLOOKUP(A695,'Cắt Gội'!$A:$C,3,0)</f>
      </c>
      <c r="D695">
        <v>1059</v>
      </c>
      <c r="E695" s="33">
        <f>B695&amp;D695</f>
      </c>
      <c r="F695" t="str">
        <v>Gội Combo 3 - Chăm da</v>
      </c>
      <c r="G695">
        <v>219000</v>
      </c>
    </row>
    <row r="696">
      <c r="A696">
        <v>51</v>
      </c>
      <c r="B696" s="33">
        <f>VLOOKUP(A696,'Cắt Gội'!$A:$C,3,0)</f>
      </c>
      <c r="D696">
        <v>1060</v>
      </c>
      <c r="E696" s="33">
        <f>B696&amp;D696</f>
      </c>
      <c r="F696" t="str">
        <v>Gội Combo 4</v>
      </c>
      <c r="G696">
        <v>319000</v>
      </c>
    </row>
    <row r="697">
      <c r="A697">
        <v>51</v>
      </c>
      <c r="B697" s="33">
        <f>VLOOKUP(A697,'Cắt Gội'!$A:$C,3,0)</f>
      </c>
      <c r="D697">
        <v>1060</v>
      </c>
      <c r="E697" s="33">
        <f>B697&amp;D697</f>
      </c>
      <c r="F697" t="str">
        <v>Gội Combo 4</v>
      </c>
      <c r="G697">
        <v>289000</v>
      </c>
    </row>
    <row r="698">
      <c r="A698">
        <v>51</v>
      </c>
      <c r="B698" s="33">
        <f>VLOOKUP(A698,'Cắt Gội'!$A:$C,3,0)</f>
      </c>
      <c r="D698">
        <v>932</v>
      </c>
      <c r="E698" s="33">
        <f>B698&amp;D698</f>
      </c>
      <c r="F698" t="str">
        <v>Gội combo 5 dưỡng sinh</v>
      </c>
      <c r="G698">
        <v>399000</v>
      </c>
    </row>
    <row r="699">
      <c r="A699">
        <v>51</v>
      </c>
      <c r="B699" s="33">
        <f>VLOOKUP(A699,'Cắt Gội'!$A:$C,3,0)</f>
      </c>
      <c r="D699">
        <v>867</v>
      </c>
      <c r="E699" s="33">
        <f>B699&amp;D699</f>
      </c>
      <c r="F699" t="str">
        <v>Gội dưỡng sinh cổ vai gáy</v>
      </c>
      <c r="G699">
        <v>129000</v>
      </c>
    </row>
    <row r="700">
      <c r="A700">
        <v>51</v>
      </c>
      <c r="B700" s="33">
        <f>VLOOKUP(A700,'Cắt Gội'!$A:$C,3,0)</f>
      </c>
      <c r="D700">
        <v>940</v>
      </c>
      <c r="E700" s="33">
        <f>B700&amp;D700</f>
      </c>
      <c r="F700" t="str">
        <v>[NEW] Gội dưỡng sinh</v>
      </c>
      <c r="G700">
        <v>59000</v>
      </c>
    </row>
    <row r="701">
      <c r="A701">
        <v>51</v>
      </c>
      <c r="B701" s="33">
        <f>VLOOKUP(A701,'Cắt Gội'!$A:$C,3,0)</f>
      </c>
      <c r="D701">
        <v>940</v>
      </c>
      <c r="E701" s="33">
        <f>B701&amp;D701</f>
      </c>
      <c r="F701" t="str">
        <v>[NEW] Gội dưỡng sinh</v>
      </c>
      <c r="G701">
        <v>50000</v>
      </c>
    </row>
    <row r="702">
      <c r="A702">
        <v>52</v>
      </c>
      <c r="B702" s="33">
        <f>VLOOKUP(A702,'Cắt Gội'!$A:$C,3,0)</f>
      </c>
      <c r="D702">
        <v>1058</v>
      </c>
      <c r="E702" s="33">
        <f>B702&amp;D702</f>
      </c>
      <c r="F702" t="str">
        <v>Gội Combo 2</v>
      </c>
      <c r="G702">
        <v>139000</v>
      </c>
    </row>
    <row r="703">
      <c r="A703">
        <v>52</v>
      </c>
      <c r="B703" s="33">
        <f>VLOOKUP(A703,'Cắt Gội'!$A:$C,3,0)</f>
      </c>
      <c r="D703">
        <v>1059</v>
      </c>
      <c r="E703" s="33">
        <f>B703&amp;D703</f>
      </c>
      <c r="F703" t="str">
        <v>Gội Combo 3 - Chăm da</v>
      </c>
      <c r="G703">
        <v>239000</v>
      </c>
    </row>
    <row r="704">
      <c r="A704">
        <v>52</v>
      </c>
      <c r="B704" s="33">
        <f>VLOOKUP(A704,'Cắt Gội'!$A:$C,3,0)</f>
      </c>
      <c r="D704">
        <v>1060</v>
      </c>
      <c r="E704" s="33">
        <f>B704&amp;D704</f>
      </c>
      <c r="F704" t="str">
        <v>Gội Combo 4</v>
      </c>
      <c r="G704">
        <v>289000</v>
      </c>
    </row>
    <row r="705">
      <c r="A705">
        <v>52</v>
      </c>
      <c r="B705" s="33">
        <f>VLOOKUP(A705,'Cắt Gội'!$A:$C,3,0)</f>
      </c>
      <c r="D705">
        <v>934</v>
      </c>
      <c r="E705" s="33">
        <f>B705&amp;D705</f>
      </c>
      <c r="F705" t="str">
        <v>Gội combo 3 - Dưỡng sinh</v>
      </c>
      <c r="G705">
        <v>229000</v>
      </c>
    </row>
    <row r="706">
      <c r="A706">
        <v>52</v>
      </c>
      <c r="B706" s="33">
        <f>VLOOKUP(A706,'Cắt Gội'!$A:$C,3,0)</f>
      </c>
      <c r="D706">
        <v>867</v>
      </c>
      <c r="E706" s="33">
        <f>B706&amp;D706</f>
      </c>
      <c r="F706" t="str">
        <v>Gội dưỡng sinh cổ vai gáy</v>
      </c>
      <c r="G706">
        <v>99000</v>
      </c>
    </row>
    <row r="707">
      <c r="A707">
        <v>52</v>
      </c>
      <c r="B707" s="33">
        <f>VLOOKUP(A707,'Cắt Gội'!$A:$C,3,0)</f>
      </c>
      <c r="D707">
        <v>940</v>
      </c>
      <c r="E707" s="33">
        <f>B707&amp;D707</f>
      </c>
      <c r="F707" t="str">
        <v>[NEW] Gội dưỡng sinh</v>
      </c>
      <c r="G707">
        <v>59000</v>
      </c>
    </row>
    <row r="708">
      <c r="A708">
        <v>58</v>
      </c>
      <c r="B708" s="33">
        <f>VLOOKUP(A708,'Cắt Gội'!$A:$C,3,0)</f>
      </c>
      <c r="D708">
        <v>1058</v>
      </c>
      <c r="E708" s="33">
        <f>B708&amp;D708</f>
      </c>
      <c r="F708" t="str">
        <v>Gội Combo 2</v>
      </c>
      <c r="G708">
        <v>159000</v>
      </c>
    </row>
    <row r="709">
      <c r="A709">
        <v>58</v>
      </c>
      <c r="B709" s="33">
        <f>VLOOKUP(A709,'Cắt Gội'!$A:$C,3,0)</f>
      </c>
      <c r="D709">
        <v>1059</v>
      </c>
      <c r="E709" s="33">
        <f>B709&amp;D709</f>
      </c>
      <c r="F709" t="str">
        <v>Gội Combo 3 - Chăm da</v>
      </c>
      <c r="G709">
        <v>239000</v>
      </c>
    </row>
    <row r="710">
      <c r="A710">
        <v>58</v>
      </c>
      <c r="B710" s="33">
        <f>VLOOKUP(A710,'Cắt Gội'!$A:$C,3,0)</f>
      </c>
      <c r="D710">
        <v>1059</v>
      </c>
      <c r="E710" s="33">
        <f>B710&amp;D710</f>
      </c>
      <c r="F710" t="str">
        <v>Gội Combo 3 - Chăm da</v>
      </c>
      <c r="G710">
        <v>219000</v>
      </c>
    </row>
    <row r="711">
      <c r="A711">
        <v>58</v>
      </c>
      <c r="B711" s="33">
        <f>VLOOKUP(A711,'Cắt Gội'!$A:$C,3,0)</f>
      </c>
      <c r="D711">
        <v>1060</v>
      </c>
      <c r="E711" s="33">
        <f>B711&amp;D711</f>
      </c>
      <c r="F711" t="str">
        <v>Gội Combo 4</v>
      </c>
      <c r="G711">
        <v>319000</v>
      </c>
    </row>
    <row r="712">
      <c r="A712">
        <v>58</v>
      </c>
      <c r="B712" s="33">
        <f>VLOOKUP(A712,'Cắt Gội'!$A:$C,3,0)</f>
      </c>
      <c r="D712">
        <v>1060</v>
      </c>
      <c r="E712" s="33">
        <f>B712&amp;D712</f>
      </c>
      <c r="F712" t="str">
        <v>Gội Combo 4</v>
      </c>
      <c r="G712">
        <v>289000</v>
      </c>
    </row>
    <row r="713">
      <c r="A713">
        <v>58</v>
      </c>
      <c r="B713" s="33">
        <f>VLOOKUP(A713,'Cắt Gội'!$A:$C,3,0)</f>
      </c>
      <c r="D713">
        <v>932</v>
      </c>
      <c r="E713" s="33">
        <f>B713&amp;D713</f>
      </c>
      <c r="F713" t="str">
        <v>Gội combo 5 dưỡng sinh</v>
      </c>
      <c r="G713">
        <v>399000</v>
      </c>
    </row>
    <row r="714">
      <c r="A714">
        <v>58</v>
      </c>
      <c r="B714" s="33">
        <f>VLOOKUP(A714,'Cắt Gội'!$A:$C,3,0)</f>
      </c>
      <c r="D714">
        <v>867</v>
      </c>
      <c r="E714" s="33">
        <f>B714&amp;D714</f>
      </c>
      <c r="F714" t="str">
        <v>Gội dưỡng sinh cổ vai gáy</v>
      </c>
      <c r="G714">
        <v>99000</v>
      </c>
    </row>
    <row r="715">
      <c r="A715">
        <v>58</v>
      </c>
      <c r="B715" s="33">
        <f>VLOOKUP(A715,'Cắt Gội'!$A:$C,3,0)</f>
      </c>
      <c r="D715">
        <v>867</v>
      </c>
      <c r="E715" s="33">
        <f>B715&amp;D715</f>
      </c>
      <c r="F715" t="str">
        <v>Gội dưỡng sinh cổ vai gáy</v>
      </c>
      <c r="G715">
        <v>95000</v>
      </c>
    </row>
    <row r="716">
      <c r="A716">
        <v>58</v>
      </c>
      <c r="B716" s="33">
        <f>VLOOKUP(A716,'Cắt Gội'!$A:$C,3,0)</f>
      </c>
      <c r="D716">
        <v>1066</v>
      </c>
      <c r="E716" s="33">
        <f>B716&amp;D716</f>
      </c>
      <c r="F716" t="str">
        <v>Gội trải nghiệm 75p</v>
      </c>
      <c r="G716">
        <v>589000</v>
      </c>
    </row>
    <row r="717">
      <c r="A717">
        <v>58</v>
      </c>
      <c r="B717" s="33">
        <f>VLOOKUP(A717,'Cắt Gội'!$A:$C,3,0)</f>
      </c>
      <c r="D717">
        <v>940</v>
      </c>
      <c r="E717" s="33">
        <f>B717&amp;D717</f>
      </c>
      <c r="F717" t="str">
        <v>[NEW] Gội dưỡng sinh</v>
      </c>
      <c r="G717">
        <v>50000</v>
      </c>
    </row>
    <row r="718">
      <c r="A718">
        <v>58</v>
      </c>
      <c r="B718" s="33">
        <f>VLOOKUP(A718,'Cắt Gội'!$A:$C,3,0)</f>
      </c>
      <c r="D718">
        <v>940</v>
      </c>
      <c r="E718" s="33">
        <f>B718&amp;D718</f>
      </c>
      <c r="F718" t="str">
        <v>[NEW] Gội dưỡng sinh</v>
      </c>
      <c r="G718">
        <v>59000</v>
      </c>
    </row>
    <row r="719">
      <c r="A719">
        <v>60</v>
      </c>
      <c r="B719" s="33">
        <f>VLOOKUP(A719,'Cắt Gội'!$A:$C,3,0)</f>
      </c>
      <c r="D719">
        <v>1058</v>
      </c>
      <c r="E719" s="33">
        <f>B719&amp;D719</f>
      </c>
      <c r="F719" t="str">
        <v>Gội Combo 2</v>
      </c>
      <c r="G719">
        <v>159000</v>
      </c>
    </row>
    <row r="720">
      <c r="A720">
        <v>60</v>
      </c>
      <c r="B720" s="33">
        <f>VLOOKUP(A720,'Cắt Gội'!$A:$C,3,0)</f>
      </c>
      <c r="D720">
        <v>1059</v>
      </c>
      <c r="E720" s="33">
        <f>B720&amp;D720</f>
      </c>
      <c r="F720" t="str">
        <v>Gội Combo 3 - Chăm da</v>
      </c>
      <c r="G720">
        <v>239000</v>
      </c>
    </row>
    <row r="721">
      <c r="A721">
        <v>60</v>
      </c>
      <c r="B721" s="33">
        <f>VLOOKUP(A721,'Cắt Gội'!$A:$C,3,0)</f>
      </c>
      <c r="D721">
        <v>1060</v>
      </c>
      <c r="E721" s="33">
        <f>B721&amp;D721</f>
      </c>
      <c r="F721" t="str">
        <v>Gội Combo 4</v>
      </c>
      <c r="G721">
        <v>289000</v>
      </c>
    </row>
    <row r="722">
      <c r="A722">
        <v>60</v>
      </c>
      <c r="B722" s="33">
        <f>VLOOKUP(A722,'Cắt Gội'!$A:$C,3,0)</f>
      </c>
      <c r="D722">
        <v>934</v>
      </c>
      <c r="E722" s="33">
        <f>B722&amp;D722</f>
      </c>
      <c r="F722" t="str">
        <v>Gội combo 3 - Dưỡng sinh</v>
      </c>
      <c r="G722">
        <v>229000</v>
      </c>
    </row>
    <row r="723">
      <c r="A723">
        <v>60</v>
      </c>
      <c r="B723" s="33">
        <f>VLOOKUP(A723,'Cắt Gội'!$A:$C,3,0)</f>
      </c>
      <c r="D723">
        <v>867</v>
      </c>
      <c r="E723" s="33">
        <f>B723&amp;D723</f>
      </c>
      <c r="F723" t="str">
        <v>Gội dưỡng sinh cổ vai gáy</v>
      </c>
      <c r="G723">
        <v>79000</v>
      </c>
    </row>
    <row r="724">
      <c r="A724">
        <v>60</v>
      </c>
      <c r="B724" s="33">
        <f>VLOOKUP(A724,'Cắt Gội'!$A:$C,3,0)</f>
      </c>
      <c r="D724">
        <v>867</v>
      </c>
      <c r="E724" s="33">
        <f>B724&amp;D724</f>
      </c>
      <c r="F724" t="str">
        <v>Gội dưỡng sinh cổ vai gáy</v>
      </c>
      <c r="G724">
        <v>95000</v>
      </c>
    </row>
    <row r="725">
      <c r="A725">
        <v>60</v>
      </c>
      <c r="B725" s="33">
        <f>VLOOKUP(A725,'Cắt Gội'!$A:$C,3,0)</f>
      </c>
      <c r="D725">
        <v>940</v>
      </c>
      <c r="E725" s="33">
        <f>B725&amp;D725</f>
      </c>
      <c r="F725" t="str">
        <v>[NEW] Gội dưỡng sinh</v>
      </c>
      <c r="G725">
        <v>59000</v>
      </c>
    </row>
    <row r="726">
      <c r="A726">
        <v>61</v>
      </c>
      <c r="B726" s="33">
        <f>VLOOKUP(A726,'Cắt Gội'!$A:$C,3,0)</f>
      </c>
      <c r="D726">
        <v>1058</v>
      </c>
      <c r="E726" s="33">
        <f>B726&amp;D726</f>
      </c>
      <c r="F726" t="str">
        <v>Gội Combo 2</v>
      </c>
      <c r="G726">
        <v>159000</v>
      </c>
    </row>
    <row r="727">
      <c r="A727">
        <v>61</v>
      </c>
      <c r="B727" s="33">
        <f>VLOOKUP(A727,'Cắt Gội'!$A:$C,3,0)</f>
      </c>
      <c r="D727">
        <v>1059</v>
      </c>
      <c r="E727" s="33">
        <f>B727&amp;D727</f>
      </c>
      <c r="F727" t="str">
        <v>Gội Combo 3 - Chăm da</v>
      </c>
      <c r="G727">
        <v>219000</v>
      </c>
    </row>
    <row r="728">
      <c r="A728">
        <v>61</v>
      </c>
      <c r="B728" s="33">
        <f>VLOOKUP(A728,'Cắt Gội'!$A:$C,3,0)</f>
      </c>
      <c r="D728">
        <v>1059</v>
      </c>
      <c r="E728" s="33">
        <f>B728&amp;D728</f>
      </c>
      <c r="F728" t="str">
        <v>Gội Combo 3 - Chăm da</v>
      </c>
      <c r="G728">
        <v>239000</v>
      </c>
    </row>
    <row r="729">
      <c r="A729">
        <v>61</v>
      </c>
      <c r="B729" s="33">
        <f>VLOOKUP(A729,'Cắt Gội'!$A:$C,3,0)</f>
      </c>
      <c r="D729">
        <v>1060</v>
      </c>
      <c r="E729" s="33">
        <f>B729&amp;D729</f>
      </c>
      <c r="F729" t="str">
        <v>Gội Combo 4</v>
      </c>
      <c r="G729">
        <v>319000</v>
      </c>
    </row>
    <row r="730">
      <c r="A730">
        <v>61</v>
      </c>
      <c r="B730" s="33">
        <f>VLOOKUP(A730,'Cắt Gội'!$A:$C,3,0)</f>
      </c>
      <c r="D730">
        <v>1060</v>
      </c>
      <c r="E730" s="33">
        <f>B730&amp;D730</f>
      </c>
      <c r="F730" t="str">
        <v>Gội Combo 4</v>
      </c>
      <c r="G730">
        <v>329000</v>
      </c>
    </row>
    <row r="731">
      <c r="A731">
        <v>61</v>
      </c>
      <c r="B731" s="33">
        <f>VLOOKUP(A731,'Cắt Gội'!$A:$C,3,0)</f>
      </c>
      <c r="D731">
        <v>1061</v>
      </c>
      <c r="E731" s="33">
        <f>B731&amp;D731</f>
      </c>
      <c r="F731" t="str">
        <v>Gội Combo 5 - Chăm da</v>
      </c>
      <c r="G731">
        <v>359000</v>
      </c>
    </row>
    <row r="732">
      <c r="A732">
        <v>61</v>
      </c>
      <c r="B732" s="33">
        <f>VLOOKUP(A732,'Cắt Gội'!$A:$C,3,0)</f>
      </c>
      <c r="D732">
        <v>934</v>
      </c>
      <c r="E732" s="33">
        <f>B732&amp;D732</f>
      </c>
      <c r="F732" t="str">
        <v>Gội combo 3 - Dưỡng sinh</v>
      </c>
      <c r="G732">
        <v>229000</v>
      </c>
    </row>
    <row r="733">
      <c r="A733">
        <v>61</v>
      </c>
      <c r="B733" s="33">
        <f>VLOOKUP(A733,'Cắt Gội'!$A:$C,3,0)</f>
      </c>
      <c r="D733">
        <v>867</v>
      </c>
      <c r="E733" s="33">
        <f>B733&amp;D733</f>
      </c>
      <c r="F733" t="str">
        <v>Gội dưỡng sinh cổ vai gáy</v>
      </c>
      <c r="G733">
        <v>95000</v>
      </c>
    </row>
    <row r="734">
      <c r="A734">
        <v>61</v>
      </c>
      <c r="B734" s="33">
        <f>VLOOKUP(A734,'Cắt Gội'!$A:$C,3,0)</f>
      </c>
      <c r="D734">
        <v>867</v>
      </c>
      <c r="E734" s="33">
        <f>B734&amp;D734</f>
      </c>
      <c r="F734" t="str">
        <v>Gội dưỡng sinh cổ vai gáy</v>
      </c>
      <c r="G734">
        <v>99000</v>
      </c>
    </row>
    <row r="735">
      <c r="A735">
        <v>61</v>
      </c>
      <c r="B735" s="33">
        <f>VLOOKUP(A735,'Cắt Gội'!$A:$C,3,0)</f>
      </c>
      <c r="D735">
        <v>1068</v>
      </c>
      <c r="E735" s="33">
        <f>B735&amp;D735</f>
      </c>
      <c r="F735" t="str">
        <v>Gội trải nghiệm 115p</v>
      </c>
      <c r="G735">
        <v>999000</v>
      </c>
    </row>
    <row r="736">
      <c r="A736">
        <v>61</v>
      </c>
      <c r="B736" s="33">
        <f>VLOOKUP(A736,'Cắt Gội'!$A:$C,3,0)</f>
      </c>
      <c r="D736">
        <v>1066</v>
      </c>
      <c r="E736" s="33">
        <f>B736&amp;D736</f>
      </c>
      <c r="F736" t="str">
        <v>Gội trải nghiệm 75p</v>
      </c>
      <c r="G736">
        <v>589000</v>
      </c>
    </row>
    <row r="737">
      <c r="A737">
        <v>61</v>
      </c>
      <c r="B737" s="33">
        <f>VLOOKUP(A737,'Cắt Gội'!$A:$C,3,0)</f>
      </c>
      <c r="D737">
        <v>1067</v>
      </c>
      <c r="E737" s="33">
        <f>B737&amp;D737</f>
      </c>
      <c r="F737" t="str">
        <v>Gội trải nghiệm 90p</v>
      </c>
      <c r="G737">
        <v>789000</v>
      </c>
    </row>
    <row r="738">
      <c r="A738">
        <v>61</v>
      </c>
      <c r="B738" s="33">
        <f>VLOOKUP(A738,'Cắt Gội'!$A:$C,3,0)</f>
      </c>
      <c r="D738">
        <v>940</v>
      </c>
      <c r="E738" s="33">
        <f>B738&amp;D738</f>
      </c>
      <c r="F738" t="str">
        <v>[NEW] Gội dưỡng sinh</v>
      </c>
      <c r="G738">
        <v>59000</v>
      </c>
    </row>
    <row r="739">
      <c r="A739">
        <v>61</v>
      </c>
      <c r="B739" s="33">
        <f>VLOOKUP(A739,'Cắt Gội'!$A:$C,3,0)</f>
      </c>
      <c r="D739">
        <v>940</v>
      </c>
      <c r="E739" s="33">
        <f>B739&amp;D739</f>
      </c>
      <c r="F739" t="str">
        <v>[NEW] Gội dưỡng sinh</v>
      </c>
      <c r="G739">
        <v>50000</v>
      </c>
    </row>
    <row r="740">
      <c r="A740">
        <v>63</v>
      </c>
      <c r="B740" s="33">
        <f>VLOOKUP(A740,'Cắt Gội'!$A:$C,3,0)</f>
      </c>
      <c r="D740">
        <v>1058</v>
      </c>
      <c r="E740" s="33">
        <f>B740&amp;D740</f>
      </c>
      <c r="F740" t="str">
        <v>Gội Combo 2</v>
      </c>
      <c r="G740">
        <v>159000</v>
      </c>
    </row>
    <row r="741">
      <c r="A741">
        <v>63</v>
      </c>
      <c r="B741" s="33">
        <f>VLOOKUP(A741,'Cắt Gội'!$A:$C,3,0)</f>
      </c>
      <c r="D741">
        <v>1059</v>
      </c>
      <c r="E741" s="33">
        <f>B741&amp;D741</f>
      </c>
      <c r="F741" t="str">
        <v>Gội Combo 3 - Chăm da</v>
      </c>
      <c r="G741">
        <v>219000</v>
      </c>
    </row>
    <row r="742">
      <c r="A742">
        <v>63</v>
      </c>
      <c r="B742" s="33">
        <f>VLOOKUP(A742,'Cắt Gội'!$A:$C,3,0)</f>
      </c>
      <c r="D742">
        <v>1059</v>
      </c>
      <c r="E742" s="33">
        <f>B742&amp;D742</f>
      </c>
      <c r="F742" t="str">
        <v>Gội Combo 3 - Chăm da</v>
      </c>
      <c r="G742">
        <v>239000</v>
      </c>
    </row>
    <row r="743">
      <c r="A743">
        <v>63</v>
      </c>
      <c r="B743" s="33">
        <f>VLOOKUP(A743,'Cắt Gội'!$A:$C,3,0)</f>
      </c>
      <c r="D743">
        <v>1060</v>
      </c>
      <c r="E743" s="33">
        <f>B743&amp;D743</f>
      </c>
      <c r="F743" t="str">
        <v>Gội Combo 4</v>
      </c>
      <c r="G743">
        <v>319000</v>
      </c>
    </row>
    <row r="744">
      <c r="A744">
        <v>63</v>
      </c>
      <c r="B744" s="33">
        <f>VLOOKUP(A744,'Cắt Gội'!$A:$C,3,0)</f>
      </c>
      <c r="D744">
        <v>1060</v>
      </c>
      <c r="E744" s="33">
        <f>B744&amp;D744</f>
      </c>
      <c r="F744" t="str">
        <v>Gội Combo 4</v>
      </c>
      <c r="G744">
        <v>289000</v>
      </c>
    </row>
    <row r="745">
      <c r="A745">
        <v>63</v>
      </c>
      <c r="B745" s="33">
        <f>VLOOKUP(A745,'Cắt Gội'!$A:$C,3,0)</f>
      </c>
      <c r="D745">
        <v>934</v>
      </c>
      <c r="E745" s="33">
        <f>B745&amp;D745</f>
      </c>
      <c r="F745" t="str">
        <v>Gội combo 3 - Dưỡng sinh</v>
      </c>
      <c r="G745">
        <v>229000</v>
      </c>
    </row>
    <row r="746">
      <c r="A746">
        <v>63</v>
      </c>
      <c r="B746" s="33">
        <f>VLOOKUP(A746,'Cắt Gội'!$A:$C,3,0)</f>
      </c>
      <c r="D746">
        <v>867</v>
      </c>
      <c r="E746" s="33">
        <f>B746&amp;D746</f>
      </c>
      <c r="F746" t="str">
        <v>Gội dưỡng sinh cổ vai gáy</v>
      </c>
      <c r="G746">
        <v>99000</v>
      </c>
    </row>
    <row r="747">
      <c r="A747">
        <v>63</v>
      </c>
      <c r="B747" s="33">
        <f>VLOOKUP(A747,'Cắt Gội'!$A:$C,3,0)</f>
      </c>
      <c r="D747">
        <v>867</v>
      </c>
      <c r="E747" s="33">
        <f>B747&amp;D747</f>
      </c>
      <c r="F747" t="str">
        <v>Gội dưỡng sinh cổ vai gáy</v>
      </c>
      <c r="G747">
        <v>95000</v>
      </c>
    </row>
    <row r="748">
      <c r="A748">
        <v>63</v>
      </c>
      <c r="B748" s="33">
        <f>VLOOKUP(A748,'Cắt Gội'!$A:$C,3,0)</f>
      </c>
      <c r="D748">
        <v>940</v>
      </c>
      <c r="E748" s="33">
        <f>B748&amp;D748</f>
      </c>
      <c r="F748" t="str">
        <v>[NEW] Gội dưỡng sinh</v>
      </c>
      <c r="G748">
        <v>59000</v>
      </c>
    </row>
    <row r="749">
      <c r="A749">
        <v>65</v>
      </c>
      <c r="B749" s="33">
        <f>VLOOKUP(A749,'Cắt Gội'!$A:$C,3,0)</f>
      </c>
      <c r="D749">
        <v>1058</v>
      </c>
      <c r="E749" s="33">
        <f>B749&amp;D749</f>
      </c>
      <c r="F749" t="str">
        <v>Gội Combo 2</v>
      </c>
      <c r="G749">
        <v>159000</v>
      </c>
    </row>
    <row r="750">
      <c r="A750">
        <v>65</v>
      </c>
      <c r="B750" s="33">
        <f>VLOOKUP(A750,'Cắt Gội'!$A:$C,3,0)</f>
      </c>
      <c r="D750">
        <v>1059</v>
      </c>
      <c r="E750" s="33">
        <f>B750&amp;D750</f>
      </c>
      <c r="F750" t="str">
        <v>Gội Combo 3 - Chăm da</v>
      </c>
      <c r="G750">
        <v>239000</v>
      </c>
    </row>
    <row r="751">
      <c r="A751">
        <v>65</v>
      </c>
      <c r="B751" s="33">
        <f>VLOOKUP(A751,'Cắt Gội'!$A:$C,3,0)</f>
      </c>
      <c r="D751">
        <v>1059</v>
      </c>
      <c r="E751" s="33">
        <f>B751&amp;D751</f>
      </c>
      <c r="F751" t="str">
        <v>Gội Combo 3 - Chăm da</v>
      </c>
      <c r="G751">
        <v>219000</v>
      </c>
    </row>
    <row r="752">
      <c r="A752">
        <v>65</v>
      </c>
      <c r="B752" s="33">
        <f>VLOOKUP(A752,'Cắt Gội'!$A:$C,3,0)</f>
      </c>
      <c r="D752">
        <v>1060</v>
      </c>
      <c r="E752" s="33">
        <f>B752&amp;D752</f>
      </c>
      <c r="F752" t="str">
        <v>Gội Combo 4</v>
      </c>
      <c r="G752">
        <v>319000</v>
      </c>
    </row>
    <row r="753">
      <c r="A753">
        <v>65</v>
      </c>
      <c r="B753" s="33">
        <f>VLOOKUP(A753,'Cắt Gội'!$A:$C,3,0)</f>
      </c>
      <c r="D753">
        <v>1060</v>
      </c>
      <c r="E753" s="33">
        <f>B753&amp;D753</f>
      </c>
      <c r="F753" t="str">
        <v>Gội Combo 4</v>
      </c>
      <c r="G753">
        <v>289000</v>
      </c>
    </row>
    <row r="754">
      <c r="A754">
        <v>65</v>
      </c>
      <c r="B754" s="33">
        <f>VLOOKUP(A754,'Cắt Gội'!$A:$C,3,0)</f>
      </c>
      <c r="D754">
        <v>867</v>
      </c>
      <c r="E754" s="33">
        <f>B754&amp;D754</f>
      </c>
      <c r="F754" t="str">
        <v>Gội dưỡng sinh cổ vai gáy</v>
      </c>
      <c r="G754">
        <v>95000</v>
      </c>
    </row>
    <row r="755">
      <c r="A755">
        <v>65</v>
      </c>
      <c r="B755" s="33">
        <f>VLOOKUP(A755,'Cắt Gội'!$A:$C,3,0)</f>
      </c>
      <c r="D755">
        <v>867</v>
      </c>
      <c r="E755" s="33">
        <f>B755&amp;D755</f>
      </c>
      <c r="F755" t="str">
        <v>Gội dưỡng sinh cổ vai gáy</v>
      </c>
      <c r="G755">
        <v>79000</v>
      </c>
    </row>
    <row r="756">
      <c r="A756">
        <v>65</v>
      </c>
      <c r="B756" s="33">
        <f>VLOOKUP(A756,'Cắt Gội'!$A:$C,3,0)</f>
      </c>
      <c r="D756">
        <v>940</v>
      </c>
      <c r="E756" s="33">
        <f>B756&amp;D756</f>
      </c>
      <c r="F756" t="str">
        <v>[NEW] Gội dưỡng sinh</v>
      </c>
      <c r="G756">
        <v>59000</v>
      </c>
    </row>
    <row r="757">
      <c r="A757">
        <v>69</v>
      </c>
      <c r="B757" s="33">
        <f>VLOOKUP(A757,'Cắt Gội'!$A:$C,3,0)</f>
      </c>
      <c r="D757">
        <v>1058</v>
      </c>
      <c r="E757" s="33">
        <f>B757&amp;D757</f>
      </c>
      <c r="F757" t="str">
        <v>Gội Combo 2</v>
      </c>
      <c r="G757">
        <v>159000</v>
      </c>
    </row>
    <row r="758">
      <c r="A758">
        <v>69</v>
      </c>
      <c r="B758" s="33">
        <f>VLOOKUP(A758,'Cắt Gội'!$A:$C,3,0)</f>
      </c>
      <c r="D758">
        <v>1059</v>
      </c>
      <c r="E758" s="33">
        <f>B758&amp;D758</f>
      </c>
      <c r="F758" t="str">
        <v>Gội Combo 3 - Chăm da</v>
      </c>
      <c r="G758">
        <v>219000</v>
      </c>
    </row>
    <row r="759">
      <c r="A759">
        <v>69</v>
      </c>
      <c r="B759" s="33">
        <f>VLOOKUP(A759,'Cắt Gội'!$A:$C,3,0)</f>
      </c>
      <c r="D759">
        <v>1059</v>
      </c>
      <c r="E759" s="33">
        <f>B759&amp;D759</f>
      </c>
      <c r="F759" t="str">
        <v>Gội Combo 3 - Chăm da</v>
      </c>
      <c r="G759">
        <v>239000</v>
      </c>
    </row>
    <row r="760">
      <c r="A760">
        <v>69</v>
      </c>
      <c r="B760" s="33">
        <f>VLOOKUP(A760,'Cắt Gội'!$A:$C,3,0)</f>
      </c>
      <c r="D760">
        <v>1060</v>
      </c>
      <c r="E760" s="33">
        <f>B760&amp;D760</f>
      </c>
      <c r="F760" t="str">
        <v>Gội Combo 4</v>
      </c>
      <c r="G760">
        <v>289000</v>
      </c>
    </row>
    <row r="761">
      <c r="A761">
        <v>69</v>
      </c>
      <c r="B761" s="33">
        <f>VLOOKUP(A761,'Cắt Gội'!$A:$C,3,0)</f>
      </c>
      <c r="D761">
        <v>1060</v>
      </c>
      <c r="E761" s="33">
        <f>B761&amp;D761</f>
      </c>
      <c r="F761" t="str">
        <v>Gội Combo 4</v>
      </c>
      <c r="G761">
        <v>319000</v>
      </c>
    </row>
    <row r="762">
      <c r="A762">
        <v>69</v>
      </c>
      <c r="B762" s="33">
        <f>VLOOKUP(A762,'Cắt Gội'!$A:$C,3,0)</f>
      </c>
      <c r="D762">
        <v>1061</v>
      </c>
      <c r="E762" s="33">
        <f>B762&amp;D762</f>
      </c>
      <c r="F762" t="str">
        <v>Gội Combo 5 - Chăm da</v>
      </c>
      <c r="G762">
        <v>359000</v>
      </c>
    </row>
    <row r="763">
      <c r="A763">
        <v>69</v>
      </c>
      <c r="B763" s="33">
        <f>VLOOKUP(A763,'Cắt Gội'!$A:$C,3,0)</f>
      </c>
      <c r="D763">
        <v>934</v>
      </c>
      <c r="E763" s="33">
        <f>B763&amp;D763</f>
      </c>
      <c r="F763" t="str">
        <v>Gội combo 3 - Dưỡng sinh</v>
      </c>
      <c r="G763">
        <v>229000</v>
      </c>
    </row>
    <row r="764">
      <c r="A764">
        <v>69</v>
      </c>
      <c r="B764" s="33">
        <f>VLOOKUP(A764,'Cắt Gội'!$A:$C,3,0)</f>
      </c>
      <c r="D764">
        <v>932</v>
      </c>
      <c r="E764" s="33">
        <f>B764&amp;D764</f>
      </c>
      <c r="F764" t="str">
        <v>Gội combo 5 dưỡng sinh</v>
      </c>
      <c r="G764">
        <v>399000</v>
      </c>
    </row>
    <row r="765">
      <c r="A765">
        <v>69</v>
      </c>
      <c r="B765" s="33">
        <f>VLOOKUP(A765,'Cắt Gội'!$A:$C,3,0)</f>
      </c>
      <c r="D765">
        <v>867</v>
      </c>
      <c r="E765" s="33">
        <f>B765&amp;D765</f>
      </c>
      <c r="F765" t="str">
        <v>Gội dưỡng sinh cổ vai gáy</v>
      </c>
      <c r="G765">
        <v>100000</v>
      </c>
    </row>
    <row r="766">
      <c r="A766">
        <v>69</v>
      </c>
      <c r="B766" s="33">
        <f>VLOOKUP(A766,'Cắt Gội'!$A:$C,3,0)</f>
      </c>
      <c r="D766">
        <v>867</v>
      </c>
      <c r="E766" s="33">
        <f>B766&amp;D766</f>
      </c>
      <c r="F766" t="str">
        <v>Gội dưỡng sinh cổ vai gáy</v>
      </c>
      <c r="G766">
        <v>95000</v>
      </c>
    </row>
    <row r="767">
      <c r="A767">
        <v>69</v>
      </c>
      <c r="B767" s="33">
        <f>VLOOKUP(A767,'Cắt Gội'!$A:$C,3,0)</f>
      </c>
      <c r="D767">
        <v>1066</v>
      </c>
      <c r="E767" s="33">
        <f>B767&amp;D767</f>
      </c>
      <c r="F767" t="str">
        <v>Gội trải nghiệm 75p</v>
      </c>
      <c r="G767">
        <v>589000</v>
      </c>
    </row>
    <row r="768">
      <c r="A768">
        <v>69</v>
      </c>
      <c r="B768" s="33">
        <f>VLOOKUP(A768,'Cắt Gội'!$A:$C,3,0)</f>
      </c>
      <c r="D768">
        <v>940</v>
      </c>
      <c r="E768" s="33">
        <f>B768&amp;D768</f>
      </c>
      <c r="F768" t="str">
        <v>[NEW] Gội dưỡng sinh</v>
      </c>
      <c r="G768">
        <v>50000</v>
      </c>
    </row>
    <row r="769">
      <c r="A769">
        <v>69</v>
      </c>
      <c r="B769" s="33">
        <f>VLOOKUP(A769,'Cắt Gội'!$A:$C,3,0)</f>
      </c>
      <c r="D769">
        <v>940</v>
      </c>
      <c r="E769" s="33">
        <f>B769&amp;D769</f>
      </c>
      <c r="F769" t="str">
        <v>[NEW] Gội dưỡng sinh</v>
      </c>
      <c r="G769">
        <v>59000</v>
      </c>
    </row>
    <row r="770">
      <c r="A770">
        <v>72</v>
      </c>
      <c r="B770" s="33">
        <f>VLOOKUP(A770,'Cắt Gội'!$A:$C,3,0)</f>
      </c>
      <c r="D770">
        <v>1058</v>
      </c>
      <c r="E770" s="33">
        <f>B770&amp;D770</f>
      </c>
      <c r="F770" t="str">
        <v>Gội Combo 2</v>
      </c>
      <c r="G770">
        <v>159000</v>
      </c>
    </row>
    <row r="771">
      <c r="A771">
        <v>72</v>
      </c>
      <c r="B771" s="33">
        <f>VLOOKUP(A771,'Cắt Gội'!$A:$C,3,0)</f>
      </c>
      <c r="D771">
        <v>1059</v>
      </c>
      <c r="E771" s="33">
        <f>B771&amp;D771</f>
      </c>
      <c r="F771" t="str">
        <v>Gội Combo 3 - Chăm da</v>
      </c>
      <c r="G771">
        <v>239000</v>
      </c>
    </row>
    <row r="772">
      <c r="A772">
        <v>72</v>
      </c>
      <c r="B772" s="33">
        <f>VLOOKUP(A772,'Cắt Gội'!$A:$C,3,0)</f>
      </c>
      <c r="D772">
        <v>1060</v>
      </c>
      <c r="E772" s="33">
        <f>B772&amp;D772</f>
      </c>
      <c r="F772" t="str">
        <v>Gội Combo 4</v>
      </c>
      <c r="G772">
        <v>289000</v>
      </c>
    </row>
    <row r="773">
      <c r="A773">
        <v>72</v>
      </c>
      <c r="B773" s="33">
        <f>VLOOKUP(A773,'Cắt Gội'!$A:$C,3,0)</f>
      </c>
      <c r="D773">
        <v>934</v>
      </c>
      <c r="E773" s="33">
        <f>B773&amp;D773</f>
      </c>
      <c r="F773" t="str">
        <v>Gội combo 3 - Dưỡng sinh</v>
      </c>
      <c r="G773">
        <v>229000</v>
      </c>
    </row>
    <row r="774">
      <c r="A774">
        <v>72</v>
      </c>
      <c r="B774" s="33">
        <f>VLOOKUP(A774,'Cắt Gội'!$A:$C,3,0)</f>
      </c>
      <c r="D774">
        <v>867</v>
      </c>
      <c r="E774" s="33">
        <f>B774&amp;D774</f>
      </c>
      <c r="F774" t="str">
        <v>Gội dưỡng sinh cổ vai gáy</v>
      </c>
      <c r="G774">
        <v>99000</v>
      </c>
    </row>
    <row r="775">
      <c r="A775">
        <v>72</v>
      </c>
      <c r="B775" s="33">
        <f>VLOOKUP(A775,'Cắt Gội'!$A:$C,3,0)</f>
      </c>
      <c r="D775">
        <v>1066</v>
      </c>
      <c r="E775" s="33">
        <f>B775&amp;D775</f>
      </c>
      <c r="F775" t="str">
        <v>Gội trải nghiệm 75p</v>
      </c>
      <c r="G775">
        <v>589000</v>
      </c>
    </row>
    <row r="776">
      <c r="A776">
        <v>72</v>
      </c>
      <c r="B776" s="33">
        <f>VLOOKUP(A776,'Cắt Gội'!$A:$C,3,0)</f>
      </c>
      <c r="D776">
        <v>940</v>
      </c>
      <c r="E776" s="33">
        <f>B776&amp;D776</f>
      </c>
      <c r="F776" t="str">
        <v>[NEW] Gội dưỡng sinh</v>
      </c>
      <c r="G776">
        <v>59000</v>
      </c>
    </row>
    <row r="777">
      <c r="A777">
        <v>85</v>
      </c>
      <c r="B777" s="33">
        <f>VLOOKUP(A777,'Cắt Gội'!$A:$C,3,0)</f>
      </c>
      <c r="D777">
        <v>1058</v>
      </c>
      <c r="E777" s="33">
        <f>B777&amp;D777</f>
      </c>
      <c r="F777" t="str">
        <v>Gội Combo 2</v>
      </c>
      <c r="G777">
        <v>159000</v>
      </c>
    </row>
    <row r="778">
      <c r="A778">
        <v>85</v>
      </c>
      <c r="B778" s="33">
        <f>VLOOKUP(A778,'Cắt Gội'!$A:$C,3,0)</f>
      </c>
      <c r="D778">
        <v>1059</v>
      </c>
      <c r="E778" s="33">
        <f>B778&amp;D778</f>
      </c>
      <c r="F778" t="str">
        <v>Gội Combo 3 - Chăm da</v>
      </c>
      <c r="G778">
        <v>239000</v>
      </c>
    </row>
    <row r="779">
      <c r="A779">
        <v>85</v>
      </c>
      <c r="B779" s="33">
        <f>VLOOKUP(A779,'Cắt Gội'!$A:$C,3,0)</f>
      </c>
      <c r="D779">
        <v>1059</v>
      </c>
      <c r="E779" s="33">
        <f>B779&amp;D779</f>
      </c>
      <c r="F779" t="str">
        <v>Gội Combo 3 - Chăm da</v>
      </c>
      <c r="G779">
        <v>219000</v>
      </c>
    </row>
    <row r="780">
      <c r="A780">
        <v>85</v>
      </c>
      <c r="B780" s="33">
        <f>VLOOKUP(A780,'Cắt Gội'!$A:$C,3,0)</f>
      </c>
      <c r="D780">
        <v>1060</v>
      </c>
      <c r="E780" s="33">
        <f>B780&amp;D780</f>
      </c>
      <c r="F780" t="str">
        <v>Gội Combo 4</v>
      </c>
      <c r="G780">
        <v>319000</v>
      </c>
    </row>
    <row r="781">
      <c r="A781">
        <v>85</v>
      </c>
      <c r="B781" s="33">
        <f>VLOOKUP(A781,'Cắt Gội'!$A:$C,3,0)</f>
      </c>
      <c r="D781">
        <v>1060</v>
      </c>
      <c r="E781" s="33">
        <f>B781&amp;D781</f>
      </c>
      <c r="F781" t="str">
        <v>Gội Combo 4</v>
      </c>
      <c r="G781">
        <v>289000</v>
      </c>
    </row>
    <row r="782">
      <c r="A782">
        <v>85</v>
      </c>
      <c r="B782" s="33">
        <f>VLOOKUP(A782,'Cắt Gội'!$A:$C,3,0)</f>
      </c>
      <c r="D782">
        <v>867</v>
      </c>
      <c r="E782" s="33">
        <f>B782&amp;D782</f>
      </c>
      <c r="F782" t="str">
        <v>Gội dưỡng sinh cổ vai gáy</v>
      </c>
      <c r="G782">
        <v>99000</v>
      </c>
    </row>
    <row r="783">
      <c r="A783">
        <v>85</v>
      </c>
      <c r="B783" s="33">
        <f>VLOOKUP(A783,'Cắt Gội'!$A:$C,3,0)</f>
      </c>
      <c r="D783">
        <v>867</v>
      </c>
      <c r="E783" s="33">
        <f>B783&amp;D783</f>
      </c>
      <c r="F783" t="str">
        <v>Gội dưỡng sinh cổ vai gáy</v>
      </c>
      <c r="G783">
        <v>95000</v>
      </c>
    </row>
    <row r="784">
      <c r="A784">
        <v>85</v>
      </c>
      <c r="B784" s="33">
        <f>VLOOKUP(A784,'Cắt Gội'!$A:$C,3,0)</f>
      </c>
      <c r="D784">
        <v>1068</v>
      </c>
      <c r="E784" s="33">
        <f>B784&amp;D784</f>
      </c>
      <c r="F784" t="str">
        <v>Gội trải nghiệm 115p</v>
      </c>
      <c r="G784">
        <v>999000</v>
      </c>
    </row>
    <row r="785">
      <c r="A785">
        <v>85</v>
      </c>
      <c r="B785" s="33">
        <f>VLOOKUP(A785,'Cắt Gội'!$A:$C,3,0)</f>
      </c>
      <c r="D785">
        <v>1066</v>
      </c>
      <c r="E785" s="33">
        <f>B785&amp;D785</f>
      </c>
      <c r="F785" t="str">
        <v>Gội trải nghiệm 75p</v>
      </c>
      <c r="G785">
        <v>589000</v>
      </c>
    </row>
    <row r="786">
      <c r="A786">
        <v>85</v>
      </c>
      <c r="B786" s="33">
        <f>VLOOKUP(A786,'Cắt Gội'!$A:$C,3,0)</f>
      </c>
      <c r="D786">
        <v>1067</v>
      </c>
      <c r="E786" s="33">
        <f>B786&amp;D786</f>
      </c>
      <c r="F786" t="str">
        <v>Gội trải nghiệm 90p</v>
      </c>
      <c r="G786">
        <v>789000</v>
      </c>
    </row>
    <row r="787">
      <c r="A787">
        <v>85</v>
      </c>
      <c r="B787" s="33">
        <f>VLOOKUP(A787,'Cắt Gội'!$A:$C,3,0)</f>
      </c>
      <c r="D787">
        <v>940</v>
      </c>
      <c r="E787" s="33">
        <f>B787&amp;D787</f>
      </c>
      <c r="F787" t="str">
        <v>[NEW] Gội dưỡng sinh</v>
      </c>
      <c r="G787">
        <v>59000</v>
      </c>
    </row>
    <row r="788">
      <c r="A788">
        <v>106</v>
      </c>
      <c r="B788" s="33">
        <f>VLOOKUP(A788,'Cắt Gội'!$A:$C,3,0)</f>
      </c>
      <c r="D788">
        <v>1058</v>
      </c>
      <c r="E788" s="33">
        <f>B788&amp;D788</f>
      </c>
      <c r="F788" t="str">
        <v>Gội Combo 2</v>
      </c>
      <c r="G788">
        <v>159000</v>
      </c>
    </row>
    <row r="789">
      <c r="A789">
        <v>106</v>
      </c>
      <c r="B789" s="33">
        <f>VLOOKUP(A789,'Cắt Gội'!$A:$C,3,0)</f>
      </c>
      <c r="D789">
        <v>1059</v>
      </c>
      <c r="E789" s="33">
        <f>B789&amp;D789</f>
      </c>
      <c r="F789" t="str">
        <v>Gội Combo 3 - Chăm da</v>
      </c>
      <c r="G789">
        <v>239000</v>
      </c>
    </row>
    <row r="790">
      <c r="A790">
        <v>106</v>
      </c>
      <c r="B790" s="33">
        <f>VLOOKUP(A790,'Cắt Gội'!$A:$C,3,0)</f>
      </c>
      <c r="D790">
        <v>1060</v>
      </c>
      <c r="E790" s="33">
        <f>B790&amp;D790</f>
      </c>
      <c r="F790" t="str">
        <v>Gội Combo 4</v>
      </c>
      <c r="G790">
        <v>319000</v>
      </c>
    </row>
    <row r="791">
      <c r="A791">
        <v>106</v>
      </c>
      <c r="B791" s="33">
        <f>VLOOKUP(A791,'Cắt Gội'!$A:$C,3,0)</f>
      </c>
      <c r="D791">
        <v>1060</v>
      </c>
      <c r="E791" s="33">
        <f>B791&amp;D791</f>
      </c>
      <c r="F791" t="str">
        <v>Gội Combo 4</v>
      </c>
      <c r="G791">
        <v>289000</v>
      </c>
    </row>
    <row r="792">
      <c r="A792">
        <v>106</v>
      </c>
      <c r="B792" s="33">
        <f>VLOOKUP(A792,'Cắt Gội'!$A:$C,3,0)</f>
      </c>
      <c r="D792">
        <v>1061</v>
      </c>
      <c r="E792" s="33">
        <f>B792&amp;D792</f>
      </c>
      <c r="F792" t="str">
        <v>Gội Combo 5 - Chăm da</v>
      </c>
      <c r="G792">
        <v>359000</v>
      </c>
    </row>
    <row r="793">
      <c r="A793">
        <v>106</v>
      </c>
      <c r="B793" s="33">
        <f>VLOOKUP(A793,'Cắt Gội'!$A:$C,3,0)</f>
      </c>
      <c r="D793">
        <v>934</v>
      </c>
      <c r="E793" s="33">
        <f>B793&amp;D793</f>
      </c>
      <c r="F793" t="str">
        <v>Gội combo 3 - Dưỡng sinh</v>
      </c>
      <c r="G793">
        <v>229000</v>
      </c>
    </row>
    <row r="794">
      <c r="A794">
        <v>106</v>
      </c>
      <c r="B794" s="33">
        <f>VLOOKUP(A794,'Cắt Gội'!$A:$C,3,0)</f>
      </c>
      <c r="D794">
        <v>867</v>
      </c>
      <c r="E794" s="33">
        <f>B794&amp;D794</f>
      </c>
      <c r="F794" t="str">
        <v>Gội dưỡng sinh cổ vai gáy</v>
      </c>
      <c r="G794">
        <v>99000</v>
      </c>
    </row>
    <row r="795">
      <c r="A795">
        <v>106</v>
      </c>
      <c r="B795" s="33">
        <f>VLOOKUP(A795,'Cắt Gội'!$A:$C,3,0)</f>
      </c>
      <c r="D795">
        <v>1066</v>
      </c>
      <c r="E795" s="33">
        <f>B795&amp;D795</f>
      </c>
      <c r="F795" t="str">
        <v>Gội trải nghiệm 75p</v>
      </c>
      <c r="G795">
        <v>589000</v>
      </c>
    </row>
    <row r="796">
      <c r="A796">
        <v>106</v>
      </c>
      <c r="B796" s="33">
        <f>VLOOKUP(A796,'Cắt Gội'!$A:$C,3,0)</f>
      </c>
      <c r="D796">
        <v>940</v>
      </c>
      <c r="E796" s="33">
        <f>B796&amp;D796</f>
      </c>
      <c r="F796" t="str">
        <v>[NEW] Gội dưỡng sinh</v>
      </c>
      <c r="G796">
        <v>59000</v>
      </c>
    </row>
    <row r="797">
      <c r="A797">
        <v>106</v>
      </c>
      <c r="B797" s="33">
        <f>VLOOKUP(A797,'Cắt Gội'!$A:$C,3,0)</f>
      </c>
      <c r="D797">
        <v>930</v>
      </c>
      <c r="E797" s="33">
        <f>B797&amp;D797</f>
      </c>
      <c r="F797" t="str">
        <v>[NEW] Gội dưỡng sinh cổ vai gáy và chăm sóc da</v>
      </c>
      <c r="G797">
        <v>139000</v>
      </c>
    </row>
    <row r="798">
      <c r="A798">
        <v>141</v>
      </c>
      <c r="B798" s="33">
        <f>VLOOKUP(A798,'Cắt Gội'!$A:$C,3,0)</f>
      </c>
      <c r="D798">
        <v>1058</v>
      </c>
      <c r="E798" s="33">
        <f>B798&amp;D798</f>
      </c>
      <c r="F798" t="str">
        <v>Gội Combo 2</v>
      </c>
      <c r="G798">
        <v>159000</v>
      </c>
    </row>
    <row r="799">
      <c r="A799">
        <v>141</v>
      </c>
      <c r="B799" s="33">
        <f>VLOOKUP(A799,'Cắt Gội'!$A:$C,3,0)</f>
      </c>
      <c r="D799">
        <v>1059</v>
      </c>
      <c r="E799" s="33">
        <f>B799&amp;D799</f>
      </c>
      <c r="F799" t="str">
        <v>Gội Combo 3 - Chăm da</v>
      </c>
      <c r="G799">
        <v>219000</v>
      </c>
    </row>
    <row r="800">
      <c r="A800">
        <v>141</v>
      </c>
      <c r="B800" s="33">
        <f>VLOOKUP(A800,'Cắt Gội'!$A:$C,3,0)</f>
      </c>
      <c r="D800">
        <v>1059</v>
      </c>
      <c r="E800" s="33">
        <f>B800&amp;D800</f>
      </c>
      <c r="F800" t="str">
        <v>Gội Combo 3 - Chăm da</v>
      </c>
      <c r="G800">
        <v>239000</v>
      </c>
    </row>
    <row r="801">
      <c r="A801">
        <v>141</v>
      </c>
      <c r="B801" s="33">
        <f>VLOOKUP(A801,'Cắt Gội'!$A:$C,3,0)</f>
      </c>
      <c r="D801">
        <v>1060</v>
      </c>
      <c r="E801" s="33">
        <f>B801&amp;D801</f>
      </c>
      <c r="F801" t="str">
        <v>Gội Combo 4</v>
      </c>
      <c r="G801">
        <v>319000</v>
      </c>
    </row>
    <row r="802">
      <c r="A802">
        <v>141</v>
      </c>
      <c r="B802" s="33">
        <f>VLOOKUP(A802,'Cắt Gội'!$A:$C,3,0)</f>
      </c>
      <c r="D802">
        <v>1060</v>
      </c>
      <c r="E802" s="33">
        <f>B802&amp;D802</f>
      </c>
      <c r="F802" t="str">
        <v>Gội Combo 4</v>
      </c>
      <c r="G802">
        <v>289000</v>
      </c>
    </row>
    <row r="803">
      <c r="A803">
        <v>141</v>
      </c>
      <c r="B803" s="33">
        <f>VLOOKUP(A803,'Cắt Gội'!$A:$C,3,0)</f>
      </c>
      <c r="D803">
        <v>934</v>
      </c>
      <c r="E803" s="33">
        <f>B803&amp;D803</f>
      </c>
      <c r="F803" t="str">
        <v>Gội combo 3 - Dưỡng sinh</v>
      </c>
      <c r="G803">
        <v>229000</v>
      </c>
    </row>
    <row r="804">
      <c r="A804">
        <v>141</v>
      </c>
      <c r="B804" s="33">
        <f>VLOOKUP(A804,'Cắt Gội'!$A:$C,3,0)</f>
      </c>
      <c r="D804">
        <v>932</v>
      </c>
      <c r="E804" s="33">
        <f>B804&amp;D804</f>
      </c>
      <c r="F804" t="str">
        <v>Gội combo 5 dưỡng sinh</v>
      </c>
      <c r="G804">
        <v>399000</v>
      </c>
    </row>
    <row r="805">
      <c r="A805">
        <v>141</v>
      </c>
      <c r="B805" s="33">
        <f>VLOOKUP(A805,'Cắt Gội'!$A:$C,3,0)</f>
      </c>
      <c r="D805">
        <v>867</v>
      </c>
      <c r="E805" s="33">
        <f>B805&amp;D805</f>
      </c>
      <c r="F805" t="str">
        <v>Gội dưỡng sinh cổ vai gáy</v>
      </c>
      <c r="G805">
        <v>99000</v>
      </c>
    </row>
    <row r="806">
      <c r="A806">
        <v>141</v>
      </c>
      <c r="B806" s="33">
        <f>VLOOKUP(A806,'Cắt Gội'!$A:$C,3,0)</f>
      </c>
      <c r="D806">
        <v>867</v>
      </c>
      <c r="E806" s="33">
        <f>B806&amp;D806</f>
      </c>
      <c r="F806" t="str">
        <v>Gội dưỡng sinh cổ vai gáy</v>
      </c>
      <c r="G806">
        <v>95000</v>
      </c>
    </row>
    <row r="807">
      <c r="A807">
        <v>141</v>
      </c>
      <c r="B807" s="33">
        <f>VLOOKUP(A807,'Cắt Gội'!$A:$C,3,0)</f>
      </c>
      <c r="D807">
        <v>940</v>
      </c>
      <c r="E807" s="33">
        <f>B807&amp;D807</f>
      </c>
      <c r="F807" t="str">
        <v>[NEW] Gội dưỡng sinh</v>
      </c>
      <c r="G807">
        <v>50000</v>
      </c>
    </row>
    <row r="808">
      <c r="A808">
        <v>141</v>
      </c>
      <c r="B808" s="33">
        <f>VLOOKUP(A808,'Cắt Gội'!$A:$C,3,0)</f>
      </c>
      <c r="D808">
        <v>940</v>
      </c>
      <c r="E808" s="33">
        <f>B808&amp;D808</f>
      </c>
      <c r="F808" t="str">
        <v>[NEW] Gội dưỡng sinh</v>
      </c>
      <c r="G808">
        <v>59000</v>
      </c>
    </row>
    <row r="809">
      <c r="A809">
        <v>143</v>
      </c>
      <c r="B809" s="33">
        <f>VLOOKUP(A809,'Cắt Gội'!$A:$C,3,0)</f>
      </c>
      <c r="D809">
        <v>1058</v>
      </c>
      <c r="E809" s="33">
        <f>B809&amp;D809</f>
      </c>
      <c r="F809" t="str">
        <v>Gội Combo 2</v>
      </c>
      <c r="G809">
        <v>159000</v>
      </c>
    </row>
    <row r="810">
      <c r="A810">
        <v>143</v>
      </c>
      <c r="B810" s="33">
        <f>VLOOKUP(A810,'Cắt Gội'!$A:$C,3,0)</f>
      </c>
      <c r="D810">
        <v>1059</v>
      </c>
      <c r="E810" s="33">
        <f>B810&amp;D810</f>
      </c>
      <c r="F810" t="str">
        <v>Gội Combo 3 - Chăm da</v>
      </c>
      <c r="G810">
        <v>239000</v>
      </c>
    </row>
    <row r="811">
      <c r="A811">
        <v>143</v>
      </c>
      <c r="B811" s="33">
        <f>VLOOKUP(A811,'Cắt Gội'!$A:$C,3,0)</f>
      </c>
      <c r="D811">
        <v>1059</v>
      </c>
      <c r="E811" s="33">
        <f>B811&amp;D811</f>
      </c>
      <c r="F811" t="str">
        <v>Gội Combo 3 - Chăm da</v>
      </c>
      <c r="G811">
        <v>219000</v>
      </c>
    </row>
    <row r="812">
      <c r="A812">
        <v>143</v>
      </c>
      <c r="B812" s="33">
        <f>VLOOKUP(A812,'Cắt Gội'!$A:$C,3,0)</f>
      </c>
      <c r="D812">
        <v>1060</v>
      </c>
      <c r="E812" s="33">
        <f>B812&amp;D812</f>
      </c>
      <c r="F812" t="str">
        <v>Gội Combo 4</v>
      </c>
      <c r="G812">
        <v>329000</v>
      </c>
    </row>
    <row r="813">
      <c r="A813">
        <v>143</v>
      </c>
      <c r="B813" s="33">
        <f>VLOOKUP(A813,'Cắt Gội'!$A:$C,3,0)</f>
      </c>
      <c r="D813">
        <v>1060</v>
      </c>
      <c r="E813" s="33">
        <f>B813&amp;D813</f>
      </c>
      <c r="F813" t="str">
        <v>Gội Combo 4</v>
      </c>
      <c r="G813">
        <v>319000</v>
      </c>
    </row>
    <row r="814">
      <c r="A814">
        <v>143</v>
      </c>
      <c r="B814" s="33">
        <f>VLOOKUP(A814,'Cắt Gội'!$A:$C,3,0)</f>
      </c>
      <c r="D814">
        <v>934</v>
      </c>
      <c r="E814" s="33">
        <f>B814&amp;D814</f>
      </c>
      <c r="F814" t="str">
        <v>Gội combo 3 - Dưỡng sinh</v>
      </c>
      <c r="G814">
        <v>229000</v>
      </c>
    </row>
    <row r="815">
      <c r="A815">
        <v>143</v>
      </c>
      <c r="B815" s="33">
        <f>VLOOKUP(A815,'Cắt Gội'!$A:$C,3,0)</f>
      </c>
      <c r="D815">
        <v>867</v>
      </c>
      <c r="E815" s="33">
        <f>B815&amp;D815</f>
      </c>
      <c r="F815" t="str">
        <v>Gội dưỡng sinh cổ vai gáy</v>
      </c>
      <c r="G815">
        <v>99000</v>
      </c>
    </row>
    <row r="816">
      <c r="A816">
        <v>143</v>
      </c>
      <c r="B816" s="33">
        <f>VLOOKUP(A816,'Cắt Gội'!$A:$C,3,0)</f>
      </c>
      <c r="D816">
        <v>867</v>
      </c>
      <c r="E816" s="33">
        <f>B816&amp;D816</f>
      </c>
      <c r="F816" t="str">
        <v>Gội dưỡng sinh cổ vai gáy</v>
      </c>
      <c r="G816">
        <v>95000</v>
      </c>
    </row>
    <row r="817">
      <c r="A817">
        <v>143</v>
      </c>
      <c r="B817" s="33">
        <f>VLOOKUP(A817,'Cắt Gội'!$A:$C,3,0)</f>
      </c>
      <c r="D817">
        <v>1066</v>
      </c>
      <c r="E817" s="33">
        <f>B817&amp;D817</f>
      </c>
      <c r="F817" t="str">
        <v>Gội trải nghiệm 75p</v>
      </c>
      <c r="G817">
        <v>589000</v>
      </c>
    </row>
    <row r="818">
      <c r="A818">
        <v>143</v>
      </c>
      <c r="B818" s="33">
        <f>VLOOKUP(A818,'Cắt Gội'!$A:$C,3,0)</f>
      </c>
      <c r="D818">
        <v>940</v>
      </c>
      <c r="E818" s="33">
        <f>B818&amp;D818</f>
      </c>
      <c r="F818" t="str">
        <v>[NEW] Gội dưỡng sinh</v>
      </c>
      <c r="G818">
        <v>59000</v>
      </c>
    </row>
    <row r="819">
      <c r="A819">
        <v>144</v>
      </c>
      <c r="B819" s="33">
        <f>VLOOKUP(A819,'Cắt Gội'!$A:$C,3,0)</f>
      </c>
      <c r="D819">
        <v>1058</v>
      </c>
      <c r="E819" s="33">
        <f>B819&amp;D819</f>
      </c>
      <c r="F819" t="str">
        <v>Gội Combo 2</v>
      </c>
      <c r="G819">
        <v>159000</v>
      </c>
    </row>
    <row r="820">
      <c r="A820">
        <v>144</v>
      </c>
      <c r="B820" s="33">
        <f>VLOOKUP(A820,'Cắt Gội'!$A:$C,3,0)</f>
      </c>
      <c r="D820">
        <v>1059</v>
      </c>
      <c r="E820" s="33">
        <f>B820&amp;D820</f>
      </c>
      <c r="F820" t="str">
        <v>Gội Combo 3 - Chăm da</v>
      </c>
      <c r="G820">
        <v>239000</v>
      </c>
    </row>
    <row r="821">
      <c r="A821">
        <v>144</v>
      </c>
      <c r="B821" s="33">
        <f>VLOOKUP(A821,'Cắt Gội'!$A:$C,3,0)</f>
      </c>
      <c r="D821">
        <v>1059</v>
      </c>
      <c r="E821" s="33">
        <f>B821&amp;D821</f>
      </c>
      <c r="F821" t="str">
        <v>Gội Combo 3 - Chăm da</v>
      </c>
      <c r="G821">
        <v>219000</v>
      </c>
    </row>
    <row r="822">
      <c r="A822">
        <v>144</v>
      </c>
      <c r="B822" s="33">
        <f>VLOOKUP(A822,'Cắt Gội'!$A:$C,3,0)</f>
      </c>
      <c r="D822">
        <v>1060</v>
      </c>
      <c r="E822" s="33">
        <f>B822&amp;D822</f>
      </c>
      <c r="F822" t="str">
        <v>Gội Combo 4</v>
      </c>
      <c r="G822">
        <v>319000</v>
      </c>
    </row>
    <row r="823">
      <c r="A823">
        <v>144</v>
      </c>
      <c r="B823" s="33">
        <f>VLOOKUP(A823,'Cắt Gội'!$A:$C,3,0)</f>
      </c>
      <c r="D823">
        <v>1060</v>
      </c>
      <c r="E823" s="33">
        <f>B823&amp;D823</f>
      </c>
      <c r="F823" t="str">
        <v>Gội Combo 4</v>
      </c>
      <c r="G823">
        <v>329000</v>
      </c>
    </row>
    <row r="824">
      <c r="A824">
        <v>144</v>
      </c>
      <c r="B824" s="33">
        <f>VLOOKUP(A824,'Cắt Gội'!$A:$C,3,0)</f>
      </c>
      <c r="D824">
        <v>934</v>
      </c>
      <c r="E824" s="33">
        <f>B824&amp;D824</f>
      </c>
      <c r="F824" t="str">
        <v>Gội combo 3 - Dưỡng sinh</v>
      </c>
      <c r="G824">
        <v>229000</v>
      </c>
    </row>
    <row r="825">
      <c r="A825">
        <v>144</v>
      </c>
      <c r="B825" s="33">
        <f>VLOOKUP(A825,'Cắt Gội'!$A:$C,3,0)</f>
      </c>
      <c r="D825">
        <v>867</v>
      </c>
      <c r="E825" s="33">
        <f>B825&amp;D825</f>
      </c>
      <c r="F825" t="str">
        <v>Gội dưỡng sinh cổ vai gáy</v>
      </c>
      <c r="G825">
        <v>95000</v>
      </c>
    </row>
    <row r="826">
      <c r="A826">
        <v>144</v>
      </c>
      <c r="B826" s="33">
        <f>VLOOKUP(A826,'Cắt Gội'!$A:$C,3,0)</f>
      </c>
      <c r="D826">
        <v>867</v>
      </c>
      <c r="E826" s="33">
        <f>B826&amp;D826</f>
      </c>
      <c r="F826" t="str">
        <v>Gội dưỡng sinh cổ vai gáy</v>
      </c>
      <c r="G826">
        <v>99000</v>
      </c>
    </row>
    <row r="827">
      <c r="A827">
        <v>144</v>
      </c>
      <c r="B827" s="33">
        <f>VLOOKUP(A827,'Cắt Gội'!$A:$C,3,0)</f>
      </c>
      <c r="D827">
        <v>1066</v>
      </c>
      <c r="E827" s="33">
        <f>B827&amp;D827</f>
      </c>
      <c r="F827" t="str">
        <v>Gội trải nghiệm 75p</v>
      </c>
      <c r="G827">
        <v>589000</v>
      </c>
    </row>
    <row r="828">
      <c r="A828">
        <v>144</v>
      </c>
      <c r="B828" s="33">
        <f>VLOOKUP(A828,'Cắt Gội'!$A:$C,3,0)</f>
      </c>
      <c r="D828">
        <v>1067</v>
      </c>
      <c r="E828" s="33">
        <f>B828&amp;D828</f>
      </c>
      <c r="F828" t="str">
        <v>Gội trải nghiệm 90p</v>
      </c>
      <c r="G828">
        <v>789000</v>
      </c>
    </row>
    <row r="829">
      <c r="A829">
        <v>144</v>
      </c>
      <c r="B829" s="33">
        <f>VLOOKUP(A829,'Cắt Gội'!$A:$C,3,0)</f>
      </c>
      <c r="D829">
        <v>940</v>
      </c>
      <c r="E829" s="33">
        <f>B829&amp;D829</f>
      </c>
      <c r="F829" t="str">
        <v>[NEW] Gội dưỡng sinh</v>
      </c>
      <c r="G829">
        <v>59000</v>
      </c>
    </row>
    <row r="830">
      <c r="A830">
        <v>145</v>
      </c>
      <c r="B830" s="33">
        <f>VLOOKUP(A830,'Cắt Gội'!$A:$C,3,0)</f>
      </c>
      <c r="D830">
        <v>1058</v>
      </c>
      <c r="E830" s="33">
        <f>B830&amp;D830</f>
      </c>
      <c r="F830" t="str">
        <v>Gội Combo 2</v>
      </c>
      <c r="G830">
        <v>159000</v>
      </c>
    </row>
    <row r="831">
      <c r="A831">
        <v>145</v>
      </c>
      <c r="B831" s="33">
        <f>VLOOKUP(A831,'Cắt Gội'!$A:$C,3,0)</f>
      </c>
      <c r="D831">
        <v>1059</v>
      </c>
      <c r="E831" s="33">
        <f>B831&amp;D831</f>
      </c>
      <c r="F831" t="str">
        <v>Gội Combo 3 - Chăm da</v>
      </c>
      <c r="G831">
        <v>219000</v>
      </c>
    </row>
    <row r="832">
      <c r="A832">
        <v>145</v>
      </c>
      <c r="B832" s="33">
        <f>VLOOKUP(A832,'Cắt Gội'!$A:$C,3,0)</f>
      </c>
      <c r="D832">
        <v>1059</v>
      </c>
      <c r="E832" s="33">
        <f>B832&amp;D832</f>
      </c>
      <c r="F832" t="str">
        <v>Gội Combo 3 - Chăm da</v>
      </c>
      <c r="G832">
        <v>239000</v>
      </c>
    </row>
    <row r="833">
      <c r="A833">
        <v>145</v>
      </c>
      <c r="B833" s="33">
        <f>VLOOKUP(A833,'Cắt Gội'!$A:$C,3,0)</f>
      </c>
      <c r="D833">
        <v>1060</v>
      </c>
      <c r="E833" s="33">
        <f>B833&amp;D833</f>
      </c>
      <c r="F833" t="str">
        <v>Gội Combo 4</v>
      </c>
      <c r="G833">
        <v>329000</v>
      </c>
    </row>
    <row r="834">
      <c r="A834">
        <v>145</v>
      </c>
      <c r="B834" s="33">
        <f>VLOOKUP(A834,'Cắt Gội'!$A:$C,3,0)</f>
      </c>
      <c r="D834">
        <v>1060</v>
      </c>
      <c r="E834" s="33">
        <f>B834&amp;D834</f>
      </c>
      <c r="F834" t="str">
        <v>Gội Combo 4</v>
      </c>
      <c r="G834">
        <v>319000</v>
      </c>
    </row>
    <row r="835">
      <c r="A835">
        <v>145</v>
      </c>
      <c r="B835" s="33">
        <f>VLOOKUP(A835,'Cắt Gội'!$A:$C,3,0)</f>
      </c>
      <c r="D835">
        <v>934</v>
      </c>
      <c r="E835" s="33">
        <f>B835&amp;D835</f>
      </c>
      <c r="F835" t="str">
        <v>Gội combo 3 - Dưỡng sinh</v>
      </c>
      <c r="G835">
        <v>229000</v>
      </c>
    </row>
    <row r="836">
      <c r="A836">
        <v>145</v>
      </c>
      <c r="B836" s="33">
        <f>VLOOKUP(A836,'Cắt Gội'!$A:$C,3,0)</f>
      </c>
      <c r="D836">
        <v>932</v>
      </c>
      <c r="E836" s="33">
        <f>B836&amp;D836</f>
      </c>
      <c r="F836" t="str">
        <v>Gội combo 5 dưỡng sinh</v>
      </c>
      <c r="G836">
        <v>399000</v>
      </c>
    </row>
    <row r="837">
      <c r="A837">
        <v>145</v>
      </c>
      <c r="B837" s="33">
        <f>VLOOKUP(A837,'Cắt Gội'!$A:$C,3,0)</f>
      </c>
      <c r="D837">
        <v>867</v>
      </c>
      <c r="E837" s="33">
        <f>B837&amp;D837</f>
      </c>
      <c r="F837" t="str">
        <v>Gội dưỡng sinh cổ vai gáy</v>
      </c>
      <c r="G837">
        <v>99000</v>
      </c>
    </row>
    <row r="838">
      <c r="A838">
        <v>145</v>
      </c>
      <c r="B838" s="33">
        <f>VLOOKUP(A838,'Cắt Gội'!$A:$C,3,0)</f>
      </c>
      <c r="D838">
        <v>867</v>
      </c>
      <c r="E838" s="33">
        <f>B838&amp;D838</f>
      </c>
      <c r="F838" t="str">
        <v>Gội dưỡng sinh cổ vai gáy</v>
      </c>
      <c r="G838">
        <v>95000</v>
      </c>
    </row>
    <row r="839">
      <c r="A839">
        <v>145</v>
      </c>
      <c r="B839" s="33">
        <f>VLOOKUP(A839,'Cắt Gội'!$A:$C,3,0)</f>
      </c>
      <c r="D839">
        <v>940</v>
      </c>
      <c r="E839" s="33">
        <f>B839&amp;D839</f>
      </c>
      <c r="F839" t="str">
        <v>[NEW] Gội dưỡng sinh</v>
      </c>
      <c r="G839">
        <v>59000</v>
      </c>
    </row>
    <row r="840">
      <c r="A840">
        <v>145</v>
      </c>
      <c r="B840" s="33">
        <f>VLOOKUP(A840,'Cắt Gội'!$A:$C,3,0)</f>
      </c>
      <c r="D840">
        <v>940</v>
      </c>
      <c r="E840" s="33">
        <f>B840&amp;D840</f>
      </c>
      <c r="F840" t="str">
        <v>[NEW] Gội dưỡng sinh</v>
      </c>
      <c r="G840">
        <v>50000</v>
      </c>
    </row>
    <row r="841">
      <c r="A841">
        <v>146</v>
      </c>
      <c r="B841" s="33">
        <f>VLOOKUP(A841,'Cắt Gội'!$A:$C,3,0)</f>
      </c>
      <c r="D841">
        <v>1058</v>
      </c>
      <c r="E841" s="33">
        <f>B841&amp;D841</f>
      </c>
      <c r="F841" t="str">
        <v>Gội Combo 2</v>
      </c>
      <c r="G841">
        <v>159000</v>
      </c>
    </row>
    <row r="842">
      <c r="A842">
        <v>146</v>
      </c>
      <c r="B842" s="33">
        <f>VLOOKUP(A842,'Cắt Gội'!$A:$C,3,0)</f>
      </c>
      <c r="D842">
        <v>1059</v>
      </c>
      <c r="E842" s="33">
        <f>B842&amp;D842</f>
      </c>
      <c r="F842" t="str">
        <v>Gội Combo 3 - Chăm da</v>
      </c>
      <c r="G842">
        <v>219000</v>
      </c>
    </row>
    <row r="843">
      <c r="A843">
        <v>146</v>
      </c>
      <c r="B843" s="33">
        <f>VLOOKUP(A843,'Cắt Gội'!$A:$C,3,0)</f>
      </c>
      <c r="D843">
        <v>1059</v>
      </c>
      <c r="E843" s="33">
        <f>B843&amp;D843</f>
      </c>
      <c r="F843" t="str">
        <v>Gội Combo 3 - Chăm da</v>
      </c>
      <c r="G843">
        <v>239000</v>
      </c>
    </row>
    <row r="844">
      <c r="A844">
        <v>146</v>
      </c>
      <c r="B844" s="33">
        <f>VLOOKUP(A844,'Cắt Gội'!$A:$C,3,0)</f>
      </c>
      <c r="D844">
        <v>1060</v>
      </c>
      <c r="E844" s="33">
        <f>B844&amp;D844</f>
      </c>
      <c r="F844" t="str">
        <v>Gội Combo 4</v>
      </c>
      <c r="G844">
        <v>319000</v>
      </c>
    </row>
    <row r="845">
      <c r="A845">
        <v>146</v>
      </c>
      <c r="B845" s="33">
        <f>VLOOKUP(A845,'Cắt Gội'!$A:$C,3,0)</f>
      </c>
      <c r="D845">
        <v>1060</v>
      </c>
      <c r="E845" s="33">
        <f>B845&amp;D845</f>
      </c>
      <c r="F845" t="str">
        <v>Gội Combo 4</v>
      </c>
      <c r="G845">
        <v>289000</v>
      </c>
    </row>
    <row r="846">
      <c r="A846">
        <v>146</v>
      </c>
      <c r="B846" s="33">
        <f>VLOOKUP(A846,'Cắt Gội'!$A:$C,3,0)</f>
      </c>
      <c r="D846">
        <v>934</v>
      </c>
      <c r="E846" s="33">
        <f>B846&amp;D846</f>
      </c>
      <c r="F846" t="str">
        <v>Gội combo 3 - Dưỡng sinh</v>
      </c>
      <c r="G846">
        <v>229000</v>
      </c>
    </row>
    <row r="847">
      <c r="A847">
        <v>146</v>
      </c>
      <c r="B847" s="33">
        <f>VLOOKUP(A847,'Cắt Gội'!$A:$C,3,0)</f>
      </c>
      <c r="D847">
        <v>867</v>
      </c>
      <c r="E847" s="33">
        <f>B847&amp;D847</f>
      </c>
      <c r="F847" t="str">
        <v>Gội dưỡng sinh cổ vai gáy</v>
      </c>
      <c r="G847">
        <v>95000</v>
      </c>
    </row>
    <row r="848">
      <c r="A848">
        <v>146</v>
      </c>
      <c r="B848" s="33">
        <f>VLOOKUP(A848,'Cắt Gội'!$A:$C,3,0)</f>
      </c>
      <c r="D848">
        <v>867</v>
      </c>
      <c r="E848" s="33">
        <f>B848&amp;D848</f>
      </c>
      <c r="F848" t="str">
        <v>Gội dưỡng sinh cổ vai gáy</v>
      </c>
      <c r="G848">
        <v>99000</v>
      </c>
    </row>
    <row r="849">
      <c r="A849">
        <v>146</v>
      </c>
      <c r="B849" s="33">
        <f>VLOOKUP(A849,'Cắt Gội'!$A:$C,3,0)</f>
      </c>
      <c r="D849">
        <v>1069</v>
      </c>
      <c r="E849" s="33">
        <f>B849&amp;D849</f>
      </c>
      <c r="F849" t="str">
        <v>Gội trải nghiệm 140p</v>
      </c>
      <c r="G849">
        <v>1199000</v>
      </c>
    </row>
    <row r="850">
      <c r="A850">
        <v>146</v>
      </c>
      <c r="B850" s="33">
        <f>VLOOKUP(A850,'Cắt Gội'!$A:$C,3,0)</f>
      </c>
      <c r="D850">
        <v>1066</v>
      </c>
      <c r="E850" s="33">
        <f>B850&amp;D850</f>
      </c>
      <c r="F850" t="str">
        <v>Gội trải nghiệm 75p</v>
      </c>
      <c r="G850">
        <v>589000</v>
      </c>
    </row>
    <row r="851">
      <c r="A851">
        <v>146</v>
      </c>
      <c r="B851" s="33">
        <f>VLOOKUP(A851,'Cắt Gội'!$A:$C,3,0)</f>
      </c>
      <c r="D851">
        <v>1067</v>
      </c>
      <c r="E851" s="33">
        <f>B851&amp;D851</f>
      </c>
      <c r="F851" t="str">
        <v>Gội trải nghiệm 90p</v>
      </c>
      <c r="G851">
        <v>789000</v>
      </c>
    </row>
    <row r="852">
      <c r="A852">
        <v>146</v>
      </c>
      <c r="B852" s="33">
        <f>VLOOKUP(A852,'Cắt Gội'!$A:$C,3,0)</f>
      </c>
      <c r="D852">
        <v>940</v>
      </c>
      <c r="E852" s="33">
        <f>B852&amp;D852</f>
      </c>
      <c r="F852" t="str">
        <v>[NEW] Gội dưỡng sinh</v>
      </c>
      <c r="G852">
        <v>59000</v>
      </c>
    </row>
    <row r="853">
      <c r="A853">
        <v>147</v>
      </c>
      <c r="B853" s="33">
        <f>VLOOKUP(A853,'Cắt Gội'!$A:$C,3,0)</f>
      </c>
      <c r="D853">
        <v>1058</v>
      </c>
      <c r="E853" s="33">
        <f>B853&amp;D853</f>
      </c>
      <c r="F853" t="str">
        <v>Gội Combo 2</v>
      </c>
      <c r="G853">
        <v>159000</v>
      </c>
    </row>
    <row r="854">
      <c r="A854">
        <v>147</v>
      </c>
      <c r="B854" s="33">
        <f>VLOOKUP(A854,'Cắt Gội'!$A:$C,3,0)</f>
      </c>
      <c r="D854">
        <v>1059</v>
      </c>
      <c r="E854" s="33">
        <f>B854&amp;D854</f>
      </c>
      <c r="F854" t="str">
        <v>Gội Combo 3 - Chăm da</v>
      </c>
      <c r="G854">
        <v>219000</v>
      </c>
    </row>
    <row r="855">
      <c r="A855">
        <v>147</v>
      </c>
      <c r="B855" s="33">
        <f>VLOOKUP(A855,'Cắt Gội'!$A:$C,3,0)</f>
      </c>
      <c r="D855">
        <v>1059</v>
      </c>
      <c r="E855" s="33">
        <f>B855&amp;D855</f>
      </c>
      <c r="F855" t="str">
        <v>Gội Combo 3 - Chăm da</v>
      </c>
      <c r="G855">
        <v>239000</v>
      </c>
    </row>
    <row r="856">
      <c r="A856">
        <v>147</v>
      </c>
      <c r="B856" s="33">
        <f>VLOOKUP(A856,'Cắt Gội'!$A:$C,3,0)</f>
      </c>
      <c r="D856">
        <v>1060</v>
      </c>
      <c r="E856" s="33">
        <f>B856&amp;D856</f>
      </c>
      <c r="F856" t="str">
        <v>Gội Combo 4</v>
      </c>
      <c r="G856">
        <v>289000</v>
      </c>
    </row>
    <row r="857">
      <c r="A857">
        <v>147</v>
      </c>
      <c r="B857" s="33">
        <f>VLOOKUP(A857,'Cắt Gội'!$A:$C,3,0)</f>
      </c>
      <c r="D857">
        <v>1060</v>
      </c>
      <c r="E857" s="33">
        <f>B857&amp;D857</f>
      </c>
      <c r="F857" t="str">
        <v>Gội Combo 4</v>
      </c>
      <c r="G857">
        <v>319000</v>
      </c>
    </row>
    <row r="858">
      <c r="A858">
        <v>147</v>
      </c>
      <c r="B858" s="33">
        <f>VLOOKUP(A858,'Cắt Gội'!$A:$C,3,0)</f>
      </c>
      <c r="D858">
        <v>934</v>
      </c>
      <c r="E858" s="33">
        <f>B858&amp;D858</f>
      </c>
      <c r="F858" t="str">
        <v>Gội combo 3 - Dưỡng sinh</v>
      </c>
      <c r="G858">
        <v>229000</v>
      </c>
    </row>
    <row r="859">
      <c r="A859">
        <v>147</v>
      </c>
      <c r="B859" s="33">
        <f>VLOOKUP(A859,'Cắt Gội'!$A:$C,3,0)</f>
      </c>
      <c r="D859">
        <v>932</v>
      </c>
      <c r="E859" s="33">
        <f>B859&amp;D859</f>
      </c>
      <c r="F859" t="str">
        <v>Gội combo 5 dưỡng sinh</v>
      </c>
      <c r="G859">
        <v>399000</v>
      </c>
    </row>
    <row r="860">
      <c r="A860">
        <v>147</v>
      </c>
      <c r="B860" s="33">
        <f>VLOOKUP(A860,'Cắt Gội'!$A:$C,3,0)</f>
      </c>
      <c r="D860">
        <v>867</v>
      </c>
      <c r="E860" s="33">
        <f>B860&amp;D860</f>
      </c>
      <c r="F860" t="str">
        <v>Gội dưỡng sinh cổ vai gáy</v>
      </c>
      <c r="G860">
        <v>100000</v>
      </c>
    </row>
    <row r="861">
      <c r="A861">
        <v>147</v>
      </c>
      <c r="B861" s="33">
        <f>VLOOKUP(A861,'Cắt Gội'!$A:$C,3,0)</f>
      </c>
      <c r="D861">
        <v>867</v>
      </c>
      <c r="E861" s="33">
        <f>B861&amp;D861</f>
      </c>
      <c r="F861" t="str">
        <v>Gội dưỡng sinh cổ vai gáy</v>
      </c>
      <c r="G861">
        <v>95000</v>
      </c>
    </row>
    <row r="862">
      <c r="A862">
        <v>147</v>
      </c>
      <c r="B862" s="33">
        <f>VLOOKUP(A862,'Cắt Gội'!$A:$C,3,0)</f>
      </c>
      <c r="D862">
        <v>1068</v>
      </c>
      <c r="E862" s="33">
        <f>B862&amp;D862</f>
      </c>
      <c r="F862" t="str">
        <v>Gội trải nghiệm 115p</v>
      </c>
      <c r="G862">
        <v>999000</v>
      </c>
    </row>
    <row r="863">
      <c r="A863">
        <v>147</v>
      </c>
      <c r="B863" s="33">
        <f>VLOOKUP(A863,'Cắt Gội'!$A:$C,3,0)</f>
      </c>
      <c r="D863">
        <v>1066</v>
      </c>
      <c r="E863" s="33">
        <f>B863&amp;D863</f>
      </c>
      <c r="F863" t="str">
        <v>Gội trải nghiệm 75p</v>
      </c>
      <c r="G863">
        <v>589000</v>
      </c>
    </row>
    <row r="864">
      <c r="A864">
        <v>147</v>
      </c>
      <c r="B864" s="33">
        <f>VLOOKUP(A864,'Cắt Gội'!$A:$C,3,0)</f>
      </c>
      <c r="D864">
        <v>940</v>
      </c>
      <c r="E864" s="33">
        <f>B864&amp;D864</f>
      </c>
      <c r="F864" t="str">
        <v>[NEW] Gội dưỡng sinh</v>
      </c>
      <c r="G864">
        <v>50000</v>
      </c>
    </row>
    <row r="865">
      <c r="A865">
        <v>147</v>
      </c>
      <c r="B865" s="33">
        <f>VLOOKUP(A865,'Cắt Gội'!$A:$C,3,0)</f>
      </c>
      <c r="D865">
        <v>940</v>
      </c>
      <c r="E865" s="33">
        <f>B865&amp;D865</f>
      </c>
      <c r="F865" t="str">
        <v>[NEW] Gội dưỡng sinh</v>
      </c>
      <c r="G865">
        <v>59000</v>
      </c>
    </row>
    <row r="866">
      <c r="A866">
        <v>179</v>
      </c>
      <c r="B866" s="33" t="str">
        <v>50BT4 NPC LD</v>
      </c>
      <c r="D866">
        <v>1058</v>
      </c>
      <c r="E866" s="33">
        <f>B866&amp;D866</f>
      </c>
      <c r="F866" t="str">
        <v>Gội Combo 2</v>
      </c>
      <c r="G866">
        <v>159000</v>
      </c>
    </row>
    <row r="867">
      <c r="A867">
        <v>179</v>
      </c>
      <c r="B867" s="33" t="str">
        <v>50BT4 NPC LD</v>
      </c>
      <c r="D867">
        <v>1059</v>
      </c>
      <c r="E867" s="33">
        <f>B867&amp;D867</f>
      </c>
      <c r="F867" t="str">
        <v>Gội Combo 3 - Chăm da</v>
      </c>
      <c r="G867">
        <v>239000</v>
      </c>
    </row>
    <row r="868">
      <c r="A868">
        <v>179</v>
      </c>
      <c r="B868" s="33" t="str">
        <v>50BT4 NPC LD</v>
      </c>
      <c r="D868">
        <v>1059</v>
      </c>
      <c r="E868" s="33">
        <f>B868&amp;D868</f>
      </c>
      <c r="F868" t="str">
        <v>Gội Combo 3 - Chăm da</v>
      </c>
      <c r="G868">
        <v>219000</v>
      </c>
    </row>
    <row r="869">
      <c r="A869">
        <v>179</v>
      </c>
      <c r="B869" s="33" t="str">
        <v>50BT4 NPC LD</v>
      </c>
      <c r="D869">
        <v>1060</v>
      </c>
      <c r="E869" s="33">
        <f>B869&amp;D869</f>
      </c>
      <c r="F869" t="str">
        <v>Gội Combo 4</v>
      </c>
      <c r="G869">
        <v>289000</v>
      </c>
    </row>
    <row r="870">
      <c r="A870">
        <v>179</v>
      </c>
      <c r="B870" s="33" t="str">
        <v>50BT4 NPC LD</v>
      </c>
      <c r="D870">
        <v>1060</v>
      </c>
      <c r="E870" s="33">
        <f>B870&amp;D870</f>
      </c>
      <c r="F870" t="str">
        <v>Gội Combo 4</v>
      </c>
      <c r="G870">
        <v>319000</v>
      </c>
    </row>
    <row r="871">
      <c r="A871">
        <v>179</v>
      </c>
      <c r="B871" s="33" t="str">
        <v>50BT4 NPC LD</v>
      </c>
      <c r="D871">
        <v>934</v>
      </c>
      <c r="E871" s="33">
        <f>B871&amp;D871</f>
      </c>
      <c r="F871" t="str">
        <v>Gội combo 3 - Dưỡng sinh</v>
      </c>
      <c r="G871">
        <v>229000</v>
      </c>
    </row>
    <row r="872">
      <c r="A872">
        <v>179</v>
      </c>
      <c r="B872" s="33" t="str">
        <v>50BT4 NPC LD</v>
      </c>
      <c r="D872">
        <v>867</v>
      </c>
      <c r="E872" s="33">
        <f>B872&amp;D872</f>
      </c>
      <c r="F872" t="str">
        <v>Gội dưỡng sinh cổ vai gáy</v>
      </c>
      <c r="G872">
        <v>99000</v>
      </c>
    </row>
    <row r="873">
      <c r="A873">
        <v>179</v>
      </c>
      <c r="B873" s="33" t="str">
        <v>50BT4 NPC LD</v>
      </c>
      <c r="D873">
        <v>867</v>
      </c>
      <c r="E873" s="33">
        <f>B873&amp;D873</f>
      </c>
      <c r="F873" t="str">
        <v>Gội dưỡng sinh cổ vai gáy</v>
      </c>
      <c r="G873">
        <v>95000</v>
      </c>
    </row>
    <row r="874">
      <c r="A874">
        <v>179</v>
      </c>
      <c r="B874" s="33" t="str">
        <v>50BT4 NPC LD</v>
      </c>
      <c r="D874">
        <v>1066</v>
      </c>
      <c r="E874" s="33">
        <f>B874&amp;D874</f>
      </c>
      <c r="F874" t="str">
        <v>Gội trải nghiệm 75p</v>
      </c>
      <c r="G874">
        <v>589000</v>
      </c>
    </row>
    <row r="875">
      <c r="A875">
        <v>179</v>
      </c>
      <c r="B875" s="33" t="str">
        <v>50BT4 NPC LD</v>
      </c>
      <c r="D875">
        <v>1067</v>
      </c>
      <c r="E875" s="33">
        <f>B875&amp;D875</f>
      </c>
      <c r="F875" t="str">
        <v>Gội trải nghiệm 90p</v>
      </c>
      <c r="G875">
        <v>789000</v>
      </c>
    </row>
    <row r="876">
      <c r="A876">
        <v>179</v>
      </c>
      <c r="B876" s="33" t="str">
        <v>50BT4 NPC LD</v>
      </c>
      <c r="D876">
        <v>940</v>
      </c>
      <c r="E876" s="33">
        <f>B876&amp;D876</f>
      </c>
      <c r="F876" t="str">
        <v>[NEW] Gội dưỡng sinh</v>
      </c>
      <c r="G876">
        <v>59000</v>
      </c>
    </row>
    <row r="877">
      <c r="A877">
        <v>182</v>
      </c>
      <c r="B877" s="33">
        <f>VLOOKUP(A877,'Cắt Gội'!$A:$C,3,0)</f>
      </c>
      <c r="D877">
        <v>1058</v>
      </c>
      <c r="E877" s="33">
        <f>B877&amp;D877</f>
      </c>
      <c r="F877" t="str">
        <v>Gội Combo 2</v>
      </c>
      <c r="G877">
        <v>159000</v>
      </c>
    </row>
    <row r="878">
      <c r="A878">
        <v>182</v>
      </c>
      <c r="B878" s="33">
        <f>VLOOKUP(A878,'Cắt Gội'!$A:$C,3,0)</f>
      </c>
      <c r="D878">
        <v>1059</v>
      </c>
      <c r="E878" s="33">
        <f>B878&amp;D878</f>
      </c>
      <c r="F878" t="str">
        <v>Gội Combo 3 - Chăm da</v>
      </c>
      <c r="G878">
        <v>239000</v>
      </c>
    </row>
    <row r="879">
      <c r="A879">
        <v>182</v>
      </c>
      <c r="B879" s="33">
        <f>VLOOKUP(A879,'Cắt Gội'!$A:$C,3,0)</f>
      </c>
      <c r="D879">
        <v>1059</v>
      </c>
      <c r="E879" s="33">
        <f>B879&amp;D879</f>
      </c>
      <c r="F879" t="str">
        <v>Gội Combo 3 - Chăm da</v>
      </c>
      <c r="G879">
        <v>219000</v>
      </c>
    </row>
    <row r="880">
      <c r="A880">
        <v>182</v>
      </c>
      <c r="B880" s="33">
        <f>VLOOKUP(A880,'Cắt Gội'!$A:$C,3,0)</f>
      </c>
      <c r="D880">
        <v>1060</v>
      </c>
      <c r="E880" s="33">
        <f>B880&amp;D880</f>
      </c>
      <c r="F880" t="str">
        <v>Gội Combo 4</v>
      </c>
      <c r="G880">
        <v>289000</v>
      </c>
    </row>
    <row r="881">
      <c r="A881">
        <v>182</v>
      </c>
      <c r="B881" s="33">
        <f>VLOOKUP(A881,'Cắt Gội'!$A:$C,3,0)</f>
      </c>
      <c r="D881">
        <v>1060</v>
      </c>
      <c r="E881" s="33">
        <f>B881&amp;D881</f>
      </c>
      <c r="F881" t="str">
        <v>Gội Combo 4</v>
      </c>
      <c r="G881">
        <v>319000</v>
      </c>
    </row>
    <row r="882">
      <c r="A882">
        <v>182</v>
      </c>
      <c r="B882" s="33">
        <f>VLOOKUP(A882,'Cắt Gội'!$A:$C,3,0)</f>
      </c>
      <c r="D882">
        <v>934</v>
      </c>
      <c r="E882" s="33">
        <f>B882&amp;D882</f>
      </c>
      <c r="F882" t="str">
        <v>Gội combo 3 - Dưỡng sinh</v>
      </c>
      <c r="G882">
        <v>229000</v>
      </c>
    </row>
    <row r="883">
      <c r="A883">
        <v>182</v>
      </c>
      <c r="B883" s="33">
        <f>VLOOKUP(A883,'Cắt Gội'!$A:$C,3,0)</f>
      </c>
      <c r="D883">
        <v>867</v>
      </c>
      <c r="E883" s="33">
        <f>B883&amp;D883</f>
      </c>
      <c r="F883" t="str">
        <v>Gội dưỡng sinh cổ vai gáy</v>
      </c>
      <c r="G883">
        <v>95000</v>
      </c>
    </row>
    <row r="884">
      <c r="A884">
        <v>182</v>
      </c>
      <c r="B884" s="33">
        <f>VLOOKUP(A884,'Cắt Gội'!$A:$C,3,0)</f>
      </c>
      <c r="D884">
        <v>867</v>
      </c>
      <c r="E884" s="33">
        <f>B884&amp;D884</f>
      </c>
      <c r="F884" t="str">
        <v>Gội dưỡng sinh cổ vai gáy</v>
      </c>
      <c r="G884">
        <v>99000</v>
      </c>
    </row>
    <row r="885">
      <c r="A885">
        <v>182</v>
      </c>
      <c r="B885" s="33">
        <f>VLOOKUP(A885,'Cắt Gội'!$A:$C,3,0)</f>
      </c>
      <c r="D885">
        <v>1068</v>
      </c>
      <c r="E885" s="33">
        <f>B885&amp;D885</f>
      </c>
      <c r="F885" t="str">
        <v>Gội trải nghiệm 115p</v>
      </c>
      <c r="G885">
        <v>999000</v>
      </c>
    </row>
    <row r="886">
      <c r="A886">
        <v>182</v>
      </c>
      <c r="B886" s="33">
        <f>VLOOKUP(A886,'Cắt Gội'!$A:$C,3,0)</f>
      </c>
      <c r="D886">
        <v>1066</v>
      </c>
      <c r="E886" s="33">
        <f>B886&amp;D886</f>
      </c>
      <c r="F886" t="str">
        <v>Gội trải nghiệm 75p</v>
      </c>
      <c r="G886">
        <v>589000</v>
      </c>
    </row>
    <row r="887">
      <c r="A887">
        <v>182</v>
      </c>
      <c r="B887" s="33">
        <f>VLOOKUP(A887,'Cắt Gội'!$A:$C,3,0)</f>
      </c>
      <c r="D887">
        <v>1067</v>
      </c>
      <c r="E887" s="33">
        <f>B887&amp;D887</f>
      </c>
      <c r="F887" t="str">
        <v>Gội trải nghiệm 90p</v>
      </c>
      <c r="G887">
        <v>789000</v>
      </c>
    </row>
    <row r="888">
      <c r="A888">
        <v>182</v>
      </c>
      <c r="B888" s="33">
        <f>VLOOKUP(A888,'Cắt Gội'!$A:$C,3,0)</f>
      </c>
      <c r="D888">
        <v>940</v>
      </c>
      <c r="E888" s="33">
        <f>B888&amp;D888</f>
      </c>
      <c r="F888" t="str">
        <v>[NEW] Gội dưỡng sinh</v>
      </c>
      <c r="G888">
        <v>50000</v>
      </c>
    </row>
    <row r="889">
      <c r="A889">
        <v>182</v>
      </c>
      <c r="B889" s="33">
        <f>VLOOKUP(A889,'Cắt Gội'!$A:$C,3,0)</f>
      </c>
      <c r="D889">
        <v>940</v>
      </c>
      <c r="E889" s="33">
        <f>B889&amp;D889</f>
      </c>
      <c r="F889" t="str">
        <v>[NEW] Gội dưỡng sinh</v>
      </c>
      <c r="G889">
        <v>59000</v>
      </c>
    </row>
    <row r="890">
      <c r="A890">
        <v>184</v>
      </c>
      <c r="B890" s="33">
        <f>VLOOKUP(A890,'Cắt Gội'!$A:$C,3,0)</f>
      </c>
      <c r="D890">
        <v>1058</v>
      </c>
      <c r="E890" s="33">
        <f>B890&amp;D890</f>
      </c>
      <c r="F890" t="str">
        <v>Gội Combo 2</v>
      </c>
      <c r="G890">
        <v>159000</v>
      </c>
    </row>
    <row r="891">
      <c r="A891">
        <v>184</v>
      </c>
      <c r="B891" s="33">
        <f>VLOOKUP(A891,'Cắt Gội'!$A:$C,3,0)</f>
      </c>
      <c r="D891">
        <v>1060</v>
      </c>
      <c r="E891" s="33">
        <f>B891&amp;D891</f>
      </c>
      <c r="F891" t="str">
        <v>Gội Combo 4</v>
      </c>
      <c r="G891">
        <v>289000</v>
      </c>
    </row>
    <row r="892">
      <c r="A892">
        <v>184</v>
      </c>
      <c r="B892" s="33">
        <f>VLOOKUP(A892,'Cắt Gội'!$A:$C,3,0)</f>
      </c>
      <c r="D892">
        <v>1060</v>
      </c>
      <c r="E892" s="33">
        <f>B892&amp;D892</f>
      </c>
      <c r="F892" t="str">
        <v>Gội Combo 4</v>
      </c>
      <c r="G892">
        <v>319000</v>
      </c>
    </row>
    <row r="893">
      <c r="A893">
        <v>184</v>
      </c>
      <c r="B893" s="33">
        <f>VLOOKUP(A893,'Cắt Gội'!$A:$C,3,0)</f>
      </c>
      <c r="D893">
        <v>934</v>
      </c>
      <c r="E893" s="33">
        <f>B893&amp;D893</f>
      </c>
      <c r="F893" t="str">
        <v>Gội combo 3 - Dưỡng sinh</v>
      </c>
      <c r="G893">
        <v>229000</v>
      </c>
    </row>
    <row r="894">
      <c r="A894">
        <v>184</v>
      </c>
      <c r="B894" s="33">
        <f>VLOOKUP(A894,'Cắt Gội'!$A:$C,3,0)</f>
      </c>
      <c r="D894">
        <v>867</v>
      </c>
      <c r="E894" s="33">
        <f>B894&amp;D894</f>
      </c>
      <c r="F894" t="str">
        <v>Gội dưỡng sinh cổ vai gáy</v>
      </c>
      <c r="G894">
        <v>79000</v>
      </c>
    </row>
    <row r="895">
      <c r="A895">
        <v>184</v>
      </c>
      <c r="B895" s="33">
        <f>VLOOKUP(A895,'Cắt Gội'!$A:$C,3,0)</f>
      </c>
      <c r="D895">
        <v>940</v>
      </c>
      <c r="E895" s="33">
        <f>B895&amp;D895</f>
      </c>
      <c r="F895" t="str">
        <v>[NEW] Gội dưỡng sinh</v>
      </c>
      <c r="G895">
        <v>59000</v>
      </c>
    </row>
    <row r="896">
      <c r="A896">
        <v>187</v>
      </c>
      <c r="B896" s="33" t="str">
        <v>116 TK</v>
      </c>
      <c r="D896">
        <v>1058</v>
      </c>
      <c r="E896" s="33">
        <f>B896&amp;D896</f>
      </c>
      <c r="F896" t="str">
        <v>Gội Combo 2</v>
      </c>
      <c r="G896">
        <v>159000</v>
      </c>
    </row>
    <row r="897">
      <c r="A897">
        <v>187</v>
      </c>
      <c r="B897" s="33" t="str">
        <v>116 TK</v>
      </c>
      <c r="D897">
        <v>1059</v>
      </c>
      <c r="E897" s="33">
        <f>B897&amp;D897</f>
      </c>
      <c r="F897" t="str">
        <v>Gội Combo 3 - Chăm da</v>
      </c>
      <c r="G897">
        <v>239000</v>
      </c>
    </row>
    <row r="898">
      <c r="A898">
        <v>187</v>
      </c>
      <c r="B898" s="33" t="str">
        <v>116 TK</v>
      </c>
      <c r="D898">
        <v>1059</v>
      </c>
      <c r="E898" s="33">
        <f>B898&amp;D898</f>
      </c>
      <c r="F898" t="str">
        <v>Gội Combo 3 - Chăm da</v>
      </c>
      <c r="G898">
        <v>219000</v>
      </c>
    </row>
    <row r="899">
      <c r="A899">
        <v>187</v>
      </c>
      <c r="B899" s="33" t="str">
        <v>116 TK</v>
      </c>
      <c r="D899">
        <v>1060</v>
      </c>
      <c r="E899" s="33">
        <f>B899&amp;D899</f>
      </c>
      <c r="F899" t="str">
        <v>Gội Combo 4</v>
      </c>
      <c r="G899">
        <v>319000</v>
      </c>
    </row>
    <row r="900">
      <c r="A900">
        <v>187</v>
      </c>
      <c r="B900" s="33" t="str">
        <v>116 TK</v>
      </c>
      <c r="D900">
        <v>1060</v>
      </c>
      <c r="E900" s="33">
        <f>B900&amp;D900</f>
      </c>
      <c r="F900" t="str">
        <v>Gội Combo 4</v>
      </c>
      <c r="G900">
        <v>289000</v>
      </c>
    </row>
    <row r="901">
      <c r="A901">
        <v>187</v>
      </c>
      <c r="B901" s="33" t="str">
        <v>116 TK</v>
      </c>
      <c r="D901">
        <v>867</v>
      </c>
      <c r="E901" s="33">
        <f>B901&amp;D901</f>
      </c>
      <c r="F901" t="str">
        <v>Gội dưỡng sinh cổ vai gáy</v>
      </c>
      <c r="G901">
        <v>95000</v>
      </c>
    </row>
    <row r="902">
      <c r="A902">
        <v>187</v>
      </c>
      <c r="B902" s="33" t="str">
        <v>116 TK</v>
      </c>
      <c r="D902">
        <v>867</v>
      </c>
      <c r="E902" s="33">
        <f>B902&amp;D902</f>
      </c>
      <c r="F902" t="str">
        <v>Gội dưỡng sinh cổ vai gáy</v>
      </c>
      <c r="G902">
        <v>99000</v>
      </c>
    </row>
    <row r="903">
      <c r="A903">
        <v>187</v>
      </c>
      <c r="B903" s="33" t="str">
        <v>116 TK</v>
      </c>
      <c r="D903">
        <v>1068</v>
      </c>
      <c r="E903" s="33">
        <f>B903&amp;D903</f>
      </c>
      <c r="F903" t="str">
        <v>Gội trải nghiệm 115p</v>
      </c>
      <c r="G903">
        <v>999000</v>
      </c>
    </row>
    <row r="904">
      <c r="A904">
        <v>187</v>
      </c>
      <c r="B904" s="33" t="str">
        <v>116 TK</v>
      </c>
      <c r="D904">
        <v>1069</v>
      </c>
      <c r="E904" s="33">
        <f>B904&amp;D904</f>
      </c>
      <c r="F904" t="str">
        <v>Gội trải nghiệm 140p</v>
      </c>
      <c r="G904">
        <v>1199000</v>
      </c>
    </row>
    <row r="905">
      <c r="A905">
        <v>187</v>
      </c>
      <c r="B905" s="33" t="str">
        <v>116 TK</v>
      </c>
      <c r="D905">
        <v>1066</v>
      </c>
      <c r="E905" s="33">
        <f>B905&amp;D905</f>
      </c>
      <c r="F905" t="str">
        <v>Gội trải nghiệm 75p</v>
      </c>
      <c r="G905">
        <v>589000</v>
      </c>
    </row>
    <row r="906">
      <c r="A906">
        <v>187</v>
      </c>
      <c r="B906" s="33" t="str">
        <v>116 TK</v>
      </c>
      <c r="D906">
        <v>1067</v>
      </c>
      <c r="E906" s="33">
        <f>B906&amp;D906</f>
      </c>
      <c r="F906" t="str">
        <v>Gội trải nghiệm 90p</v>
      </c>
      <c r="G906">
        <v>789000</v>
      </c>
    </row>
    <row r="907">
      <c r="A907">
        <v>187</v>
      </c>
      <c r="B907" s="33" t="str">
        <v>116 TK</v>
      </c>
      <c r="D907">
        <v>940</v>
      </c>
      <c r="E907" s="33">
        <f>B907&amp;D907</f>
      </c>
      <c r="F907" t="str">
        <v>[NEW] Gội dưỡng sinh</v>
      </c>
      <c r="G907">
        <v>59000</v>
      </c>
    </row>
    <row r="908">
      <c r="A908">
        <v>188</v>
      </c>
      <c r="B908" s="33">
        <f>VLOOKUP(A908,'Cắt Gội'!$A:$C,3,0)</f>
      </c>
      <c r="D908">
        <v>1058</v>
      </c>
      <c r="E908" s="33">
        <f>B908&amp;D908</f>
      </c>
      <c r="F908" t="str">
        <v>Gội Combo 2</v>
      </c>
      <c r="G908">
        <v>159000</v>
      </c>
    </row>
    <row r="909">
      <c r="A909">
        <v>188</v>
      </c>
      <c r="B909" s="33">
        <f>VLOOKUP(A909,'Cắt Gội'!$A:$C,3,0)</f>
      </c>
      <c r="D909">
        <v>1059</v>
      </c>
      <c r="E909" s="33">
        <f>B909&amp;D909</f>
      </c>
      <c r="F909" t="str">
        <v>Gội Combo 3 - Chăm da</v>
      </c>
      <c r="G909">
        <v>219000</v>
      </c>
    </row>
    <row r="910">
      <c r="A910">
        <v>188</v>
      </c>
      <c r="B910" s="33">
        <f>VLOOKUP(A910,'Cắt Gội'!$A:$C,3,0)</f>
      </c>
      <c r="D910">
        <v>1059</v>
      </c>
      <c r="E910" s="33">
        <f>B910&amp;D910</f>
      </c>
      <c r="F910" t="str">
        <v>Gội Combo 3 - Chăm da</v>
      </c>
      <c r="G910">
        <v>239000</v>
      </c>
    </row>
    <row r="911">
      <c r="A911">
        <v>188</v>
      </c>
      <c r="B911" s="33">
        <f>VLOOKUP(A911,'Cắt Gội'!$A:$C,3,0)</f>
      </c>
      <c r="D911">
        <v>1060</v>
      </c>
      <c r="E911" s="33">
        <f>B911&amp;D911</f>
      </c>
      <c r="F911" t="str">
        <v>Gội Combo 4</v>
      </c>
      <c r="G911">
        <v>319000</v>
      </c>
    </row>
    <row r="912">
      <c r="A912">
        <v>188</v>
      </c>
      <c r="B912" s="33">
        <f>VLOOKUP(A912,'Cắt Gội'!$A:$C,3,0)</f>
      </c>
      <c r="D912">
        <v>1060</v>
      </c>
      <c r="E912" s="33">
        <f>B912&amp;D912</f>
      </c>
      <c r="F912" t="str">
        <v>Gội Combo 4</v>
      </c>
      <c r="G912">
        <v>289000</v>
      </c>
    </row>
    <row r="913">
      <c r="A913">
        <v>188</v>
      </c>
      <c r="B913" s="33">
        <f>VLOOKUP(A913,'Cắt Gội'!$A:$C,3,0)</f>
      </c>
      <c r="D913">
        <v>934</v>
      </c>
      <c r="E913" s="33">
        <f>B913&amp;D913</f>
      </c>
      <c r="F913" t="str">
        <v>Gội combo 3 - Dưỡng sinh</v>
      </c>
      <c r="G913">
        <v>229000</v>
      </c>
    </row>
    <row r="914">
      <c r="A914">
        <v>188</v>
      </c>
      <c r="B914" s="33">
        <f>VLOOKUP(A914,'Cắt Gội'!$A:$C,3,0)</f>
      </c>
      <c r="D914">
        <v>932</v>
      </c>
      <c r="E914" s="33">
        <f>B914&amp;D914</f>
      </c>
      <c r="F914" t="str">
        <v>Gội combo 5 dưỡng sinh</v>
      </c>
      <c r="G914">
        <v>399000</v>
      </c>
    </row>
    <row r="915">
      <c r="A915">
        <v>188</v>
      </c>
      <c r="B915" s="33">
        <f>VLOOKUP(A915,'Cắt Gội'!$A:$C,3,0)</f>
      </c>
      <c r="D915">
        <v>867</v>
      </c>
      <c r="E915" s="33">
        <f>B915&amp;D915</f>
      </c>
      <c r="F915" t="str">
        <v>Gội dưỡng sinh cổ vai gáy</v>
      </c>
      <c r="G915">
        <v>95000</v>
      </c>
    </row>
    <row r="916">
      <c r="A916">
        <v>188</v>
      </c>
      <c r="B916" s="33">
        <f>VLOOKUP(A916,'Cắt Gội'!$A:$C,3,0)</f>
      </c>
      <c r="D916">
        <v>867</v>
      </c>
      <c r="E916" s="33">
        <f>B916&amp;D916</f>
      </c>
      <c r="F916" t="str">
        <v>Gội dưỡng sinh cổ vai gáy</v>
      </c>
      <c r="G916">
        <v>100000</v>
      </c>
    </row>
    <row r="917">
      <c r="A917">
        <v>188</v>
      </c>
      <c r="B917" s="33">
        <f>VLOOKUP(A917,'Cắt Gội'!$A:$C,3,0)</f>
      </c>
      <c r="D917">
        <v>940</v>
      </c>
      <c r="E917" s="33">
        <f>B917&amp;D917</f>
      </c>
      <c r="F917" t="str">
        <v>[NEW] Gội dưỡng sinh</v>
      </c>
      <c r="G917">
        <v>59000</v>
      </c>
    </row>
    <row r="918">
      <c r="A918">
        <v>188</v>
      </c>
      <c r="B918" s="33">
        <f>VLOOKUP(A918,'Cắt Gội'!$A:$C,3,0)</f>
      </c>
      <c r="D918">
        <v>940</v>
      </c>
      <c r="E918" s="33">
        <f>B918&amp;D918</f>
      </c>
      <c r="F918" t="str">
        <v>[NEW] Gội dưỡng sinh</v>
      </c>
      <c r="G918">
        <v>50000</v>
      </c>
    </row>
    <row r="919">
      <c r="A919">
        <v>192</v>
      </c>
      <c r="B919" s="33">
        <f>VLOOKUP(A919,'Cắt Gội'!$A:$C,3,0)</f>
      </c>
      <c r="D919">
        <v>1058</v>
      </c>
      <c r="E919" s="33">
        <f>B919&amp;D919</f>
      </c>
      <c r="F919" t="str">
        <v>Gội Combo 2</v>
      </c>
      <c r="G919">
        <v>159000</v>
      </c>
    </row>
    <row r="920">
      <c r="A920">
        <v>192</v>
      </c>
      <c r="B920" s="33">
        <f>VLOOKUP(A920,'Cắt Gội'!$A:$C,3,0)</f>
      </c>
      <c r="D920">
        <v>1059</v>
      </c>
      <c r="E920" s="33">
        <f>B920&amp;D920</f>
      </c>
      <c r="F920" t="str">
        <v>Gội Combo 3 - Chăm da</v>
      </c>
      <c r="G920">
        <v>239000</v>
      </c>
    </row>
    <row r="921">
      <c r="A921">
        <v>192</v>
      </c>
      <c r="B921" s="33">
        <f>VLOOKUP(A921,'Cắt Gội'!$A:$C,3,0)</f>
      </c>
      <c r="D921">
        <v>1059</v>
      </c>
      <c r="E921" s="33">
        <f>B921&amp;D921</f>
      </c>
      <c r="F921" t="str">
        <v>Gội Combo 3 - Chăm da</v>
      </c>
      <c r="G921">
        <v>219000</v>
      </c>
    </row>
    <row r="922">
      <c r="A922">
        <v>192</v>
      </c>
      <c r="B922" s="33">
        <f>VLOOKUP(A922,'Cắt Gội'!$A:$C,3,0)</f>
      </c>
      <c r="D922">
        <v>1060</v>
      </c>
      <c r="E922" s="33">
        <f>B922&amp;D922</f>
      </c>
      <c r="F922" t="str">
        <v>Gội Combo 4</v>
      </c>
      <c r="G922">
        <v>289000</v>
      </c>
    </row>
    <row r="923">
      <c r="A923">
        <v>192</v>
      </c>
      <c r="B923" s="33">
        <f>VLOOKUP(A923,'Cắt Gội'!$A:$C,3,0)</f>
      </c>
      <c r="D923">
        <v>1060</v>
      </c>
      <c r="E923" s="33">
        <f>B923&amp;D923</f>
      </c>
      <c r="F923" t="str">
        <v>Gội Combo 4</v>
      </c>
      <c r="G923">
        <v>319000</v>
      </c>
    </row>
    <row r="924">
      <c r="A924">
        <v>192</v>
      </c>
      <c r="B924" s="33">
        <f>VLOOKUP(A924,'Cắt Gội'!$A:$C,3,0)</f>
      </c>
      <c r="D924">
        <v>867</v>
      </c>
      <c r="E924" s="33">
        <f>B924&amp;D924</f>
      </c>
      <c r="F924" t="str">
        <v>Gội dưỡng sinh cổ vai gáy</v>
      </c>
      <c r="G924">
        <v>95000</v>
      </c>
    </row>
    <row r="925">
      <c r="A925">
        <v>192</v>
      </c>
      <c r="B925" s="33">
        <f>VLOOKUP(A925,'Cắt Gội'!$A:$C,3,0)</f>
      </c>
      <c r="D925">
        <v>867</v>
      </c>
      <c r="E925" s="33">
        <f>B925&amp;D925</f>
      </c>
      <c r="F925" t="str">
        <v>Gội dưỡng sinh cổ vai gáy</v>
      </c>
      <c r="G925">
        <v>99000</v>
      </c>
    </row>
    <row r="926">
      <c r="A926">
        <v>192</v>
      </c>
      <c r="B926" s="33">
        <f>VLOOKUP(A926,'Cắt Gội'!$A:$C,3,0)</f>
      </c>
      <c r="D926">
        <v>1068</v>
      </c>
      <c r="E926" s="33">
        <f>B926&amp;D926</f>
      </c>
      <c r="F926" t="str">
        <v>Gội trải nghiệm 115p</v>
      </c>
      <c r="G926">
        <v>999000</v>
      </c>
    </row>
    <row r="927">
      <c r="A927">
        <v>192</v>
      </c>
      <c r="B927" s="33">
        <f>VLOOKUP(A927,'Cắt Gội'!$A:$C,3,0)</f>
      </c>
      <c r="D927">
        <v>1066</v>
      </c>
      <c r="E927" s="33">
        <f>B927&amp;D927</f>
      </c>
      <c r="F927" t="str">
        <v>Gội trải nghiệm 75p</v>
      </c>
      <c r="G927">
        <v>589000</v>
      </c>
    </row>
    <row r="928">
      <c r="A928">
        <v>192</v>
      </c>
      <c r="B928" s="33">
        <f>VLOOKUP(A928,'Cắt Gội'!$A:$C,3,0)</f>
      </c>
      <c r="D928">
        <v>1067</v>
      </c>
      <c r="E928" s="33">
        <f>B928&amp;D928</f>
      </c>
      <c r="F928" t="str">
        <v>Gội trải nghiệm 90p</v>
      </c>
      <c r="G928">
        <v>789000</v>
      </c>
    </row>
    <row r="929">
      <c r="A929">
        <v>192</v>
      </c>
      <c r="B929" s="33">
        <f>VLOOKUP(A929,'Cắt Gội'!$A:$C,3,0)</f>
      </c>
      <c r="D929">
        <v>940</v>
      </c>
      <c r="E929" s="33">
        <f>B929&amp;D929</f>
      </c>
      <c r="F929" t="str">
        <v>[NEW] Gội dưỡng sinh</v>
      </c>
      <c r="G929">
        <v>59000</v>
      </c>
    </row>
    <row r="930">
      <c r="A930">
        <v>193</v>
      </c>
      <c r="B930" s="33">
        <f>VLOOKUP(A930,'Cắt Gội'!$A:$C,3,0)</f>
      </c>
      <c r="D930">
        <v>1058</v>
      </c>
      <c r="E930" s="33">
        <f>B930&amp;D930</f>
      </c>
      <c r="F930" t="str">
        <v>Gội Combo 2</v>
      </c>
      <c r="G930">
        <v>159000</v>
      </c>
    </row>
    <row r="931">
      <c r="A931">
        <v>193</v>
      </c>
      <c r="B931" s="33">
        <f>VLOOKUP(A931,'Cắt Gội'!$A:$C,3,0)</f>
      </c>
      <c r="D931">
        <v>1059</v>
      </c>
      <c r="E931" s="33">
        <f>B931&amp;D931</f>
      </c>
      <c r="F931" t="str">
        <v>Gội Combo 3 - Chăm da</v>
      </c>
      <c r="G931">
        <v>219000</v>
      </c>
    </row>
    <row r="932">
      <c r="A932">
        <v>193</v>
      </c>
      <c r="B932" s="33">
        <f>VLOOKUP(A932,'Cắt Gội'!$A:$C,3,0)</f>
      </c>
      <c r="D932">
        <v>1059</v>
      </c>
      <c r="E932" s="33">
        <f>B932&amp;D932</f>
      </c>
      <c r="F932" t="str">
        <v>Gội Combo 3 - Chăm da</v>
      </c>
      <c r="G932">
        <v>239000</v>
      </c>
    </row>
    <row r="933">
      <c r="A933">
        <v>193</v>
      </c>
      <c r="B933" s="33">
        <f>VLOOKUP(A933,'Cắt Gội'!$A:$C,3,0)</f>
      </c>
      <c r="D933">
        <v>1060</v>
      </c>
      <c r="E933" s="33">
        <f>B933&amp;D933</f>
      </c>
      <c r="F933" t="str">
        <v>Gội Combo 4</v>
      </c>
      <c r="G933">
        <v>319000</v>
      </c>
    </row>
    <row r="934">
      <c r="A934">
        <v>193</v>
      </c>
      <c r="B934" s="33">
        <f>VLOOKUP(A934,'Cắt Gội'!$A:$C,3,0)</f>
      </c>
      <c r="D934">
        <v>1060</v>
      </c>
      <c r="E934" s="33">
        <f>B934&amp;D934</f>
      </c>
      <c r="F934" t="str">
        <v>Gội Combo 4</v>
      </c>
      <c r="G934">
        <v>289000</v>
      </c>
    </row>
    <row r="935">
      <c r="A935">
        <v>193</v>
      </c>
      <c r="B935" s="33">
        <f>VLOOKUP(A935,'Cắt Gội'!$A:$C,3,0)</f>
      </c>
      <c r="D935">
        <v>1061</v>
      </c>
      <c r="E935" s="33">
        <f>B935&amp;D935</f>
      </c>
      <c r="F935" t="str">
        <v>Gội Combo 5 - Chăm da</v>
      </c>
      <c r="G935">
        <v>359000</v>
      </c>
    </row>
    <row r="936">
      <c r="A936">
        <v>193</v>
      </c>
      <c r="B936" s="33">
        <f>VLOOKUP(A936,'Cắt Gội'!$A:$C,3,0)</f>
      </c>
      <c r="D936">
        <v>934</v>
      </c>
      <c r="E936" s="33">
        <f>B936&amp;D936</f>
      </c>
      <c r="F936" t="str">
        <v>Gội combo 3 - Dưỡng sinh</v>
      </c>
      <c r="G936">
        <v>229000</v>
      </c>
    </row>
    <row r="937">
      <c r="A937">
        <v>193</v>
      </c>
      <c r="B937" s="33">
        <f>VLOOKUP(A937,'Cắt Gội'!$A:$C,3,0)</f>
      </c>
      <c r="D937">
        <v>932</v>
      </c>
      <c r="E937" s="33">
        <f>B937&amp;D937</f>
      </c>
      <c r="F937" t="str">
        <v>Gội combo 5 dưỡng sinh</v>
      </c>
      <c r="G937">
        <v>399000</v>
      </c>
    </row>
    <row r="938">
      <c r="A938">
        <v>193</v>
      </c>
      <c r="B938" s="33">
        <f>VLOOKUP(A938,'Cắt Gội'!$A:$C,3,0)</f>
      </c>
      <c r="D938">
        <v>867</v>
      </c>
      <c r="E938" s="33">
        <f>B938&amp;D938</f>
      </c>
      <c r="F938" t="str">
        <v>Gội dưỡng sinh cổ vai gáy</v>
      </c>
      <c r="G938">
        <v>95000</v>
      </c>
    </row>
    <row r="939">
      <c r="A939">
        <v>193</v>
      </c>
      <c r="B939" s="33">
        <f>VLOOKUP(A939,'Cắt Gội'!$A:$C,3,0)</f>
      </c>
      <c r="D939">
        <v>867</v>
      </c>
      <c r="E939" s="33">
        <f>B939&amp;D939</f>
      </c>
      <c r="F939" t="str">
        <v>Gội dưỡng sinh cổ vai gáy</v>
      </c>
      <c r="G939">
        <v>100000</v>
      </c>
    </row>
    <row r="940">
      <c r="A940">
        <v>193</v>
      </c>
      <c r="B940" s="33">
        <f>VLOOKUP(A940,'Cắt Gội'!$A:$C,3,0)</f>
      </c>
      <c r="D940">
        <v>1068</v>
      </c>
      <c r="E940" s="33">
        <f>B940&amp;D940</f>
      </c>
      <c r="F940" t="str">
        <v>Gội trải nghiệm 115p</v>
      </c>
      <c r="G940">
        <v>999000</v>
      </c>
    </row>
    <row r="941">
      <c r="A941">
        <v>193</v>
      </c>
      <c r="B941" s="33">
        <f>VLOOKUP(A941,'Cắt Gội'!$A:$C,3,0)</f>
      </c>
      <c r="D941">
        <v>1066</v>
      </c>
      <c r="E941" s="33">
        <f>B941&amp;D941</f>
      </c>
      <c r="F941" t="str">
        <v>Gội trải nghiệm 75p</v>
      </c>
      <c r="G941">
        <v>589000</v>
      </c>
    </row>
    <row r="942">
      <c r="A942">
        <v>193</v>
      </c>
      <c r="B942" s="33">
        <f>VLOOKUP(A942,'Cắt Gội'!$A:$C,3,0)</f>
      </c>
      <c r="D942">
        <v>1067</v>
      </c>
      <c r="E942" s="33">
        <f>B942&amp;D942</f>
      </c>
      <c r="F942" t="str">
        <v>Gội trải nghiệm 90p</v>
      </c>
      <c r="G942">
        <v>789000</v>
      </c>
    </row>
    <row r="943">
      <c r="A943">
        <v>193</v>
      </c>
      <c r="B943" s="33">
        <f>VLOOKUP(A943,'Cắt Gội'!$A:$C,3,0)</f>
      </c>
      <c r="D943">
        <v>940</v>
      </c>
      <c r="E943" s="33">
        <f>B943&amp;D943</f>
      </c>
      <c r="F943" t="str">
        <v>[NEW] Gội dưỡng sinh</v>
      </c>
      <c r="G943">
        <v>59000</v>
      </c>
    </row>
    <row r="944">
      <c r="A944">
        <v>193</v>
      </c>
      <c r="B944" s="33">
        <f>VLOOKUP(A944,'Cắt Gội'!$A:$C,3,0)</f>
      </c>
      <c r="D944">
        <v>940</v>
      </c>
      <c r="E944" s="33">
        <f>B944&amp;D944</f>
      </c>
      <c r="F944" t="str">
        <v>[NEW] Gội dưỡng sinh</v>
      </c>
      <c r="G944">
        <v>50000</v>
      </c>
    </row>
    <row r="945">
      <c r="A945">
        <v>194</v>
      </c>
      <c r="B945" s="33">
        <f>VLOOKUP(A945,'Cắt Gội'!$A:$C,3,0)</f>
      </c>
      <c r="D945">
        <v>1058</v>
      </c>
      <c r="E945" s="33">
        <f>B945&amp;D945</f>
      </c>
      <c r="F945" t="str">
        <v>Gội Combo 2</v>
      </c>
      <c r="G945">
        <v>159000</v>
      </c>
    </row>
    <row r="946">
      <c r="A946">
        <v>194</v>
      </c>
      <c r="B946" s="33">
        <f>VLOOKUP(A946,'Cắt Gội'!$A:$C,3,0)</f>
      </c>
      <c r="D946">
        <v>1059</v>
      </c>
      <c r="E946" s="33">
        <f>B946&amp;D946</f>
      </c>
      <c r="F946" t="str">
        <v>Gội Combo 3 - Chăm da</v>
      </c>
      <c r="G946">
        <v>239000</v>
      </c>
    </row>
    <row r="947">
      <c r="A947">
        <v>194</v>
      </c>
      <c r="B947" s="33">
        <f>VLOOKUP(A947,'Cắt Gội'!$A:$C,3,0)</f>
      </c>
      <c r="D947">
        <v>1060</v>
      </c>
      <c r="E947" s="33">
        <f>B947&amp;D947</f>
      </c>
      <c r="F947" t="str">
        <v>Gội Combo 4</v>
      </c>
      <c r="G947">
        <v>319000</v>
      </c>
    </row>
    <row r="948">
      <c r="A948">
        <v>194</v>
      </c>
      <c r="B948" s="33">
        <f>VLOOKUP(A948,'Cắt Gội'!$A:$C,3,0)</f>
      </c>
      <c r="D948">
        <v>1060</v>
      </c>
      <c r="E948" s="33">
        <f>B948&amp;D948</f>
      </c>
      <c r="F948" t="str">
        <v>Gội Combo 4</v>
      </c>
      <c r="G948">
        <v>289000</v>
      </c>
    </row>
    <row r="949">
      <c r="A949">
        <v>194</v>
      </c>
      <c r="B949" s="33">
        <f>VLOOKUP(A949,'Cắt Gội'!$A:$C,3,0)</f>
      </c>
      <c r="D949">
        <v>934</v>
      </c>
      <c r="E949" s="33">
        <f>B949&amp;D949</f>
      </c>
      <c r="F949" t="str">
        <v>Gội combo 3 - Dưỡng sinh</v>
      </c>
      <c r="G949">
        <v>229000</v>
      </c>
    </row>
    <row r="950">
      <c r="A950">
        <v>194</v>
      </c>
      <c r="B950" s="33">
        <f>VLOOKUP(A950,'Cắt Gội'!$A:$C,3,0)</f>
      </c>
      <c r="D950">
        <v>867</v>
      </c>
      <c r="E950" s="33">
        <f>B950&amp;D950</f>
      </c>
      <c r="F950" t="str">
        <v>Gội dưỡng sinh cổ vai gáy</v>
      </c>
      <c r="G950">
        <v>95000</v>
      </c>
    </row>
    <row r="951">
      <c r="A951">
        <v>194</v>
      </c>
      <c r="B951" s="33">
        <f>VLOOKUP(A951,'Cắt Gội'!$A:$C,3,0)</f>
      </c>
      <c r="D951">
        <v>867</v>
      </c>
      <c r="E951" s="33">
        <f>B951&amp;D951</f>
      </c>
      <c r="F951" t="str">
        <v>Gội dưỡng sinh cổ vai gáy</v>
      </c>
      <c r="G951">
        <v>99000</v>
      </c>
    </row>
    <row r="952">
      <c r="A952">
        <v>194</v>
      </c>
      <c r="B952" s="33">
        <f>VLOOKUP(A952,'Cắt Gội'!$A:$C,3,0)</f>
      </c>
      <c r="D952">
        <v>1068</v>
      </c>
      <c r="E952" s="33">
        <f>B952&amp;D952</f>
      </c>
      <c r="F952" t="str">
        <v>Gội trải nghiệm 115p</v>
      </c>
      <c r="G952">
        <v>999000</v>
      </c>
    </row>
    <row r="953">
      <c r="A953">
        <v>194</v>
      </c>
      <c r="B953" s="33">
        <f>VLOOKUP(A953,'Cắt Gội'!$A:$C,3,0)</f>
      </c>
      <c r="D953">
        <v>1069</v>
      </c>
      <c r="E953" s="33">
        <f>B953&amp;D953</f>
      </c>
      <c r="F953" t="str">
        <v>Gội trải nghiệm 140p</v>
      </c>
      <c r="G953">
        <v>1199000</v>
      </c>
    </row>
    <row r="954">
      <c r="A954">
        <v>194</v>
      </c>
      <c r="B954" s="33">
        <f>VLOOKUP(A954,'Cắt Gội'!$A:$C,3,0)</f>
      </c>
      <c r="D954">
        <v>1066</v>
      </c>
      <c r="E954" s="33">
        <f>B954&amp;D954</f>
      </c>
      <c r="F954" t="str">
        <v>Gội trải nghiệm 75p</v>
      </c>
      <c r="G954">
        <v>589000</v>
      </c>
    </row>
    <row r="955">
      <c r="A955">
        <v>194</v>
      </c>
      <c r="B955" s="33">
        <f>VLOOKUP(A955,'Cắt Gội'!$A:$C,3,0)</f>
      </c>
      <c r="D955">
        <v>1067</v>
      </c>
      <c r="E955" s="33">
        <f>B955&amp;D955</f>
      </c>
      <c r="F955" t="str">
        <v>Gội trải nghiệm 90p</v>
      </c>
      <c r="G955">
        <v>789000</v>
      </c>
    </row>
    <row r="956">
      <c r="A956">
        <v>194</v>
      </c>
      <c r="B956" s="33">
        <f>VLOOKUP(A956,'Cắt Gội'!$A:$C,3,0)</f>
      </c>
      <c r="D956">
        <v>940</v>
      </c>
      <c r="E956" s="33">
        <f>B956&amp;D956</f>
      </c>
      <c r="F956" t="str">
        <v>[NEW] Gội dưỡng sinh</v>
      </c>
      <c r="G956">
        <v>59000</v>
      </c>
    </row>
    <row r="957">
      <c r="A957">
        <v>196</v>
      </c>
      <c r="B957" s="33">
        <f>VLOOKUP(A957,'Cắt Gội'!$A:$C,3,0)</f>
      </c>
      <c r="D957">
        <v>1058</v>
      </c>
      <c r="E957" s="33">
        <f>B957&amp;D957</f>
      </c>
      <c r="F957" t="str">
        <v>Gội Combo 2</v>
      </c>
      <c r="G957">
        <v>159000</v>
      </c>
    </row>
    <row r="958">
      <c r="A958">
        <v>196</v>
      </c>
      <c r="B958" s="33">
        <f>VLOOKUP(A958,'Cắt Gội'!$A:$C,3,0)</f>
      </c>
      <c r="D958">
        <v>1059</v>
      </c>
      <c r="E958" s="33">
        <f>B958&amp;D958</f>
      </c>
      <c r="F958" t="str">
        <v>Gội Combo 3 - Chăm da</v>
      </c>
      <c r="G958">
        <v>219000</v>
      </c>
    </row>
    <row r="959">
      <c r="A959">
        <v>196</v>
      </c>
      <c r="B959" s="33">
        <f>VLOOKUP(A959,'Cắt Gội'!$A:$C,3,0)</f>
      </c>
      <c r="D959">
        <v>1059</v>
      </c>
      <c r="E959" s="33">
        <f>B959&amp;D959</f>
      </c>
      <c r="F959" t="str">
        <v>Gội Combo 3 - Chăm da</v>
      </c>
      <c r="G959">
        <v>239000</v>
      </c>
    </row>
    <row r="960">
      <c r="A960">
        <v>196</v>
      </c>
      <c r="B960" s="33">
        <f>VLOOKUP(A960,'Cắt Gội'!$A:$C,3,0)</f>
      </c>
      <c r="D960">
        <v>1060</v>
      </c>
      <c r="E960" s="33">
        <f>B960&amp;D960</f>
      </c>
      <c r="F960" t="str">
        <v>Gội Combo 4</v>
      </c>
      <c r="G960">
        <v>289000</v>
      </c>
    </row>
    <row r="961">
      <c r="A961">
        <v>196</v>
      </c>
      <c r="B961" s="33">
        <f>VLOOKUP(A961,'Cắt Gội'!$A:$C,3,0)</f>
      </c>
      <c r="D961">
        <v>1060</v>
      </c>
      <c r="E961" s="33">
        <f>B961&amp;D961</f>
      </c>
      <c r="F961" t="str">
        <v>Gội Combo 4</v>
      </c>
      <c r="G961">
        <v>319000</v>
      </c>
    </row>
    <row r="962">
      <c r="A962">
        <v>196</v>
      </c>
      <c r="B962" s="33">
        <f>VLOOKUP(A962,'Cắt Gội'!$A:$C,3,0)</f>
      </c>
      <c r="D962">
        <v>867</v>
      </c>
      <c r="E962" s="33">
        <f>B962&amp;D962</f>
      </c>
      <c r="F962" t="str">
        <v>Gội dưỡng sinh cổ vai gáy</v>
      </c>
      <c r="G962">
        <v>95000</v>
      </c>
    </row>
    <row r="963">
      <c r="A963">
        <v>196</v>
      </c>
      <c r="B963" s="33">
        <f>VLOOKUP(A963,'Cắt Gội'!$A:$C,3,0)</f>
      </c>
      <c r="D963">
        <v>867</v>
      </c>
      <c r="E963" s="33">
        <f>B963&amp;D963</f>
      </c>
      <c r="F963" t="str">
        <v>Gội dưỡng sinh cổ vai gáy</v>
      </c>
      <c r="G963">
        <v>129000</v>
      </c>
    </row>
    <row r="964">
      <c r="A964">
        <v>196</v>
      </c>
      <c r="B964" s="33">
        <f>VLOOKUP(A964,'Cắt Gội'!$A:$C,3,0)</f>
      </c>
      <c r="D964">
        <v>1068</v>
      </c>
      <c r="E964" s="33">
        <f>B964&amp;D964</f>
      </c>
      <c r="F964" t="str">
        <v>Gội trải nghiệm 115p</v>
      </c>
      <c r="G964">
        <v>999000</v>
      </c>
    </row>
    <row r="965">
      <c r="A965">
        <v>196</v>
      </c>
      <c r="B965" s="33">
        <f>VLOOKUP(A965,'Cắt Gội'!$A:$C,3,0)</f>
      </c>
      <c r="D965">
        <v>1066</v>
      </c>
      <c r="E965" s="33">
        <f>B965&amp;D965</f>
      </c>
      <c r="F965" t="str">
        <v>Gội trải nghiệm 75p</v>
      </c>
      <c r="G965">
        <v>589000</v>
      </c>
    </row>
    <row r="966">
      <c r="A966">
        <v>196</v>
      </c>
      <c r="B966" s="33">
        <f>VLOOKUP(A966,'Cắt Gội'!$A:$C,3,0)</f>
      </c>
      <c r="D966">
        <v>1067</v>
      </c>
      <c r="E966" s="33">
        <f>B966&amp;D966</f>
      </c>
      <c r="F966" t="str">
        <v>Gội trải nghiệm 90p</v>
      </c>
      <c r="G966">
        <v>789000</v>
      </c>
    </row>
    <row r="967">
      <c r="A967">
        <v>196</v>
      </c>
      <c r="B967" s="33">
        <f>VLOOKUP(A967,'Cắt Gội'!$A:$C,3,0)</f>
      </c>
      <c r="D967">
        <v>940</v>
      </c>
      <c r="E967" s="33">
        <f>B967&amp;D967</f>
      </c>
      <c r="F967" t="str">
        <v>[NEW] Gội dưỡng sinh</v>
      </c>
      <c r="G967">
        <v>59000</v>
      </c>
    </row>
    <row r="968">
      <c r="A968">
        <v>197</v>
      </c>
      <c r="B968" s="33">
        <f>VLOOKUP(A968,'Cắt Gội'!$A:$C,3,0)</f>
      </c>
      <c r="D968">
        <v>1058</v>
      </c>
      <c r="E968" s="33">
        <f>B968&amp;D968</f>
      </c>
      <c r="F968" t="str">
        <v>Gội Combo 2</v>
      </c>
      <c r="G968">
        <v>159000</v>
      </c>
    </row>
    <row r="969">
      <c r="A969">
        <v>197</v>
      </c>
      <c r="B969" s="33">
        <f>VLOOKUP(A969,'Cắt Gội'!$A:$C,3,0)</f>
      </c>
      <c r="D969">
        <v>1059</v>
      </c>
      <c r="E969" s="33">
        <f>B969&amp;D969</f>
      </c>
      <c r="F969" t="str">
        <v>Gội Combo 3 - Chăm da</v>
      </c>
      <c r="G969">
        <v>239000</v>
      </c>
    </row>
    <row r="970">
      <c r="A970">
        <v>197</v>
      </c>
      <c r="B970" s="33">
        <f>VLOOKUP(A970,'Cắt Gội'!$A:$C,3,0)</f>
      </c>
      <c r="D970">
        <v>1059</v>
      </c>
      <c r="E970" s="33">
        <f>B970&amp;D970</f>
      </c>
      <c r="F970" t="str">
        <v>Gội Combo 3 - Chăm da</v>
      </c>
      <c r="G970">
        <v>219000</v>
      </c>
    </row>
    <row r="971">
      <c r="A971">
        <v>197</v>
      </c>
      <c r="B971" s="33">
        <f>VLOOKUP(A971,'Cắt Gội'!$A:$C,3,0)</f>
      </c>
      <c r="D971">
        <v>1060</v>
      </c>
      <c r="E971" s="33">
        <f>B971&amp;D971</f>
      </c>
      <c r="F971" t="str">
        <v>Gội Combo 4</v>
      </c>
      <c r="G971">
        <v>319000</v>
      </c>
    </row>
    <row r="972">
      <c r="A972">
        <v>197</v>
      </c>
      <c r="B972" s="33">
        <f>VLOOKUP(A972,'Cắt Gội'!$A:$C,3,0)</f>
      </c>
      <c r="D972">
        <v>1060</v>
      </c>
      <c r="E972" s="33">
        <f>B972&amp;D972</f>
      </c>
      <c r="F972" t="str">
        <v>Gội Combo 4</v>
      </c>
      <c r="G972">
        <v>289000</v>
      </c>
    </row>
    <row r="973">
      <c r="A973">
        <v>197</v>
      </c>
      <c r="B973" s="33">
        <f>VLOOKUP(A973,'Cắt Gội'!$A:$C,3,0)</f>
      </c>
      <c r="D973">
        <v>867</v>
      </c>
      <c r="E973" s="33">
        <f>B973&amp;D973</f>
      </c>
      <c r="F973" t="str">
        <v>Gội dưỡng sinh cổ vai gáy</v>
      </c>
      <c r="G973">
        <v>99000</v>
      </c>
    </row>
    <row r="974">
      <c r="A974">
        <v>197</v>
      </c>
      <c r="B974" s="33">
        <f>VLOOKUP(A974,'Cắt Gội'!$A:$C,3,0)</f>
      </c>
      <c r="D974">
        <v>1068</v>
      </c>
      <c r="E974" s="33">
        <f>B974&amp;D974</f>
      </c>
      <c r="F974" t="str">
        <v>Gội trải nghiệm 115p</v>
      </c>
      <c r="G974">
        <v>999000</v>
      </c>
    </row>
    <row r="975">
      <c r="A975">
        <v>197</v>
      </c>
      <c r="B975" s="33">
        <f>VLOOKUP(A975,'Cắt Gội'!$A:$C,3,0)</f>
      </c>
      <c r="D975">
        <v>1069</v>
      </c>
      <c r="E975" s="33">
        <f>B975&amp;D975</f>
      </c>
      <c r="F975" t="str">
        <v>Gội trải nghiệm 140p</v>
      </c>
      <c r="G975">
        <v>1199000</v>
      </c>
    </row>
    <row r="976">
      <c r="A976">
        <v>197</v>
      </c>
      <c r="B976" s="33">
        <f>VLOOKUP(A976,'Cắt Gội'!$A:$C,3,0)</f>
      </c>
      <c r="D976">
        <v>1066</v>
      </c>
      <c r="E976" s="33">
        <f>B976&amp;D976</f>
      </c>
      <c r="F976" t="str">
        <v>Gội trải nghiệm 75p</v>
      </c>
      <c r="G976">
        <v>589000</v>
      </c>
    </row>
    <row r="977">
      <c r="A977">
        <v>197</v>
      </c>
      <c r="B977" s="33">
        <f>VLOOKUP(A977,'Cắt Gội'!$A:$C,3,0)</f>
      </c>
      <c r="D977">
        <v>1067</v>
      </c>
      <c r="E977" s="33">
        <f>B977&amp;D977</f>
      </c>
      <c r="F977" t="str">
        <v>Gội trải nghiệm 90p</v>
      </c>
      <c r="G977">
        <v>789000</v>
      </c>
    </row>
    <row r="978">
      <c r="A978">
        <v>197</v>
      </c>
      <c r="B978" s="33">
        <f>VLOOKUP(A978,'Cắt Gội'!$A:$C,3,0)</f>
      </c>
      <c r="D978">
        <v>940</v>
      </c>
      <c r="E978" s="33">
        <f>B978&amp;D978</f>
      </c>
      <c r="F978" t="str">
        <v>[NEW] Gội dưỡng sinh</v>
      </c>
      <c r="G978">
        <v>59000</v>
      </c>
    </row>
    <row r="979">
      <c r="A979">
        <v>199</v>
      </c>
      <c r="B979" s="33">
        <f>VLOOKUP(A979,'Cắt Gội'!$A:$C,3,0)</f>
      </c>
      <c r="D979">
        <v>1058</v>
      </c>
      <c r="E979" s="33">
        <f>B979&amp;D979</f>
      </c>
      <c r="F979" t="str">
        <v>Gội Combo 2</v>
      </c>
      <c r="G979">
        <v>159000</v>
      </c>
    </row>
    <row r="980">
      <c r="A980">
        <v>199</v>
      </c>
      <c r="B980" s="33">
        <f>VLOOKUP(A980,'Cắt Gội'!$A:$C,3,0)</f>
      </c>
      <c r="D980">
        <v>1059</v>
      </c>
      <c r="E980" s="33">
        <f>B980&amp;D980</f>
      </c>
      <c r="F980" t="str">
        <v>Gội Combo 3 - Chăm da</v>
      </c>
      <c r="G980">
        <v>239000</v>
      </c>
    </row>
    <row r="981">
      <c r="A981">
        <v>199</v>
      </c>
      <c r="B981" s="33">
        <f>VLOOKUP(A981,'Cắt Gội'!$A:$C,3,0)</f>
      </c>
      <c r="D981">
        <v>1060</v>
      </c>
      <c r="E981" s="33">
        <f>B981&amp;D981</f>
      </c>
      <c r="F981" t="str">
        <v>Gội Combo 4</v>
      </c>
      <c r="G981">
        <v>289000</v>
      </c>
    </row>
    <row r="982">
      <c r="A982">
        <v>199</v>
      </c>
      <c r="B982" s="33">
        <f>VLOOKUP(A982,'Cắt Gội'!$A:$C,3,0)</f>
      </c>
      <c r="D982">
        <v>934</v>
      </c>
      <c r="E982" s="33">
        <f>B982&amp;D982</f>
      </c>
      <c r="F982" t="str">
        <v>Gội combo 3 - Dưỡng sinh</v>
      </c>
      <c r="G982">
        <v>229000</v>
      </c>
    </row>
    <row r="983">
      <c r="A983">
        <v>199</v>
      </c>
      <c r="B983" s="33">
        <f>VLOOKUP(A983,'Cắt Gội'!$A:$C,3,0)</f>
      </c>
      <c r="D983">
        <v>932</v>
      </c>
      <c r="E983" s="33">
        <f>B983&amp;D983</f>
      </c>
      <c r="F983" t="str">
        <v>Gội combo 5 dưỡng sinh</v>
      </c>
      <c r="G983">
        <v>399000</v>
      </c>
    </row>
    <row r="984">
      <c r="A984">
        <v>199</v>
      </c>
      <c r="B984" s="33">
        <f>VLOOKUP(A984,'Cắt Gội'!$A:$C,3,0)</f>
      </c>
      <c r="D984">
        <v>867</v>
      </c>
      <c r="E984" s="33">
        <f>B984&amp;D984</f>
      </c>
      <c r="F984" t="str">
        <v>Gội dưỡng sinh cổ vai gáy</v>
      </c>
      <c r="G984">
        <v>99000</v>
      </c>
    </row>
    <row r="985">
      <c r="A985">
        <v>199</v>
      </c>
      <c r="B985" s="33">
        <f>VLOOKUP(A985,'Cắt Gội'!$A:$C,3,0)</f>
      </c>
      <c r="D985">
        <v>940</v>
      </c>
      <c r="E985" s="33">
        <f>B985&amp;D985</f>
      </c>
      <c r="F985" t="str">
        <v>[NEW] Gội dưỡng sinh</v>
      </c>
      <c r="G985">
        <v>59000</v>
      </c>
    </row>
    <row r="986">
      <c r="A986">
        <v>200</v>
      </c>
      <c r="B986" s="33" t="str">
        <v>39 HBT</v>
      </c>
      <c r="D986">
        <v>1058</v>
      </c>
      <c r="E986" s="33">
        <f>B986&amp;D986</f>
      </c>
      <c r="F986" t="str">
        <v>Gội Combo 2</v>
      </c>
      <c r="G986">
        <v>159000</v>
      </c>
    </row>
    <row r="987">
      <c r="A987">
        <v>200</v>
      </c>
      <c r="B987" s="33" t="str">
        <v>39 HBT</v>
      </c>
      <c r="D987">
        <v>1059</v>
      </c>
      <c r="E987" s="33">
        <f>B987&amp;D987</f>
      </c>
      <c r="F987" t="str">
        <v>Gội Combo 3 - Chăm da</v>
      </c>
      <c r="G987">
        <v>219000</v>
      </c>
    </row>
    <row r="988">
      <c r="A988">
        <v>200</v>
      </c>
      <c r="B988" s="33" t="str">
        <v>39 HBT</v>
      </c>
      <c r="D988">
        <v>1059</v>
      </c>
      <c r="E988" s="33">
        <f>B988&amp;D988</f>
      </c>
      <c r="F988" t="str">
        <v>Gội Combo 3 - Chăm da</v>
      </c>
      <c r="G988">
        <v>239000</v>
      </c>
    </row>
    <row r="989">
      <c r="A989">
        <v>200</v>
      </c>
      <c r="B989" s="33" t="str">
        <v>39 HBT</v>
      </c>
      <c r="D989">
        <v>1060</v>
      </c>
      <c r="E989" s="33">
        <f>B989&amp;D989</f>
      </c>
      <c r="F989" t="str">
        <v>Gội Combo 4</v>
      </c>
      <c r="G989">
        <v>289000</v>
      </c>
    </row>
    <row r="990">
      <c r="A990">
        <v>200</v>
      </c>
      <c r="B990" s="33" t="str">
        <v>39 HBT</v>
      </c>
      <c r="D990">
        <v>1060</v>
      </c>
      <c r="E990" s="33">
        <f>B990&amp;D990</f>
      </c>
      <c r="F990" t="str">
        <v>Gội Combo 4</v>
      </c>
      <c r="G990">
        <v>319000</v>
      </c>
    </row>
    <row r="991">
      <c r="A991">
        <v>200</v>
      </c>
      <c r="B991" s="33" t="str">
        <v>39 HBT</v>
      </c>
      <c r="D991">
        <v>867</v>
      </c>
      <c r="E991" s="33">
        <f>B991&amp;D991</f>
      </c>
      <c r="F991" t="str">
        <v>Gội dưỡng sinh cổ vai gáy</v>
      </c>
      <c r="G991">
        <v>95000</v>
      </c>
    </row>
    <row r="992">
      <c r="A992">
        <v>200</v>
      </c>
      <c r="B992" s="33" t="str">
        <v>39 HBT</v>
      </c>
      <c r="D992">
        <v>867</v>
      </c>
      <c r="E992" s="33">
        <f>B992&amp;D992</f>
      </c>
      <c r="F992" t="str">
        <v>Gội dưỡng sinh cổ vai gáy</v>
      </c>
      <c r="G992">
        <v>99000</v>
      </c>
    </row>
    <row r="993">
      <c r="A993">
        <v>200</v>
      </c>
      <c r="B993" s="33" t="str">
        <v>39 HBT</v>
      </c>
      <c r="D993">
        <v>1068</v>
      </c>
      <c r="E993" s="33">
        <f>B993&amp;D993</f>
      </c>
      <c r="F993" t="str">
        <v>Gội trải nghiệm 115p</v>
      </c>
      <c r="G993">
        <v>999000</v>
      </c>
    </row>
    <row r="994">
      <c r="A994">
        <v>200</v>
      </c>
      <c r="B994" s="33" t="str">
        <v>39 HBT</v>
      </c>
      <c r="D994">
        <v>1069</v>
      </c>
      <c r="E994" s="33">
        <f>B994&amp;D994</f>
      </c>
      <c r="F994" t="str">
        <v>Gội trải nghiệm 140p</v>
      </c>
      <c r="G994">
        <v>1199000</v>
      </c>
    </row>
    <row r="995">
      <c r="A995">
        <v>200</v>
      </c>
      <c r="B995" s="33" t="str">
        <v>39 HBT</v>
      </c>
      <c r="D995">
        <v>1066</v>
      </c>
      <c r="E995" s="33">
        <f>B995&amp;D995</f>
      </c>
      <c r="F995" t="str">
        <v>Gội trải nghiệm 75p</v>
      </c>
      <c r="G995">
        <v>589000</v>
      </c>
    </row>
    <row r="996">
      <c r="A996">
        <v>200</v>
      </c>
      <c r="B996" s="33" t="str">
        <v>39 HBT</v>
      </c>
      <c r="D996">
        <v>1067</v>
      </c>
      <c r="E996" s="33">
        <f>B996&amp;D996</f>
      </c>
      <c r="F996" t="str">
        <v>Gội trải nghiệm 90p</v>
      </c>
      <c r="G996">
        <v>789000</v>
      </c>
    </row>
    <row r="997">
      <c r="A997">
        <v>200</v>
      </c>
      <c r="B997" s="33" t="str">
        <v>39 HBT</v>
      </c>
      <c r="D997">
        <v>940</v>
      </c>
      <c r="E997" s="33">
        <f>B997&amp;D997</f>
      </c>
      <c r="F997" t="str">
        <v>[NEW] Gội dưỡng sinh</v>
      </c>
      <c r="G997">
        <v>59000</v>
      </c>
    </row>
    <row r="998">
      <c r="A998">
        <v>201</v>
      </c>
      <c r="B998" s="33" t="str">
        <v>4 LQD BN</v>
      </c>
      <c r="D998">
        <v>1058</v>
      </c>
      <c r="E998" s="33">
        <f>B998&amp;D998</f>
      </c>
      <c r="F998" t="str">
        <v>Gội Combo 2</v>
      </c>
      <c r="G998">
        <v>159000</v>
      </c>
    </row>
    <row r="999">
      <c r="A999">
        <v>201</v>
      </c>
      <c r="B999" s="33" t="str">
        <v>4 LQD BN</v>
      </c>
      <c r="D999">
        <v>1059</v>
      </c>
      <c r="E999" s="33">
        <f>B999&amp;D999</f>
      </c>
      <c r="F999" t="str">
        <v>Gội Combo 3 - Chăm da</v>
      </c>
      <c r="G999">
        <v>239000</v>
      </c>
    </row>
    <row r="1000">
      <c r="A1000">
        <v>201</v>
      </c>
      <c r="B1000" s="33" t="str">
        <v>4 LQD BN</v>
      </c>
      <c r="D1000">
        <v>1059</v>
      </c>
      <c r="E1000" s="33">
        <f>B1000&amp;D1000</f>
      </c>
      <c r="F1000" t="str">
        <v>Gội Combo 3 - Chăm da</v>
      </c>
      <c r="G1000">
        <v>219000</v>
      </c>
    </row>
    <row r="1001">
      <c r="A1001">
        <v>201</v>
      </c>
      <c r="B1001" s="33" t="str">
        <v>4 LQD BN</v>
      </c>
      <c r="D1001">
        <v>1060</v>
      </c>
      <c r="E1001" s="33">
        <f>B1001&amp;D1001</f>
      </c>
      <c r="F1001" t="str">
        <v>Gội Combo 4</v>
      </c>
      <c r="G1001">
        <v>289000</v>
      </c>
    </row>
    <row r="1002">
      <c r="A1002">
        <v>201</v>
      </c>
      <c r="B1002" s="33" t="str">
        <v>4 LQD BN</v>
      </c>
      <c r="D1002">
        <v>867</v>
      </c>
      <c r="E1002" s="33">
        <f>B1002&amp;D1002</f>
      </c>
      <c r="F1002" t="str">
        <v>Gội dưỡng sinh cổ vai gáy</v>
      </c>
      <c r="G1002">
        <v>95000</v>
      </c>
    </row>
    <row r="1003">
      <c r="A1003">
        <v>201</v>
      </c>
      <c r="B1003" s="33" t="str">
        <v>4 LQD BN</v>
      </c>
      <c r="D1003">
        <v>867</v>
      </c>
      <c r="E1003" s="33">
        <f>B1003&amp;D1003</f>
      </c>
      <c r="F1003" t="str">
        <v>Gội dưỡng sinh cổ vai gáy</v>
      </c>
      <c r="G1003">
        <v>99000</v>
      </c>
    </row>
    <row r="1004">
      <c r="A1004">
        <v>201</v>
      </c>
      <c r="B1004" s="33" t="str">
        <v>4 LQD BN</v>
      </c>
      <c r="D1004">
        <v>940</v>
      </c>
      <c r="E1004" s="33">
        <f>B1004&amp;D1004</f>
      </c>
      <c r="F1004" t="str">
        <v>[NEW] Gội dưỡng sinh</v>
      </c>
      <c r="G1004">
        <v>59000</v>
      </c>
    </row>
    <row r="1005">
      <c r="A1005">
        <v>204</v>
      </c>
      <c r="B1005" s="33">
        <f>VLOOKUP(A1005,'Cắt Gội'!$A:$C,3,0)</f>
      </c>
      <c r="D1005">
        <v>1058</v>
      </c>
      <c r="E1005" s="33">
        <f>B1005&amp;D1005</f>
      </c>
      <c r="F1005" t="str">
        <v>Gội Combo 2</v>
      </c>
      <c r="G1005">
        <v>159000</v>
      </c>
    </row>
    <row r="1006">
      <c r="A1006">
        <v>204</v>
      </c>
      <c r="B1006" s="33">
        <f>VLOOKUP(A1006,'Cắt Gội'!$A:$C,3,0)</f>
      </c>
      <c r="D1006">
        <v>1059</v>
      </c>
      <c r="E1006" s="33">
        <f>B1006&amp;D1006</f>
      </c>
      <c r="F1006" t="str">
        <v>Gội Combo 3 - Chăm da</v>
      </c>
      <c r="G1006">
        <v>239000</v>
      </c>
    </row>
    <row r="1007">
      <c r="A1007">
        <v>204</v>
      </c>
      <c r="B1007" s="33">
        <f>VLOOKUP(A1007,'Cắt Gội'!$A:$C,3,0)</f>
      </c>
      <c r="D1007">
        <v>1060</v>
      </c>
      <c r="E1007" s="33">
        <f>B1007&amp;D1007</f>
      </c>
      <c r="F1007" t="str">
        <v>Gội Combo 4</v>
      </c>
      <c r="G1007">
        <v>289000</v>
      </c>
    </row>
    <row r="1008">
      <c r="A1008">
        <v>204</v>
      </c>
      <c r="B1008" s="33">
        <f>VLOOKUP(A1008,'Cắt Gội'!$A:$C,3,0)</f>
      </c>
      <c r="D1008">
        <v>1060</v>
      </c>
      <c r="E1008" s="33">
        <f>B1008&amp;D1008</f>
      </c>
      <c r="F1008" t="str">
        <v>Gội Combo 4</v>
      </c>
      <c r="G1008">
        <v>319000</v>
      </c>
    </row>
    <row r="1009">
      <c r="A1009">
        <v>204</v>
      </c>
      <c r="B1009" s="33">
        <f>VLOOKUP(A1009,'Cắt Gội'!$A:$C,3,0)</f>
      </c>
      <c r="D1009">
        <v>934</v>
      </c>
      <c r="E1009" s="33">
        <f>B1009&amp;D1009</f>
      </c>
      <c r="F1009" t="str">
        <v>Gội combo 3 - Dưỡng sinh</v>
      </c>
      <c r="G1009">
        <v>229000</v>
      </c>
    </row>
    <row r="1010">
      <c r="A1010">
        <v>204</v>
      </c>
      <c r="B1010" s="33">
        <f>VLOOKUP(A1010,'Cắt Gội'!$A:$C,3,0)</f>
      </c>
      <c r="D1010">
        <v>867</v>
      </c>
      <c r="E1010" s="33">
        <f>B1010&amp;D1010</f>
      </c>
      <c r="F1010" t="str">
        <v>Gội dưỡng sinh cổ vai gáy</v>
      </c>
      <c r="G1010">
        <v>99000</v>
      </c>
    </row>
    <row r="1011">
      <c r="A1011">
        <v>204</v>
      </c>
      <c r="B1011" s="33">
        <f>VLOOKUP(A1011,'Cắt Gội'!$A:$C,3,0)</f>
      </c>
      <c r="D1011">
        <v>867</v>
      </c>
      <c r="E1011" s="33">
        <f>B1011&amp;D1011</f>
      </c>
      <c r="F1011" t="str">
        <v>Gội dưỡng sinh cổ vai gáy</v>
      </c>
      <c r="G1011">
        <v>95000</v>
      </c>
    </row>
    <row r="1012">
      <c r="A1012">
        <v>204</v>
      </c>
      <c r="B1012" s="33">
        <f>VLOOKUP(A1012,'Cắt Gội'!$A:$C,3,0)</f>
      </c>
      <c r="D1012">
        <v>940</v>
      </c>
      <c r="E1012" s="33">
        <f>B1012&amp;D1012</f>
      </c>
      <c r="F1012" t="str">
        <v>[NEW] Gội dưỡng sinh</v>
      </c>
      <c r="G1012">
        <v>59000</v>
      </c>
    </row>
    <row r="1013">
      <c r="A1013">
        <v>204</v>
      </c>
      <c r="B1013" s="33">
        <f>VLOOKUP(A1013,'Cắt Gội'!$A:$C,3,0)</f>
      </c>
      <c r="D1013">
        <v>940</v>
      </c>
      <c r="E1013" s="33">
        <f>B1013&amp;D1013</f>
      </c>
      <c r="F1013" t="str">
        <v>[NEW] Gội dưỡng sinh</v>
      </c>
      <c r="G1013">
        <v>50000</v>
      </c>
    </row>
    <row r="1014">
      <c r="A1014">
        <v>205</v>
      </c>
      <c r="B1014" s="33">
        <f>VLOOKUP(A1014,'Cắt Gội'!$A:$C,3,0)</f>
      </c>
      <c r="D1014">
        <v>1058</v>
      </c>
      <c r="E1014" s="33">
        <f>B1014&amp;D1014</f>
      </c>
      <c r="F1014" t="str">
        <v>Gội Combo 2</v>
      </c>
      <c r="G1014">
        <v>159000</v>
      </c>
    </row>
    <row r="1015">
      <c r="A1015">
        <v>205</v>
      </c>
      <c r="B1015" s="33">
        <f>VLOOKUP(A1015,'Cắt Gội'!$A:$C,3,0)</f>
      </c>
      <c r="D1015">
        <v>1059</v>
      </c>
      <c r="E1015" s="33">
        <f>B1015&amp;D1015</f>
      </c>
      <c r="F1015" t="str">
        <v>Gội Combo 3 - Chăm da</v>
      </c>
      <c r="G1015">
        <v>219000</v>
      </c>
    </row>
    <row r="1016">
      <c r="A1016">
        <v>205</v>
      </c>
      <c r="B1016" s="33">
        <f>VLOOKUP(A1016,'Cắt Gội'!$A:$C,3,0)</f>
      </c>
      <c r="D1016">
        <v>1059</v>
      </c>
      <c r="E1016" s="33">
        <f>B1016&amp;D1016</f>
      </c>
      <c r="F1016" t="str">
        <v>Gội Combo 3 - Chăm da</v>
      </c>
      <c r="G1016">
        <v>239000</v>
      </c>
    </row>
    <row r="1017">
      <c r="A1017">
        <v>205</v>
      </c>
      <c r="B1017" s="33">
        <f>VLOOKUP(A1017,'Cắt Gội'!$A:$C,3,0)</f>
      </c>
      <c r="D1017">
        <v>1060</v>
      </c>
      <c r="E1017" s="33">
        <f>B1017&amp;D1017</f>
      </c>
      <c r="F1017" t="str">
        <v>Gội Combo 4</v>
      </c>
      <c r="G1017">
        <v>289000</v>
      </c>
    </row>
    <row r="1018">
      <c r="A1018">
        <v>205</v>
      </c>
      <c r="B1018" s="33">
        <f>VLOOKUP(A1018,'Cắt Gội'!$A:$C,3,0)</f>
      </c>
      <c r="D1018">
        <v>1060</v>
      </c>
      <c r="E1018" s="33">
        <f>B1018&amp;D1018</f>
      </c>
      <c r="F1018" t="str">
        <v>Gội Combo 4</v>
      </c>
      <c r="G1018">
        <v>319000</v>
      </c>
    </row>
    <row r="1019">
      <c r="A1019">
        <v>205</v>
      </c>
      <c r="B1019" s="33">
        <f>VLOOKUP(A1019,'Cắt Gội'!$A:$C,3,0)</f>
      </c>
      <c r="D1019">
        <v>934</v>
      </c>
      <c r="E1019" s="33">
        <f>B1019&amp;D1019</f>
      </c>
      <c r="F1019" t="str">
        <v>Gội combo 3 - Dưỡng sinh</v>
      </c>
      <c r="G1019">
        <v>229000</v>
      </c>
    </row>
    <row r="1020">
      <c r="A1020">
        <v>205</v>
      </c>
      <c r="B1020" s="33">
        <f>VLOOKUP(A1020,'Cắt Gội'!$A:$C,3,0)</f>
      </c>
      <c r="D1020">
        <v>867</v>
      </c>
      <c r="E1020" s="33">
        <f>B1020&amp;D1020</f>
      </c>
      <c r="F1020" t="str">
        <v>Gội dưỡng sinh cổ vai gáy</v>
      </c>
      <c r="G1020">
        <v>99000</v>
      </c>
    </row>
    <row r="1021">
      <c r="A1021">
        <v>205</v>
      </c>
      <c r="B1021" s="33">
        <f>VLOOKUP(A1021,'Cắt Gội'!$A:$C,3,0)</f>
      </c>
      <c r="D1021">
        <v>867</v>
      </c>
      <c r="E1021" s="33">
        <f>B1021&amp;D1021</f>
      </c>
      <c r="F1021" t="str">
        <v>Gội dưỡng sinh cổ vai gáy</v>
      </c>
      <c r="G1021">
        <v>95000</v>
      </c>
    </row>
    <row r="1022">
      <c r="A1022">
        <v>205</v>
      </c>
      <c r="B1022" s="33">
        <f>VLOOKUP(A1022,'Cắt Gội'!$A:$C,3,0)</f>
      </c>
      <c r="D1022">
        <v>940</v>
      </c>
      <c r="E1022" s="33">
        <f>B1022&amp;D1022</f>
      </c>
      <c r="F1022" t="str">
        <v>[NEW] Gội dưỡng sinh</v>
      </c>
      <c r="G1022">
        <v>59000</v>
      </c>
    </row>
    <row r="1023">
      <c r="A1023">
        <v>205</v>
      </c>
      <c r="B1023" s="33">
        <f>VLOOKUP(A1023,'Cắt Gội'!$A:$C,3,0)</f>
      </c>
      <c r="D1023">
        <v>940</v>
      </c>
      <c r="E1023" s="33">
        <f>B1023&amp;D1023</f>
      </c>
      <c r="F1023" t="str">
        <v>[NEW] Gội dưỡng sinh</v>
      </c>
      <c r="G1023">
        <v>50000</v>
      </c>
    </row>
    <row r="1024">
      <c r="A1024">
        <v>210</v>
      </c>
      <c r="B1024" s="33">
        <f>VLOOKUP(A1024,'Cắt Gội'!$A:$C,3,0)</f>
      </c>
      <c r="D1024">
        <v>1058</v>
      </c>
      <c r="E1024" s="33">
        <f>B1024&amp;D1024</f>
      </c>
      <c r="F1024" t="str">
        <v>Gội Combo 2</v>
      </c>
      <c r="G1024">
        <v>159000</v>
      </c>
    </row>
    <row r="1025">
      <c r="A1025">
        <v>210</v>
      </c>
      <c r="B1025" s="33">
        <f>VLOOKUP(A1025,'Cắt Gội'!$A:$C,3,0)</f>
      </c>
      <c r="D1025">
        <v>1059</v>
      </c>
      <c r="E1025" s="33">
        <f>B1025&amp;D1025</f>
      </c>
      <c r="F1025" t="str">
        <v>Gội Combo 3 - Chăm da</v>
      </c>
      <c r="G1025">
        <v>239000</v>
      </c>
    </row>
    <row r="1026">
      <c r="A1026">
        <v>210</v>
      </c>
      <c r="B1026" s="33">
        <f>VLOOKUP(A1026,'Cắt Gội'!$A:$C,3,0)</f>
      </c>
      <c r="D1026">
        <v>1060</v>
      </c>
      <c r="E1026" s="33">
        <f>B1026&amp;D1026</f>
      </c>
      <c r="F1026" t="str">
        <v>Gội Combo 4</v>
      </c>
      <c r="G1026">
        <v>319000</v>
      </c>
    </row>
    <row r="1027">
      <c r="A1027">
        <v>210</v>
      </c>
      <c r="B1027" s="33">
        <f>VLOOKUP(A1027,'Cắt Gội'!$A:$C,3,0)</f>
      </c>
      <c r="D1027">
        <v>1060</v>
      </c>
      <c r="E1027" s="33">
        <f>B1027&amp;D1027</f>
      </c>
      <c r="F1027" t="str">
        <v>Gội Combo 4</v>
      </c>
      <c r="G1027">
        <v>289000</v>
      </c>
    </row>
    <row r="1028">
      <c r="A1028">
        <v>210</v>
      </c>
      <c r="B1028" s="33">
        <f>VLOOKUP(A1028,'Cắt Gội'!$A:$C,3,0)</f>
      </c>
      <c r="D1028">
        <v>867</v>
      </c>
      <c r="E1028" s="33">
        <f>B1028&amp;D1028</f>
      </c>
      <c r="F1028" t="str">
        <v>Gội dưỡng sinh cổ vai gáy</v>
      </c>
      <c r="G1028">
        <v>99000</v>
      </c>
    </row>
    <row r="1029">
      <c r="A1029">
        <v>210</v>
      </c>
      <c r="B1029" s="33">
        <f>VLOOKUP(A1029,'Cắt Gội'!$A:$C,3,0)</f>
      </c>
      <c r="D1029">
        <v>867</v>
      </c>
      <c r="E1029" s="33">
        <f>B1029&amp;D1029</f>
      </c>
      <c r="F1029" t="str">
        <v>Gội dưỡng sinh cổ vai gáy</v>
      </c>
      <c r="G1029">
        <v>95000</v>
      </c>
    </row>
    <row r="1030">
      <c r="A1030">
        <v>210</v>
      </c>
      <c r="B1030" s="33">
        <f>VLOOKUP(A1030,'Cắt Gội'!$A:$C,3,0)</f>
      </c>
      <c r="D1030">
        <v>1066</v>
      </c>
      <c r="E1030" s="33">
        <f>B1030&amp;D1030</f>
      </c>
      <c r="F1030" t="str">
        <v>Gội trải nghiệm 75p</v>
      </c>
      <c r="G1030">
        <v>589000</v>
      </c>
    </row>
    <row r="1031">
      <c r="A1031">
        <v>210</v>
      </c>
      <c r="B1031" s="33">
        <f>VLOOKUP(A1031,'Cắt Gội'!$A:$C,3,0)</f>
      </c>
      <c r="D1031">
        <v>940</v>
      </c>
      <c r="E1031" s="33">
        <f>B1031&amp;D1031</f>
      </c>
      <c r="F1031" t="str">
        <v>[NEW] Gội dưỡng sinh</v>
      </c>
      <c r="G1031">
        <v>59000</v>
      </c>
    </row>
    <row r="1032">
      <c r="A1032">
        <v>212</v>
      </c>
      <c r="B1032" s="33">
        <f>VLOOKUP(A1032,'Cắt Gội'!$A:$C,3,0)</f>
      </c>
      <c r="D1032">
        <v>1058</v>
      </c>
      <c r="E1032" s="33">
        <f>B1032&amp;D1032</f>
      </c>
      <c r="F1032" t="str">
        <v>Gội Combo 2</v>
      </c>
      <c r="G1032">
        <v>159000</v>
      </c>
    </row>
    <row r="1033">
      <c r="A1033">
        <v>212</v>
      </c>
      <c r="B1033" s="33">
        <f>VLOOKUP(A1033,'Cắt Gội'!$A:$C,3,0)</f>
      </c>
      <c r="D1033">
        <v>1059</v>
      </c>
      <c r="E1033" s="33">
        <f>B1033&amp;D1033</f>
      </c>
      <c r="F1033" t="str">
        <v>Gội Combo 3 - Chăm da</v>
      </c>
      <c r="G1033">
        <v>219000</v>
      </c>
    </row>
    <row r="1034">
      <c r="A1034">
        <v>212</v>
      </c>
      <c r="B1034" s="33">
        <f>VLOOKUP(A1034,'Cắt Gội'!$A:$C,3,0)</f>
      </c>
      <c r="D1034">
        <v>1060</v>
      </c>
      <c r="E1034" s="33">
        <f>B1034&amp;D1034</f>
      </c>
      <c r="F1034" t="str">
        <v>Gội Combo 4</v>
      </c>
      <c r="G1034">
        <v>289000</v>
      </c>
    </row>
    <row r="1035">
      <c r="A1035">
        <v>212</v>
      </c>
      <c r="B1035" s="33">
        <f>VLOOKUP(A1035,'Cắt Gội'!$A:$C,3,0)</f>
      </c>
      <c r="D1035">
        <v>934</v>
      </c>
      <c r="E1035" s="33">
        <f>B1035&amp;D1035</f>
      </c>
      <c r="F1035" t="str">
        <v>Gội combo 3 - Dưỡng sinh</v>
      </c>
      <c r="G1035">
        <v>229000</v>
      </c>
    </row>
    <row r="1036">
      <c r="A1036">
        <v>212</v>
      </c>
      <c r="B1036" s="33">
        <f>VLOOKUP(A1036,'Cắt Gội'!$A:$C,3,0)</f>
      </c>
      <c r="D1036">
        <v>867</v>
      </c>
      <c r="E1036" s="33">
        <f>B1036&amp;D1036</f>
      </c>
      <c r="F1036" t="str">
        <v>Gội dưỡng sinh cổ vai gáy</v>
      </c>
      <c r="G1036">
        <v>99000</v>
      </c>
    </row>
    <row r="1037">
      <c r="A1037">
        <v>212</v>
      </c>
      <c r="B1037" s="33">
        <f>VLOOKUP(A1037,'Cắt Gội'!$A:$C,3,0)</f>
      </c>
      <c r="D1037">
        <v>867</v>
      </c>
      <c r="E1037" s="33">
        <f>B1037&amp;D1037</f>
      </c>
      <c r="F1037" t="str">
        <v>Gội dưỡng sinh cổ vai gáy</v>
      </c>
      <c r="G1037">
        <v>95000</v>
      </c>
    </row>
    <row r="1038">
      <c r="A1038">
        <v>212</v>
      </c>
      <c r="B1038" s="33">
        <f>VLOOKUP(A1038,'Cắt Gội'!$A:$C,3,0)</f>
      </c>
      <c r="D1038">
        <v>1255</v>
      </c>
      <c r="E1038" s="33">
        <f>B1038&amp;D1038</f>
      </c>
      <c r="F1038" t="str">
        <v>VH Cắt gội dưỡng sinh Vip</v>
      </c>
      <c r="G1038">
        <v>249000</v>
      </c>
    </row>
    <row r="1039">
      <c r="A1039">
        <v>212</v>
      </c>
      <c r="B1039" s="33">
        <f>VLOOKUP(A1039,'Cắt Gội'!$A:$C,3,0)</f>
      </c>
      <c r="D1039">
        <v>1256</v>
      </c>
      <c r="E1039" s="33">
        <f>B1039&amp;D1039</f>
      </c>
      <c r="F1039" t="str">
        <v>VH Cắt gội dưỡng sinh Vip LRT</v>
      </c>
      <c r="G1039">
        <v>299000</v>
      </c>
    </row>
    <row r="1040">
      <c r="A1040">
        <v>212</v>
      </c>
      <c r="B1040" s="33">
        <f>VLOOKUP(A1040,'Cắt Gội'!$A:$C,3,0)</f>
      </c>
      <c r="D1040">
        <v>940</v>
      </c>
      <c r="E1040" s="33">
        <f>B1040&amp;D1040</f>
      </c>
      <c r="F1040" t="str">
        <v>[NEW] Gội dưỡng sinh</v>
      </c>
      <c r="G1040">
        <v>59000</v>
      </c>
    </row>
    <row r="1041">
      <c r="A1041">
        <v>217</v>
      </c>
      <c r="B1041" s="33">
        <f>VLOOKUP(A1041,'Cắt Gội'!$A:$C,3,0)</f>
      </c>
      <c r="D1041">
        <v>1058</v>
      </c>
      <c r="E1041" s="33">
        <f>B1041&amp;D1041</f>
      </c>
      <c r="F1041" t="str">
        <v>Gội Combo 2</v>
      </c>
      <c r="G1041">
        <v>159000</v>
      </c>
    </row>
    <row r="1042">
      <c r="A1042">
        <v>217</v>
      </c>
      <c r="B1042" s="33">
        <f>VLOOKUP(A1042,'Cắt Gội'!$A:$C,3,0)</f>
      </c>
      <c r="D1042">
        <v>1059</v>
      </c>
      <c r="E1042" s="33">
        <f>B1042&amp;D1042</f>
      </c>
      <c r="F1042" t="str">
        <v>Gội Combo 3 - Chăm da</v>
      </c>
      <c r="G1042">
        <v>219000</v>
      </c>
    </row>
    <row r="1043">
      <c r="A1043">
        <v>217</v>
      </c>
      <c r="B1043" s="33">
        <f>VLOOKUP(A1043,'Cắt Gội'!$A:$C,3,0)</f>
      </c>
      <c r="D1043">
        <v>1059</v>
      </c>
      <c r="E1043" s="33">
        <f>B1043&amp;D1043</f>
      </c>
      <c r="F1043" t="str">
        <v>Gội Combo 3 - Chăm da</v>
      </c>
      <c r="G1043">
        <v>239000</v>
      </c>
    </row>
    <row r="1044">
      <c r="A1044">
        <v>217</v>
      </c>
      <c r="B1044" s="33">
        <f>VLOOKUP(A1044,'Cắt Gội'!$A:$C,3,0)</f>
      </c>
      <c r="D1044">
        <v>1060</v>
      </c>
      <c r="E1044" s="33">
        <f>B1044&amp;D1044</f>
      </c>
      <c r="F1044" t="str">
        <v>Gội Combo 4</v>
      </c>
      <c r="G1044">
        <v>289000</v>
      </c>
    </row>
    <row r="1045">
      <c r="A1045">
        <v>217</v>
      </c>
      <c r="B1045" s="33">
        <f>VLOOKUP(A1045,'Cắt Gội'!$A:$C,3,0)</f>
      </c>
      <c r="D1045">
        <v>934</v>
      </c>
      <c r="E1045" s="33">
        <f>B1045&amp;D1045</f>
      </c>
      <c r="F1045" t="str">
        <v>Gội combo 3 - Dưỡng sinh</v>
      </c>
      <c r="G1045">
        <v>229000</v>
      </c>
    </row>
    <row r="1046">
      <c r="A1046">
        <v>217</v>
      </c>
      <c r="B1046" s="33">
        <f>VLOOKUP(A1046,'Cắt Gội'!$A:$C,3,0)</f>
      </c>
      <c r="D1046">
        <v>867</v>
      </c>
      <c r="E1046" s="33">
        <f>B1046&amp;D1046</f>
      </c>
      <c r="F1046" t="str">
        <v>Gội dưỡng sinh cổ vai gáy</v>
      </c>
      <c r="G1046">
        <v>99000</v>
      </c>
    </row>
    <row r="1047">
      <c r="A1047">
        <v>217</v>
      </c>
      <c r="B1047" s="33">
        <f>VLOOKUP(A1047,'Cắt Gội'!$A:$C,3,0)</f>
      </c>
      <c r="D1047">
        <v>940</v>
      </c>
      <c r="E1047" s="33">
        <f>B1047&amp;D1047</f>
      </c>
      <c r="F1047" t="str">
        <v>[NEW] Gội dưỡng sinh</v>
      </c>
      <c r="G1047">
        <v>59000</v>
      </c>
    </row>
    <row r="1048">
      <c r="A1048">
        <v>228</v>
      </c>
      <c r="B1048" s="33">
        <f>VLOOKUP(A1048,'Cắt Gội'!$A:$C,3,0)</f>
      </c>
      <c r="D1048">
        <v>1058</v>
      </c>
      <c r="E1048" s="33">
        <f>B1048&amp;D1048</f>
      </c>
      <c r="F1048" t="str">
        <v>Gội Combo 2</v>
      </c>
      <c r="G1048">
        <v>159000</v>
      </c>
    </row>
    <row r="1049">
      <c r="A1049">
        <v>228</v>
      </c>
      <c r="B1049" s="33">
        <f>VLOOKUP(A1049,'Cắt Gội'!$A:$C,3,0)</f>
      </c>
      <c r="D1049">
        <v>1059</v>
      </c>
      <c r="E1049" s="33">
        <f>B1049&amp;D1049</f>
      </c>
      <c r="F1049" t="str">
        <v>Gội Combo 3 - Chăm da</v>
      </c>
      <c r="G1049">
        <v>239000</v>
      </c>
    </row>
    <row r="1050">
      <c r="A1050">
        <v>228</v>
      </c>
      <c r="B1050" s="33">
        <f>VLOOKUP(A1050,'Cắt Gội'!$A:$C,3,0)</f>
      </c>
      <c r="D1050">
        <v>1059</v>
      </c>
      <c r="E1050" s="33">
        <f>B1050&amp;D1050</f>
      </c>
      <c r="F1050" t="str">
        <v>Gội Combo 3 - Chăm da</v>
      </c>
      <c r="G1050">
        <v>219000</v>
      </c>
    </row>
    <row r="1051">
      <c r="A1051">
        <v>228</v>
      </c>
      <c r="B1051" s="33">
        <f>VLOOKUP(A1051,'Cắt Gội'!$A:$C,3,0)</f>
      </c>
      <c r="D1051">
        <v>1060</v>
      </c>
      <c r="E1051" s="33">
        <f>B1051&amp;D1051</f>
      </c>
      <c r="F1051" t="str">
        <v>Gội Combo 4</v>
      </c>
      <c r="G1051">
        <v>289000</v>
      </c>
    </row>
    <row r="1052">
      <c r="A1052">
        <v>228</v>
      </c>
      <c r="B1052" s="33">
        <f>VLOOKUP(A1052,'Cắt Gội'!$A:$C,3,0)</f>
      </c>
      <c r="D1052">
        <v>1060</v>
      </c>
      <c r="E1052" s="33">
        <f>B1052&amp;D1052</f>
      </c>
      <c r="F1052" t="str">
        <v>Gội Combo 4</v>
      </c>
      <c r="G1052">
        <v>319000</v>
      </c>
    </row>
    <row r="1053">
      <c r="A1053">
        <v>228</v>
      </c>
      <c r="B1053" s="33">
        <f>VLOOKUP(A1053,'Cắt Gội'!$A:$C,3,0)</f>
      </c>
      <c r="D1053">
        <v>867</v>
      </c>
      <c r="E1053" s="33">
        <f>B1053&amp;D1053</f>
      </c>
      <c r="F1053" t="str">
        <v>Gội dưỡng sinh cổ vai gáy</v>
      </c>
      <c r="G1053">
        <v>95000</v>
      </c>
    </row>
    <row r="1054">
      <c r="A1054">
        <v>228</v>
      </c>
      <c r="B1054" s="33">
        <f>VLOOKUP(A1054,'Cắt Gội'!$A:$C,3,0)</f>
      </c>
      <c r="D1054">
        <v>867</v>
      </c>
      <c r="E1054" s="33">
        <f>B1054&amp;D1054</f>
      </c>
      <c r="F1054" t="str">
        <v>Gội dưỡng sinh cổ vai gáy</v>
      </c>
      <c r="G1054">
        <v>99000</v>
      </c>
    </row>
    <row r="1055">
      <c r="A1055">
        <v>228</v>
      </c>
      <c r="B1055" s="33">
        <f>VLOOKUP(A1055,'Cắt Gội'!$A:$C,3,0)</f>
      </c>
      <c r="D1055">
        <v>1068</v>
      </c>
      <c r="E1055" s="33">
        <f>B1055&amp;D1055</f>
      </c>
      <c r="F1055" t="str">
        <v>Gội trải nghiệm 115p</v>
      </c>
      <c r="G1055">
        <v>999000</v>
      </c>
    </row>
    <row r="1056">
      <c r="A1056">
        <v>228</v>
      </c>
      <c r="B1056" s="33">
        <f>VLOOKUP(A1056,'Cắt Gội'!$A:$C,3,0)</f>
      </c>
      <c r="D1056">
        <v>1066</v>
      </c>
      <c r="E1056" s="33">
        <f>B1056&amp;D1056</f>
      </c>
      <c r="F1056" t="str">
        <v>Gội trải nghiệm 75p</v>
      </c>
      <c r="G1056">
        <v>589000</v>
      </c>
    </row>
    <row r="1057">
      <c r="A1057">
        <v>228</v>
      </c>
      <c r="B1057" s="33">
        <f>VLOOKUP(A1057,'Cắt Gội'!$A:$C,3,0)</f>
      </c>
      <c r="D1057">
        <v>1067</v>
      </c>
      <c r="E1057" s="33">
        <f>B1057&amp;D1057</f>
      </c>
      <c r="F1057" t="str">
        <v>Gội trải nghiệm 90p</v>
      </c>
      <c r="G1057">
        <v>789000</v>
      </c>
    </row>
    <row r="1058">
      <c r="A1058">
        <v>228</v>
      </c>
      <c r="B1058" s="33">
        <f>VLOOKUP(A1058,'Cắt Gội'!$A:$C,3,0)</f>
      </c>
      <c r="D1058">
        <v>940</v>
      </c>
      <c r="E1058" s="33">
        <f>B1058&amp;D1058</f>
      </c>
      <c r="F1058" t="str">
        <v>[NEW] Gội dưỡng sinh</v>
      </c>
      <c r="G1058">
        <v>59000</v>
      </c>
    </row>
    <row r="1059">
      <c r="A1059">
        <v>230</v>
      </c>
      <c r="B1059" s="33">
        <f>VLOOKUP(A1059,'Cắt Gội'!$A:$C,3,0)</f>
      </c>
      <c r="D1059">
        <v>1058</v>
      </c>
      <c r="E1059" s="33">
        <f>B1059&amp;D1059</f>
      </c>
      <c r="F1059" t="str">
        <v>Gội Combo 2</v>
      </c>
      <c r="G1059">
        <v>159000</v>
      </c>
    </row>
    <row r="1060">
      <c r="A1060">
        <v>230</v>
      </c>
      <c r="B1060" s="33">
        <f>VLOOKUP(A1060,'Cắt Gội'!$A:$C,3,0)</f>
      </c>
      <c r="D1060">
        <v>1059</v>
      </c>
      <c r="E1060" s="33">
        <f>B1060&amp;D1060</f>
      </c>
      <c r="F1060" t="str">
        <v>Gội Combo 3 - Chăm da</v>
      </c>
      <c r="G1060">
        <v>219000</v>
      </c>
    </row>
    <row r="1061">
      <c r="A1061">
        <v>230</v>
      </c>
      <c r="B1061" s="33">
        <f>VLOOKUP(A1061,'Cắt Gội'!$A:$C,3,0)</f>
      </c>
      <c r="D1061">
        <v>1060</v>
      </c>
      <c r="E1061" s="33">
        <f>B1061&amp;D1061</f>
      </c>
      <c r="F1061" t="str">
        <v>Gội Combo 4</v>
      </c>
      <c r="G1061">
        <v>289000</v>
      </c>
    </row>
    <row r="1062">
      <c r="A1062">
        <v>230</v>
      </c>
      <c r="B1062" s="33">
        <f>VLOOKUP(A1062,'Cắt Gội'!$A:$C,3,0)</f>
      </c>
      <c r="D1062">
        <v>934</v>
      </c>
      <c r="E1062" s="33">
        <f>B1062&amp;D1062</f>
      </c>
      <c r="F1062" t="str">
        <v>Gội combo 3 - Dưỡng sinh</v>
      </c>
      <c r="G1062">
        <v>229000</v>
      </c>
    </row>
    <row r="1063">
      <c r="A1063">
        <v>230</v>
      </c>
      <c r="B1063" s="33">
        <f>VLOOKUP(A1063,'Cắt Gội'!$A:$C,3,0)</f>
      </c>
      <c r="D1063">
        <v>867</v>
      </c>
      <c r="E1063" s="33">
        <f>B1063&amp;D1063</f>
      </c>
      <c r="F1063" t="str">
        <v>Gội dưỡng sinh cổ vai gáy</v>
      </c>
      <c r="G1063">
        <v>99000</v>
      </c>
    </row>
    <row r="1064">
      <c r="A1064">
        <v>230</v>
      </c>
      <c r="B1064" s="33">
        <f>VLOOKUP(A1064,'Cắt Gội'!$A:$C,3,0)</f>
      </c>
      <c r="D1064">
        <v>1260</v>
      </c>
      <c r="E1064" s="33">
        <f>B1064&amp;D1064</f>
      </c>
      <c r="F1064" t="str">
        <v>VH Combo Gội Dưỡng Sinh Phục Hồi</v>
      </c>
      <c r="G1064">
        <v>399000</v>
      </c>
    </row>
    <row r="1065">
      <c r="A1065">
        <v>230</v>
      </c>
      <c r="B1065" s="33">
        <f>VLOOKUP(A1065,'Cắt Gội'!$A:$C,3,0)</f>
      </c>
      <c r="D1065">
        <v>1255</v>
      </c>
      <c r="E1065" s="33">
        <f>B1065&amp;D1065</f>
      </c>
      <c r="F1065" t="str">
        <v>VH Cắt gội dưỡng sinh Vip</v>
      </c>
      <c r="G1065">
        <v>249000</v>
      </c>
    </row>
    <row r="1066">
      <c r="A1066">
        <v>230</v>
      </c>
      <c r="B1066" s="33">
        <f>VLOOKUP(A1066,'Cắt Gội'!$A:$C,3,0)</f>
      </c>
      <c r="D1066">
        <v>1256</v>
      </c>
      <c r="E1066" s="33">
        <f>B1066&amp;D1066</f>
      </c>
      <c r="F1066" t="str">
        <v>VH Cắt gội dưỡng sinh Vip LRT</v>
      </c>
      <c r="G1066">
        <v>299000</v>
      </c>
    </row>
    <row r="1067">
      <c r="A1067">
        <v>230</v>
      </c>
      <c r="B1067" s="33">
        <f>VLOOKUP(A1067,'Cắt Gội'!$A:$C,3,0)</f>
      </c>
      <c r="D1067">
        <v>1257</v>
      </c>
      <c r="E1067" s="33">
        <f>B1067&amp;D1067</f>
      </c>
      <c r="F1067" t="str">
        <v>VH Cắt gội thư giãn phục hồi</v>
      </c>
      <c r="G1067">
        <v>449000</v>
      </c>
    </row>
    <row r="1068">
      <c r="A1068">
        <v>230</v>
      </c>
      <c r="B1068" s="33">
        <f>VLOOKUP(A1068,'Cắt Gội'!$A:$C,3,0)</f>
      </c>
      <c r="D1068">
        <v>1258</v>
      </c>
      <c r="E1068" s="33">
        <f>B1068&amp;D1068</f>
      </c>
      <c r="F1068" t="str">
        <v>VH Gội Vip Dưỡng Sinh</v>
      </c>
      <c r="G1068">
        <v>199000</v>
      </c>
    </row>
    <row r="1069">
      <c r="A1069">
        <v>230</v>
      </c>
      <c r="B1069" s="33">
        <f>VLOOKUP(A1069,'Cắt Gội'!$A:$C,3,0)</f>
      </c>
      <c r="D1069">
        <v>1259</v>
      </c>
      <c r="E1069" s="33">
        <f>B1069&amp;D1069</f>
      </c>
      <c r="F1069" t="str">
        <v>VH Gội Vip Dưỡng Sinh LRT</v>
      </c>
      <c r="G1069">
        <v>259000</v>
      </c>
    </row>
    <row r="1070">
      <c r="A1070">
        <v>230</v>
      </c>
      <c r="B1070" s="33">
        <f>VLOOKUP(A1070,'Cắt Gội'!$A:$C,3,0)</f>
      </c>
      <c r="D1070">
        <v>940</v>
      </c>
      <c r="E1070" s="33">
        <f>B1070&amp;D1070</f>
      </c>
      <c r="F1070" t="str">
        <v>[NEW] Gội dưỡng sinh</v>
      </c>
      <c r="G1070">
        <v>59000</v>
      </c>
    </row>
    <row r="1071">
      <c r="A1071">
        <v>231</v>
      </c>
      <c r="B1071" s="33">
        <f>VLOOKUP(A1071,'Cắt Gội'!$A:$C,3,0)</f>
      </c>
      <c r="D1071">
        <v>1058</v>
      </c>
      <c r="E1071" s="33">
        <f>B1071&amp;D1071</f>
      </c>
      <c r="F1071" t="str">
        <v>Gội Combo 2</v>
      </c>
      <c r="G1071">
        <v>159000</v>
      </c>
    </row>
    <row r="1072">
      <c r="A1072">
        <v>231</v>
      </c>
      <c r="B1072" s="33">
        <f>VLOOKUP(A1072,'Cắt Gội'!$A:$C,3,0)</f>
      </c>
      <c r="D1072">
        <v>1059</v>
      </c>
      <c r="E1072" s="33">
        <f>B1072&amp;D1072</f>
      </c>
      <c r="F1072" t="str">
        <v>Gội Combo 3 - Chăm da</v>
      </c>
      <c r="G1072">
        <v>219000</v>
      </c>
    </row>
    <row r="1073">
      <c r="A1073">
        <v>231</v>
      </c>
      <c r="B1073" s="33">
        <f>VLOOKUP(A1073,'Cắt Gội'!$A:$C,3,0)</f>
      </c>
      <c r="D1073">
        <v>934</v>
      </c>
      <c r="E1073" s="33">
        <f>B1073&amp;D1073</f>
      </c>
      <c r="F1073" t="str">
        <v>Gội combo 3 - Dưỡng sinh</v>
      </c>
      <c r="G1073">
        <v>229000</v>
      </c>
    </row>
    <row r="1074">
      <c r="A1074">
        <v>231</v>
      </c>
      <c r="B1074" s="33">
        <f>VLOOKUP(A1074,'Cắt Gội'!$A:$C,3,0)</f>
      </c>
      <c r="D1074">
        <v>867</v>
      </c>
      <c r="E1074" s="33">
        <f>B1074&amp;D1074</f>
      </c>
      <c r="F1074" t="str">
        <v>Gội dưỡng sinh cổ vai gáy</v>
      </c>
      <c r="G1074">
        <v>95000</v>
      </c>
    </row>
    <row r="1075">
      <c r="A1075">
        <v>231</v>
      </c>
      <c r="B1075" s="33">
        <f>VLOOKUP(A1075,'Cắt Gội'!$A:$C,3,0)</f>
      </c>
      <c r="D1075">
        <v>867</v>
      </c>
      <c r="E1075" s="33">
        <f>B1075&amp;D1075</f>
      </c>
      <c r="F1075" t="str">
        <v>Gội dưỡng sinh cổ vai gáy</v>
      </c>
      <c r="G1075">
        <v>99000</v>
      </c>
    </row>
    <row r="1076">
      <c r="A1076">
        <v>231</v>
      </c>
      <c r="B1076" s="33">
        <f>VLOOKUP(A1076,'Cắt Gội'!$A:$C,3,0)</f>
      </c>
      <c r="D1076">
        <v>1066</v>
      </c>
      <c r="E1076" s="33">
        <f>B1076&amp;D1076</f>
      </c>
      <c r="F1076" t="str">
        <v>Gội trải nghiệm 75p</v>
      </c>
      <c r="G1076">
        <v>589000</v>
      </c>
    </row>
    <row r="1077">
      <c r="A1077">
        <v>231</v>
      </c>
      <c r="B1077" s="33">
        <f>VLOOKUP(A1077,'Cắt Gội'!$A:$C,3,0)</f>
      </c>
      <c r="D1077">
        <v>1255</v>
      </c>
      <c r="E1077" s="33">
        <f>B1077&amp;D1077</f>
      </c>
      <c r="F1077" t="str">
        <v>VH Cắt gội dưỡng sinh Vip</v>
      </c>
      <c r="G1077">
        <v>249000</v>
      </c>
    </row>
    <row r="1078">
      <c r="A1078">
        <v>231</v>
      </c>
      <c r="B1078" s="33">
        <f>VLOOKUP(A1078,'Cắt Gội'!$A:$C,3,0)</f>
      </c>
      <c r="D1078">
        <v>1256</v>
      </c>
      <c r="E1078" s="33">
        <f>B1078&amp;D1078</f>
      </c>
      <c r="F1078" t="str">
        <v>VH Cắt gội dưỡng sinh Vip LRT</v>
      </c>
      <c r="G1078">
        <v>299000</v>
      </c>
    </row>
    <row r="1079">
      <c r="A1079">
        <v>231</v>
      </c>
      <c r="B1079" s="33">
        <f>VLOOKUP(A1079,'Cắt Gội'!$A:$C,3,0)</f>
      </c>
      <c r="D1079">
        <v>1257</v>
      </c>
      <c r="E1079" s="33">
        <f>B1079&amp;D1079</f>
      </c>
      <c r="F1079" t="str">
        <v>VH Cắt gội thư giãn phục hồi</v>
      </c>
      <c r="G1079">
        <v>449000</v>
      </c>
    </row>
    <row r="1080">
      <c r="A1080">
        <v>231</v>
      </c>
      <c r="B1080" s="33">
        <f>VLOOKUP(A1080,'Cắt Gội'!$A:$C,3,0)</f>
      </c>
      <c r="D1080">
        <v>1258</v>
      </c>
      <c r="E1080" s="33">
        <f>B1080&amp;D1080</f>
      </c>
      <c r="F1080" t="str">
        <v>VH Gội Vip Dưỡng Sinh</v>
      </c>
      <c r="G1080">
        <v>199000</v>
      </c>
    </row>
    <row r="1081">
      <c r="A1081">
        <v>231</v>
      </c>
      <c r="B1081" s="33">
        <f>VLOOKUP(A1081,'Cắt Gội'!$A:$C,3,0)</f>
      </c>
      <c r="D1081">
        <v>940</v>
      </c>
      <c r="E1081" s="33">
        <f>B1081&amp;D1081</f>
      </c>
      <c r="F1081" t="str">
        <v>[NEW] Gội dưỡng sinh</v>
      </c>
      <c r="G1081">
        <v>59000</v>
      </c>
    </row>
    <row r="1082">
      <c r="A1082">
        <v>232</v>
      </c>
      <c r="B1082" s="33">
        <f>VLOOKUP(A1082,'Cắt Gội'!$A:$C,3,0)</f>
      </c>
      <c r="D1082">
        <v>1058</v>
      </c>
      <c r="E1082" s="33">
        <f>B1082&amp;D1082</f>
      </c>
      <c r="F1082" t="str">
        <v>Gội Combo 2</v>
      </c>
      <c r="G1082">
        <v>159000</v>
      </c>
    </row>
    <row r="1083">
      <c r="A1083">
        <v>232</v>
      </c>
      <c r="B1083" s="33">
        <f>VLOOKUP(A1083,'Cắt Gội'!$A:$C,3,0)</f>
      </c>
      <c r="D1083">
        <v>1059</v>
      </c>
      <c r="E1083" s="33">
        <f>B1083&amp;D1083</f>
      </c>
      <c r="F1083" t="str">
        <v>Gội Combo 3 - Chăm da</v>
      </c>
      <c r="G1083">
        <v>219000</v>
      </c>
    </row>
    <row r="1084">
      <c r="A1084">
        <v>232</v>
      </c>
      <c r="B1084" s="33">
        <f>VLOOKUP(A1084,'Cắt Gội'!$A:$C,3,0)</f>
      </c>
      <c r="D1084">
        <v>1060</v>
      </c>
      <c r="E1084" s="33">
        <f>B1084&amp;D1084</f>
      </c>
      <c r="F1084" t="str">
        <v>Gội Combo 4</v>
      </c>
      <c r="G1084">
        <v>289000</v>
      </c>
    </row>
    <row r="1085">
      <c r="A1085">
        <v>232</v>
      </c>
      <c r="B1085" s="33">
        <f>VLOOKUP(A1085,'Cắt Gội'!$A:$C,3,0)</f>
      </c>
      <c r="D1085">
        <v>934</v>
      </c>
      <c r="E1085" s="33">
        <f>B1085&amp;D1085</f>
      </c>
      <c r="F1085" t="str">
        <v>Gội combo 3 - Dưỡng sinh</v>
      </c>
      <c r="G1085">
        <v>229000</v>
      </c>
    </row>
    <row r="1086">
      <c r="A1086">
        <v>232</v>
      </c>
      <c r="B1086" s="33">
        <f>VLOOKUP(A1086,'Cắt Gội'!$A:$C,3,0)</f>
      </c>
      <c r="D1086">
        <v>867</v>
      </c>
      <c r="E1086" s="33">
        <f>B1086&amp;D1086</f>
      </c>
      <c r="F1086" t="str">
        <v>Gội dưỡng sinh cổ vai gáy</v>
      </c>
      <c r="G1086">
        <v>99000</v>
      </c>
    </row>
    <row r="1087">
      <c r="A1087">
        <v>232</v>
      </c>
      <c r="B1087" s="33">
        <f>VLOOKUP(A1087,'Cắt Gội'!$A:$C,3,0)</f>
      </c>
      <c r="D1087">
        <v>867</v>
      </c>
      <c r="E1087" s="33">
        <f>B1087&amp;D1087</f>
      </c>
      <c r="F1087" t="str">
        <v>Gội dưỡng sinh cổ vai gáy</v>
      </c>
      <c r="G1087">
        <v>95000</v>
      </c>
    </row>
    <row r="1088">
      <c r="A1088">
        <v>232</v>
      </c>
      <c r="B1088" s="33">
        <f>VLOOKUP(A1088,'Cắt Gội'!$A:$C,3,0)</f>
      </c>
      <c r="D1088">
        <v>1066</v>
      </c>
      <c r="E1088" s="33">
        <f>B1088&amp;D1088</f>
      </c>
      <c r="F1088" t="str">
        <v>Gội trải nghiệm 75p</v>
      </c>
      <c r="G1088">
        <v>589000</v>
      </c>
    </row>
    <row r="1089">
      <c r="A1089">
        <v>232</v>
      </c>
      <c r="B1089" s="33">
        <f>VLOOKUP(A1089,'Cắt Gội'!$A:$C,3,0)</f>
      </c>
      <c r="D1089">
        <v>1067</v>
      </c>
      <c r="E1089" s="33">
        <f>B1089&amp;D1089</f>
      </c>
      <c r="F1089" t="str">
        <v>Gội trải nghiệm 90p</v>
      </c>
      <c r="G1089">
        <v>789000</v>
      </c>
    </row>
    <row r="1090">
      <c r="A1090">
        <v>232</v>
      </c>
      <c r="B1090" s="33">
        <f>VLOOKUP(A1090,'Cắt Gội'!$A:$C,3,0)</f>
      </c>
      <c r="D1090">
        <v>1260</v>
      </c>
      <c r="E1090" s="33">
        <f>B1090&amp;D1090</f>
      </c>
      <c r="F1090" t="str">
        <v>VH Combo Gội Dưỡng Sinh Phục Hồi</v>
      </c>
      <c r="G1090">
        <v>399000</v>
      </c>
    </row>
    <row r="1091">
      <c r="A1091">
        <v>232</v>
      </c>
      <c r="B1091" s="33">
        <f>VLOOKUP(A1091,'Cắt Gội'!$A:$C,3,0)</f>
      </c>
      <c r="D1091">
        <v>1255</v>
      </c>
      <c r="E1091" s="33">
        <f>B1091&amp;D1091</f>
      </c>
      <c r="F1091" t="str">
        <v>VH Cắt gội dưỡng sinh Vip</v>
      </c>
      <c r="G1091">
        <v>249000</v>
      </c>
    </row>
    <row r="1092">
      <c r="A1092">
        <v>232</v>
      </c>
      <c r="B1092" s="33">
        <f>VLOOKUP(A1092,'Cắt Gội'!$A:$C,3,0)</f>
      </c>
      <c r="D1092">
        <v>1256</v>
      </c>
      <c r="E1092" s="33">
        <f>B1092&amp;D1092</f>
      </c>
      <c r="F1092" t="str">
        <v>VH Cắt gội dưỡng sinh Vip LRT</v>
      </c>
      <c r="G1092">
        <v>299000</v>
      </c>
    </row>
    <row r="1093">
      <c r="A1093">
        <v>232</v>
      </c>
      <c r="B1093" s="33">
        <f>VLOOKUP(A1093,'Cắt Gội'!$A:$C,3,0)</f>
      </c>
      <c r="D1093">
        <v>1257</v>
      </c>
      <c r="E1093" s="33">
        <f>B1093&amp;D1093</f>
      </c>
      <c r="F1093" t="str">
        <v>VH Cắt gội thư giãn phục hồi</v>
      </c>
      <c r="G1093">
        <v>449000</v>
      </c>
    </row>
    <row r="1094">
      <c r="A1094">
        <v>232</v>
      </c>
      <c r="B1094" s="33">
        <f>VLOOKUP(A1094,'Cắt Gội'!$A:$C,3,0)</f>
      </c>
      <c r="D1094">
        <v>1258</v>
      </c>
      <c r="E1094" s="33">
        <f>B1094&amp;D1094</f>
      </c>
      <c r="F1094" t="str">
        <v>VH Gội Vip Dưỡng Sinh</v>
      </c>
      <c r="G1094">
        <v>199000</v>
      </c>
    </row>
    <row r="1095">
      <c r="A1095">
        <v>232</v>
      </c>
      <c r="B1095" s="33">
        <f>VLOOKUP(A1095,'Cắt Gội'!$A:$C,3,0)</f>
      </c>
      <c r="D1095">
        <v>1259</v>
      </c>
      <c r="E1095" s="33">
        <f>B1095&amp;D1095</f>
      </c>
      <c r="F1095" t="str">
        <v>VH Gội Vip Dưỡng Sinh LRT</v>
      </c>
      <c r="G1095">
        <v>259000</v>
      </c>
    </row>
    <row r="1096">
      <c r="A1096">
        <v>232</v>
      </c>
      <c r="B1096" s="33">
        <f>VLOOKUP(A1096,'Cắt Gội'!$A:$C,3,0)</f>
      </c>
      <c r="D1096">
        <v>940</v>
      </c>
      <c r="E1096" s="33">
        <f>B1096&amp;D1096</f>
      </c>
      <c r="F1096" t="str">
        <v>[NEW] Gội dưỡng sinh</v>
      </c>
      <c r="G1096">
        <v>59000</v>
      </c>
    </row>
    <row r="1097">
      <c r="A1097">
        <v>233</v>
      </c>
      <c r="B1097" s="33">
        <f>VLOOKUP(A1097,'Cắt Gội'!$A:$C,3,0)</f>
      </c>
      <c r="D1097">
        <v>1058</v>
      </c>
      <c r="E1097" s="33">
        <f>B1097&amp;D1097</f>
      </c>
      <c r="F1097" t="str">
        <v>Gội Combo 2</v>
      </c>
      <c r="G1097">
        <v>159000</v>
      </c>
    </row>
    <row r="1098">
      <c r="A1098">
        <v>233</v>
      </c>
      <c r="B1098" s="33">
        <f>VLOOKUP(A1098,'Cắt Gội'!$A:$C,3,0)</f>
      </c>
      <c r="D1098">
        <v>1059</v>
      </c>
      <c r="E1098" s="33">
        <f>B1098&amp;D1098</f>
      </c>
      <c r="F1098" t="str">
        <v>Gội Combo 3 - Chăm da</v>
      </c>
      <c r="G1098">
        <v>219000</v>
      </c>
    </row>
    <row r="1099">
      <c r="A1099">
        <v>233</v>
      </c>
      <c r="B1099" s="33">
        <f>VLOOKUP(A1099,'Cắt Gội'!$A:$C,3,0)</f>
      </c>
      <c r="D1099">
        <v>934</v>
      </c>
      <c r="E1099" s="33">
        <f>B1099&amp;D1099</f>
      </c>
      <c r="F1099" t="str">
        <v>Gội combo 3 - Dưỡng sinh</v>
      </c>
      <c r="G1099">
        <v>229000</v>
      </c>
    </row>
    <row r="1100">
      <c r="A1100">
        <v>233</v>
      </c>
      <c r="B1100" s="33">
        <f>VLOOKUP(A1100,'Cắt Gội'!$A:$C,3,0)</f>
      </c>
      <c r="D1100">
        <v>867</v>
      </c>
      <c r="E1100" s="33">
        <f>B1100&amp;D1100</f>
      </c>
      <c r="F1100" t="str">
        <v>Gội dưỡng sinh cổ vai gáy</v>
      </c>
      <c r="G1100">
        <v>99000</v>
      </c>
    </row>
    <row r="1101">
      <c r="A1101">
        <v>233</v>
      </c>
      <c r="B1101" s="33">
        <f>VLOOKUP(A1101,'Cắt Gội'!$A:$C,3,0)</f>
      </c>
      <c r="D1101">
        <v>867</v>
      </c>
      <c r="E1101" s="33">
        <f>B1101&amp;D1101</f>
      </c>
      <c r="F1101" t="str">
        <v>Gội dưỡng sinh cổ vai gáy</v>
      </c>
      <c r="G1101">
        <v>95000</v>
      </c>
    </row>
    <row r="1102">
      <c r="A1102">
        <v>233</v>
      </c>
      <c r="B1102" s="33">
        <f>VLOOKUP(A1102,'Cắt Gội'!$A:$C,3,0)</f>
      </c>
      <c r="D1102">
        <v>1066</v>
      </c>
      <c r="E1102" s="33">
        <f>B1102&amp;D1102</f>
      </c>
      <c r="F1102" t="str">
        <v>Gội trải nghiệm 75p</v>
      </c>
      <c r="G1102">
        <v>589000</v>
      </c>
    </row>
    <row r="1103">
      <c r="A1103">
        <v>233</v>
      </c>
      <c r="B1103" s="33">
        <f>VLOOKUP(A1103,'Cắt Gội'!$A:$C,3,0)</f>
      </c>
      <c r="D1103">
        <v>1067</v>
      </c>
      <c r="E1103" s="33">
        <f>B1103&amp;D1103</f>
      </c>
      <c r="F1103" t="str">
        <v>Gội trải nghiệm 90p</v>
      </c>
      <c r="G1103">
        <v>789000</v>
      </c>
    </row>
    <row r="1104">
      <c r="A1104">
        <v>233</v>
      </c>
      <c r="B1104" s="33">
        <f>VLOOKUP(A1104,'Cắt Gội'!$A:$C,3,0)</f>
      </c>
      <c r="D1104">
        <v>1260</v>
      </c>
      <c r="E1104" s="33">
        <f>B1104&amp;D1104</f>
      </c>
      <c r="F1104" t="str">
        <v>VH Combo Gội Dưỡng Sinh Phục Hồi</v>
      </c>
      <c r="G1104">
        <v>399000</v>
      </c>
    </row>
    <row r="1105">
      <c r="A1105">
        <v>233</v>
      </c>
      <c r="B1105" s="33">
        <f>VLOOKUP(A1105,'Cắt Gội'!$A:$C,3,0)</f>
      </c>
      <c r="D1105">
        <v>1255</v>
      </c>
      <c r="E1105" s="33">
        <f>B1105&amp;D1105</f>
      </c>
      <c r="F1105" t="str">
        <v>VH Cắt gội dưỡng sinh Vip</v>
      </c>
      <c r="G1105">
        <v>249000</v>
      </c>
    </row>
    <row r="1106">
      <c r="A1106">
        <v>233</v>
      </c>
      <c r="B1106" s="33">
        <f>VLOOKUP(A1106,'Cắt Gội'!$A:$C,3,0)</f>
      </c>
      <c r="D1106">
        <v>1256</v>
      </c>
      <c r="E1106" s="33">
        <f>B1106&amp;D1106</f>
      </c>
      <c r="F1106" t="str">
        <v>VH Cắt gội dưỡng sinh Vip LRT</v>
      </c>
      <c r="G1106">
        <v>299000</v>
      </c>
    </row>
    <row r="1107">
      <c r="A1107">
        <v>233</v>
      </c>
      <c r="B1107" s="33">
        <f>VLOOKUP(A1107,'Cắt Gội'!$A:$C,3,0)</f>
      </c>
      <c r="D1107">
        <v>1257</v>
      </c>
      <c r="E1107" s="33">
        <f>B1107&amp;D1107</f>
      </c>
      <c r="F1107" t="str">
        <v>VH Cắt gội thư giãn phục hồi</v>
      </c>
      <c r="G1107">
        <v>449000</v>
      </c>
    </row>
    <row r="1108">
      <c r="A1108">
        <v>233</v>
      </c>
      <c r="B1108" s="33">
        <f>VLOOKUP(A1108,'Cắt Gội'!$A:$C,3,0)</f>
      </c>
      <c r="D1108">
        <v>1259</v>
      </c>
      <c r="E1108" s="33">
        <f>B1108&amp;D1108</f>
      </c>
      <c r="F1108" t="str">
        <v>VH Gội Vip Dưỡng Sinh LRT</v>
      </c>
      <c r="G1108">
        <v>259000</v>
      </c>
    </row>
    <row r="1109">
      <c r="A1109">
        <v>233</v>
      </c>
      <c r="B1109" s="33">
        <f>VLOOKUP(A1109,'Cắt Gội'!$A:$C,3,0)</f>
      </c>
      <c r="D1109">
        <v>940</v>
      </c>
      <c r="E1109" s="33">
        <f>B1109&amp;D1109</f>
      </c>
      <c r="F1109" t="str">
        <v>[NEW] Gội dưỡng sinh</v>
      </c>
      <c r="G1109">
        <v>59000</v>
      </c>
    </row>
    <row r="1110">
      <c r="A1110">
        <v>239</v>
      </c>
      <c r="B1110" s="33">
        <f>VLOOKUP(A1110,'Cắt Gội'!$A:$C,3,0)</f>
      </c>
      <c r="D1110">
        <v>1058</v>
      </c>
      <c r="E1110" s="33">
        <f>B1110&amp;D1110</f>
      </c>
      <c r="F1110" t="str">
        <v>Gội Combo 2</v>
      </c>
      <c r="G1110">
        <v>159000</v>
      </c>
    </row>
    <row r="1111">
      <c r="A1111">
        <v>239</v>
      </c>
      <c r="B1111" s="33">
        <f>VLOOKUP(A1111,'Cắt Gội'!$A:$C,3,0)</f>
      </c>
      <c r="D1111">
        <v>1059</v>
      </c>
      <c r="E1111" s="33">
        <f>B1111&amp;D1111</f>
      </c>
      <c r="F1111" t="str">
        <v>Gội Combo 3 - Chăm da</v>
      </c>
      <c r="G1111">
        <v>239000</v>
      </c>
    </row>
    <row r="1112">
      <c r="A1112">
        <v>239</v>
      </c>
      <c r="B1112" s="33">
        <f>VLOOKUP(A1112,'Cắt Gội'!$A:$C,3,0)</f>
      </c>
      <c r="D1112">
        <v>1060</v>
      </c>
      <c r="E1112" s="33">
        <f>B1112&amp;D1112</f>
      </c>
      <c r="F1112" t="str">
        <v>Gội Combo 4</v>
      </c>
      <c r="G1112">
        <v>289000</v>
      </c>
    </row>
    <row r="1113">
      <c r="A1113">
        <v>239</v>
      </c>
      <c r="B1113" s="33">
        <f>VLOOKUP(A1113,'Cắt Gội'!$A:$C,3,0)</f>
      </c>
      <c r="D1113">
        <v>934</v>
      </c>
      <c r="E1113" s="33">
        <f>B1113&amp;D1113</f>
      </c>
      <c r="F1113" t="str">
        <v>Gội combo 3 - Dưỡng sinh</v>
      </c>
      <c r="G1113">
        <v>229000</v>
      </c>
    </row>
    <row r="1114">
      <c r="A1114">
        <v>239</v>
      </c>
      <c r="B1114" s="33">
        <f>VLOOKUP(A1114,'Cắt Gội'!$A:$C,3,0)</f>
      </c>
      <c r="D1114">
        <v>867</v>
      </c>
      <c r="E1114" s="33">
        <f>B1114&amp;D1114</f>
      </c>
      <c r="F1114" t="str">
        <v>Gội dưỡng sinh cổ vai gáy</v>
      </c>
      <c r="G1114">
        <v>99000</v>
      </c>
    </row>
    <row r="1115">
      <c r="A1115">
        <v>239</v>
      </c>
      <c r="B1115" s="33">
        <f>VLOOKUP(A1115,'Cắt Gội'!$A:$C,3,0)</f>
      </c>
      <c r="D1115">
        <v>1069</v>
      </c>
      <c r="E1115" s="33">
        <f>B1115&amp;D1115</f>
      </c>
      <c r="F1115" t="str">
        <v>Gội trải nghiệm 140p</v>
      </c>
      <c r="G1115">
        <v>1199000</v>
      </c>
    </row>
    <row r="1116">
      <c r="A1116">
        <v>239</v>
      </c>
      <c r="B1116" s="33">
        <f>VLOOKUP(A1116,'Cắt Gội'!$A:$C,3,0)</f>
      </c>
      <c r="D1116">
        <v>1066</v>
      </c>
      <c r="E1116" s="33">
        <f>B1116&amp;D1116</f>
      </c>
      <c r="F1116" t="str">
        <v>Gội trải nghiệm 75p</v>
      </c>
      <c r="G1116">
        <v>589000</v>
      </c>
    </row>
    <row r="1117">
      <c r="A1117">
        <v>239</v>
      </c>
      <c r="B1117" s="33">
        <f>VLOOKUP(A1117,'Cắt Gội'!$A:$C,3,0)</f>
      </c>
      <c r="D1117">
        <v>1067</v>
      </c>
      <c r="E1117" s="33">
        <f>B1117&amp;D1117</f>
      </c>
      <c r="F1117" t="str">
        <v>Gội trải nghiệm 90p</v>
      </c>
      <c r="G1117">
        <v>789000</v>
      </c>
    </row>
    <row r="1118">
      <c r="A1118">
        <v>239</v>
      </c>
      <c r="B1118" s="33">
        <f>VLOOKUP(A1118,'Cắt Gội'!$A:$C,3,0)</f>
      </c>
      <c r="D1118">
        <v>940</v>
      </c>
      <c r="E1118" s="33">
        <f>B1118&amp;D1118</f>
      </c>
      <c r="F1118" t="str">
        <v>[NEW] Gội dưỡng sinh</v>
      </c>
      <c r="G1118">
        <v>59000</v>
      </c>
    </row>
    <row r="1119">
      <c r="A1119">
        <v>240</v>
      </c>
      <c r="B1119" s="33">
        <f>VLOOKUP(A1119,'Cắt Gội'!$A:$C,3,0)</f>
      </c>
      <c r="D1119">
        <v>1058</v>
      </c>
      <c r="E1119" s="33">
        <f>B1119&amp;D1119</f>
      </c>
      <c r="F1119" t="str">
        <v>Gội Combo 2</v>
      </c>
      <c r="G1119">
        <v>159000</v>
      </c>
    </row>
    <row r="1120">
      <c r="A1120">
        <v>240</v>
      </c>
      <c r="B1120" s="33">
        <f>VLOOKUP(A1120,'Cắt Gội'!$A:$C,3,0)</f>
      </c>
      <c r="D1120">
        <v>1059</v>
      </c>
      <c r="E1120" s="33">
        <f>B1120&amp;D1120</f>
      </c>
      <c r="F1120" t="str">
        <v>Gội Combo 3 - Chăm da</v>
      </c>
      <c r="G1120">
        <v>219000</v>
      </c>
    </row>
    <row r="1121">
      <c r="A1121">
        <v>240</v>
      </c>
      <c r="B1121" s="33">
        <f>VLOOKUP(A1121,'Cắt Gội'!$A:$C,3,0)</f>
      </c>
      <c r="D1121">
        <v>1060</v>
      </c>
      <c r="E1121" s="33">
        <f>B1121&amp;D1121</f>
      </c>
      <c r="F1121" t="str">
        <v>Gội Combo 4</v>
      </c>
      <c r="G1121">
        <v>289000</v>
      </c>
    </row>
    <row r="1122">
      <c r="A1122">
        <v>240</v>
      </c>
      <c r="B1122" s="33">
        <f>VLOOKUP(A1122,'Cắt Gội'!$A:$C,3,0)</f>
      </c>
      <c r="D1122">
        <v>934</v>
      </c>
      <c r="E1122" s="33">
        <f>B1122&amp;D1122</f>
      </c>
      <c r="F1122" t="str">
        <v>Gội combo 3 - Dưỡng sinh</v>
      </c>
      <c r="G1122">
        <v>229000</v>
      </c>
    </row>
    <row r="1123">
      <c r="A1123">
        <v>240</v>
      </c>
      <c r="B1123" s="33">
        <f>VLOOKUP(A1123,'Cắt Gội'!$A:$C,3,0)</f>
      </c>
      <c r="D1123">
        <v>1255</v>
      </c>
      <c r="E1123" s="33">
        <f>B1123&amp;D1123</f>
      </c>
      <c r="F1123" t="str">
        <v>VH Cắt gội dưỡng sinh Vip</v>
      </c>
      <c r="G1123">
        <v>249000</v>
      </c>
    </row>
    <row r="1124">
      <c r="A1124">
        <v>240</v>
      </c>
      <c r="B1124" s="33">
        <f>VLOOKUP(A1124,'Cắt Gội'!$A:$C,3,0)</f>
      </c>
      <c r="D1124">
        <v>940</v>
      </c>
      <c r="E1124" s="33">
        <f>B1124&amp;D1124</f>
      </c>
      <c r="F1124" t="str">
        <v>[NEW] Gội dưỡng sinh</v>
      </c>
      <c r="G1124">
        <v>59000</v>
      </c>
    </row>
    <row r="1125">
      <c r="A1125">
        <v>244</v>
      </c>
      <c r="B1125" s="33">
        <f>VLOOKUP(A1125,'Cắt Gội'!$A:$C,3,0)</f>
      </c>
      <c r="D1125">
        <v>1058</v>
      </c>
      <c r="E1125" s="33">
        <f>B1125&amp;D1125</f>
      </c>
      <c r="F1125" t="str">
        <v>Gội Combo 2</v>
      </c>
      <c r="G1125">
        <v>159000</v>
      </c>
    </row>
    <row r="1126">
      <c r="A1126">
        <v>244</v>
      </c>
      <c r="B1126" s="33">
        <f>VLOOKUP(A1126,'Cắt Gội'!$A:$C,3,0)</f>
      </c>
      <c r="D1126">
        <v>1059</v>
      </c>
      <c r="E1126" s="33">
        <f>B1126&amp;D1126</f>
      </c>
      <c r="F1126" t="str">
        <v>Gội Combo 3 - Chăm da</v>
      </c>
      <c r="G1126">
        <v>239000</v>
      </c>
    </row>
    <row r="1127">
      <c r="A1127">
        <v>244</v>
      </c>
      <c r="B1127" s="33">
        <f>VLOOKUP(A1127,'Cắt Gội'!$A:$C,3,0)</f>
      </c>
      <c r="D1127">
        <v>1059</v>
      </c>
      <c r="E1127" s="33">
        <f>B1127&amp;D1127</f>
      </c>
      <c r="F1127" t="str">
        <v>Gội Combo 3 - Chăm da</v>
      </c>
      <c r="G1127">
        <v>219000</v>
      </c>
    </row>
    <row r="1128">
      <c r="A1128">
        <v>244</v>
      </c>
      <c r="B1128" s="33">
        <f>VLOOKUP(A1128,'Cắt Gội'!$A:$C,3,0)</f>
      </c>
      <c r="D1128">
        <v>1060</v>
      </c>
      <c r="E1128" s="33">
        <f>B1128&amp;D1128</f>
      </c>
      <c r="F1128" t="str">
        <v>Gội Combo 4</v>
      </c>
      <c r="G1128">
        <v>319000</v>
      </c>
    </row>
    <row r="1129">
      <c r="A1129">
        <v>244</v>
      </c>
      <c r="B1129" s="33">
        <f>VLOOKUP(A1129,'Cắt Gội'!$A:$C,3,0)</f>
      </c>
      <c r="D1129">
        <v>1060</v>
      </c>
      <c r="E1129" s="33">
        <f>B1129&amp;D1129</f>
      </c>
      <c r="F1129" t="str">
        <v>Gội Combo 4</v>
      </c>
      <c r="G1129">
        <v>289000</v>
      </c>
    </row>
    <row r="1130">
      <c r="A1130">
        <v>244</v>
      </c>
      <c r="B1130" s="33">
        <f>VLOOKUP(A1130,'Cắt Gội'!$A:$C,3,0)</f>
      </c>
      <c r="D1130">
        <v>934</v>
      </c>
      <c r="E1130" s="33">
        <f>B1130&amp;D1130</f>
      </c>
      <c r="F1130" t="str">
        <v>Gội combo 3 - Dưỡng sinh</v>
      </c>
      <c r="G1130">
        <v>229000</v>
      </c>
    </row>
    <row r="1131">
      <c r="A1131">
        <v>244</v>
      </c>
      <c r="B1131" s="33">
        <f>VLOOKUP(A1131,'Cắt Gội'!$A:$C,3,0)</f>
      </c>
      <c r="D1131">
        <v>867</v>
      </c>
      <c r="E1131" s="33">
        <f>B1131&amp;D1131</f>
      </c>
      <c r="F1131" t="str">
        <v>Gội dưỡng sinh cổ vai gáy</v>
      </c>
      <c r="G1131">
        <v>99000</v>
      </c>
    </row>
    <row r="1132">
      <c r="A1132">
        <v>244</v>
      </c>
      <c r="B1132" s="33">
        <f>VLOOKUP(A1132,'Cắt Gội'!$A:$C,3,0)</f>
      </c>
      <c r="D1132">
        <v>1066</v>
      </c>
      <c r="E1132" s="33">
        <f>B1132&amp;D1132</f>
      </c>
      <c r="F1132" t="str">
        <v>Gội trải nghiệm 75p</v>
      </c>
      <c r="G1132">
        <v>589000</v>
      </c>
    </row>
    <row r="1133">
      <c r="A1133">
        <v>244</v>
      </c>
      <c r="B1133" s="33">
        <f>VLOOKUP(A1133,'Cắt Gội'!$A:$C,3,0)</f>
      </c>
      <c r="D1133">
        <v>1067</v>
      </c>
      <c r="E1133" s="33">
        <f>B1133&amp;D1133</f>
      </c>
      <c r="F1133" t="str">
        <v>Gội trải nghiệm 90p</v>
      </c>
      <c r="G1133">
        <v>789000</v>
      </c>
    </row>
    <row r="1134">
      <c r="A1134">
        <v>244</v>
      </c>
      <c r="B1134" s="33">
        <f>VLOOKUP(A1134,'Cắt Gội'!$A:$C,3,0)</f>
      </c>
      <c r="D1134">
        <v>940</v>
      </c>
      <c r="E1134" s="33">
        <f>B1134&amp;D1134</f>
      </c>
      <c r="F1134" t="str">
        <v>[NEW] Gội dưỡng sinh</v>
      </c>
      <c r="G1134">
        <v>59000</v>
      </c>
    </row>
    <row r="1135">
      <c r="A1135">
        <v>245</v>
      </c>
      <c r="B1135" s="33">
        <f>VLOOKUP(A1135,'Cắt Gội'!$A:$C,3,0)</f>
      </c>
      <c r="D1135">
        <v>1058</v>
      </c>
      <c r="E1135" s="33">
        <f>B1135&amp;D1135</f>
      </c>
      <c r="F1135" t="str">
        <v>Gội Combo 2</v>
      </c>
      <c r="G1135">
        <v>159000</v>
      </c>
    </row>
    <row r="1136">
      <c r="A1136">
        <v>245</v>
      </c>
      <c r="B1136" s="33">
        <f>VLOOKUP(A1136,'Cắt Gội'!$A:$C,3,0)</f>
      </c>
      <c r="D1136">
        <v>1059</v>
      </c>
      <c r="E1136" s="33">
        <f>B1136&amp;D1136</f>
      </c>
      <c r="F1136" t="str">
        <v>Gội Combo 3 - Chăm da</v>
      </c>
      <c r="G1136">
        <v>239000</v>
      </c>
    </row>
    <row r="1137">
      <c r="A1137">
        <v>245</v>
      </c>
      <c r="B1137" s="33">
        <f>VLOOKUP(A1137,'Cắt Gội'!$A:$C,3,0)</f>
      </c>
      <c r="D1137">
        <v>1059</v>
      </c>
      <c r="E1137" s="33">
        <f>B1137&amp;D1137</f>
      </c>
      <c r="F1137" t="str">
        <v>Gội Combo 3 - Chăm da</v>
      </c>
      <c r="G1137">
        <v>219000</v>
      </c>
    </row>
    <row r="1138">
      <c r="A1138">
        <v>245</v>
      </c>
      <c r="B1138" s="33">
        <f>VLOOKUP(A1138,'Cắt Gội'!$A:$C,3,0)</f>
      </c>
      <c r="D1138">
        <v>1060</v>
      </c>
      <c r="E1138" s="33">
        <f>B1138&amp;D1138</f>
      </c>
      <c r="F1138" t="str">
        <v>Gội Combo 4</v>
      </c>
      <c r="G1138">
        <v>289000</v>
      </c>
    </row>
    <row r="1139">
      <c r="A1139">
        <v>245</v>
      </c>
      <c r="B1139" s="33">
        <f>VLOOKUP(A1139,'Cắt Gội'!$A:$C,3,0)</f>
      </c>
      <c r="D1139">
        <v>1060</v>
      </c>
      <c r="E1139" s="33">
        <f>B1139&amp;D1139</f>
      </c>
      <c r="F1139" t="str">
        <v>Gội Combo 4</v>
      </c>
      <c r="G1139">
        <v>319000</v>
      </c>
    </row>
    <row r="1140">
      <c r="A1140">
        <v>245</v>
      </c>
      <c r="B1140" s="33">
        <f>VLOOKUP(A1140,'Cắt Gội'!$A:$C,3,0)</f>
      </c>
      <c r="D1140">
        <v>867</v>
      </c>
      <c r="E1140" s="33">
        <f>B1140&amp;D1140</f>
      </c>
      <c r="F1140" t="str">
        <v>Gội dưỡng sinh cổ vai gáy</v>
      </c>
      <c r="G1140">
        <v>95000</v>
      </c>
    </row>
    <row r="1141">
      <c r="A1141">
        <v>245</v>
      </c>
      <c r="B1141" s="33">
        <f>VLOOKUP(A1141,'Cắt Gội'!$A:$C,3,0)</f>
      </c>
      <c r="D1141">
        <v>867</v>
      </c>
      <c r="E1141" s="33">
        <f>B1141&amp;D1141</f>
      </c>
      <c r="F1141" t="str">
        <v>Gội dưỡng sinh cổ vai gáy</v>
      </c>
      <c r="G1141">
        <v>99000</v>
      </c>
    </row>
    <row r="1142">
      <c r="A1142">
        <v>245</v>
      </c>
      <c r="B1142" s="33">
        <f>VLOOKUP(A1142,'Cắt Gội'!$A:$C,3,0)</f>
      </c>
      <c r="D1142">
        <v>1066</v>
      </c>
      <c r="E1142" s="33">
        <f>B1142&amp;D1142</f>
      </c>
      <c r="F1142" t="str">
        <v>Gội trải nghiệm 75p</v>
      </c>
      <c r="G1142">
        <v>589000</v>
      </c>
    </row>
    <row r="1143">
      <c r="A1143">
        <v>245</v>
      </c>
      <c r="B1143" s="33">
        <f>VLOOKUP(A1143,'Cắt Gội'!$A:$C,3,0)</f>
      </c>
      <c r="D1143">
        <v>1067</v>
      </c>
      <c r="E1143" s="33">
        <f>B1143&amp;D1143</f>
      </c>
      <c r="F1143" t="str">
        <v>Gội trải nghiệm 90p</v>
      </c>
      <c r="G1143">
        <v>789000</v>
      </c>
    </row>
    <row r="1144">
      <c r="A1144">
        <v>245</v>
      </c>
      <c r="B1144" s="33">
        <f>VLOOKUP(A1144,'Cắt Gội'!$A:$C,3,0)</f>
      </c>
      <c r="D1144">
        <v>940</v>
      </c>
      <c r="E1144" s="33">
        <f>B1144&amp;D1144</f>
      </c>
      <c r="F1144" t="str">
        <v>[NEW] Gội dưỡng sinh</v>
      </c>
      <c r="G1144">
        <v>59000</v>
      </c>
    </row>
    <row r="1145">
      <c r="A1145">
        <v>247</v>
      </c>
      <c r="B1145" s="33">
        <f>VLOOKUP(A1145,'Cắt Gội'!$A:$C,3,0)</f>
      </c>
      <c r="D1145">
        <v>1058</v>
      </c>
      <c r="E1145" s="33">
        <f>B1145&amp;D1145</f>
      </c>
      <c r="F1145" t="str">
        <v>Gội Combo 2</v>
      </c>
      <c r="G1145">
        <v>159000</v>
      </c>
    </row>
    <row r="1146">
      <c r="A1146">
        <v>247</v>
      </c>
      <c r="B1146" s="33">
        <f>VLOOKUP(A1146,'Cắt Gội'!$A:$C,3,0)</f>
      </c>
      <c r="D1146">
        <v>1058</v>
      </c>
      <c r="E1146" s="33">
        <f>B1146&amp;D1146</f>
      </c>
      <c r="F1146" t="str">
        <v>Gội Combo 2</v>
      </c>
      <c r="G1146">
        <v>139000</v>
      </c>
    </row>
    <row r="1147">
      <c r="A1147">
        <v>247</v>
      </c>
      <c r="B1147" s="33">
        <f>VLOOKUP(A1147,'Cắt Gội'!$A:$C,3,0)</f>
      </c>
      <c r="D1147">
        <v>1059</v>
      </c>
      <c r="E1147" s="33">
        <f>B1147&amp;D1147</f>
      </c>
      <c r="F1147" t="str">
        <v>Gội Combo 3 - Chăm da</v>
      </c>
      <c r="G1147">
        <v>219000</v>
      </c>
    </row>
    <row r="1148">
      <c r="A1148">
        <v>247</v>
      </c>
      <c r="B1148" s="33">
        <f>VLOOKUP(A1148,'Cắt Gội'!$A:$C,3,0)</f>
      </c>
      <c r="D1148">
        <v>1059</v>
      </c>
      <c r="E1148" s="33">
        <f>B1148&amp;D1148</f>
      </c>
      <c r="F1148" t="str">
        <v>Gội Combo 3 - Chăm da</v>
      </c>
      <c r="G1148">
        <v>239000</v>
      </c>
    </row>
    <row r="1149">
      <c r="A1149">
        <v>247</v>
      </c>
      <c r="B1149" s="33">
        <f>VLOOKUP(A1149,'Cắt Gội'!$A:$C,3,0)</f>
      </c>
      <c r="D1149">
        <v>1060</v>
      </c>
      <c r="E1149" s="33">
        <f>B1149&amp;D1149</f>
      </c>
      <c r="F1149" t="str">
        <v>Gội Combo 4</v>
      </c>
      <c r="G1149">
        <v>319000</v>
      </c>
    </row>
    <row r="1150">
      <c r="A1150">
        <v>247</v>
      </c>
      <c r="B1150" s="33">
        <f>VLOOKUP(A1150,'Cắt Gội'!$A:$C,3,0)</f>
      </c>
      <c r="D1150">
        <v>1060</v>
      </c>
      <c r="E1150" s="33">
        <f>B1150&amp;D1150</f>
      </c>
      <c r="F1150" t="str">
        <v>Gội Combo 4</v>
      </c>
      <c r="G1150">
        <v>289000</v>
      </c>
    </row>
    <row r="1151">
      <c r="A1151">
        <v>247</v>
      </c>
      <c r="B1151" s="33">
        <f>VLOOKUP(A1151,'Cắt Gội'!$A:$C,3,0)</f>
      </c>
      <c r="D1151">
        <v>867</v>
      </c>
      <c r="E1151" s="33">
        <f>B1151&amp;D1151</f>
      </c>
      <c r="F1151" t="str">
        <v>Gội dưỡng sinh cổ vai gáy</v>
      </c>
      <c r="G1151">
        <v>99000</v>
      </c>
    </row>
    <row r="1152">
      <c r="A1152">
        <v>247</v>
      </c>
      <c r="B1152" s="33">
        <f>VLOOKUP(A1152,'Cắt Gội'!$A:$C,3,0)</f>
      </c>
      <c r="D1152">
        <v>940</v>
      </c>
      <c r="E1152" s="33">
        <f>B1152&amp;D1152</f>
      </c>
      <c r="F1152" t="str">
        <v>[NEW] Gội dưỡng sinh</v>
      </c>
      <c r="G1152">
        <v>59000</v>
      </c>
    </row>
    <row r="1153">
      <c r="A1153">
        <v>249</v>
      </c>
      <c r="B1153" s="33">
        <f>VLOOKUP(A1153,'Cắt Gội'!$A:$C,3,0)</f>
      </c>
      <c r="D1153">
        <v>1058</v>
      </c>
      <c r="E1153" s="33">
        <f>B1153&amp;D1153</f>
      </c>
      <c r="F1153" t="str">
        <v>Gội Combo 2</v>
      </c>
      <c r="G1153">
        <v>159000</v>
      </c>
    </row>
    <row r="1154">
      <c r="A1154">
        <v>249</v>
      </c>
      <c r="B1154" s="33">
        <f>VLOOKUP(A1154,'Cắt Gội'!$A:$C,3,0)</f>
      </c>
      <c r="D1154">
        <v>1059</v>
      </c>
      <c r="E1154" s="33">
        <f>B1154&amp;D1154</f>
      </c>
      <c r="F1154" t="str">
        <v>Gội Combo 3 - Chăm da</v>
      </c>
      <c r="G1154">
        <v>239000</v>
      </c>
    </row>
    <row r="1155">
      <c r="A1155">
        <v>249</v>
      </c>
      <c r="B1155" s="33">
        <f>VLOOKUP(A1155,'Cắt Gội'!$A:$C,3,0)</f>
      </c>
      <c r="D1155">
        <v>1060</v>
      </c>
      <c r="E1155" s="33">
        <f>B1155&amp;D1155</f>
      </c>
      <c r="F1155" t="str">
        <v>Gội Combo 4</v>
      </c>
      <c r="G1155">
        <v>289000</v>
      </c>
    </row>
    <row r="1156">
      <c r="A1156">
        <v>249</v>
      </c>
      <c r="B1156" s="33">
        <f>VLOOKUP(A1156,'Cắt Gội'!$A:$C,3,0)</f>
      </c>
      <c r="D1156">
        <v>1060</v>
      </c>
      <c r="E1156" s="33">
        <f>B1156&amp;D1156</f>
      </c>
      <c r="F1156" t="str">
        <v>Gội Combo 4</v>
      </c>
      <c r="G1156">
        <v>319000</v>
      </c>
    </row>
    <row r="1157">
      <c r="A1157">
        <v>249</v>
      </c>
      <c r="B1157" s="33">
        <f>VLOOKUP(A1157,'Cắt Gội'!$A:$C,3,0)</f>
      </c>
      <c r="D1157">
        <v>867</v>
      </c>
      <c r="E1157" s="33">
        <f>B1157&amp;D1157</f>
      </c>
      <c r="F1157" t="str">
        <v>Gội dưỡng sinh cổ vai gáy</v>
      </c>
      <c r="G1157">
        <v>95000</v>
      </c>
    </row>
    <row r="1158">
      <c r="A1158">
        <v>249</v>
      </c>
      <c r="B1158" s="33">
        <f>VLOOKUP(A1158,'Cắt Gội'!$A:$C,3,0)</f>
      </c>
      <c r="D1158">
        <v>867</v>
      </c>
      <c r="E1158" s="33">
        <f>B1158&amp;D1158</f>
      </c>
      <c r="F1158" t="str">
        <v>Gội dưỡng sinh cổ vai gáy</v>
      </c>
      <c r="G1158">
        <v>99000</v>
      </c>
    </row>
    <row r="1159">
      <c r="A1159">
        <v>249</v>
      </c>
      <c r="B1159" s="33">
        <f>VLOOKUP(A1159,'Cắt Gội'!$A:$C,3,0)</f>
      </c>
      <c r="D1159">
        <v>940</v>
      </c>
      <c r="E1159" s="33">
        <f>B1159&amp;D1159</f>
      </c>
      <c r="F1159" t="str">
        <v>[NEW] Gội dưỡng sinh</v>
      </c>
      <c r="G1159">
        <v>59000</v>
      </c>
    </row>
    <row r="1160">
      <c r="A1160">
        <v>250</v>
      </c>
      <c r="B1160" s="33">
        <f>VLOOKUP(A1160,'Cắt Gội'!$A:$C,3,0)</f>
      </c>
      <c r="D1160">
        <v>1058</v>
      </c>
      <c r="E1160" s="33">
        <f>B1160&amp;D1160</f>
      </c>
      <c r="F1160" t="str">
        <v>Gội Combo 2</v>
      </c>
      <c r="G1160">
        <v>159000</v>
      </c>
    </row>
    <row r="1161">
      <c r="A1161">
        <v>250</v>
      </c>
      <c r="B1161" s="33">
        <f>VLOOKUP(A1161,'Cắt Gội'!$A:$C,3,0)</f>
      </c>
      <c r="D1161">
        <v>1059</v>
      </c>
      <c r="E1161" s="33">
        <f>B1161&amp;D1161</f>
      </c>
      <c r="F1161" t="str">
        <v>Gội Combo 3 - Chăm da</v>
      </c>
      <c r="G1161">
        <v>219000</v>
      </c>
    </row>
    <row r="1162">
      <c r="A1162">
        <v>250</v>
      </c>
      <c r="B1162" s="33">
        <f>VLOOKUP(A1162,'Cắt Gội'!$A:$C,3,0)</f>
      </c>
      <c r="D1162">
        <v>1059</v>
      </c>
      <c r="E1162" s="33">
        <f>B1162&amp;D1162</f>
      </c>
      <c r="F1162" t="str">
        <v>Gội Combo 3 - Chăm da</v>
      </c>
      <c r="G1162">
        <v>239000</v>
      </c>
    </row>
    <row r="1163">
      <c r="A1163">
        <v>250</v>
      </c>
      <c r="B1163" s="33">
        <f>VLOOKUP(A1163,'Cắt Gội'!$A:$C,3,0)</f>
      </c>
      <c r="D1163">
        <v>1060</v>
      </c>
      <c r="E1163" s="33">
        <f>B1163&amp;D1163</f>
      </c>
      <c r="F1163" t="str">
        <v>Gội Combo 4</v>
      </c>
      <c r="G1163">
        <v>289000</v>
      </c>
    </row>
    <row r="1164">
      <c r="A1164">
        <v>250</v>
      </c>
      <c r="B1164" s="33">
        <f>VLOOKUP(A1164,'Cắt Gội'!$A:$C,3,0)</f>
      </c>
      <c r="D1164">
        <v>1060</v>
      </c>
      <c r="E1164" s="33">
        <f>B1164&amp;D1164</f>
      </c>
      <c r="F1164" t="str">
        <v>Gội Combo 4</v>
      </c>
      <c r="G1164">
        <v>319000</v>
      </c>
    </row>
    <row r="1165">
      <c r="A1165">
        <v>250</v>
      </c>
      <c r="B1165" s="33">
        <f>VLOOKUP(A1165,'Cắt Gội'!$A:$C,3,0)</f>
      </c>
      <c r="D1165">
        <v>934</v>
      </c>
      <c r="E1165" s="33">
        <f>B1165&amp;D1165</f>
      </c>
      <c r="F1165" t="str">
        <v>Gội combo 3 - Dưỡng sinh</v>
      </c>
      <c r="G1165">
        <v>229000</v>
      </c>
    </row>
    <row r="1166">
      <c r="A1166">
        <v>250</v>
      </c>
      <c r="B1166" s="33">
        <f>VLOOKUP(A1166,'Cắt Gội'!$A:$C,3,0)</f>
      </c>
      <c r="D1166">
        <v>867</v>
      </c>
      <c r="E1166" s="33">
        <f>B1166&amp;D1166</f>
      </c>
      <c r="F1166" t="str">
        <v>Gội dưỡng sinh cổ vai gáy</v>
      </c>
      <c r="G1166">
        <v>95000</v>
      </c>
    </row>
    <row r="1167">
      <c r="A1167">
        <v>250</v>
      </c>
      <c r="B1167" s="33">
        <f>VLOOKUP(A1167,'Cắt Gội'!$A:$C,3,0)</f>
      </c>
      <c r="D1167">
        <v>867</v>
      </c>
      <c r="E1167" s="33">
        <f>B1167&amp;D1167</f>
      </c>
      <c r="F1167" t="str">
        <v>Gội dưỡng sinh cổ vai gáy</v>
      </c>
      <c r="G1167">
        <v>99000</v>
      </c>
    </row>
    <row r="1168">
      <c r="A1168">
        <v>250</v>
      </c>
      <c r="B1168" s="33">
        <f>VLOOKUP(A1168,'Cắt Gội'!$A:$C,3,0)</f>
      </c>
      <c r="D1168">
        <v>1068</v>
      </c>
      <c r="E1168" s="33">
        <f>B1168&amp;D1168</f>
      </c>
      <c r="F1168" t="str">
        <v>Gội trải nghiệm 115p</v>
      </c>
      <c r="G1168">
        <v>999000</v>
      </c>
    </row>
    <row r="1169">
      <c r="A1169">
        <v>250</v>
      </c>
      <c r="B1169" s="33">
        <f>VLOOKUP(A1169,'Cắt Gội'!$A:$C,3,0)</f>
      </c>
      <c r="D1169">
        <v>1066</v>
      </c>
      <c r="E1169" s="33">
        <f>B1169&amp;D1169</f>
      </c>
      <c r="F1169" t="str">
        <v>Gội trải nghiệm 75p</v>
      </c>
      <c r="G1169">
        <v>589000</v>
      </c>
    </row>
    <row r="1170">
      <c r="A1170">
        <v>250</v>
      </c>
      <c r="B1170" s="33">
        <f>VLOOKUP(A1170,'Cắt Gội'!$A:$C,3,0)</f>
      </c>
      <c r="D1170">
        <v>1067</v>
      </c>
      <c r="E1170" s="33">
        <f>B1170&amp;D1170</f>
      </c>
      <c r="F1170" t="str">
        <v>Gội trải nghiệm 90p</v>
      </c>
      <c r="G1170">
        <v>789000</v>
      </c>
    </row>
    <row r="1171">
      <c r="A1171">
        <v>250</v>
      </c>
      <c r="B1171" s="33">
        <f>VLOOKUP(A1171,'Cắt Gội'!$A:$C,3,0)</f>
      </c>
      <c r="D1171">
        <v>940</v>
      </c>
      <c r="E1171" s="33">
        <f>B1171&amp;D1171</f>
      </c>
      <c r="F1171" t="str">
        <v>[NEW] Gội dưỡng sinh</v>
      </c>
      <c r="G1171">
        <v>59000</v>
      </c>
    </row>
    <row r="1172">
      <c r="A1172">
        <v>274</v>
      </c>
      <c r="B1172" s="33">
        <f>VLOOKUP(A1172,'Cắt Gội'!$A:$C,3,0)</f>
      </c>
      <c r="D1172">
        <v>1104</v>
      </c>
      <c r="E1172" s="33">
        <f>B1172&amp;D1172</f>
      </c>
      <c r="F1172" t="str">
        <v>Dual Vip Combo 60p</v>
      </c>
      <c r="G1172">
        <v>349500</v>
      </c>
    </row>
    <row r="1173">
      <c r="A1173">
        <v>274</v>
      </c>
      <c r="B1173" s="33">
        <f>VLOOKUP(A1173,'Cắt Gội'!$A:$C,3,0)</f>
      </c>
      <c r="D1173">
        <v>1058</v>
      </c>
      <c r="E1173" s="33">
        <f>B1173&amp;D1173</f>
      </c>
      <c r="F1173" t="str">
        <v>Gội Combo 2</v>
      </c>
      <c r="G1173">
        <v>159000</v>
      </c>
    </row>
    <row r="1174">
      <c r="A1174">
        <v>274</v>
      </c>
      <c r="B1174" s="33">
        <f>VLOOKUP(A1174,'Cắt Gội'!$A:$C,3,0)</f>
      </c>
      <c r="D1174">
        <v>1059</v>
      </c>
      <c r="E1174" s="33">
        <f>B1174&amp;D1174</f>
      </c>
      <c r="F1174" t="str">
        <v>Gội Combo 3 - Chăm da</v>
      </c>
      <c r="G1174">
        <v>239000</v>
      </c>
    </row>
    <row r="1175">
      <c r="A1175">
        <v>274</v>
      </c>
      <c r="B1175" s="33">
        <f>VLOOKUP(A1175,'Cắt Gội'!$A:$C,3,0)</f>
      </c>
      <c r="D1175">
        <v>1060</v>
      </c>
      <c r="E1175" s="33">
        <f>B1175&amp;D1175</f>
      </c>
      <c r="F1175" t="str">
        <v>Gội Combo 4</v>
      </c>
      <c r="G1175">
        <v>289000</v>
      </c>
    </row>
    <row r="1176">
      <c r="A1176">
        <v>274</v>
      </c>
      <c r="B1176" s="33">
        <f>VLOOKUP(A1176,'Cắt Gội'!$A:$C,3,0)</f>
      </c>
      <c r="D1176">
        <v>934</v>
      </c>
      <c r="E1176" s="33">
        <f>B1176&amp;D1176</f>
      </c>
      <c r="F1176" t="str">
        <v>Gội combo 3 - Dưỡng sinh</v>
      </c>
      <c r="G1176">
        <v>229000</v>
      </c>
    </row>
    <row r="1177">
      <c r="A1177">
        <v>274</v>
      </c>
      <c r="B1177" s="33">
        <f>VLOOKUP(A1177,'Cắt Gội'!$A:$C,3,0)</f>
      </c>
      <c r="D1177">
        <v>867</v>
      </c>
      <c r="E1177" s="33">
        <f>B1177&amp;D1177</f>
      </c>
      <c r="F1177" t="str">
        <v>Gội dưỡng sinh cổ vai gáy</v>
      </c>
      <c r="G1177">
        <v>99000</v>
      </c>
    </row>
    <row r="1178">
      <c r="A1178">
        <v>274</v>
      </c>
      <c r="B1178" s="33">
        <f>VLOOKUP(A1178,'Cắt Gội'!$A:$C,3,0)</f>
      </c>
      <c r="D1178">
        <v>1066</v>
      </c>
      <c r="E1178" s="33">
        <f>B1178&amp;D1178</f>
      </c>
      <c r="F1178" t="str">
        <v>Gội trải nghiệm 75p</v>
      </c>
      <c r="G1178">
        <v>589000</v>
      </c>
    </row>
    <row r="1179">
      <c r="A1179">
        <v>274</v>
      </c>
      <c r="B1179" s="33">
        <f>VLOOKUP(A1179,'Cắt Gội'!$A:$C,3,0)</f>
      </c>
      <c r="D1179">
        <v>940</v>
      </c>
      <c r="E1179" s="33">
        <f>B1179&amp;D1179</f>
      </c>
      <c r="F1179" t="str">
        <v>[NEW] Gội dưỡng sinh</v>
      </c>
      <c r="G1179">
        <v>59000</v>
      </c>
    </row>
    <row r="1180">
      <c r="A1180">
        <v>302</v>
      </c>
      <c r="B1180" s="33">
        <f>VLOOKUP(A1180,'Cắt Gội'!$A:$C,3,0)</f>
      </c>
      <c r="D1180">
        <v>1058</v>
      </c>
      <c r="E1180" s="33">
        <f>B1180&amp;D1180</f>
      </c>
      <c r="F1180" t="str">
        <v>Gội Combo 2</v>
      </c>
      <c r="G1180">
        <v>159000</v>
      </c>
    </row>
    <row r="1181">
      <c r="A1181">
        <v>302</v>
      </c>
      <c r="B1181" s="33">
        <f>VLOOKUP(A1181,'Cắt Gội'!$A:$C,3,0)</f>
      </c>
      <c r="D1181">
        <v>1059</v>
      </c>
      <c r="E1181" s="33">
        <f>B1181&amp;D1181</f>
      </c>
      <c r="F1181" t="str">
        <v>Gội Combo 3 - Chăm da</v>
      </c>
      <c r="G1181">
        <v>219000</v>
      </c>
    </row>
    <row r="1182">
      <c r="A1182">
        <v>302</v>
      </c>
      <c r="B1182" s="33">
        <f>VLOOKUP(A1182,'Cắt Gội'!$A:$C,3,0)</f>
      </c>
      <c r="D1182">
        <v>1059</v>
      </c>
      <c r="E1182" s="33">
        <f>B1182&amp;D1182</f>
      </c>
      <c r="F1182" t="str">
        <v>Gội Combo 3 - Chăm da</v>
      </c>
      <c r="G1182">
        <v>239000</v>
      </c>
    </row>
    <row r="1183">
      <c r="A1183">
        <v>302</v>
      </c>
      <c r="B1183" s="33">
        <f>VLOOKUP(A1183,'Cắt Gội'!$A:$C,3,0)</f>
      </c>
      <c r="D1183">
        <v>1060</v>
      </c>
      <c r="E1183" s="33">
        <f>B1183&amp;D1183</f>
      </c>
      <c r="F1183" t="str">
        <v>Gội Combo 4</v>
      </c>
      <c r="G1183">
        <v>289000</v>
      </c>
    </row>
    <row r="1184">
      <c r="A1184">
        <v>302</v>
      </c>
      <c r="B1184" s="33">
        <f>VLOOKUP(A1184,'Cắt Gội'!$A:$C,3,0)</f>
      </c>
      <c r="D1184">
        <v>1060</v>
      </c>
      <c r="E1184" s="33">
        <f>B1184&amp;D1184</f>
      </c>
      <c r="F1184" t="str">
        <v>Gội Combo 4</v>
      </c>
      <c r="G1184">
        <v>319000</v>
      </c>
    </row>
    <row r="1185">
      <c r="A1185">
        <v>302</v>
      </c>
      <c r="B1185" s="33">
        <f>VLOOKUP(A1185,'Cắt Gội'!$A:$C,3,0)</f>
      </c>
      <c r="D1185">
        <v>934</v>
      </c>
      <c r="E1185" s="33">
        <f>B1185&amp;D1185</f>
      </c>
      <c r="F1185" t="str">
        <v>Gội combo 3 - Dưỡng sinh</v>
      </c>
      <c r="G1185">
        <v>229000</v>
      </c>
    </row>
    <row r="1186">
      <c r="A1186">
        <v>302</v>
      </c>
      <c r="B1186" s="33">
        <f>VLOOKUP(A1186,'Cắt Gội'!$A:$C,3,0)</f>
      </c>
      <c r="D1186">
        <v>867</v>
      </c>
      <c r="E1186" s="33">
        <f>B1186&amp;D1186</f>
      </c>
      <c r="F1186" t="str">
        <v>Gội dưỡng sinh cổ vai gáy</v>
      </c>
      <c r="G1186">
        <v>99000</v>
      </c>
    </row>
    <row r="1187">
      <c r="A1187">
        <v>302</v>
      </c>
      <c r="B1187" s="33">
        <f>VLOOKUP(A1187,'Cắt Gội'!$A:$C,3,0)</f>
      </c>
      <c r="D1187">
        <v>867</v>
      </c>
      <c r="E1187" s="33">
        <f>B1187&amp;D1187</f>
      </c>
      <c r="F1187" t="str">
        <v>Gội dưỡng sinh cổ vai gáy</v>
      </c>
      <c r="G1187">
        <v>95000</v>
      </c>
    </row>
    <row r="1188">
      <c r="A1188">
        <v>302</v>
      </c>
      <c r="B1188" s="33">
        <f>VLOOKUP(A1188,'Cắt Gội'!$A:$C,3,0)</f>
      </c>
      <c r="D1188">
        <v>1068</v>
      </c>
      <c r="E1188" s="33">
        <f>B1188&amp;D1188</f>
      </c>
      <c r="F1188" t="str">
        <v>Gội trải nghiệm 115p</v>
      </c>
      <c r="G1188">
        <v>999000</v>
      </c>
    </row>
    <row r="1189">
      <c r="A1189">
        <v>302</v>
      </c>
      <c r="B1189" s="33">
        <f>VLOOKUP(A1189,'Cắt Gội'!$A:$C,3,0)</f>
      </c>
      <c r="D1189">
        <v>1066</v>
      </c>
      <c r="E1189" s="33">
        <f>B1189&amp;D1189</f>
      </c>
      <c r="F1189" t="str">
        <v>Gội trải nghiệm 75p</v>
      </c>
      <c r="G1189">
        <v>589000</v>
      </c>
    </row>
    <row r="1190">
      <c r="A1190">
        <v>302</v>
      </c>
      <c r="B1190" s="33">
        <f>VLOOKUP(A1190,'Cắt Gội'!$A:$C,3,0)</f>
      </c>
      <c r="D1190">
        <v>1067</v>
      </c>
      <c r="E1190" s="33">
        <f>B1190&amp;D1190</f>
      </c>
      <c r="F1190" t="str">
        <v>Gội trải nghiệm 90p</v>
      </c>
      <c r="G1190">
        <v>789000</v>
      </c>
    </row>
    <row r="1191">
      <c r="A1191">
        <v>302</v>
      </c>
      <c r="B1191" s="33">
        <f>VLOOKUP(A1191,'Cắt Gội'!$A:$C,3,0)</f>
      </c>
      <c r="D1191">
        <v>940</v>
      </c>
      <c r="E1191" s="33">
        <f>B1191&amp;D1191</f>
      </c>
      <c r="F1191" t="str">
        <v>[NEW] Gội dưỡng sinh</v>
      </c>
      <c r="G1191">
        <v>59000</v>
      </c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4"/>
    <col collapsed="false" customWidth="true" hidden="false" max="3" min="3" style="0" width="21"/>
    <col collapsed="false" customWidth="true" hidden="true" max="3" min="3" style="0" width="21"/>
    <col collapsed="false" customWidth="true" hidden="false" max="4" min="4" style="0" width="21"/>
    <col collapsed="false" customWidth="true" hidden="false" max="5" min="5" style="0" width="27"/>
    <col collapsed="false" customWidth="true" hidden="false" max="7" min="7" style="0" width="46"/>
    <col collapsed="false" customWidth="true" hidden="false" max="8" min="8" style="0" width="14"/>
    <col collapsed="false" customWidth="true" hidden="false" max="9" min="9" style="0" width="35"/>
    <col collapsed="false" customWidth="true" hidden="false" max="10" min="10" style="0" width="20"/>
    <col collapsed="false" customWidth="true" hidden="false" max="11" min="11" style="0" width="20"/>
    <col collapsed="false" customWidth="true" hidden="false" max="1" min="1" style="0" width="30"/>
    <col collapsed="false" customWidth="true" hidden="false" max="2" min="2" style="0" width="24"/>
    <col collapsed="false" customWidth="true" hidden="true" max="2" min="2" style="0" width="24"/>
    <col collapsed="false" customWidth="true" hidden="false" max="3" min="3" style="0" width="21"/>
    <col collapsed="false" customWidth="true" hidden="true" max="3" min="3" style="0" width="21"/>
    <col collapsed="false" customWidth="true" hidden="false" max="4" min="4" style="0" width="21"/>
    <col collapsed="false" customWidth="true" hidden="false" max="5" min="5" style="0" width="27"/>
    <col collapsed="false" customWidth="true" hidden="false" max="7" min="7" style="0" width="40"/>
    <col collapsed="false" customWidth="true" hidden="false" max="10" min="10" style="0" width="14"/>
    <col collapsed="false" customWidth="true" hidden="true" max="10" min="10" style="0" width="14"/>
    <col collapsed="false" customWidth="true" hidden="false" max="12" min="12" style="0" width="23"/>
    <col collapsed="false" customWidth="true" hidden="false" max="13" min="13" style="0" width="21"/>
    <col collapsed="false" customWidth="true" hidden="false" max="16" min="16" style="0" width="19"/>
    <col collapsed="false" customWidth="true" hidden="false" max="17" min="17" style="0" width="23"/>
  </cols>
  <sheetData>
    <row customHeight="true" ht="19" r="1">
      <c r="A1" s="38" t="str">
        <v>Option chỉ tăng SC - Cắt</v>
      </c>
      <c r="B1" s="38"/>
      <c r="C1" s="38"/>
      <c r="D1" s="38"/>
      <c r="E1" s="39"/>
      <c r="G1" s="37" t="str">
        <v>Kịch bản điều chỉnh</v>
      </c>
      <c r="H1" s="63" t="str">
        <v>ID Salon</v>
      </c>
      <c r="I1" s="64" t="str">
        <v>Salon</v>
      </c>
      <c r="J1" s="64" t="str">
        <v>Giá hiện tại</v>
      </c>
      <c r="K1" s="64" t="str">
        <v>ID DV</v>
      </c>
      <c r="L1" s="64" t="str">
        <v>Tên dịch vụ</v>
      </c>
      <c r="M1" s="66" t="str">
        <v>% tăng DV Cắt xả</v>
      </c>
      <c r="N1" s="65" t="str">
        <v>Giá cũ (đ)</v>
      </c>
      <c r="O1" s="65" t="str">
        <v>Giá mới (đ)</v>
      </c>
      <c r="P1" s="65" t="str">
        <v>Chênh lệch giá (đ)</v>
      </c>
    </row>
    <row r="2">
      <c r="A2" s="40" t="str">
        <v>Nhóm DV</v>
      </c>
      <c r="B2" s="40" t="str">
        <v>DT tăng thêm 11 ngày T3 (1-11/3)</v>
      </c>
      <c r="C2" s="40" t="str">
        <v>Ước tính tháng 3</v>
      </c>
      <c r="D2" s="40" t="str">
        <v>Ước tính số DT tăng từ 13-31 tháng 3</v>
      </c>
      <c r="E2" s="41" t="str">
        <v>AOV tăng = DT tăng/Số khách</v>
      </c>
      <c r="G2" s="37" t="str">
        <v>Giá tăng theo % tăng DV Cắt xả</v>
      </c>
      <c r="H2" s="51">
        <v>143</v>
      </c>
      <c r="I2" s="54" t="str">
        <v>10 TP</v>
      </c>
      <c r="J2" s="52" t="str">
        <v>DV_Cắt</v>
      </c>
      <c r="K2" s="52">
        <v>513</v>
      </c>
      <c r="L2" s="48" t="str">
        <f>K2-J2</f>
        <v>[DV] ShineCombo 10 bước Ultra Care 2023</v>
      </c>
      <c r="M2" s="53">
        <v>0.0106382978723405</v>
      </c>
      <c r="N2" s="49">
        <v>122000</v>
      </c>
      <c r="O2" s="49">
        <v>122000</v>
      </c>
      <c r="P2" s="61"/>
    </row>
    <row r="3">
      <c r="A3" s="44" t="str">
        <v>DT tăng thêm</v>
      </c>
      <c r="B3" s="42">
        <f>SUM(B4:B5)</f>
      </c>
      <c r="C3" s="42">
        <f>SUM(C4:C5)</f>
      </c>
      <c r="D3" s="42">
        <f>C3-B3</f>
      </c>
      <c r="E3" s="43">
        <f>B3/39301</f>
      </c>
      <c r="G3" s="5" t="str">
        <v>Giá mới = Giá cũ × (1 + % tăng DV Cắt xả)</v>
      </c>
      <c r="H3" s="62">
        <v>143</v>
      </c>
      <c r="I3" s="54" t="str">
        <v>10 TP</v>
      </c>
      <c r="J3" s="56" t="str">
        <v>DV_Cắt</v>
      </c>
      <c r="K3" s="56">
        <v>891</v>
      </c>
      <c r="L3" s="60" t="str">
        <f>K3-J3</f>
        <v>Cắt xả tạo kiểu</v>
      </c>
      <c r="M3" s="57">
        <v>0.0106382978723405</v>
      </c>
      <c r="N3" s="58">
        <v>94000</v>
      </c>
      <c r="O3" s="58">
        <v>95000</v>
      </c>
      <c r="P3" s="50">
        <v>1000</v>
      </c>
    </row>
    <row r="4">
      <c r="A4" s="45" t="str">
        <v>DV_Cắt</v>
      </c>
      <c r="B4" s="42">
        <v>23230000</v>
      </c>
      <c r="C4" s="42">
        <v>63354545</v>
      </c>
      <c r="D4" s="42">
        <f>C4-B4</f>
      </c>
      <c r="E4" s="43">
        <f>B4/39301</f>
      </c>
      <c r="H4" s="51">
        <v>143</v>
      </c>
      <c r="I4" s="54" t="str">
        <v>10 TP</v>
      </c>
      <c r="J4" s="52" t="str">
        <v>DV_Cắt</v>
      </c>
      <c r="K4" s="52">
        <v>1002</v>
      </c>
      <c r="L4" s="48" t="str">
        <f>K4-J4</f>
        <v>Kid Cắt</v>
      </c>
      <c r="M4" s="53">
        <v>0.0106382978723405</v>
      </c>
      <c r="N4" s="49">
        <v>75000</v>
      </c>
      <c r="O4" s="49">
        <v>76000</v>
      </c>
      <c r="P4" s="50">
        <v>1000</v>
      </c>
    </row>
    <row r="5">
      <c r="A5" s="45" t="str">
        <v>DV_Cắt_Vip</v>
      </c>
      <c r="B5" s="42">
        <v>88719000</v>
      </c>
      <c r="C5" s="42">
        <v>241960909</v>
      </c>
      <c r="D5" s="42">
        <f>C5-B5</f>
      </c>
      <c r="E5" s="43">
        <f>B5/39301</f>
      </c>
      <c r="H5" s="62">
        <v>143</v>
      </c>
      <c r="I5" s="54" t="str">
        <v>10 TP</v>
      </c>
      <c r="J5" s="56" t="str">
        <v>DV_Cắt</v>
      </c>
      <c r="K5" s="56">
        <v>1052</v>
      </c>
      <c r="L5" s="60" t="str">
        <f>K5-J5</f>
        <v>Combo 1 - First Class 1</v>
      </c>
      <c r="M5" s="57">
        <v>0.0106382978723405</v>
      </c>
      <c r="N5" s="58">
        <v>139000</v>
      </c>
      <c r="O5" s="58">
        <v>139000</v>
      </c>
      <c r="P5" s="61"/>
    </row>
    <row r="6">
      <c r="D6" s="46"/>
      <c r="H6" s="51">
        <v>143</v>
      </c>
      <c r="I6" s="54" t="str">
        <v>10 TP</v>
      </c>
      <c r="J6" s="52" t="str">
        <v>DV_Cắt</v>
      </c>
      <c r="K6" s="52">
        <v>1070</v>
      </c>
      <c r="L6" s="48" t="str">
        <f>K6-J6</f>
        <v>Combo Cắt gội Kid</v>
      </c>
      <c r="M6" s="53">
        <v>0.0106382978723405</v>
      </c>
      <c r="N6" s="49">
        <v>100000</v>
      </c>
      <c r="O6" s="49">
        <v>101000</v>
      </c>
      <c r="P6" s="50">
        <v>1000</v>
      </c>
    </row>
    <row r="7">
      <c r="A7" s="38" t="str">
        <v>Option tăng Cắt SC + các gói gội</v>
      </c>
      <c r="D7" s="46"/>
      <c r="H7" s="62">
        <v>143</v>
      </c>
      <c r="I7" s="54" t="str">
        <v>10 TP</v>
      </c>
      <c r="J7" s="56" t="str">
        <v>DV_Cắt_Vip</v>
      </c>
      <c r="K7" s="56">
        <v>1046</v>
      </c>
      <c r="L7" s="60" t="str">
        <f>K7-J7</f>
        <v>Shinecombo 2</v>
      </c>
      <c r="M7" s="57">
        <v>0.0106382978723405</v>
      </c>
      <c r="N7" s="58">
        <v>199000</v>
      </c>
      <c r="O7" s="58">
        <v>201000</v>
      </c>
      <c r="P7" s="50">
        <v>2000</v>
      </c>
    </row>
    <row r="8">
      <c r="A8" s="40" t="str">
        <v>Nhóm DV</v>
      </c>
      <c r="B8" s="40" t="str">
        <v>DT tăng thêm 11 ngày T3 (1-11/3)</v>
      </c>
      <c r="C8" s="40" t="str">
        <v>Ước tính tháng 3</v>
      </c>
      <c r="D8" s="40" t="str">
        <v>Ước tính số DT tăng từ 13-31 tháng 3</v>
      </c>
      <c r="E8" s="41" t="str">
        <v>AOV tăng = DT tăng/Số khách</v>
      </c>
      <c r="H8" s="51">
        <v>143</v>
      </c>
      <c r="I8" s="54" t="str">
        <v>10 TP</v>
      </c>
      <c r="J8" s="52" t="str">
        <v>DV_Cắt_Vip</v>
      </c>
      <c r="K8" s="52">
        <v>1047</v>
      </c>
      <c r="L8" s="48" t="str">
        <f>K8-J8</f>
        <v>Cắt Gội Combo 3 - Chăm da</v>
      </c>
      <c r="M8" s="53">
        <v>0.0106382978723405</v>
      </c>
      <c r="N8" s="49">
        <v>299000</v>
      </c>
      <c r="O8" s="49">
        <v>302000</v>
      </c>
      <c r="P8" s="50">
        <v>3000</v>
      </c>
    </row>
    <row r="9">
      <c r="A9" s="44" t="str">
        <v>Tổng DT tăng thêm</v>
      </c>
      <c r="B9" s="42">
        <f>SUM(B10:B12)</f>
      </c>
      <c r="C9" s="42">
        <f>SUM(C10:C12)</f>
      </c>
      <c r="D9" s="42">
        <f>C9-B9</f>
      </c>
      <c r="E9" s="43">
        <f>B9/39301</f>
      </c>
      <c r="H9" s="62">
        <v>143</v>
      </c>
      <c r="I9" s="54" t="str">
        <v>10 TP</v>
      </c>
      <c r="J9" s="56" t="str">
        <v>DV_Cắt_Vip</v>
      </c>
      <c r="K9" s="56">
        <v>1048</v>
      </c>
      <c r="L9" s="60" t="str">
        <f>K9-J9</f>
        <v>Combo 4</v>
      </c>
      <c r="M9" s="57">
        <v>0.0106382978723405</v>
      </c>
      <c r="N9" s="58">
        <v>389000</v>
      </c>
      <c r="O9" s="58">
        <v>393000</v>
      </c>
      <c r="P9" s="50">
        <v>4000</v>
      </c>
    </row>
    <row r="10">
      <c r="A10" s="45" t="str">
        <v>DV_Cắt</v>
      </c>
      <c r="B10" s="42">
        <v>23230000</v>
      </c>
      <c r="C10" s="42">
        <v>63354545</v>
      </c>
      <c r="D10" s="42">
        <f>C10-B10</f>
      </c>
      <c r="E10" s="43">
        <f>B10/39301</f>
      </c>
      <c r="H10" s="51">
        <v>143</v>
      </c>
      <c r="I10" s="54" t="str">
        <v>10 TP</v>
      </c>
      <c r="J10" s="52" t="str">
        <v>DV_Cắt_Vip</v>
      </c>
      <c r="K10" s="52">
        <v>1053</v>
      </c>
      <c r="L10" s="48" t="str">
        <f>K10-J10</f>
        <v>Combo 2 - First Class 2</v>
      </c>
      <c r="M10" s="53">
        <v>0.0106382978723405</v>
      </c>
      <c r="N10" s="49">
        <v>239000</v>
      </c>
      <c r="O10" s="49">
        <v>242000</v>
      </c>
      <c r="P10" s="50">
        <v>3000</v>
      </c>
    </row>
    <row r="11">
      <c r="A11" s="45" t="str">
        <v>DV_Cắt_Vip</v>
      </c>
      <c r="B11" s="42">
        <v>88719000</v>
      </c>
      <c r="C11" s="42">
        <v>241960909</v>
      </c>
      <c r="D11" s="42">
        <f>C11-B11</f>
      </c>
      <c r="E11" s="43">
        <f>B11/39301</f>
      </c>
      <c r="H11" s="62">
        <v>143</v>
      </c>
      <c r="I11" s="54" t="str">
        <v>10 TP</v>
      </c>
      <c r="J11" s="56" t="str">
        <v>DV_Cắt_Vip</v>
      </c>
      <c r="K11" s="56">
        <v>1054</v>
      </c>
      <c r="L11" s="60" t="str">
        <f>K11-J11</f>
        <v>Combo 3 - First Class 3</v>
      </c>
      <c r="M11" s="57">
        <v>0.0106382978723405</v>
      </c>
      <c r="N11" s="58">
        <v>309000</v>
      </c>
      <c r="O11" s="58">
        <v>312000</v>
      </c>
      <c r="P11" s="50">
        <v>3000</v>
      </c>
    </row>
    <row r="12">
      <c r="A12" s="47" t="str">
        <v>DV Gội</v>
      </c>
      <c r="B12" s="43">
        <v>37956500</v>
      </c>
      <c r="C12" s="43">
        <v>103517727</v>
      </c>
      <c r="D12" s="42">
        <f>C12-B12</f>
      </c>
      <c r="E12" s="43">
        <f>B12/39301</f>
      </c>
      <c r="H12" s="51">
        <v>143</v>
      </c>
      <c r="I12" s="54" t="str">
        <v>10 TP</v>
      </c>
      <c r="J12" s="52" t="str">
        <v>DV_Cắt_Vip</v>
      </c>
      <c r="K12" s="52">
        <v>1055</v>
      </c>
      <c r="L12" s="48" t="str">
        <f>K12-J12</f>
        <v>Combo 4- First Class 4</v>
      </c>
      <c r="M12" s="53">
        <v>0.0106382978723405</v>
      </c>
      <c r="N12" s="49">
        <v>409000</v>
      </c>
      <c r="O12" s="49">
        <v>413000</v>
      </c>
      <c r="P12" s="50">
        <v>4000</v>
      </c>
    </row>
    <row r="13">
      <c r="D13" s="46"/>
      <c r="H13" s="62">
        <v>143</v>
      </c>
      <c r="I13" s="54" t="str">
        <v>10 TP</v>
      </c>
      <c r="J13" s="56" t="str">
        <v>DV_Cắt_Vip</v>
      </c>
      <c r="K13" s="56">
        <v>1064</v>
      </c>
      <c r="L13" s="60" t="str">
        <f>K13-J13</f>
        <v>Cắt Gội Combo 5 - Dưỡng sinh</v>
      </c>
      <c r="M13" s="57">
        <v>0.0106382978723405</v>
      </c>
      <c r="N13" s="58">
        <v>459000</v>
      </c>
      <c r="O13" s="58">
        <v>464000</v>
      </c>
      <c r="P13" s="50">
        <v>5000</v>
      </c>
    </row>
    <row r="14">
      <c r="A14" s="2" t="str">
        <v>TRIẾT LÝ CỐT LÕI</v>
      </c>
      <c r="H14" s="51">
        <v>143</v>
      </c>
      <c r="I14" s="54" t="str">
        <v>10 TP</v>
      </c>
      <c r="J14" s="52" t="str">
        <v>DV_Cắt_Vip</v>
      </c>
      <c r="K14" s="52">
        <v>1065</v>
      </c>
      <c r="L14" s="48" t="str">
        <f>K14-J14</f>
        <v>Cắt Gội Combo 3 - Dưỡng sinh</v>
      </c>
      <c r="M14" s="53">
        <v>0.0106382978723405</v>
      </c>
      <c r="N14" s="49">
        <v>299000</v>
      </c>
      <c r="O14" s="49">
        <v>302000</v>
      </c>
      <c r="P14" s="50">
        <v>3000</v>
      </c>
    </row>
    <row r="15">
      <c r="A15" s="1" t="str">
        <v>Tầng 1: WTP → Xác định KHUNG GIÁ [Sàn L ; Trần H]</v>
      </c>
      <c r="H15" s="62">
        <v>143</v>
      </c>
      <c r="I15" s="54" t="str">
        <v>10 TP</v>
      </c>
      <c r="J15" s="56" t="str">
        <v>DV_Gội</v>
      </c>
      <c r="K15" s="56">
        <v>867</v>
      </c>
      <c r="L15" s="60" t="str">
        <f>K15-J15</f>
        <v>Gội dưỡng sinh cổ vai gáy</v>
      </c>
      <c r="M15" s="57">
        <v>0.0106382978723405</v>
      </c>
      <c r="N15" s="58">
        <v>99000</v>
      </c>
      <c r="O15" s="58">
        <v>100000</v>
      </c>
      <c r="P15" s="50">
        <v>1000</v>
      </c>
    </row>
    <row r="16">
      <c r="A16" s="1" t="str">
        <v>Tầng 2: CPI × EPI → Xác định VỊ TRÍ trong khung WTP</v>
      </c>
      <c r="H16" s="51">
        <v>143</v>
      </c>
      <c r="I16" s="54" t="str">
        <v>10 TP</v>
      </c>
      <c r="J16" s="52" t="str">
        <v>DV_Gội</v>
      </c>
      <c r="K16" s="52">
        <v>930</v>
      </c>
      <c r="L16" s="48" t="str">
        <f>K16-J16</f>
        <v>[NEW] Gội dưỡng sinh cổ vai gáy và chăm sóc da</v>
      </c>
      <c r="M16" s="53">
        <v>0.0106382978723405</v>
      </c>
      <c r="N16" s="49">
        <v>139000</v>
      </c>
      <c r="O16" s="49">
        <v>140000</v>
      </c>
      <c r="P16" s="50">
        <v>1000</v>
      </c>
    </row>
    <row r="17">
      <c r="A17" s="1" t="str">
        <v>Công thức: P_min = L + α_low × (H-L), P_max = L + α_high × (H-L)</v>
      </c>
      <c r="H17" s="62">
        <v>143</v>
      </c>
      <c r="I17" s="54" t="str">
        <v>10 TP</v>
      </c>
      <c r="J17" s="56" t="str">
        <v>DV_Gội</v>
      </c>
      <c r="K17" s="56">
        <v>934</v>
      </c>
      <c r="L17" s="60" t="str">
        <f>K17-J17</f>
        <v>Gội combo 3 - Dưỡng sinh</v>
      </c>
      <c r="M17" s="57">
        <v>0.0106382978723405</v>
      </c>
      <c r="N17" s="58">
        <v>229000</v>
      </c>
      <c r="O17" s="58">
        <v>231000</v>
      </c>
      <c r="P17" s="50">
        <v>2000</v>
      </c>
    </row>
    <row r="18">
      <c r="H18" s="51">
        <v>143</v>
      </c>
      <c r="I18" s="54" t="str">
        <v>10 TP</v>
      </c>
      <c r="J18" s="52" t="str">
        <v>DV_Gội</v>
      </c>
      <c r="K18" s="52">
        <v>940</v>
      </c>
      <c r="L18" s="48" t="str">
        <f>K18-J18</f>
        <v>[NEW] Gội dưỡng sinh</v>
      </c>
      <c r="M18" s="53">
        <v>0.0106382978723405</v>
      </c>
      <c r="N18" s="49">
        <v>59000</v>
      </c>
      <c r="O18" s="49">
        <v>60000</v>
      </c>
      <c r="P18" s="61">
        <v>1000</v>
      </c>
    </row>
    <row r="19">
      <c r="A19" s="2" t="str">
        <v>MA TRẬN CPI × EPI → HỆ SỐ α</v>
      </c>
      <c r="H19" s="62">
        <v>143</v>
      </c>
      <c r="I19" s="54" t="str">
        <v>10 TP</v>
      </c>
      <c r="J19" s="56" t="str">
        <v>DV_Gội</v>
      </c>
      <c r="K19" s="56">
        <v>1058</v>
      </c>
      <c r="L19" s="60" t="str">
        <f>K19-J19</f>
        <v>Gội Combo 2</v>
      </c>
      <c r="M19" s="57">
        <v>0.0106382978723405</v>
      </c>
      <c r="N19" s="58">
        <v>159000</v>
      </c>
      <c r="O19" s="58">
        <v>161000</v>
      </c>
      <c r="P19" s="50">
        <v>2000</v>
      </c>
    </row>
    <row r="20">
      <c r="A20" s="7" t="str">
        <v>CPI \ EPI</v>
      </c>
      <c r="B20" s="7" t="str">
        <v>EPI Thấp</v>
      </c>
      <c r="C20" s="7" t="str">
        <v>EPI Trung</v>
      </c>
      <c r="D20" s="7" t="str">
        <v>EPI Trung</v>
      </c>
      <c r="H20" s="51">
        <v>143</v>
      </c>
      <c r="I20" s="54" t="str">
        <v>10 TP</v>
      </c>
      <c r="J20" s="52" t="str">
        <v>DV_Gội</v>
      </c>
      <c r="K20" s="52">
        <v>1059</v>
      </c>
      <c r="L20" s="48" t="str">
        <f>K20-J20</f>
        <v>Gội Combo 3 - Chăm da</v>
      </c>
      <c r="M20" s="53">
        <v>0.0106382978723405</v>
      </c>
      <c r="N20" s="49">
        <v>239000</v>
      </c>
      <c r="O20" s="49">
        <v>242000</v>
      </c>
      <c r="P20" s="50">
        <v>3000</v>
      </c>
    </row>
    <row r="21">
      <c r="A21" s="3" t="str">
        <v>CPI Cao</v>
      </c>
      <c r="B21" s="1" t="str">
        <v>[0.15 ; 0.35]</v>
      </c>
      <c r="C21" s="1" t="str">
        <v>[0.25 ; 0.45]</v>
      </c>
      <c r="D21" s="1" t="str">
        <v>[0.25 ; 0.45]</v>
      </c>
      <c r="H21" s="62">
        <v>143</v>
      </c>
      <c r="I21" s="54" t="str">
        <v>10 TP</v>
      </c>
      <c r="J21" s="56" t="str">
        <v>DV_Gội</v>
      </c>
      <c r="K21" s="56">
        <v>1060</v>
      </c>
      <c r="L21" s="60" t="str">
        <f>K21-J21</f>
        <v>Gội Combo 4</v>
      </c>
      <c r="M21" s="57">
        <v>0.0106382978723405</v>
      </c>
      <c r="N21" s="58">
        <v>329000</v>
      </c>
      <c r="O21" s="58">
        <v>332000</v>
      </c>
      <c r="P21" s="61">
        <v>3000</v>
      </c>
    </row>
    <row r="22">
      <c r="A22" s="3" t="str">
        <v>CPI Trung</v>
      </c>
      <c r="B22" s="1" t="str">
        <v>[0.25 ; 0.50]</v>
      </c>
      <c r="C22" s="1" t="str">
        <v>[0.40 ; 0.65]</v>
      </c>
      <c r="D22" s="1" t="str">
        <v>[0.40 ; 0.65]</v>
      </c>
      <c r="H22" s="51">
        <v>143</v>
      </c>
      <c r="I22" s="54" t="str">
        <v>10 TP</v>
      </c>
      <c r="J22" s="52" t="str">
        <v>DV_Gội</v>
      </c>
      <c r="K22" s="52">
        <v>1066</v>
      </c>
      <c r="L22" s="48" t="str">
        <f>K22-J22</f>
        <v>Gội trải nghiệm 75p</v>
      </c>
      <c r="M22" s="53">
        <v>0.0106382978723405</v>
      </c>
      <c r="N22" s="49">
        <v>589000</v>
      </c>
      <c r="O22" s="49">
        <v>595000</v>
      </c>
      <c r="P22" s="50">
        <v>6000</v>
      </c>
    </row>
    <row r="23">
      <c r="A23" s="3" t="str">
        <v>CPI Thấp</v>
      </c>
      <c r="B23" s="1" t="str">
        <v>[0.40 ; 0.65]</v>
      </c>
      <c r="C23" s="1" t="str">
        <v>[0.55 ; 0.85]</v>
      </c>
      <c r="D23" s="1" t="str">
        <v>[0.55 ; 0.85]</v>
      </c>
      <c r="H23" s="62">
        <v>143</v>
      </c>
      <c r="I23" s="54" t="str">
        <v>10 TP</v>
      </c>
      <c r="J23" s="56" t="str">
        <v>DV_Gội</v>
      </c>
      <c r="K23" s="56">
        <v>1067</v>
      </c>
      <c r="L23" s="60" t="str">
        <f>K23-J23</f>
        <v>Gội trải nghiệm 90p</v>
      </c>
      <c r="M23" s="57">
        <v>0.0106382978723405</v>
      </c>
      <c r="N23" s="58">
        <v>789000</v>
      </c>
      <c r="O23" s="58">
        <v>797000</v>
      </c>
      <c r="P23" s="50">
        <v>8000</v>
      </c>
    </row>
    <row r="24">
      <c r="H24" s="51">
        <v>143</v>
      </c>
      <c r="I24" s="54" t="str">
        <v>10 TP</v>
      </c>
      <c r="J24" s="52" t="str">
        <v>DV_Gội</v>
      </c>
      <c r="K24" s="52">
        <v>1068</v>
      </c>
      <c r="L24" s="48" t="str">
        <f>K24-J24</f>
        <v>Gội trải nghiệm 115p</v>
      </c>
      <c r="M24" s="53">
        <v>0.0106382978723405</v>
      </c>
      <c r="N24" s="49">
        <v>999000</v>
      </c>
      <c r="O24" s="49">
        <v>1010000</v>
      </c>
      <c r="P24" s="50">
        <v>11000</v>
      </c>
    </row>
    <row r="25">
      <c r="A25" s="2" t="str">
        <v>4 KỊCH BẢN VẬN HÀNH</v>
      </c>
      <c r="H25" s="62">
        <v>143</v>
      </c>
      <c r="I25" s="54" t="str">
        <v>10 TP</v>
      </c>
      <c r="J25" s="56" t="str">
        <v>DV_Spa</v>
      </c>
      <c r="K25" s="56">
        <v>936</v>
      </c>
      <c r="L25" s="60" t="str">
        <f>K25-J25</f>
        <v>[NEW] Chăm sóc da Shine Spa 199k (có phân tích da)</v>
      </c>
      <c r="M25" s="57">
        <v>0.0106382978723405</v>
      </c>
      <c r="N25" s="58">
        <v>199000</v>
      </c>
      <c r="O25" s="58">
        <v>201000</v>
      </c>
      <c r="P25" s="50">
        <v>2000</v>
      </c>
    </row>
    <row r="26">
      <c r="A26" s="1" t="str">
        <v>KB1: Hút Traffic</v>
      </c>
      <c r="B26" s="4" t="str">
        <v>=P_min</v>
      </c>
      <c r="C26" s="1" t="str">
        <v>Thu hút khách mới</v>
      </c>
      <c r="D26" s="1" t="str">
        <v>Thu hút khách mới</v>
      </c>
      <c r="H26" s="51">
        <v>143</v>
      </c>
      <c r="I26" s="54" t="str">
        <v>10 TP</v>
      </c>
      <c r="J26" s="52" t="str">
        <v>DV_Spa</v>
      </c>
      <c r="K26" s="52">
        <v>938</v>
      </c>
      <c r="L26" s="48" t="str">
        <f>K26-J26</f>
        <v>[NEW] Lấy mụn &amp; chăm sóc da CNC Light Smooth (có phân tích da)</v>
      </c>
      <c r="M26" s="53">
        <v>0.0106382978723405</v>
      </c>
      <c r="N26" s="49">
        <v>359000</v>
      </c>
      <c r="O26" s="49">
        <v>363000</v>
      </c>
      <c r="P26" s="50">
        <v>4000</v>
      </c>
    </row>
    <row r="27">
      <c r="A27" s="1" t="str">
        <v>KB2: Tăng AOV</v>
      </c>
      <c r="B27" s="4" t="str">
        <v>=P_max</v>
      </c>
      <c r="C27" s="1" t="str">
        <v>Tăng doanh thu/margin</v>
      </c>
      <c r="D27" s="1" t="str">
        <v>Tăng doanh thu/margin</v>
      </c>
      <c r="H27" s="62">
        <v>44</v>
      </c>
      <c r="I27" s="54" t="str">
        <v>103 TN</v>
      </c>
      <c r="J27" s="56" t="str">
        <v>DV_Cắt</v>
      </c>
      <c r="K27" s="56">
        <v>513</v>
      </c>
      <c r="L27" s="60" t="str">
        <f>K27-J27</f>
        <v>[DV] ShineCombo 10 bước Ultra Care 2023</v>
      </c>
      <c r="M27" s="57">
        <v>0.04210526315789465</v>
      </c>
      <c r="N27" s="58">
        <v>122000</v>
      </c>
      <c r="O27" s="58">
        <v>122000</v>
      </c>
      <c r="P27" s="50"/>
    </row>
    <row r="28">
      <c r="A28" s="1" t="str">
        <v>KB3: Cân Bằng</v>
      </c>
      <c r="B28" s="4" t="str">
        <v>=(P_min + P_max) / 2</v>
      </c>
      <c r="C28" s="1" t="str">
        <v>Cân bằng lượng và giá</v>
      </c>
      <c r="D28" s="1" t="str">
        <v>Cân bằng lượng và giá</v>
      </c>
      <c r="H28" s="51">
        <v>44</v>
      </c>
      <c r="I28" s="54" t="str">
        <v>103 TN</v>
      </c>
      <c r="J28" s="52" t="str">
        <v>DV_Cắt</v>
      </c>
      <c r="K28" s="52">
        <v>891</v>
      </c>
      <c r="L28" s="48" t="str">
        <f>K28-J28</f>
        <v>Cắt xả tạo kiểu</v>
      </c>
      <c r="M28" s="53">
        <v>0.04210526315789465</v>
      </c>
      <c r="N28" s="49">
        <v>95000</v>
      </c>
      <c r="O28" s="49">
        <v>99000</v>
      </c>
      <c r="P28" s="50">
        <v>4000</v>
      </c>
    </row>
    <row r="29">
      <c r="A29" s="1" t="str">
        <v>KB4: Giảm Quá Tải</v>
      </c>
      <c r="B29" s="4" t="str">
        <v>= P_min + 0.85 × (P_max - P_min)</v>
      </c>
      <c r="C29" s="1" t="str">
        <v>Điều tiết khi quá đông</v>
      </c>
      <c r="D29" s="1" t="str">
        <v>Điều tiết khi quá đông</v>
      </c>
      <c r="H29" s="62">
        <v>44</v>
      </c>
      <c r="I29" s="54" t="str">
        <v>103 TN</v>
      </c>
      <c r="J29" s="56" t="str">
        <v>DV_Cắt</v>
      </c>
      <c r="K29" s="56">
        <v>1002</v>
      </c>
      <c r="L29" s="60" t="str">
        <f>K29-J29</f>
        <v>Kid Cắt</v>
      </c>
      <c r="M29" s="57">
        <v>0.04210526315789465</v>
      </c>
      <c r="N29" s="58">
        <v>76000</v>
      </c>
      <c r="O29" s="58">
        <v>79000</v>
      </c>
      <c r="P29" s="50">
        <v>3000</v>
      </c>
    </row>
    <row r="30">
      <c r="H30" s="51">
        <v>44</v>
      </c>
      <c r="I30" s="54" t="str">
        <v>103 TN</v>
      </c>
      <c r="J30" s="52" t="str">
        <v>DV_Cắt</v>
      </c>
      <c r="K30" s="52">
        <v>1052</v>
      </c>
      <c r="L30" s="48" t="str">
        <f>K30-J30</f>
        <v>Combo 1 - First Class 1</v>
      </c>
      <c r="M30" s="53">
        <v>0.04210526315789465</v>
      </c>
      <c r="N30" s="49">
        <v>139000</v>
      </c>
      <c r="O30" s="49">
        <v>139000</v>
      </c>
      <c r="P30" s="50"/>
    </row>
    <row r="31">
      <c r="H31" s="62">
        <v>44</v>
      </c>
      <c r="I31" s="54" t="str">
        <v>103 TN</v>
      </c>
      <c r="J31" s="56" t="str">
        <v>DV_Cắt</v>
      </c>
      <c r="K31" s="56">
        <v>1070</v>
      </c>
      <c r="L31" s="60" t="str">
        <f>K31-J31</f>
        <v>Combo Cắt gội Kid</v>
      </c>
      <c r="M31" s="57">
        <v>0.04210526315789465</v>
      </c>
      <c r="N31" s="58">
        <v>100000</v>
      </c>
      <c r="O31" s="58">
        <v>104000</v>
      </c>
      <c r="P31" s="50">
        <v>4000</v>
      </c>
    </row>
    <row r="32">
      <c r="H32" s="51">
        <v>44</v>
      </c>
      <c r="I32" s="54" t="str">
        <v>103 TN</v>
      </c>
      <c r="J32" s="52" t="str">
        <v>DV_Cắt_Vip</v>
      </c>
      <c r="K32" s="52">
        <v>1046</v>
      </c>
      <c r="L32" s="48" t="str">
        <f>K32-J32</f>
        <v>Shinecombo 2</v>
      </c>
      <c r="M32" s="53">
        <v>0.04210526315789465</v>
      </c>
      <c r="N32" s="49">
        <v>200000</v>
      </c>
      <c r="O32" s="49">
        <v>208000</v>
      </c>
      <c r="P32" s="50">
        <v>8000</v>
      </c>
    </row>
    <row r="33">
      <c r="H33" s="62">
        <v>44</v>
      </c>
      <c r="I33" s="54" t="str">
        <v>103 TN</v>
      </c>
      <c r="J33" s="56" t="str">
        <v>DV_Cắt_Vip</v>
      </c>
      <c r="K33" s="56">
        <v>1047</v>
      </c>
      <c r="L33" s="60" t="str">
        <f>K33-J33</f>
        <v>Cắt Gội Combo 3 - Chăm da</v>
      </c>
      <c r="M33" s="57">
        <v>0.04210526315789465</v>
      </c>
      <c r="N33" s="58">
        <v>300000</v>
      </c>
      <c r="O33" s="58">
        <v>313000</v>
      </c>
      <c r="P33" s="50">
        <v>13000</v>
      </c>
    </row>
    <row r="34">
      <c r="H34" s="51">
        <v>44</v>
      </c>
      <c r="I34" s="54" t="str">
        <v>103 TN</v>
      </c>
      <c r="J34" s="52" t="str">
        <v>DV_Cắt_Vip</v>
      </c>
      <c r="K34" s="52">
        <v>1048</v>
      </c>
      <c r="L34" s="48" t="str">
        <f>K34-J34</f>
        <v>Combo 4</v>
      </c>
      <c r="M34" s="53">
        <v>0.04210526315789465</v>
      </c>
      <c r="N34" s="49">
        <v>390000</v>
      </c>
      <c r="O34" s="49">
        <v>406000</v>
      </c>
      <c r="P34" s="50">
        <v>16000</v>
      </c>
    </row>
    <row r="35">
      <c r="H35" s="62">
        <v>44</v>
      </c>
      <c r="I35" s="54" t="str">
        <v>103 TN</v>
      </c>
      <c r="J35" s="56" t="str">
        <v>DV_Cắt_Vip</v>
      </c>
      <c r="K35" s="56">
        <v>1053</v>
      </c>
      <c r="L35" s="60" t="str">
        <f>K35-J35</f>
        <v>Combo 2 - First Class 2</v>
      </c>
      <c r="M35" s="57">
        <v>0.04210526315789465</v>
      </c>
      <c r="N35" s="58">
        <v>240000</v>
      </c>
      <c r="O35" s="58">
        <v>250000</v>
      </c>
      <c r="P35" s="50">
        <v>10000</v>
      </c>
    </row>
    <row r="36">
      <c r="H36" s="51">
        <v>44</v>
      </c>
      <c r="I36" s="54" t="str">
        <v>103 TN</v>
      </c>
      <c r="J36" s="52" t="str">
        <v>DV_Cắt_Vip</v>
      </c>
      <c r="K36" s="52">
        <v>1054</v>
      </c>
      <c r="L36" s="48" t="str">
        <f>K36-J36</f>
        <v>Combo 3 - First Class 3</v>
      </c>
      <c r="M36" s="53">
        <v>0.04210526315789465</v>
      </c>
      <c r="N36" s="49">
        <v>310000</v>
      </c>
      <c r="O36" s="49">
        <v>323000</v>
      </c>
      <c r="P36" s="50">
        <v>13000</v>
      </c>
    </row>
    <row r="37">
      <c r="H37" s="62">
        <v>44</v>
      </c>
      <c r="I37" s="54" t="str">
        <v>103 TN</v>
      </c>
      <c r="J37" s="56" t="str">
        <v>DV_Cắt_Vip</v>
      </c>
      <c r="K37" s="56">
        <v>1055</v>
      </c>
      <c r="L37" s="60" t="str">
        <f>K37-J37</f>
        <v>Combo 4- First Class 4</v>
      </c>
      <c r="M37" s="57">
        <v>0.04210526315789465</v>
      </c>
      <c r="N37" s="58">
        <v>410000</v>
      </c>
      <c r="O37" s="58">
        <v>427000</v>
      </c>
      <c r="P37" s="50">
        <v>17000</v>
      </c>
    </row>
    <row r="38">
      <c r="H38" s="51">
        <v>44</v>
      </c>
      <c r="I38" s="54" t="str">
        <v>103 TN</v>
      </c>
      <c r="J38" s="52" t="str">
        <v>DV_Cắt_Vip</v>
      </c>
      <c r="K38" s="52">
        <v>1064</v>
      </c>
      <c r="L38" s="48" t="str">
        <f>K38-J38</f>
        <v>Cắt Gội Combo 5 - Dưỡng sinh</v>
      </c>
      <c r="M38" s="53">
        <v>0.04210526315789465</v>
      </c>
      <c r="N38" s="49">
        <v>459000</v>
      </c>
      <c r="O38" s="49">
        <v>478000</v>
      </c>
      <c r="P38" s="61">
        <v>19000</v>
      </c>
    </row>
    <row r="39">
      <c r="H39" s="62">
        <v>44</v>
      </c>
      <c r="I39" s="54" t="str">
        <v>103 TN</v>
      </c>
      <c r="J39" s="56" t="str">
        <v>DV_Cắt_Vip</v>
      </c>
      <c r="K39" s="56">
        <v>1065</v>
      </c>
      <c r="L39" s="60" t="str">
        <f>K39-J39</f>
        <v>Cắt Gội Combo 3 - Dưỡng sinh</v>
      </c>
      <c r="M39" s="57">
        <v>0.04210526315789465</v>
      </c>
      <c r="N39" s="58">
        <v>300000</v>
      </c>
      <c r="O39" s="58">
        <v>313000</v>
      </c>
      <c r="P39" s="50">
        <v>13000</v>
      </c>
    </row>
    <row r="40">
      <c r="H40" s="51">
        <v>44</v>
      </c>
      <c r="I40" s="54" t="str">
        <v>103 TN</v>
      </c>
      <c r="J40" s="52" t="str">
        <v>DV_Gội</v>
      </c>
      <c r="K40" s="52">
        <v>867</v>
      </c>
      <c r="L40" s="48" t="str">
        <f>K40-J40</f>
        <v>Gội dưỡng sinh cổ vai gáy</v>
      </c>
      <c r="M40" s="53">
        <v>0.04210526315789465</v>
      </c>
      <c r="N40" s="49">
        <v>99000</v>
      </c>
      <c r="O40" s="49">
        <v>103000</v>
      </c>
      <c r="P40" s="50">
        <v>4000</v>
      </c>
    </row>
    <row r="41">
      <c r="H41" s="62">
        <v>44</v>
      </c>
      <c r="I41" s="54" t="str">
        <v>103 TN</v>
      </c>
      <c r="J41" s="56" t="str">
        <v>DV_Gội</v>
      </c>
      <c r="K41" s="56">
        <v>930</v>
      </c>
      <c r="L41" s="60" t="str">
        <f>K41-J41</f>
        <v>[NEW] Gội dưỡng sinh cổ vai gáy và chăm sóc da</v>
      </c>
      <c r="M41" s="57">
        <v>0.04210526315789465</v>
      </c>
      <c r="N41" s="58">
        <v>139000</v>
      </c>
      <c r="O41" s="58">
        <v>145000</v>
      </c>
      <c r="P41" s="50">
        <v>6000</v>
      </c>
    </row>
    <row r="42">
      <c r="H42" s="51">
        <v>44</v>
      </c>
      <c r="I42" s="54" t="str">
        <v>103 TN</v>
      </c>
      <c r="J42" s="52" t="str">
        <v>DV_Gội</v>
      </c>
      <c r="K42" s="52">
        <v>934</v>
      </c>
      <c r="L42" s="48" t="str">
        <f>K42-J42</f>
        <v>Gội combo 3 - Dưỡng sinh</v>
      </c>
      <c r="M42" s="53">
        <v>0.04210526315789465</v>
      </c>
      <c r="N42" s="49">
        <v>229000</v>
      </c>
      <c r="O42" s="49">
        <v>239000</v>
      </c>
      <c r="P42" s="50">
        <v>10000</v>
      </c>
    </row>
    <row r="43">
      <c r="H43" s="62">
        <v>44</v>
      </c>
      <c r="I43" s="54" t="str">
        <v>103 TN</v>
      </c>
      <c r="J43" s="56" t="str">
        <v>DV_Gội</v>
      </c>
      <c r="K43" s="56">
        <v>940</v>
      </c>
      <c r="L43" s="60" t="str">
        <f>K43-J43</f>
        <v>[NEW] Gội dưỡng sinh</v>
      </c>
      <c r="M43" s="57">
        <v>0.04210526315789465</v>
      </c>
      <c r="N43" s="58">
        <v>59000</v>
      </c>
      <c r="O43" s="58">
        <v>61000</v>
      </c>
      <c r="P43" s="50">
        <v>2000</v>
      </c>
    </row>
    <row r="44">
      <c r="H44" s="51">
        <v>44</v>
      </c>
      <c r="I44" s="54" t="str">
        <v>103 TN</v>
      </c>
      <c r="J44" s="52" t="str">
        <v>DV_Gội</v>
      </c>
      <c r="K44" s="52">
        <v>1058</v>
      </c>
      <c r="L44" s="48" t="str">
        <f>K44-J44</f>
        <v>Gội Combo 2</v>
      </c>
      <c r="M44" s="53">
        <v>0.04210526315789465</v>
      </c>
      <c r="N44" s="49">
        <v>159000</v>
      </c>
      <c r="O44" s="49">
        <v>166000</v>
      </c>
      <c r="P44" s="50">
        <v>7000</v>
      </c>
    </row>
    <row r="45">
      <c r="H45" s="62">
        <v>44</v>
      </c>
      <c r="I45" s="54" t="str">
        <v>103 TN</v>
      </c>
      <c r="J45" s="56" t="str">
        <v>DV_Gội</v>
      </c>
      <c r="K45" s="56">
        <v>1059</v>
      </c>
      <c r="L45" s="60" t="str">
        <f>K45-J45</f>
        <v>Gội Combo 3 - Chăm da</v>
      </c>
      <c r="M45" s="57">
        <v>0.04210526315789465</v>
      </c>
      <c r="N45" s="58">
        <v>239000</v>
      </c>
      <c r="O45" s="58">
        <v>249000</v>
      </c>
      <c r="P45" s="50">
        <v>10000</v>
      </c>
    </row>
    <row r="46">
      <c r="H46" s="51">
        <v>44</v>
      </c>
      <c r="I46" s="54" t="str">
        <v>103 TN</v>
      </c>
      <c r="J46" s="52" t="str">
        <v>DV_Gội</v>
      </c>
      <c r="K46" s="52">
        <v>1060</v>
      </c>
      <c r="L46" s="48" t="str">
        <f>K46-J46</f>
        <v>Gội Combo 4</v>
      </c>
      <c r="M46" s="53">
        <v>0.04210526315789465</v>
      </c>
      <c r="N46" s="49">
        <v>329000</v>
      </c>
      <c r="O46" s="49">
        <v>343000</v>
      </c>
      <c r="P46" s="50">
        <v>14000</v>
      </c>
    </row>
    <row r="47">
      <c r="H47" s="62">
        <v>44</v>
      </c>
      <c r="I47" s="54" t="str">
        <v>103 TN</v>
      </c>
      <c r="J47" s="56" t="str">
        <v>DV_Gội</v>
      </c>
      <c r="K47" s="56">
        <v>1066</v>
      </c>
      <c r="L47" s="60" t="str">
        <f>K47-J47</f>
        <v>Gội trải nghiệm 75p</v>
      </c>
      <c r="M47" s="57">
        <v>0.04210526315789465</v>
      </c>
      <c r="N47" s="58">
        <v>589000</v>
      </c>
      <c r="O47" s="58">
        <v>614000</v>
      </c>
      <c r="P47" s="50">
        <v>25000</v>
      </c>
    </row>
    <row r="48">
      <c r="H48" s="51">
        <v>44</v>
      </c>
      <c r="I48" s="54" t="str">
        <v>103 TN</v>
      </c>
      <c r="J48" s="52" t="str">
        <v>DV_Gội</v>
      </c>
      <c r="K48" s="52">
        <v>1067</v>
      </c>
      <c r="L48" s="48" t="str">
        <f>K48-J48</f>
        <v>Gội trải nghiệm 90p</v>
      </c>
      <c r="M48" s="53">
        <v>0.04210526315789465</v>
      </c>
      <c r="N48" s="49">
        <v>789000</v>
      </c>
      <c r="O48" s="49">
        <v>822000</v>
      </c>
      <c r="P48" s="50">
        <v>33000</v>
      </c>
    </row>
    <row r="49">
      <c r="H49" s="62">
        <v>44</v>
      </c>
      <c r="I49" s="54" t="str">
        <v>103 TN</v>
      </c>
      <c r="J49" s="56" t="str">
        <v>DV_Gội</v>
      </c>
      <c r="K49" s="56">
        <v>1068</v>
      </c>
      <c r="L49" s="60" t="str">
        <f>K49-J49</f>
        <v>Gội trải nghiệm 115p</v>
      </c>
      <c r="M49" s="57">
        <v>0.04210526315789465</v>
      </c>
      <c r="N49" s="58">
        <v>999000</v>
      </c>
      <c r="O49" s="58">
        <v>1041000</v>
      </c>
      <c r="P49" s="50">
        <v>42000</v>
      </c>
    </row>
    <row r="50">
      <c r="H50" s="51">
        <v>44</v>
      </c>
      <c r="I50" s="54" t="str">
        <v>103 TN</v>
      </c>
      <c r="J50" s="52" t="str">
        <v>DV_Spa</v>
      </c>
      <c r="K50" s="52">
        <v>936</v>
      </c>
      <c r="L50" s="48" t="str">
        <f>K50-J50</f>
        <v>[NEW] Chăm sóc da Shine Spa 199k (có phân tích da)</v>
      </c>
      <c r="M50" s="53">
        <v>0.04210526315789465</v>
      </c>
      <c r="N50" s="49">
        <v>199000</v>
      </c>
      <c r="O50" s="49">
        <v>207000</v>
      </c>
      <c r="P50" s="50">
        <v>8000</v>
      </c>
    </row>
    <row r="51">
      <c r="H51" s="62">
        <v>146</v>
      </c>
      <c r="I51" s="54" t="str">
        <v>109 TQH</v>
      </c>
      <c r="J51" s="56" t="str">
        <v>DV_Cắt</v>
      </c>
      <c r="K51" s="56">
        <v>513</v>
      </c>
      <c r="L51" s="60" t="str">
        <f>K51-J51</f>
        <v>[DV] ShineCombo 10 bước Ultra Care 2023</v>
      </c>
      <c r="M51" s="57">
        <v>0.04255319148936176</v>
      </c>
      <c r="N51" s="58">
        <v>122000</v>
      </c>
      <c r="O51" s="58">
        <v>122000</v>
      </c>
      <c r="P51" s="50"/>
    </row>
    <row r="52">
      <c r="H52" s="51">
        <v>146</v>
      </c>
      <c r="I52" s="54" t="str">
        <v>109 TQH</v>
      </c>
      <c r="J52" s="52" t="str">
        <v>DV_Cắt</v>
      </c>
      <c r="K52" s="52">
        <v>891</v>
      </c>
      <c r="L52" s="48" t="str">
        <f>K52-J52</f>
        <v>Cắt xả tạo kiểu</v>
      </c>
      <c r="M52" s="53">
        <v>0.04255319148936176</v>
      </c>
      <c r="N52" s="49">
        <v>94000</v>
      </c>
      <c r="O52" s="49">
        <v>98000</v>
      </c>
      <c r="P52" s="50">
        <v>4000</v>
      </c>
    </row>
    <row r="53">
      <c r="H53" s="62">
        <v>146</v>
      </c>
      <c r="I53" s="54" t="str">
        <v>109 TQH</v>
      </c>
      <c r="J53" s="56" t="str">
        <v>DV_Cắt</v>
      </c>
      <c r="K53" s="56">
        <v>1002</v>
      </c>
      <c r="L53" s="60" t="str">
        <f>K53-J53</f>
        <v>Kid Cắt</v>
      </c>
      <c r="M53" s="57">
        <v>0.04255319148936176</v>
      </c>
      <c r="N53" s="58">
        <v>75000</v>
      </c>
      <c r="O53" s="58">
        <v>78000</v>
      </c>
      <c r="P53" s="50">
        <v>3000</v>
      </c>
    </row>
    <row r="54">
      <c r="H54" s="51">
        <v>146</v>
      </c>
      <c r="I54" s="54" t="str">
        <v>109 TQH</v>
      </c>
      <c r="J54" s="52" t="str">
        <v>DV_Cắt</v>
      </c>
      <c r="K54" s="52">
        <v>1070</v>
      </c>
      <c r="L54" s="48" t="str">
        <f>K54-J54</f>
        <v>Combo Cắt gội Kid</v>
      </c>
      <c r="M54" s="53">
        <v>0.04255319148936176</v>
      </c>
      <c r="N54" s="49">
        <v>100000</v>
      </c>
      <c r="O54" s="49">
        <v>104000</v>
      </c>
      <c r="P54" s="61">
        <v>4000</v>
      </c>
    </row>
    <row r="55">
      <c r="H55" s="62">
        <v>146</v>
      </c>
      <c r="I55" s="54" t="str">
        <v>109 TQH</v>
      </c>
      <c r="J55" s="56" t="str">
        <v>DV_Cắt_Vip</v>
      </c>
      <c r="K55" s="56">
        <v>1046</v>
      </c>
      <c r="L55" s="60" t="str">
        <f>K55-J55</f>
        <v>Shinecombo 2</v>
      </c>
      <c r="M55" s="57">
        <v>0.04255319148936176</v>
      </c>
      <c r="N55" s="58">
        <v>199000</v>
      </c>
      <c r="O55" s="58">
        <v>207000</v>
      </c>
      <c r="P55" s="50">
        <v>8000</v>
      </c>
    </row>
    <row r="56">
      <c r="H56" s="51">
        <v>146</v>
      </c>
      <c r="I56" s="54" t="str">
        <v>109 TQH</v>
      </c>
      <c r="J56" s="52" t="str">
        <v>DV_Cắt_Vip</v>
      </c>
      <c r="K56" s="52">
        <v>1047</v>
      </c>
      <c r="L56" s="48" t="str">
        <f>K56-J56</f>
        <v>Cắt Gội Combo 3 - Chăm da</v>
      </c>
      <c r="M56" s="53">
        <v>0.04255319148936176</v>
      </c>
      <c r="N56" s="49">
        <v>299000</v>
      </c>
      <c r="O56" s="49">
        <v>312000</v>
      </c>
      <c r="P56" s="50">
        <v>13000</v>
      </c>
    </row>
    <row r="57">
      <c r="H57" s="62">
        <v>146</v>
      </c>
      <c r="I57" s="54" t="str">
        <v>109 TQH</v>
      </c>
      <c r="J57" s="56" t="str">
        <v>DV_Cắt_Vip</v>
      </c>
      <c r="K57" s="56">
        <v>1048</v>
      </c>
      <c r="L57" s="60" t="str">
        <f>K57-J57</f>
        <v>Combo 4</v>
      </c>
      <c r="M57" s="57">
        <v>0.04255319148936176</v>
      </c>
      <c r="N57" s="58">
        <v>389000</v>
      </c>
      <c r="O57" s="58">
        <v>406000</v>
      </c>
      <c r="P57" s="61">
        <v>17000</v>
      </c>
    </row>
    <row r="58">
      <c r="H58" s="51">
        <v>146</v>
      </c>
      <c r="I58" s="54" t="str">
        <v>109 TQH</v>
      </c>
      <c r="J58" s="52" t="str">
        <v>DV_Cắt_Vip</v>
      </c>
      <c r="K58" s="52">
        <v>1064</v>
      </c>
      <c r="L58" s="48" t="str">
        <f>K58-J58</f>
        <v>Cắt Gội Combo 5 - Dưỡng sinh</v>
      </c>
      <c r="M58" s="53">
        <v>0.04255319148936176</v>
      </c>
      <c r="N58" s="49">
        <v>459000</v>
      </c>
      <c r="O58" s="49">
        <v>479000</v>
      </c>
      <c r="P58" s="50">
        <v>20000</v>
      </c>
    </row>
    <row r="59">
      <c r="H59" s="62">
        <v>146</v>
      </c>
      <c r="I59" s="54" t="str">
        <v>109 TQH</v>
      </c>
      <c r="J59" s="56" t="str">
        <v>DV_Cắt_Vip</v>
      </c>
      <c r="K59" s="56">
        <v>1065</v>
      </c>
      <c r="L59" s="60" t="str">
        <f>K59-J59</f>
        <v>Cắt Gội Combo 3 - Dưỡng sinh</v>
      </c>
      <c r="M59" s="57">
        <v>0.04255319148936176</v>
      </c>
      <c r="N59" s="58">
        <v>299000</v>
      </c>
      <c r="O59" s="58">
        <v>312000</v>
      </c>
      <c r="P59" s="50">
        <v>13000</v>
      </c>
    </row>
    <row r="60">
      <c r="H60" s="51">
        <v>146</v>
      </c>
      <c r="I60" s="54" t="str">
        <v>109 TQH</v>
      </c>
      <c r="J60" s="52" t="str">
        <v>DV_Gội</v>
      </c>
      <c r="K60" s="52">
        <v>867</v>
      </c>
      <c r="L60" s="48" t="str">
        <f>K60-J60</f>
        <v>Gội dưỡng sinh cổ vai gáy</v>
      </c>
      <c r="M60" s="53">
        <v>0.04255319148936176</v>
      </c>
      <c r="N60" s="49">
        <v>99000</v>
      </c>
      <c r="O60" s="49">
        <v>103000</v>
      </c>
      <c r="P60" s="50">
        <v>4000</v>
      </c>
    </row>
    <row r="61">
      <c r="H61" s="62">
        <v>146</v>
      </c>
      <c r="I61" s="54" t="str">
        <v>109 TQH</v>
      </c>
      <c r="J61" s="56" t="str">
        <v>DV_Gội</v>
      </c>
      <c r="K61" s="56">
        <v>930</v>
      </c>
      <c r="L61" s="60" t="str">
        <f>K61-J61</f>
        <v>[NEW] Gội dưỡng sinh cổ vai gáy và chăm sóc da</v>
      </c>
      <c r="M61" s="57">
        <v>0.04255319148936176</v>
      </c>
      <c r="N61" s="58">
        <v>139000</v>
      </c>
      <c r="O61" s="58">
        <v>145000</v>
      </c>
      <c r="P61" s="50">
        <v>6000</v>
      </c>
    </row>
    <row r="62">
      <c r="H62" s="51">
        <v>146</v>
      </c>
      <c r="I62" s="54" t="str">
        <v>109 TQH</v>
      </c>
      <c r="J62" s="52" t="str">
        <v>DV_Gội</v>
      </c>
      <c r="K62" s="52">
        <v>931</v>
      </c>
      <c r="L62" s="48" t="str">
        <f>K62-J62</f>
        <v>[NEW] Gội dưỡng sinh đá nóng - Paradise dưỡng sinh đá nóng</v>
      </c>
      <c r="M62" s="53">
        <v>0.04255319148936176</v>
      </c>
      <c r="N62" s="49">
        <v>259000</v>
      </c>
      <c r="O62" s="49">
        <v>270000</v>
      </c>
      <c r="P62" s="50">
        <v>11000</v>
      </c>
    </row>
    <row r="63">
      <c r="H63" s="62">
        <v>146</v>
      </c>
      <c r="I63" s="54" t="str">
        <v>109 TQH</v>
      </c>
      <c r="J63" s="56" t="str">
        <v>DV_Gội</v>
      </c>
      <c r="K63" s="56">
        <v>934</v>
      </c>
      <c r="L63" s="60" t="str">
        <f>K63-J63</f>
        <v>Gội combo 3 - Dưỡng sinh</v>
      </c>
      <c r="M63" s="57">
        <v>0.04255319148936176</v>
      </c>
      <c r="N63" s="58">
        <v>229000</v>
      </c>
      <c r="O63" s="58">
        <v>239000</v>
      </c>
      <c r="P63" s="50">
        <v>10000</v>
      </c>
    </row>
    <row r="64">
      <c r="H64" s="51">
        <v>146</v>
      </c>
      <c r="I64" s="54" t="str">
        <v>109 TQH</v>
      </c>
      <c r="J64" s="52" t="str">
        <v>DV_Gội</v>
      </c>
      <c r="K64" s="52">
        <v>940</v>
      </c>
      <c r="L64" s="48" t="str">
        <f>K64-J64</f>
        <v>[NEW] Gội dưỡng sinh</v>
      </c>
      <c r="M64" s="53">
        <v>0.04255319148936176</v>
      </c>
      <c r="N64" s="49">
        <v>59000</v>
      </c>
      <c r="O64" s="49">
        <v>62000</v>
      </c>
      <c r="P64" s="50">
        <v>3000</v>
      </c>
    </row>
    <row r="65">
      <c r="H65" s="62">
        <v>146</v>
      </c>
      <c r="I65" s="54" t="str">
        <v>109 TQH</v>
      </c>
      <c r="J65" s="56" t="str">
        <v>DV_Gội</v>
      </c>
      <c r="K65" s="56">
        <v>1058</v>
      </c>
      <c r="L65" s="60" t="str">
        <f>K65-J65</f>
        <v>Gội Combo 2</v>
      </c>
      <c r="M65" s="57">
        <v>0.04255319148936176</v>
      </c>
      <c r="N65" s="58">
        <v>159000</v>
      </c>
      <c r="O65" s="58">
        <v>166000</v>
      </c>
      <c r="P65" s="50">
        <v>7000</v>
      </c>
    </row>
    <row r="66">
      <c r="H66" s="51">
        <v>146</v>
      </c>
      <c r="I66" s="54" t="str">
        <v>109 TQH</v>
      </c>
      <c r="J66" s="52" t="str">
        <v>DV_Gội</v>
      </c>
      <c r="K66" s="52">
        <v>1059</v>
      </c>
      <c r="L66" s="48" t="str">
        <f>K66-J66</f>
        <v>Gội Combo 3 - Chăm da</v>
      </c>
      <c r="M66" s="53">
        <v>0.04255319148936176</v>
      </c>
      <c r="N66" s="49">
        <v>239000</v>
      </c>
      <c r="O66" s="49">
        <v>249000</v>
      </c>
      <c r="P66" s="50">
        <v>10000</v>
      </c>
    </row>
    <row r="67">
      <c r="H67" s="62">
        <v>146</v>
      </c>
      <c r="I67" s="54" t="str">
        <v>109 TQH</v>
      </c>
      <c r="J67" s="56" t="str">
        <v>DV_Gội</v>
      </c>
      <c r="K67" s="56">
        <v>1060</v>
      </c>
      <c r="L67" s="60" t="str">
        <f>K67-J67</f>
        <v>Gội Combo 4</v>
      </c>
      <c r="M67" s="57">
        <v>0.04255319148936176</v>
      </c>
      <c r="N67" s="58">
        <v>319000</v>
      </c>
      <c r="O67" s="58">
        <v>333000</v>
      </c>
      <c r="P67" s="50">
        <v>14000</v>
      </c>
    </row>
    <row r="68">
      <c r="H68" s="51">
        <v>146</v>
      </c>
      <c r="I68" s="54" t="str">
        <v>109 TQH</v>
      </c>
      <c r="J68" s="52" t="str">
        <v>DV_Gội</v>
      </c>
      <c r="K68" s="52">
        <v>1066</v>
      </c>
      <c r="L68" s="48" t="str">
        <f>K68-J68</f>
        <v>Gội trải nghiệm 75p</v>
      </c>
      <c r="M68" s="53">
        <v>0.04255319148936176</v>
      </c>
      <c r="N68" s="49">
        <v>589000</v>
      </c>
      <c r="O68" s="49">
        <v>614000</v>
      </c>
      <c r="P68" s="50">
        <v>25000</v>
      </c>
    </row>
    <row r="69">
      <c r="H69" s="62">
        <v>146</v>
      </c>
      <c r="I69" s="54" t="str">
        <v>109 TQH</v>
      </c>
      <c r="J69" s="56" t="str">
        <v>DV_Gội</v>
      </c>
      <c r="K69" s="56">
        <v>1067</v>
      </c>
      <c r="L69" s="60" t="str">
        <f>K69-J69</f>
        <v>Gội trải nghiệm 90p</v>
      </c>
      <c r="M69" s="57">
        <v>0.04255319148936176</v>
      </c>
      <c r="N69" s="58">
        <v>789000</v>
      </c>
      <c r="O69" s="58">
        <v>823000</v>
      </c>
      <c r="P69" s="50">
        <v>34000</v>
      </c>
    </row>
    <row r="70">
      <c r="H70" s="51">
        <v>146</v>
      </c>
      <c r="I70" s="54" t="str">
        <v>109 TQH</v>
      </c>
      <c r="J70" s="52" t="str">
        <v>DV_Gội</v>
      </c>
      <c r="K70" s="52">
        <v>1068</v>
      </c>
      <c r="L70" s="48" t="str">
        <f>K70-J70</f>
        <v>Gội trải nghiệm 115p</v>
      </c>
      <c r="M70" s="53">
        <v>0.04255319148936176</v>
      </c>
      <c r="N70" s="49">
        <v>999000</v>
      </c>
      <c r="O70" s="49">
        <v>1042000</v>
      </c>
      <c r="P70" s="50">
        <v>43000</v>
      </c>
    </row>
    <row r="71">
      <c r="H71" s="62">
        <v>146</v>
      </c>
      <c r="I71" s="54" t="str">
        <v>109 TQH</v>
      </c>
      <c r="J71" s="56" t="str">
        <v>DV_Gội</v>
      </c>
      <c r="K71" s="56">
        <v>1069</v>
      </c>
      <c r="L71" s="60" t="str">
        <f>K71-J71</f>
        <v>Gội trải nghiệm 140p</v>
      </c>
      <c r="M71" s="57">
        <v>0.04255319148936176</v>
      </c>
      <c r="N71" s="58">
        <v>1199000</v>
      </c>
      <c r="O71" s="58">
        <v>1250000</v>
      </c>
      <c r="P71" s="50">
        <v>51000</v>
      </c>
    </row>
    <row r="72">
      <c r="H72" s="51">
        <v>146</v>
      </c>
      <c r="I72" s="54" t="str">
        <v>109 TQH</v>
      </c>
      <c r="J72" s="52" t="str">
        <v>DV_Spa</v>
      </c>
      <c r="K72" s="52">
        <v>936</v>
      </c>
      <c r="L72" s="48" t="str">
        <f>K72-J72</f>
        <v>[NEW] Chăm sóc da Shine Spa 199k (có phân tích da)</v>
      </c>
      <c r="M72" s="53">
        <v>0.04255319148936176</v>
      </c>
      <c r="N72" s="49">
        <v>199000</v>
      </c>
      <c r="O72" s="49">
        <v>207000</v>
      </c>
      <c r="P72" s="50">
        <v>8000</v>
      </c>
    </row>
    <row r="73">
      <c r="H73" s="62">
        <v>244</v>
      </c>
      <c r="I73" s="54" t="str">
        <v>11 PKT</v>
      </c>
      <c r="J73" s="56" t="str">
        <v>DV_Cắt</v>
      </c>
      <c r="K73" s="56">
        <v>513</v>
      </c>
      <c r="L73" s="60" t="str">
        <f>K73-J73</f>
        <v>[DV] ShineCombo 10 bước Ultra Care 2023</v>
      </c>
      <c r="M73" s="57">
        <v>0.04000000000000004</v>
      </c>
      <c r="N73" s="58">
        <v>122000</v>
      </c>
      <c r="O73" s="58">
        <v>122000</v>
      </c>
      <c r="P73" s="61"/>
    </row>
    <row r="74">
      <c r="H74" s="51">
        <v>244</v>
      </c>
      <c r="I74" s="54" t="str">
        <v>11 PKT</v>
      </c>
      <c r="J74" s="52" t="str">
        <v>DV_Cắt</v>
      </c>
      <c r="K74" s="52">
        <v>891</v>
      </c>
      <c r="L74" s="48" t="str">
        <f>K74-J74</f>
        <v>Cắt xả tạo kiểu</v>
      </c>
      <c r="M74" s="53">
        <v>0.04000000000000004</v>
      </c>
      <c r="N74" s="49">
        <v>100000</v>
      </c>
      <c r="O74" s="49">
        <v>104000</v>
      </c>
      <c r="P74" s="61">
        <v>4000</v>
      </c>
    </row>
    <row r="75">
      <c r="H75" s="62">
        <v>244</v>
      </c>
      <c r="I75" s="54" t="str">
        <v>11 PKT</v>
      </c>
      <c r="J75" s="56" t="str">
        <v>DV_Cắt</v>
      </c>
      <c r="K75" s="56">
        <v>1002</v>
      </c>
      <c r="L75" s="60" t="str">
        <f>K75-J75</f>
        <v>Kid Cắt</v>
      </c>
      <c r="M75" s="57">
        <v>0.04000000000000004</v>
      </c>
      <c r="N75" s="58">
        <v>81000</v>
      </c>
      <c r="O75" s="58">
        <v>84000</v>
      </c>
      <c r="P75" s="61">
        <v>3000</v>
      </c>
    </row>
    <row r="76">
      <c r="H76" s="51">
        <v>244</v>
      </c>
      <c r="I76" s="54" t="str">
        <v>11 PKT</v>
      </c>
      <c r="J76" s="52" t="str">
        <v>DV_Cắt</v>
      </c>
      <c r="K76" s="52">
        <v>1070</v>
      </c>
      <c r="L76" s="48" t="str">
        <f>K76-J76</f>
        <v>Combo Cắt gội Kid</v>
      </c>
      <c r="M76" s="53">
        <v>0.04000000000000004</v>
      </c>
      <c r="N76" s="49">
        <v>100000</v>
      </c>
      <c r="O76" s="49">
        <v>104000</v>
      </c>
      <c r="P76" s="61">
        <v>4000</v>
      </c>
    </row>
    <row r="77">
      <c r="H77" s="62">
        <v>244</v>
      </c>
      <c r="I77" s="54" t="str">
        <v>11 PKT</v>
      </c>
      <c r="J77" s="56" t="str">
        <v>DV_Cắt_Vip</v>
      </c>
      <c r="K77" s="56">
        <v>1046</v>
      </c>
      <c r="L77" s="60" t="str">
        <f>K77-J77</f>
        <v>Shinecombo 2</v>
      </c>
      <c r="M77" s="57">
        <v>0.04000000000000004</v>
      </c>
      <c r="N77" s="58">
        <v>205000</v>
      </c>
      <c r="O77" s="58">
        <v>213000</v>
      </c>
      <c r="P77" s="61">
        <v>8000</v>
      </c>
    </row>
    <row r="78">
      <c r="H78" s="51">
        <v>244</v>
      </c>
      <c r="I78" s="54" t="str">
        <v>11 PKT</v>
      </c>
      <c r="J78" s="52" t="str">
        <v>DV_Cắt_Vip</v>
      </c>
      <c r="K78" s="52">
        <v>1047</v>
      </c>
      <c r="L78" s="48" t="str">
        <f>K78-J78</f>
        <v>Cắt Gội Combo 3 - Chăm da</v>
      </c>
      <c r="M78" s="53">
        <v>0.04000000000000004</v>
      </c>
      <c r="N78" s="49">
        <v>305000</v>
      </c>
      <c r="O78" s="49">
        <v>317000</v>
      </c>
      <c r="P78" s="61">
        <v>12000</v>
      </c>
    </row>
    <row r="79">
      <c r="H79" s="62">
        <v>244</v>
      </c>
      <c r="I79" s="54" t="str">
        <v>11 PKT</v>
      </c>
      <c r="J79" s="56" t="str">
        <v>DV_Cắt_Vip</v>
      </c>
      <c r="K79" s="56">
        <v>1048</v>
      </c>
      <c r="L79" s="60" t="str">
        <f>K79-J79</f>
        <v>Combo 4</v>
      </c>
      <c r="M79" s="57">
        <v>0.04000000000000004</v>
      </c>
      <c r="N79" s="58">
        <v>395000</v>
      </c>
      <c r="O79" s="58">
        <v>411000</v>
      </c>
      <c r="P79" s="61">
        <v>16000</v>
      </c>
    </row>
    <row r="80">
      <c r="H80" s="51">
        <v>244</v>
      </c>
      <c r="I80" s="54" t="str">
        <v>11 PKT</v>
      </c>
      <c r="J80" s="52" t="str">
        <v>DV_Cắt_Vip</v>
      </c>
      <c r="K80" s="52">
        <v>1064</v>
      </c>
      <c r="L80" s="48" t="str">
        <f>K80-J80</f>
        <v>Cắt Gội Combo 5 - Dưỡng sinh</v>
      </c>
      <c r="M80" s="53">
        <v>0.04000000000000004</v>
      </c>
      <c r="N80" s="49">
        <v>459000</v>
      </c>
      <c r="O80" s="49">
        <v>477000</v>
      </c>
      <c r="P80" s="61">
        <v>18000</v>
      </c>
    </row>
    <row r="81">
      <c r="H81" s="62">
        <v>244</v>
      </c>
      <c r="I81" s="54" t="str">
        <v>11 PKT</v>
      </c>
      <c r="J81" s="56" t="str">
        <v>DV_Cắt_Vip</v>
      </c>
      <c r="K81" s="56">
        <v>1065</v>
      </c>
      <c r="L81" s="60" t="str">
        <f>K81-J81</f>
        <v>Cắt Gội Combo 3 - Dưỡng sinh</v>
      </c>
      <c r="M81" s="57">
        <v>0.04000000000000004</v>
      </c>
      <c r="N81" s="58">
        <v>305000</v>
      </c>
      <c r="O81" s="58">
        <v>317000</v>
      </c>
      <c r="P81" s="61">
        <v>12000</v>
      </c>
    </row>
    <row r="82">
      <c r="H82" s="51">
        <v>244</v>
      </c>
      <c r="I82" s="54" t="str">
        <v>11 PKT</v>
      </c>
      <c r="J82" s="52" t="str">
        <v>DV_Gội</v>
      </c>
      <c r="K82" s="52">
        <v>867</v>
      </c>
      <c r="L82" s="48" t="str">
        <f>K82-J82</f>
        <v>Gội dưỡng sinh cổ vai gáy</v>
      </c>
      <c r="M82" s="53">
        <v>0.04000000000000004</v>
      </c>
      <c r="N82" s="49">
        <v>99000</v>
      </c>
      <c r="O82" s="49">
        <v>103000</v>
      </c>
      <c r="P82" s="61">
        <v>4000</v>
      </c>
    </row>
    <row r="83">
      <c r="H83" s="62">
        <v>244</v>
      </c>
      <c r="I83" s="54" t="str">
        <v>11 PKT</v>
      </c>
      <c r="J83" s="56" t="str">
        <v>DV_Gội</v>
      </c>
      <c r="K83" s="56">
        <v>930</v>
      </c>
      <c r="L83" s="60" t="str">
        <f>K83-J83</f>
        <v>[NEW] Gội dưỡng sinh cổ vai gáy và chăm sóc da</v>
      </c>
      <c r="M83" s="57">
        <v>0.04000000000000004</v>
      </c>
      <c r="N83" s="58">
        <v>139000</v>
      </c>
      <c r="O83" s="58">
        <v>145000</v>
      </c>
      <c r="P83" s="61">
        <v>6000</v>
      </c>
    </row>
    <row r="84">
      <c r="H84" s="51">
        <v>244</v>
      </c>
      <c r="I84" s="54" t="str">
        <v>11 PKT</v>
      </c>
      <c r="J84" s="52" t="str">
        <v>DV_Gội</v>
      </c>
      <c r="K84" s="52">
        <v>934</v>
      </c>
      <c r="L84" s="48" t="str">
        <f>K84-J84</f>
        <v>Gội combo 3 - Dưỡng sinh</v>
      </c>
      <c r="M84" s="53">
        <v>0.04000000000000004</v>
      </c>
      <c r="N84" s="49">
        <v>229000</v>
      </c>
      <c r="O84" s="49">
        <v>238000</v>
      </c>
      <c r="P84" s="61">
        <v>9000</v>
      </c>
    </row>
    <row r="85">
      <c r="H85" s="62">
        <v>244</v>
      </c>
      <c r="I85" s="54" t="str">
        <v>11 PKT</v>
      </c>
      <c r="J85" s="56" t="str">
        <v>DV_Gội</v>
      </c>
      <c r="K85" s="56">
        <v>940</v>
      </c>
      <c r="L85" s="60" t="str">
        <f>K85-J85</f>
        <v>[NEW] Gội dưỡng sinh</v>
      </c>
      <c r="M85" s="57">
        <v>0.04000000000000004</v>
      </c>
      <c r="N85" s="58">
        <v>59000</v>
      </c>
      <c r="O85" s="58">
        <v>61000</v>
      </c>
      <c r="P85" s="61">
        <v>2000</v>
      </c>
    </row>
    <row r="86">
      <c r="H86" s="51">
        <v>244</v>
      </c>
      <c r="I86" s="54" t="str">
        <v>11 PKT</v>
      </c>
      <c r="J86" s="52" t="str">
        <v>DV_Gội</v>
      </c>
      <c r="K86" s="52">
        <v>1058</v>
      </c>
      <c r="L86" s="48" t="str">
        <f>K86-J86</f>
        <v>Gội Combo 2</v>
      </c>
      <c r="M86" s="53">
        <v>0.04000000000000004</v>
      </c>
      <c r="N86" s="49">
        <v>159000</v>
      </c>
      <c r="O86" s="49">
        <v>165000</v>
      </c>
      <c r="P86" s="61">
        <v>6000</v>
      </c>
    </row>
    <row r="87">
      <c r="H87" s="62">
        <v>244</v>
      </c>
      <c r="I87" s="54" t="str">
        <v>11 PKT</v>
      </c>
      <c r="J87" s="56" t="str">
        <v>DV_Gội</v>
      </c>
      <c r="K87" s="56">
        <v>1059</v>
      </c>
      <c r="L87" s="60" t="str">
        <f>K87-J87</f>
        <v>Gội Combo 3 - Chăm da</v>
      </c>
      <c r="M87" s="57">
        <v>0.04000000000000004</v>
      </c>
      <c r="N87" s="58">
        <v>239000</v>
      </c>
      <c r="O87" s="58">
        <v>249000</v>
      </c>
      <c r="P87" s="61">
        <v>10000</v>
      </c>
    </row>
    <row r="88">
      <c r="H88" s="51">
        <v>244</v>
      </c>
      <c r="I88" s="54" t="str">
        <v>11 PKT</v>
      </c>
      <c r="J88" s="52" t="str">
        <v>DV_Gội</v>
      </c>
      <c r="K88" s="52">
        <v>1060</v>
      </c>
      <c r="L88" s="48" t="str">
        <f>K88-J88</f>
        <v>Gội Combo 4</v>
      </c>
      <c r="M88" s="53">
        <v>0.04000000000000004</v>
      </c>
      <c r="N88" s="49">
        <v>319000</v>
      </c>
      <c r="O88" s="49">
        <v>332000</v>
      </c>
      <c r="P88" s="61">
        <v>13000</v>
      </c>
    </row>
    <row r="89">
      <c r="H89" s="62">
        <v>244</v>
      </c>
      <c r="I89" s="54" t="str">
        <v>11 PKT</v>
      </c>
      <c r="J89" s="56" t="str">
        <v>DV_Gội</v>
      </c>
      <c r="K89" s="56">
        <v>1066</v>
      </c>
      <c r="L89" s="60" t="str">
        <f>K89-J89</f>
        <v>Gội trải nghiệm 75p</v>
      </c>
      <c r="M89" s="57">
        <v>0.04000000000000004</v>
      </c>
      <c r="N89" s="58">
        <v>589000</v>
      </c>
      <c r="O89" s="58">
        <v>613000</v>
      </c>
      <c r="P89" s="61">
        <v>24000</v>
      </c>
    </row>
    <row r="90">
      <c r="H90" s="51">
        <v>244</v>
      </c>
      <c r="I90" s="54" t="str">
        <v>11 PKT</v>
      </c>
      <c r="J90" s="52" t="str">
        <v>DV_Gội</v>
      </c>
      <c r="K90" s="52">
        <v>1067</v>
      </c>
      <c r="L90" s="48" t="str">
        <f>K90-J90</f>
        <v>Gội trải nghiệm 90p</v>
      </c>
      <c r="M90" s="53">
        <v>0.04000000000000004</v>
      </c>
      <c r="N90" s="49">
        <v>789000</v>
      </c>
      <c r="O90" s="49">
        <v>821000</v>
      </c>
      <c r="P90" s="61">
        <v>32000</v>
      </c>
    </row>
    <row r="91">
      <c r="H91" s="62">
        <v>244</v>
      </c>
      <c r="I91" s="54" t="str">
        <v>11 PKT</v>
      </c>
      <c r="J91" s="56" t="str">
        <v>DV_Gội</v>
      </c>
      <c r="K91" s="56">
        <v>1068</v>
      </c>
      <c r="L91" s="60" t="str">
        <f>K91-J91</f>
        <v>Gội trải nghiệm 115p</v>
      </c>
      <c r="M91" s="57">
        <v>0.04000000000000004</v>
      </c>
      <c r="N91" s="58">
        <v>999000</v>
      </c>
      <c r="O91" s="58">
        <v>1039000</v>
      </c>
      <c r="P91" s="61">
        <v>40000</v>
      </c>
    </row>
    <row r="92">
      <c r="H92" s="51">
        <v>244</v>
      </c>
      <c r="I92" s="54" t="str">
        <v>11 PKT</v>
      </c>
      <c r="J92" s="52" t="str">
        <v>DV_Gội</v>
      </c>
      <c r="K92" s="52">
        <v>1069</v>
      </c>
      <c r="L92" s="48" t="str">
        <f>K92-J92</f>
        <v>Gội trải nghiệm 140p</v>
      </c>
      <c r="M92" s="53">
        <v>0.04000000000000004</v>
      </c>
      <c r="N92" s="49">
        <v>1199000</v>
      </c>
      <c r="O92" s="49">
        <v>1247000</v>
      </c>
      <c r="P92" s="61">
        <v>48000</v>
      </c>
    </row>
    <row r="93">
      <c r="H93" s="62">
        <v>244</v>
      </c>
      <c r="I93" s="54" t="str">
        <v>11 PKT</v>
      </c>
      <c r="J93" s="56" t="str">
        <v>DV_Spa</v>
      </c>
      <c r="K93" s="56">
        <v>936</v>
      </c>
      <c r="L93" s="60" t="str">
        <f>K93-J93</f>
        <v>[NEW] Chăm sóc da Shine Spa 199k (có phân tích da)</v>
      </c>
      <c r="M93" s="57">
        <v>0.04000000000000004</v>
      </c>
      <c r="N93" s="58">
        <v>199000</v>
      </c>
      <c r="O93" s="58">
        <v>207000</v>
      </c>
      <c r="P93" s="61">
        <v>8000</v>
      </c>
    </row>
    <row r="94">
      <c r="H94" s="51">
        <v>72</v>
      </c>
      <c r="I94" s="54" t="str">
        <v>113 THD AG</v>
      </c>
      <c r="J94" s="52" t="str">
        <v>DV_Cắt</v>
      </c>
      <c r="K94" s="52">
        <v>513</v>
      </c>
      <c r="L94" s="48" t="str">
        <f>K94-J94</f>
        <v>[DV] ShineCombo 10 bước Ultra Care 2023</v>
      </c>
      <c r="M94" s="53">
        <v>0</v>
      </c>
      <c r="N94" s="49">
        <v>122000</v>
      </c>
      <c r="O94" s="49">
        <v>122000</v>
      </c>
      <c r="P94" s="61"/>
    </row>
    <row r="95">
      <c r="H95" s="62">
        <v>72</v>
      </c>
      <c r="I95" s="54" t="str">
        <v>113 THD AG</v>
      </c>
      <c r="J95" s="56" t="str">
        <v>DV_Cắt</v>
      </c>
      <c r="K95" s="56">
        <v>891</v>
      </c>
      <c r="L95" s="60" t="str">
        <f>K95-J95</f>
        <v>Cắt xả tạo kiểu</v>
      </c>
      <c r="M95" s="57">
        <v>0</v>
      </c>
      <c r="N95" s="58">
        <v>94000</v>
      </c>
      <c r="O95" s="58">
        <v>94000</v>
      </c>
      <c r="P95" s="61"/>
    </row>
    <row r="96">
      <c r="H96" s="51">
        <v>72</v>
      </c>
      <c r="I96" s="54" t="str">
        <v>113 THD AG</v>
      </c>
      <c r="J96" s="52" t="str">
        <v>DV_Cắt</v>
      </c>
      <c r="K96" s="52">
        <v>1002</v>
      </c>
      <c r="L96" s="48" t="str">
        <f>K96-J96</f>
        <v>Kid Cắt</v>
      </c>
      <c r="M96" s="53">
        <v>0</v>
      </c>
      <c r="N96" s="49">
        <v>75000</v>
      </c>
      <c r="O96" s="49">
        <v>75000</v>
      </c>
      <c r="P96" s="61"/>
    </row>
    <row r="97">
      <c r="H97" s="62">
        <v>72</v>
      </c>
      <c r="I97" s="54" t="str">
        <v>113 THD AG</v>
      </c>
      <c r="J97" s="56" t="str">
        <v>DV_Cắt</v>
      </c>
      <c r="K97" s="56">
        <v>1070</v>
      </c>
      <c r="L97" s="60" t="str">
        <f>K97-J97</f>
        <v>Combo Cắt gội Kid</v>
      </c>
      <c r="M97" s="57">
        <v>0</v>
      </c>
      <c r="N97" s="58">
        <v>100000</v>
      </c>
      <c r="O97" s="58">
        <v>100000</v>
      </c>
      <c r="P97" s="61"/>
    </row>
    <row r="98">
      <c r="H98" s="51">
        <v>72</v>
      </c>
      <c r="I98" s="54" t="str">
        <v>113 THD AG</v>
      </c>
      <c r="J98" s="52" t="str">
        <v>DV_Cắt_Vip</v>
      </c>
      <c r="K98" s="52">
        <v>1046</v>
      </c>
      <c r="L98" s="48" t="str">
        <f>K98-J98</f>
        <v>Shinecombo 2</v>
      </c>
      <c r="M98" s="53">
        <v>0</v>
      </c>
      <c r="N98" s="49">
        <v>199000</v>
      </c>
      <c r="O98" s="49">
        <v>199000</v>
      </c>
      <c r="P98" s="61"/>
    </row>
    <row r="99">
      <c r="H99" s="62">
        <v>72</v>
      </c>
      <c r="I99" s="54" t="str">
        <v>113 THD AG</v>
      </c>
      <c r="J99" s="56" t="str">
        <v>DV_Cắt_Vip</v>
      </c>
      <c r="K99" s="56">
        <v>1047</v>
      </c>
      <c r="L99" s="60" t="str">
        <f>K99-J99</f>
        <v>Cắt Gội Combo 3 - Chăm da</v>
      </c>
      <c r="M99" s="57">
        <v>0</v>
      </c>
      <c r="N99" s="58">
        <v>299000</v>
      </c>
      <c r="O99" s="58">
        <v>299000</v>
      </c>
      <c r="P99" s="61"/>
    </row>
    <row r="100">
      <c r="H100" s="51">
        <v>72</v>
      </c>
      <c r="I100" s="54" t="str">
        <v>113 THD AG</v>
      </c>
      <c r="J100" s="52" t="str">
        <v>DV_Cắt_Vip</v>
      </c>
      <c r="K100" s="52">
        <v>1048</v>
      </c>
      <c r="L100" s="48" t="str">
        <f>K100-J100</f>
        <v>Combo 4</v>
      </c>
      <c r="M100" s="53">
        <v>0</v>
      </c>
      <c r="N100" s="49">
        <v>389000</v>
      </c>
      <c r="O100" s="49">
        <v>389000</v>
      </c>
      <c r="P100" s="61"/>
    </row>
    <row r="101">
      <c r="H101" s="62">
        <v>72</v>
      </c>
      <c r="I101" s="54" t="str">
        <v>113 THD AG</v>
      </c>
      <c r="J101" s="56" t="str">
        <v>DV_Cắt_Vip</v>
      </c>
      <c r="K101" s="56">
        <v>1064</v>
      </c>
      <c r="L101" s="60" t="str">
        <f>K101-J101</f>
        <v>Cắt Gội Combo 5 - Dưỡng sinh</v>
      </c>
      <c r="M101" s="57">
        <v>0</v>
      </c>
      <c r="N101" s="58">
        <v>459000</v>
      </c>
      <c r="O101" s="58">
        <v>459000</v>
      </c>
      <c r="P101" s="61"/>
    </row>
    <row r="102">
      <c r="H102" s="51">
        <v>72</v>
      </c>
      <c r="I102" s="54" t="str">
        <v>113 THD AG</v>
      </c>
      <c r="J102" s="52" t="str">
        <v>DV_Cắt_Vip</v>
      </c>
      <c r="K102" s="52">
        <v>1065</v>
      </c>
      <c r="L102" s="48" t="str">
        <f>K102-J102</f>
        <v>Cắt Gội Combo 3 - Dưỡng sinh</v>
      </c>
      <c r="M102" s="53">
        <v>0</v>
      </c>
      <c r="N102" s="49">
        <v>299000</v>
      </c>
      <c r="O102" s="49">
        <v>299000</v>
      </c>
      <c r="P102" s="61"/>
    </row>
    <row r="103">
      <c r="H103" s="62">
        <v>72</v>
      </c>
      <c r="I103" s="54" t="str">
        <v>113 THD AG</v>
      </c>
      <c r="J103" s="56" t="str">
        <v>DV_Cắt_Vip</v>
      </c>
      <c r="K103" s="56">
        <v>1150</v>
      </c>
      <c r="L103" s="60" t="str">
        <f>K103-J103</f>
        <v>Combo cắt gội đỉnh cao thư giãn vip</v>
      </c>
      <c r="M103" s="57">
        <v>0</v>
      </c>
      <c r="N103" s="58">
        <v>600000</v>
      </c>
      <c r="O103" s="58">
        <v>600000</v>
      </c>
      <c r="P103" s="61"/>
    </row>
    <row r="104">
      <c r="H104" s="51">
        <v>72</v>
      </c>
      <c r="I104" s="54" t="str">
        <v>113 THD AG</v>
      </c>
      <c r="J104" s="52" t="str">
        <v>DV_Gội</v>
      </c>
      <c r="K104" s="52">
        <v>867</v>
      </c>
      <c r="L104" s="48" t="str">
        <f>K104-J104</f>
        <v>Gội dưỡng sinh cổ vai gáy</v>
      </c>
      <c r="M104" s="53">
        <v>0</v>
      </c>
      <c r="N104" s="49">
        <v>99000</v>
      </c>
      <c r="O104" s="49">
        <v>99000</v>
      </c>
      <c r="P104" s="61"/>
    </row>
    <row r="105">
      <c r="H105" s="62">
        <v>72</v>
      </c>
      <c r="I105" s="54" t="str">
        <v>113 THD AG</v>
      </c>
      <c r="J105" s="56" t="str">
        <v>DV_Gội</v>
      </c>
      <c r="K105" s="56">
        <v>930</v>
      </c>
      <c r="L105" s="60" t="str">
        <f>K105-J105</f>
        <v>[NEW] Gội dưỡng sinh cổ vai gáy và chăm sóc da</v>
      </c>
      <c r="M105" s="57">
        <v>0</v>
      </c>
      <c r="N105" s="58">
        <v>139000</v>
      </c>
      <c r="O105" s="58">
        <v>139000</v>
      </c>
      <c r="P105" s="61"/>
    </row>
    <row r="106">
      <c r="H106" s="51">
        <v>72</v>
      </c>
      <c r="I106" s="54" t="str">
        <v>113 THD AG</v>
      </c>
      <c r="J106" s="52" t="str">
        <v>DV_Gội</v>
      </c>
      <c r="K106" s="52">
        <v>934</v>
      </c>
      <c r="L106" s="48" t="str">
        <f>K106-J106</f>
        <v>Gội combo 3 - Dưỡng sinh</v>
      </c>
      <c r="M106" s="53">
        <v>0</v>
      </c>
      <c r="N106" s="49">
        <v>229000</v>
      </c>
      <c r="O106" s="49">
        <v>229000</v>
      </c>
      <c r="P106" s="61"/>
    </row>
    <row r="107">
      <c r="H107" s="62">
        <v>72</v>
      </c>
      <c r="I107" s="54" t="str">
        <v>113 THD AG</v>
      </c>
      <c r="J107" s="56" t="str">
        <v>DV_Gội</v>
      </c>
      <c r="K107" s="56">
        <v>940</v>
      </c>
      <c r="L107" s="60" t="str">
        <f>K107-J107</f>
        <v>[NEW] Gội dưỡng sinh</v>
      </c>
      <c r="M107" s="57">
        <v>0</v>
      </c>
      <c r="N107" s="58">
        <v>59000</v>
      </c>
      <c r="O107" s="58">
        <v>59000</v>
      </c>
      <c r="P107" s="61"/>
    </row>
    <row r="108">
      <c r="H108" s="51">
        <v>72</v>
      </c>
      <c r="I108" s="54" t="str">
        <v>113 THD AG</v>
      </c>
      <c r="J108" s="52" t="str">
        <v>DV_Gội</v>
      </c>
      <c r="K108" s="52">
        <v>1058</v>
      </c>
      <c r="L108" s="48" t="str">
        <f>K108-J108</f>
        <v>Gội Combo 2</v>
      </c>
      <c r="M108" s="53">
        <v>0</v>
      </c>
      <c r="N108" s="49">
        <v>159000</v>
      </c>
      <c r="O108" s="49">
        <v>159000</v>
      </c>
      <c r="P108" s="61"/>
    </row>
    <row r="109">
      <c r="H109" s="62">
        <v>72</v>
      </c>
      <c r="I109" s="54" t="str">
        <v>113 THD AG</v>
      </c>
      <c r="J109" s="56" t="str">
        <v>DV_Gội</v>
      </c>
      <c r="K109" s="56">
        <v>1059</v>
      </c>
      <c r="L109" s="60" t="str">
        <f>K109-J109</f>
        <v>Gội Combo 3 - Chăm da</v>
      </c>
      <c r="M109" s="57">
        <v>0</v>
      </c>
      <c r="N109" s="58">
        <v>239000</v>
      </c>
      <c r="O109" s="58">
        <v>239000</v>
      </c>
      <c r="P109" s="61"/>
    </row>
    <row r="110">
      <c r="H110" s="51">
        <v>72</v>
      </c>
      <c r="I110" s="54" t="str">
        <v>113 THD AG</v>
      </c>
      <c r="J110" s="52" t="str">
        <v>DV_Gội</v>
      </c>
      <c r="K110" s="52">
        <v>1060</v>
      </c>
      <c r="L110" s="48" t="str">
        <f>K110-J110</f>
        <v>Gội Combo 4</v>
      </c>
      <c r="M110" s="53">
        <v>0</v>
      </c>
      <c r="N110" s="49">
        <v>289000</v>
      </c>
      <c r="O110" s="49">
        <v>289000</v>
      </c>
      <c r="P110" s="61"/>
    </row>
    <row r="111">
      <c r="H111" s="62">
        <v>72</v>
      </c>
      <c r="I111" s="54" t="str">
        <v>113 THD AG</v>
      </c>
      <c r="J111" s="56" t="str">
        <v>DV_Gội</v>
      </c>
      <c r="K111" s="56">
        <v>1066</v>
      </c>
      <c r="L111" s="60" t="str">
        <f>K111-J111</f>
        <v>Gội trải nghiệm 75p</v>
      </c>
      <c r="M111" s="57">
        <v>0</v>
      </c>
      <c r="N111" s="58">
        <v>589000</v>
      </c>
      <c r="O111" s="58">
        <v>589000</v>
      </c>
      <c r="P111" s="61"/>
    </row>
    <row r="112">
      <c r="H112" s="51">
        <v>72</v>
      </c>
      <c r="I112" s="54" t="str">
        <v>113 THD AG</v>
      </c>
      <c r="J112" s="52" t="str">
        <v>DV_Gội</v>
      </c>
      <c r="K112" s="52">
        <v>1067</v>
      </c>
      <c r="L112" s="48" t="str">
        <f>K112-J112</f>
        <v>Gội trải nghiệm 90p</v>
      </c>
      <c r="M112" s="53">
        <v>0</v>
      </c>
      <c r="N112" s="49">
        <v>789000</v>
      </c>
      <c r="O112" s="49">
        <v>789000</v>
      </c>
      <c r="P112" s="61"/>
    </row>
    <row r="113">
      <c r="H113" s="62">
        <v>72</v>
      </c>
      <c r="I113" s="54" t="str">
        <v>113 THD AG</v>
      </c>
      <c r="J113" s="56" t="str">
        <v>DV_Gội</v>
      </c>
      <c r="K113" s="56">
        <v>1068</v>
      </c>
      <c r="L113" s="60" t="str">
        <f>K113-J113</f>
        <v>Gội trải nghiệm 115p</v>
      </c>
      <c r="M113" s="57">
        <v>0</v>
      </c>
      <c r="N113" s="58">
        <v>999000</v>
      </c>
      <c r="O113" s="58">
        <v>999000</v>
      </c>
      <c r="P113" s="61"/>
    </row>
    <row r="114">
      <c r="H114" s="51">
        <v>72</v>
      </c>
      <c r="I114" s="54" t="str">
        <v>113 THD AG</v>
      </c>
      <c r="J114" s="52" t="str">
        <v>DV_Spa</v>
      </c>
      <c r="K114" s="52">
        <v>936</v>
      </c>
      <c r="L114" s="48" t="str">
        <f>K114-J114</f>
        <v>[NEW] Chăm sóc da Shine Spa 199k (có phân tích da)</v>
      </c>
      <c r="M114" s="53">
        <v>0</v>
      </c>
      <c r="N114" s="49">
        <v>199000</v>
      </c>
      <c r="O114" s="49">
        <v>199000</v>
      </c>
      <c r="P114" s="61"/>
    </row>
    <row r="115">
      <c r="H115" s="62">
        <v>249</v>
      </c>
      <c r="I115" s="54" t="str">
        <v>1146 KVC</v>
      </c>
      <c r="J115" s="56" t="str">
        <v>DV_Cắt</v>
      </c>
      <c r="K115" s="56">
        <v>513</v>
      </c>
      <c r="L115" s="60" t="str">
        <f>K115-J115</f>
        <v>[DV] ShineCombo 10 bước Ultra Care 2023</v>
      </c>
      <c r="M115" s="57">
        <v>0</v>
      </c>
      <c r="N115" s="58">
        <v>122000</v>
      </c>
      <c r="O115" s="58">
        <v>122000</v>
      </c>
      <c r="P115" s="61"/>
    </row>
    <row r="116">
      <c r="H116" s="51">
        <v>249</v>
      </c>
      <c r="I116" s="54" t="str">
        <v>1146 KVC</v>
      </c>
      <c r="J116" s="52" t="str">
        <v>DV_Cắt</v>
      </c>
      <c r="K116" s="52">
        <v>891</v>
      </c>
      <c r="L116" s="48" t="str">
        <f>K116-J116</f>
        <v>Cắt xả tạo kiểu</v>
      </c>
      <c r="M116" s="53">
        <v>0</v>
      </c>
      <c r="N116" s="49">
        <v>94000</v>
      </c>
      <c r="O116" s="49">
        <v>94000</v>
      </c>
      <c r="P116" s="61"/>
    </row>
    <row r="117">
      <c r="H117" s="62">
        <v>249</v>
      </c>
      <c r="I117" s="54" t="str">
        <v>1146 KVC</v>
      </c>
      <c r="J117" s="56" t="str">
        <v>DV_Cắt</v>
      </c>
      <c r="K117" s="56">
        <v>1002</v>
      </c>
      <c r="L117" s="60" t="str">
        <f>K117-J117</f>
        <v>Kid Cắt</v>
      </c>
      <c r="M117" s="57">
        <v>0</v>
      </c>
      <c r="N117" s="58">
        <v>75000</v>
      </c>
      <c r="O117" s="58">
        <v>75000</v>
      </c>
      <c r="P117" s="61"/>
    </row>
    <row r="118">
      <c r="H118" s="51">
        <v>249</v>
      </c>
      <c r="I118" s="54" t="str">
        <v>1146 KVC</v>
      </c>
      <c r="J118" s="52" t="str">
        <v>DV_Cắt</v>
      </c>
      <c r="K118" s="52">
        <v>1070</v>
      </c>
      <c r="L118" s="48" t="str">
        <f>K118-J118</f>
        <v>Combo Cắt gội Kid</v>
      </c>
      <c r="M118" s="53">
        <v>0</v>
      </c>
      <c r="N118" s="49">
        <v>100000</v>
      </c>
      <c r="O118" s="49">
        <v>100000</v>
      </c>
      <c r="P118" s="61"/>
    </row>
    <row r="119">
      <c r="H119" s="62">
        <v>249</v>
      </c>
      <c r="I119" s="54" t="str">
        <v>1146 KVC</v>
      </c>
      <c r="J119" s="56" t="str">
        <v>DV_Cắt_Vip</v>
      </c>
      <c r="K119" s="56">
        <v>1046</v>
      </c>
      <c r="L119" s="60" t="str">
        <f>K119-J119</f>
        <v>Shinecombo 2</v>
      </c>
      <c r="M119" s="57">
        <v>0</v>
      </c>
      <c r="N119" s="58">
        <v>199000</v>
      </c>
      <c r="O119" s="58">
        <v>199000</v>
      </c>
      <c r="P119" s="61"/>
    </row>
    <row r="120">
      <c r="H120" s="51">
        <v>249</v>
      </c>
      <c r="I120" s="54" t="str">
        <v>1146 KVC</v>
      </c>
      <c r="J120" s="52" t="str">
        <v>DV_Cắt_Vip</v>
      </c>
      <c r="K120" s="52">
        <v>1047</v>
      </c>
      <c r="L120" s="48" t="str">
        <f>K120-J120</f>
        <v>Cắt Gội Combo 3 - Chăm da</v>
      </c>
      <c r="M120" s="53">
        <v>0</v>
      </c>
      <c r="N120" s="49">
        <v>299000</v>
      </c>
      <c r="O120" s="49">
        <v>299000</v>
      </c>
      <c r="P120" s="61"/>
    </row>
    <row r="121">
      <c r="H121" s="62">
        <v>249</v>
      </c>
      <c r="I121" s="54" t="str">
        <v>1146 KVC</v>
      </c>
      <c r="J121" s="56" t="str">
        <v>DV_Cắt_Vip</v>
      </c>
      <c r="K121" s="56">
        <v>1048</v>
      </c>
      <c r="L121" s="60" t="str">
        <f>K121-J121</f>
        <v>Combo 4</v>
      </c>
      <c r="M121" s="57">
        <v>0</v>
      </c>
      <c r="N121" s="58">
        <v>389000</v>
      </c>
      <c r="O121" s="58">
        <v>389000</v>
      </c>
      <c r="P121" s="61"/>
    </row>
    <row r="122">
      <c r="H122" s="51">
        <v>249</v>
      </c>
      <c r="I122" s="54" t="str">
        <v>1146 KVC</v>
      </c>
      <c r="J122" s="52" t="str">
        <v>DV_Cắt_Vip</v>
      </c>
      <c r="K122" s="52">
        <v>1064</v>
      </c>
      <c r="L122" s="48" t="str">
        <f>K122-J122</f>
        <v>Cắt Gội Combo 5 - Dưỡng sinh</v>
      </c>
      <c r="M122" s="53">
        <v>0</v>
      </c>
      <c r="N122" s="49">
        <v>459000</v>
      </c>
      <c r="O122" s="49">
        <v>459000</v>
      </c>
      <c r="P122" s="61"/>
    </row>
    <row r="123">
      <c r="H123" s="62">
        <v>249</v>
      </c>
      <c r="I123" s="54" t="str">
        <v>1146 KVC</v>
      </c>
      <c r="J123" s="56" t="str">
        <v>DV_Cắt_Vip</v>
      </c>
      <c r="K123" s="56">
        <v>1065</v>
      </c>
      <c r="L123" s="60" t="str">
        <f>K123-J123</f>
        <v>Cắt Gội Combo 3 - Dưỡng sinh</v>
      </c>
      <c r="M123" s="57">
        <v>0</v>
      </c>
      <c r="N123" s="58">
        <v>299000</v>
      </c>
      <c r="O123" s="58">
        <v>299000</v>
      </c>
      <c r="P123" s="50"/>
    </row>
    <row r="124">
      <c r="H124" s="51">
        <v>249</v>
      </c>
      <c r="I124" s="54" t="str">
        <v>1146 KVC</v>
      </c>
      <c r="J124" s="52" t="str">
        <v>DV_Cắt_Vip</v>
      </c>
      <c r="K124" s="52">
        <v>1150</v>
      </c>
      <c r="L124" s="48" t="str">
        <f>K124-J124</f>
        <v>Combo cắt gội đỉnh cao thư giãn vip</v>
      </c>
      <c r="M124" s="53">
        <v>0</v>
      </c>
      <c r="N124" s="49">
        <v>500000</v>
      </c>
      <c r="O124" s="49">
        <v>500000</v>
      </c>
      <c r="P124" s="50"/>
    </row>
    <row r="125">
      <c r="H125" s="62">
        <v>249</v>
      </c>
      <c r="I125" s="54" t="str">
        <v>1146 KVC</v>
      </c>
      <c r="J125" s="56" t="str">
        <v>DV_Gội</v>
      </c>
      <c r="K125" s="56">
        <v>867</v>
      </c>
      <c r="L125" s="60" t="str">
        <f>K125-J125</f>
        <v>Gội dưỡng sinh cổ vai gáy</v>
      </c>
      <c r="M125" s="57">
        <v>0</v>
      </c>
      <c r="N125" s="58">
        <v>99000</v>
      </c>
      <c r="O125" s="58">
        <v>99000</v>
      </c>
      <c r="P125" s="61"/>
    </row>
    <row r="126">
      <c r="H126" s="51">
        <v>249</v>
      </c>
      <c r="I126" s="54" t="str">
        <v>1146 KVC</v>
      </c>
      <c r="J126" s="52" t="str">
        <v>DV_Gội</v>
      </c>
      <c r="K126" s="52">
        <v>930</v>
      </c>
      <c r="L126" s="48" t="str">
        <f>K126-J126</f>
        <v>[NEW] Gội dưỡng sinh cổ vai gáy và chăm sóc da</v>
      </c>
      <c r="M126" s="53">
        <v>0</v>
      </c>
      <c r="N126" s="49">
        <v>139000</v>
      </c>
      <c r="O126" s="49">
        <v>139000</v>
      </c>
      <c r="P126" s="50"/>
    </row>
    <row r="127">
      <c r="H127" s="62">
        <v>249</v>
      </c>
      <c r="I127" s="54" t="str">
        <v>1146 KVC</v>
      </c>
      <c r="J127" s="56" t="str">
        <v>DV_Gội</v>
      </c>
      <c r="K127" s="56">
        <v>934</v>
      </c>
      <c r="L127" s="60" t="str">
        <f>K127-J127</f>
        <v>Gội combo 3 - Dưỡng sinh</v>
      </c>
      <c r="M127" s="57">
        <v>0</v>
      </c>
      <c r="N127" s="58">
        <v>229000</v>
      </c>
      <c r="O127" s="58">
        <v>229000</v>
      </c>
      <c r="P127" s="50"/>
    </row>
    <row r="128">
      <c r="H128" s="51">
        <v>249</v>
      </c>
      <c r="I128" s="54" t="str">
        <v>1146 KVC</v>
      </c>
      <c r="J128" s="52" t="str">
        <v>DV_Gội</v>
      </c>
      <c r="K128" s="52">
        <v>940</v>
      </c>
      <c r="L128" s="48" t="str">
        <f>K128-J128</f>
        <v>[NEW] Gội dưỡng sinh</v>
      </c>
      <c r="M128" s="53">
        <v>0</v>
      </c>
      <c r="N128" s="49">
        <v>59000</v>
      </c>
      <c r="O128" s="49">
        <v>59000</v>
      </c>
      <c r="P128" s="50"/>
    </row>
    <row r="129">
      <c r="H129" s="62">
        <v>249</v>
      </c>
      <c r="I129" s="54" t="str">
        <v>1146 KVC</v>
      </c>
      <c r="J129" s="56" t="str">
        <v>DV_Gội</v>
      </c>
      <c r="K129" s="56">
        <v>1058</v>
      </c>
      <c r="L129" s="60" t="str">
        <f>K129-J129</f>
        <v>Gội Combo 2</v>
      </c>
      <c r="M129" s="57">
        <v>0</v>
      </c>
      <c r="N129" s="58">
        <v>159000</v>
      </c>
      <c r="O129" s="58">
        <v>159000</v>
      </c>
      <c r="P129" s="50"/>
    </row>
    <row r="130">
      <c r="H130" s="51">
        <v>249</v>
      </c>
      <c r="I130" s="54" t="str">
        <v>1146 KVC</v>
      </c>
      <c r="J130" s="52" t="str">
        <v>DV_Gội</v>
      </c>
      <c r="K130" s="52">
        <v>1059</v>
      </c>
      <c r="L130" s="48" t="str">
        <f>K130-J130</f>
        <v>Gội Combo 3 - Chăm da</v>
      </c>
      <c r="M130" s="53">
        <v>0</v>
      </c>
      <c r="N130" s="49">
        <v>239000</v>
      </c>
      <c r="O130" s="49">
        <v>239000</v>
      </c>
      <c r="P130" s="50"/>
    </row>
    <row r="131">
      <c r="H131" s="62">
        <v>249</v>
      </c>
      <c r="I131" s="54" t="str">
        <v>1146 KVC</v>
      </c>
      <c r="J131" s="56" t="str">
        <v>DV_Gội</v>
      </c>
      <c r="K131" s="56">
        <v>1060</v>
      </c>
      <c r="L131" s="60" t="str">
        <f>K131-J131</f>
        <v>Gội Combo 4</v>
      </c>
      <c r="M131" s="57">
        <v>0</v>
      </c>
      <c r="N131" s="58">
        <v>319000</v>
      </c>
      <c r="O131" s="58">
        <v>319000</v>
      </c>
      <c r="P131" s="50"/>
    </row>
    <row r="132">
      <c r="H132" s="51">
        <v>249</v>
      </c>
      <c r="I132" s="54" t="str">
        <v>1146 KVC</v>
      </c>
      <c r="J132" s="52" t="str">
        <v>DV_Gội</v>
      </c>
      <c r="K132" s="52">
        <v>1066</v>
      </c>
      <c r="L132" s="48" t="str">
        <f>K132-J132</f>
        <v>Gội trải nghiệm 75p</v>
      </c>
      <c r="M132" s="53">
        <v>0</v>
      </c>
      <c r="N132" s="49">
        <v>589000</v>
      </c>
      <c r="O132" s="49">
        <v>589000</v>
      </c>
      <c r="P132" s="50"/>
    </row>
    <row r="133">
      <c r="H133" s="62">
        <v>249</v>
      </c>
      <c r="I133" s="54" t="str">
        <v>1146 KVC</v>
      </c>
      <c r="J133" s="56" t="str">
        <v>DV_Gội</v>
      </c>
      <c r="K133" s="56">
        <v>1067</v>
      </c>
      <c r="L133" s="60" t="str">
        <f>K133-J133</f>
        <v>Gội trải nghiệm 90p</v>
      </c>
      <c r="M133" s="57">
        <v>0</v>
      </c>
      <c r="N133" s="58">
        <v>789000</v>
      </c>
      <c r="O133" s="58">
        <v>789000</v>
      </c>
      <c r="P133" s="50"/>
    </row>
    <row r="134">
      <c r="H134" s="51">
        <v>249</v>
      </c>
      <c r="I134" s="54" t="str">
        <v>1146 KVC</v>
      </c>
      <c r="J134" s="52" t="str">
        <v>DV_Gội</v>
      </c>
      <c r="K134" s="52">
        <v>1068</v>
      </c>
      <c r="L134" s="48" t="str">
        <f>K134-J134</f>
        <v>Gội trải nghiệm 115p</v>
      </c>
      <c r="M134" s="53">
        <v>0</v>
      </c>
      <c r="N134" s="49">
        <v>999000</v>
      </c>
      <c r="O134" s="49">
        <v>999000</v>
      </c>
      <c r="P134" s="50"/>
    </row>
    <row r="135">
      <c r="H135" s="62">
        <v>249</v>
      </c>
      <c r="I135" s="54" t="str">
        <v>1146 KVC</v>
      </c>
      <c r="J135" s="56" t="str">
        <v>DV_Gội</v>
      </c>
      <c r="K135" s="56">
        <v>1240</v>
      </c>
      <c r="L135" s="60" t="str">
        <f>K135-J135</f>
        <v>Gội Detox Scalp Pro</v>
      </c>
      <c r="M135" s="57">
        <v>0</v>
      </c>
      <c r="N135" s="58">
        <v>179000</v>
      </c>
      <c r="O135" s="58">
        <v>179000</v>
      </c>
      <c r="P135" s="50"/>
    </row>
    <row r="136">
      <c r="H136" s="51">
        <v>249</v>
      </c>
      <c r="I136" s="54" t="str">
        <v>1146 KVC</v>
      </c>
      <c r="J136" s="52" t="str">
        <v>DV_Spa</v>
      </c>
      <c r="K136" s="52">
        <v>936</v>
      </c>
      <c r="L136" s="48" t="str">
        <f>K136-J136</f>
        <v>[NEW] Chăm sóc da Shine Spa 199k (có phân tích da)</v>
      </c>
      <c r="M136" s="53">
        <v>0</v>
      </c>
      <c r="N136" s="49">
        <v>199000</v>
      </c>
      <c r="O136" s="49">
        <v>199000</v>
      </c>
      <c r="P136" s="50"/>
    </row>
    <row r="137">
      <c r="H137" s="62">
        <v>187</v>
      </c>
      <c r="I137" s="54" t="str">
        <v>116 TK</v>
      </c>
      <c r="J137" s="56" t="str">
        <v>DV_Cắt</v>
      </c>
      <c r="K137" s="56">
        <v>513</v>
      </c>
      <c r="L137" s="60" t="str">
        <f>K137-J137</f>
        <v>[DV] ShineCombo 10 bước Ultra Care 2023</v>
      </c>
      <c r="M137" s="57">
        <v>0</v>
      </c>
      <c r="N137" s="58">
        <v>122000</v>
      </c>
      <c r="O137" s="58">
        <v>122000</v>
      </c>
      <c r="P137" s="50"/>
    </row>
    <row r="138">
      <c r="H138" s="51">
        <v>187</v>
      </c>
      <c r="I138" s="54" t="str">
        <v>116 TK</v>
      </c>
      <c r="J138" s="52" t="str">
        <v>DV_Cắt</v>
      </c>
      <c r="K138" s="52">
        <v>891</v>
      </c>
      <c r="L138" s="48" t="str">
        <f>K138-J138</f>
        <v>Cắt xả tạo kiểu</v>
      </c>
      <c r="M138" s="53">
        <v>0</v>
      </c>
      <c r="N138" s="49">
        <v>94000</v>
      </c>
      <c r="O138" s="49">
        <v>94000</v>
      </c>
      <c r="P138" s="50"/>
    </row>
    <row r="139">
      <c r="H139" s="62">
        <v>187</v>
      </c>
      <c r="I139" s="54" t="str">
        <v>116 TK</v>
      </c>
      <c r="J139" s="56" t="str">
        <v>DV_Cắt</v>
      </c>
      <c r="K139" s="56">
        <v>1002</v>
      </c>
      <c r="L139" s="60" t="str">
        <f>K139-J139</f>
        <v>Kid Cắt</v>
      </c>
      <c r="M139" s="57">
        <v>0</v>
      </c>
      <c r="N139" s="58">
        <v>75000</v>
      </c>
      <c r="O139" s="58">
        <v>75000</v>
      </c>
      <c r="P139" s="50"/>
    </row>
    <row r="140">
      <c r="H140" s="51">
        <v>187</v>
      </c>
      <c r="I140" s="54" t="str">
        <v>116 TK</v>
      </c>
      <c r="J140" s="52" t="str">
        <v>DV_Cắt</v>
      </c>
      <c r="K140" s="52">
        <v>1070</v>
      </c>
      <c r="L140" s="48" t="str">
        <f>K140-J140</f>
        <v>Combo Cắt gội Kid</v>
      </c>
      <c r="M140" s="53">
        <v>0</v>
      </c>
      <c r="N140" s="49">
        <v>100000</v>
      </c>
      <c r="O140" s="49">
        <v>100000</v>
      </c>
      <c r="P140" s="50"/>
    </row>
    <row r="141">
      <c r="H141" s="62">
        <v>187</v>
      </c>
      <c r="I141" s="54" t="str">
        <v>116 TK</v>
      </c>
      <c r="J141" s="56" t="str">
        <v>DV_Cắt_Vip</v>
      </c>
      <c r="K141" s="56">
        <v>1046</v>
      </c>
      <c r="L141" s="60" t="str">
        <f>K141-J141</f>
        <v>Shinecombo 2</v>
      </c>
      <c r="M141" s="57">
        <v>0</v>
      </c>
      <c r="N141" s="58">
        <v>199000</v>
      </c>
      <c r="O141" s="58">
        <v>199000</v>
      </c>
      <c r="P141" s="50"/>
    </row>
    <row r="142">
      <c r="H142" s="51">
        <v>187</v>
      </c>
      <c r="I142" s="54" t="str">
        <v>116 TK</v>
      </c>
      <c r="J142" s="52" t="str">
        <v>DV_Cắt_Vip</v>
      </c>
      <c r="K142" s="52">
        <v>1047</v>
      </c>
      <c r="L142" s="48" t="str">
        <f>K142-J142</f>
        <v>Cắt Gội Combo 3 - Chăm da</v>
      </c>
      <c r="M142" s="53">
        <v>0</v>
      </c>
      <c r="N142" s="49">
        <v>299000</v>
      </c>
      <c r="O142" s="49">
        <v>299000</v>
      </c>
      <c r="P142" s="61"/>
    </row>
    <row r="143">
      <c r="H143" s="62">
        <v>187</v>
      </c>
      <c r="I143" s="54" t="str">
        <v>116 TK</v>
      </c>
      <c r="J143" s="56" t="str">
        <v>DV_Cắt_Vip</v>
      </c>
      <c r="K143" s="56">
        <v>1048</v>
      </c>
      <c r="L143" s="60" t="str">
        <f>K143-J143</f>
        <v>Combo 4</v>
      </c>
      <c r="M143" s="57">
        <v>0</v>
      </c>
      <c r="N143" s="58">
        <v>389000</v>
      </c>
      <c r="O143" s="58">
        <v>389000</v>
      </c>
      <c r="P143" s="50"/>
    </row>
    <row r="144">
      <c r="H144" s="51">
        <v>187</v>
      </c>
      <c r="I144" s="54" t="str">
        <v>116 TK</v>
      </c>
      <c r="J144" s="52" t="str">
        <v>DV_Cắt_Vip</v>
      </c>
      <c r="K144" s="52">
        <v>1064</v>
      </c>
      <c r="L144" s="48" t="str">
        <f>K144-J144</f>
        <v>Cắt Gội Combo 5 - Dưỡng sinh</v>
      </c>
      <c r="M144" s="53">
        <v>0</v>
      </c>
      <c r="N144" s="49">
        <v>459000</v>
      </c>
      <c r="O144" s="49">
        <v>459000</v>
      </c>
      <c r="P144" s="50"/>
    </row>
    <row r="145">
      <c r="H145" s="62">
        <v>187</v>
      </c>
      <c r="I145" s="54" t="str">
        <v>116 TK</v>
      </c>
      <c r="J145" s="56" t="str">
        <v>DV_Cắt_Vip</v>
      </c>
      <c r="K145" s="56">
        <v>1065</v>
      </c>
      <c r="L145" s="60" t="str">
        <f>K145-J145</f>
        <v>Cắt Gội Combo 3 - Dưỡng sinh</v>
      </c>
      <c r="M145" s="57">
        <v>0</v>
      </c>
      <c r="N145" s="58">
        <v>299000</v>
      </c>
      <c r="O145" s="58">
        <v>299000</v>
      </c>
      <c r="P145" s="61"/>
    </row>
    <row r="146">
      <c r="H146" s="51">
        <v>187</v>
      </c>
      <c r="I146" s="54" t="str">
        <v>116 TK</v>
      </c>
      <c r="J146" s="52" t="str">
        <v>DV_Gội</v>
      </c>
      <c r="K146" s="52">
        <v>867</v>
      </c>
      <c r="L146" s="48" t="str">
        <f>K146-J146</f>
        <v>Gội dưỡng sinh cổ vai gáy</v>
      </c>
      <c r="M146" s="53">
        <v>0</v>
      </c>
      <c r="N146" s="49">
        <v>99000</v>
      </c>
      <c r="O146" s="49">
        <v>99000</v>
      </c>
      <c r="P146" s="50"/>
    </row>
    <row r="147">
      <c r="H147" s="62">
        <v>187</v>
      </c>
      <c r="I147" s="54" t="str">
        <v>116 TK</v>
      </c>
      <c r="J147" s="56" t="str">
        <v>DV_Gội</v>
      </c>
      <c r="K147" s="56">
        <v>930</v>
      </c>
      <c r="L147" s="60" t="str">
        <f>K147-J147</f>
        <v>[NEW] Gội dưỡng sinh cổ vai gáy và chăm sóc da</v>
      </c>
      <c r="M147" s="57">
        <v>0</v>
      </c>
      <c r="N147" s="58">
        <v>139000</v>
      </c>
      <c r="O147" s="58">
        <v>139000</v>
      </c>
      <c r="P147" s="50"/>
    </row>
    <row r="148">
      <c r="H148" s="51">
        <v>187</v>
      </c>
      <c r="I148" s="54" t="str">
        <v>116 TK</v>
      </c>
      <c r="J148" s="52" t="str">
        <v>DV_Gội</v>
      </c>
      <c r="K148" s="52">
        <v>931</v>
      </c>
      <c r="L148" s="48" t="str">
        <f>K148-J148</f>
        <v>[NEW] Gội dưỡng sinh đá nóng - Paradise dưỡng sinh đá nóng</v>
      </c>
      <c r="M148" s="53">
        <v>0</v>
      </c>
      <c r="N148" s="49">
        <v>289000</v>
      </c>
      <c r="O148" s="49">
        <v>289000</v>
      </c>
      <c r="P148" s="50"/>
    </row>
    <row r="149">
      <c r="H149" s="62">
        <v>187</v>
      </c>
      <c r="I149" s="54" t="str">
        <v>116 TK</v>
      </c>
      <c r="J149" s="56" t="str">
        <v>DV_Gội</v>
      </c>
      <c r="K149" s="56">
        <v>934</v>
      </c>
      <c r="L149" s="60" t="str">
        <f>K149-J149</f>
        <v>Gội combo 3 - Dưỡng sinh</v>
      </c>
      <c r="M149" s="57">
        <v>0</v>
      </c>
      <c r="N149" s="58">
        <v>229000</v>
      </c>
      <c r="O149" s="58">
        <v>229000</v>
      </c>
      <c r="P149" s="50"/>
    </row>
    <row r="150">
      <c r="H150" s="51">
        <v>187</v>
      </c>
      <c r="I150" s="54" t="str">
        <v>116 TK</v>
      </c>
      <c r="J150" s="52" t="str">
        <v>DV_Gội</v>
      </c>
      <c r="K150" s="52">
        <v>940</v>
      </c>
      <c r="L150" s="48" t="str">
        <f>K150-J150</f>
        <v>[NEW] Gội dưỡng sinh</v>
      </c>
      <c r="M150" s="53">
        <v>0</v>
      </c>
      <c r="N150" s="49">
        <v>59000</v>
      </c>
      <c r="O150" s="49">
        <v>59000</v>
      </c>
      <c r="P150" s="50"/>
    </row>
    <row r="151">
      <c r="H151" s="62">
        <v>187</v>
      </c>
      <c r="I151" s="54" t="str">
        <v>116 TK</v>
      </c>
      <c r="J151" s="56" t="str">
        <v>DV_Gội</v>
      </c>
      <c r="K151" s="56">
        <v>1058</v>
      </c>
      <c r="L151" s="60" t="str">
        <f>K151-J151</f>
        <v>Gội Combo 2</v>
      </c>
      <c r="M151" s="57">
        <v>0</v>
      </c>
      <c r="N151" s="58">
        <v>159000</v>
      </c>
      <c r="O151" s="58">
        <v>159000</v>
      </c>
      <c r="P151" s="50"/>
    </row>
    <row r="152">
      <c r="H152" s="51">
        <v>187</v>
      </c>
      <c r="I152" s="54" t="str">
        <v>116 TK</v>
      </c>
      <c r="J152" s="52" t="str">
        <v>DV_Gội</v>
      </c>
      <c r="K152" s="52">
        <v>1059</v>
      </c>
      <c r="L152" s="48" t="str">
        <f>K152-J152</f>
        <v>Gội Combo 3 - Chăm da</v>
      </c>
      <c r="M152" s="53">
        <v>0</v>
      </c>
      <c r="N152" s="49">
        <v>239000</v>
      </c>
      <c r="O152" s="49">
        <v>239000</v>
      </c>
      <c r="P152" s="50"/>
    </row>
    <row r="153">
      <c r="H153" s="62">
        <v>187</v>
      </c>
      <c r="I153" s="54" t="str">
        <v>116 TK</v>
      </c>
      <c r="J153" s="56" t="str">
        <v>DV_Gội</v>
      </c>
      <c r="K153" s="56">
        <v>1060</v>
      </c>
      <c r="L153" s="60" t="str">
        <f>K153-J153</f>
        <v>Gội Combo 4</v>
      </c>
      <c r="M153" s="57">
        <v>0</v>
      </c>
      <c r="N153" s="58">
        <v>319000</v>
      </c>
      <c r="O153" s="58">
        <v>319000</v>
      </c>
      <c r="P153" s="50"/>
    </row>
    <row r="154">
      <c r="H154" s="51">
        <v>187</v>
      </c>
      <c r="I154" s="54" t="str">
        <v>116 TK</v>
      </c>
      <c r="J154" s="52" t="str">
        <v>DV_Gội</v>
      </c>
      <c r="K154" s="52">
        <v>1066</v>
      </c>
      <c r="L154" s="48" t="str">
        <f>K154-J154</f>
        <v>Gội trải nghiệm 75p</v>
      </c>
      <c r="M154" s="53">
        <v>0</v>
      </c>
      <c r="N154" s="49">
        <v>589000</v>
      </c>
      <c r="O154" s="49">
        <v>589000</v>
      </c>
      <c r="P154" s="50"/>
    </row>
    <row r="155">
      <c r="H155" s="62">
        <v>187</v>
      </c>
      <c r="I155" s="54" t="str">
        <v>116 TK</v>
      </c>
      <c r="J155" s="56" t="str">
        <v>DV_Gội</v>
      </c>
      <c r="K155" s="56">
        <v>1067</v>
      </c>
      <c r="L155" s="60" t="str">
        <f>K155-J155</f>
        <v>Gội trải nghiệm 90p</v>
      </c>
      <c r="M155" s="57">
        <v>0</v>
      </c>
      <c r="N155" s="58">
        <v>789000</v>
      </c>
      <c r="O155" s="58">
        <v>789000</v>
      </c>
      <c r="P155" s="50"/>
    </row>
    <row r="156">
      <c r="H156" s="51">
        <v>187</v>
      </c>
      <c r="I156" s="54" t="str">
        <v>116 TK</v>
      </c>
      <c r="J156" s="52" t="str">
        <v>DV_Gội</v>
      </c>
      <c r="K156" s="52">
        <v>1068</v>
      </c>
      <c r="L156" s="48" t="str">
        <f>K156-J156</f>
        <v>Gội trải nghiệm 115p</v>
      </c>
      <c r="M156" s="53">
        <v>0</v>
      </c>
      <c r="N156" s="49">
        <v>999000</v>
      </c>
      <c r="O156" s="49">
        <v>999000</v>
      </c>
      <c r="P156" s="50"/>
    </row>
    <row r="157">
      <c r="H157" s="62">
        <v>187</v>
      </c>
      <c r="I157" s="54" t="str">
        <v>116 TK</v>
      </c>
      <c r="J157" s="56" t="str">
        <v>DV_Gội</v>
      </c>
      <c r="K157" s="56">
        <v>1069</v>
      </c>
      <c r="L157" s="60" t="str">
        <f>K157-J157</f>
        <v>Gội trải nghiệm 140p</v>
      </c>
      <c r="M157" s="57">
        <v>0</v>
      </c>
      <c r="N157" s="58">
        <v>1199000</v>
      </c>
      <c r="O157" s="58">
        <v>1199000</v>
      </c>
      <c r="P157" s="50"/>
    </row>
    <row r="158">
      <c r="H158" s="51">
        <v>187</v>
      </c>
      <c r="I158" s="54" t="str">
        <v>116 TK</v>
      </c>
      <c r="J158" s="52" t="str">
        <v>DV_Spa</v>
      </c>
      <c r="K158" s="52">
        <v>936</v>
      </c>
      <c r="L158" s="48" t="str">
        <f>K158-J158</f>
        <v>[NEW] Chăm sóc da Shine Spa 199k (có phân tích da)</v>
      </c>
      <c r="M158" s="53">
        <v>0</v>
      </c>
      <c r="N158" s="49">
        <v>199000</v>
      </c>
      <c r="O158" s="49">
        <v>199000</v>
      </c>
      <c r="P158" s="50"/>
    </row>
    <row r="159">
      <c r="H159" s="62">
        <v>61</v>
      </c>
      <c r="I159" s="54" t="str">
        <v>1180 QT</v>
      </c>
      <c r="J159" s="56" t="str">
        <v>DV_Cắt</v>
      </c>
      <c r="K159" s="56">
        <v>513</v>
      </c>
      <c r="L159" s="60" t="str">
        <f>K159-J159</f>
        <v>[DV] ShineCombo 10 bước Ultra Care 2023</v>
      </c>
      <c r="M159" s="57">
        <v>0.03883495145631066</v>
      </c>
      <c r="N159" s="58">
        <v>122000</v>
      </c>
      <c r="O159" s="58">
        <v>122000</v>
      </c>
      <c r="P159" s="50"/>
    </row>
    <row r="160">
      <c r="H160" s="51">
        <v>61</v>
      </c>
      <c r="I160" s="54" t="str">
        <v>1180 QT</v>
      </c>
      <c r="J160" s="52" t="str">
        <v>DV_Cắt</v>
      </c>
      <c r="K160" s="52">
        <v>891</v>
      </c>
      <c r="L160" s="48" t="str">
        <f>K160-J160</f>
        <v>Cắt xả tạo kiểu</v>
      </c>
      <c r="M160" s="53">
        <v>0.03883495145631066</v>
      </c>
      <c r="N160" s="49">
        <v>103000</v>
      </c>
      <c r="O160" s="49">
        <v>107000</v>
      </c>
      <c r="P160" s="50">
        <v>4000</v>
      </c>
    </row>
    <row r="161">
      <c r="H161" s="62">
        <v>61</v>
      </c>
      <c r="I161" s="54" t="str">
        <v>1180 QT</v>
      </c>
      <c r="J161" s="56" t="str">
        <v>DV_Cắt</v>
      </c>
      <c r="K161" s="56">
        <v>1002</v>
      </c>
      <c r="L161" s="60" t="str">
        <f>K161-J161</f>
        <v>Kid Cắt</v>
      </c>
      <c r="M161" s="57">
        <v>0.03883495145631066</v>
      </c>
      <c r="N161" s="58">
        <v>84000</v>
      </c>
      <c r="O161" s="58">
        <v>87000</v>
      </c>
      <c r="P161" s="50">
        <v>3000</v>
      </c>
    </row>
    <row r="162">
      <c r="H162" s="51">
        <v>61</v>
      </c>
      <c r="I162" s="54" t="str">
        <v>1180 QT</v>
      </c>
      <c r="J162" s="52" t="str">
        <v>DV_Cắt</v>
      </c>
      <c r="K162" s="52">
        <v>1052</v>
      </c>
      <c r="L162" s="48" t="str">
        <f>K162-J162</f>
        <v>Combo 1 - First Class 1</v>
      </c>
      <c r="M162" s="53">
        <v>0.03883495145631066</v>
      </c>
      <c r="N162" s="49">
        <v>139000</v>
      </c>
      <c r="O162" s="49">
        <v>139000</v>
      </c>
      <c r="P162" s="61"/>
    </row>
    <row r="163">
      <c r="H163" s="62">
        <v>61</v>
      </c>
      <c r="I163" s="54" t="str">
        <v>1180 QT</v>
      </c>
      <c r="J163" s="56" t="str">
        <v>DV_Cắt</v>
      </c>
      <c r="K163" s="56">
        <v>1070</v>
      </c>
      <c r="L163" s="60" t="str">
        <f>K163-J163</f>
        <v>Combo Cắt gội Kid</v>
      </c>
      <c r="M163" s="57">
        <v>0.03883495145631066</v>
      </c>
      <c r="N163" s="58">
        <v>100000</v>
      </c>
      <c r="O163" s="58">
        <v>104000</v>
      </c>
      <c r="P163" s="50">
        <v>4000</v>
      </c>
    </row>
    <row r="164">
      <c r="H164" s="51">
        <v>61</v>
      </c>
      <c r="I164" s="54" t="str">
        <v>1180 QT</v>
      </c>
      <c r="J164" s="52" t="str">
        <v>DV_Cắt_Vip</v>
      </c>
      <c r="K164" s="52">
        <v>1046</v>
      </c>
      <c r="L164" s="48" t="str">
        <f>K164-J164</f>
        <v>Shinecombo 2</v>
      </c>
      <c r="M164" s="53">
        <v>0.03883495145631066</v>
      </c>
      <c r="N164" s="49">
        <v>208000</v>
      </c>
      <c r="O164" s="49">
        <v>216000</v>
      </c>
      <c r="P164" s="50">
        <v>8000</v>
      </c>
    </row>
    <row r="165">
      <c r="H165" s="62">
        <v>61</v>
      </c>
      <c r="I165" s="54" t="str">
        <v>1180 QT</v>
      </c>
      <c r="J165" s="56" t="str">
        <v>DV_Cắt_Vip</v>
      </c>
      <c r="K165" s="56">
        <v>1047</v>
      </c>
      <c r="L165" s="60" t="str">
        <f>K165-J165</f>
        <v>Cắt Gội Combo 3 - Chăm da</v>
      </c>
      <c r="M165" s="57">
        <v>0.03883495145631066</v>
      </c>
      <c r="N165" s="58">
        <v>299000</v>
      </c>
      <c r="O165" s="58">
        <v>311000</v>
      </c>
      <c r="P165" s="50">
        <v>12000</v>
      </c>
    </row>
    <row r="166">
      <c r="H166" s="51">
        <v>61</v>
      </c>
      <c r="I166" s="54" t="str">
        <v>1180 QT</v>
      </c>
      <c r="J166" s="52" t="str">
        <v>DV_Cắt_Vip</v>
      </c>
      <c r="K166" s="52">
        <v>1048</v>
      </c>
      <c r="L166" s="48" t="str">
        <f>K166-J166</f>
        <v>Combo 4</v>
      </c>
      <c r="M166" s="53">
        <v>0.03883495145631066</v>
      </c>
      <c r="N166" s="49">
        <v>398000</v>
      </c>
      <c r="O166" s="49">
        <v>413000</v>
      </c>
      <c r="P166" s="50">
        <v>15000</v>
      </c>
    </row>
    <row r="167">
      <c r="H167" s="62">
        <v>61</v>
      </c>
      <c r="I167" s="54" t="str">
        <v>1180 QT</v>
      </c>
      <c r="J167" s="56" t="str">
        <v>DV_Cắt_Vip</v>
      </c>
      <c r="K167" s="56">
        <v>1053</v>
      </c>
      <c r="L167" s="60" t="str">
        <f>K167-J167</f>
        <v>Combo 2 - First Class 2</v>
      </c>
      <c r="M167" s="57">
        <v>0.03883495145631066</v>
      </c>
      <c r="N167" s="58">
        <v>248000</v>
      </c>
      <c r="O167" s="58">
        <v>258000</v>
      </c>
      <c r="P167" s="50">
        <v>10000</v>
      </c>
    </row>
    <row r="168">
      <c r="H168" s="51">
        <v>61</v>
      </c>
      <c r="I168" s="54" t="str">
        <v>1180 QT</v>
      </c>
      <c r="J168" s="52" t="str">
        <v>DV_Cắt_Vip</v>
      </c>
      <c r="K168" s="52">
        <v>1054</v>
      </c>
      <c r="L168" s="48" t="str">
        <f>K168-J168</f>
        <v>Combo 3 - First Class 3</v>
      </c>
      <c r="M168" s="53">
        <v>0.03883495145631066</v>
      </c>
      <c r="N168" s="49">
        <v>318000</v>
      </c>
      <c r="O168" s="49">
        <v>330000</v>
      </c>
      <c r="P168" s="50">
        <v>12000</v>
      </c>
    </row>
    <row r="169">
      <c r="H169" s="62">
        <v>61</v>
      </c>
      <c r="I169" s="54" t="str">
        <v>1180 QT</v>
      </c>
      <c r="J169" s="56" t="str">
        <v>DV_Cắt_Vip</v>
      </c>
      <c r="K169" s="56">
        <v>1055</v>
      </c>
      <c r="L169" s="60" t="str">
        <f>K169-J169</f>
        <v>Combo 4- First Class 4</v>
      </c>
      <c r="M169" s="57">
        <v>0.03883495145631066</v>
      </c>
      <c r="N169" s="58">
        <v>418000</v>
      </c>
      <c r="O169" s="58">
        <v>434000</v>
      </c>
      <c r="P169" s="50">
        <v>16000</v>
      </c>
    </row>
    <row r="170">
      <c r="H170" s="51">
        <v>61</v>
      </c>
      <c r="I170" s="54" t="str">
        <v>1180 QT</v>
      </c>
      <c r="J170" s="52" t="str">
        <v>DV_Cắt_Vip</v>
      </c>
      <c r="K170" s="52">
        <v>1064</v>
      </c>
      <c r="L170" s="48" t="str">
        <f>K170-J170</f>
        <v>Cắt Gội Combo 5 - Dưỡng sinh</v>
      </c>
      <c r="M170" s="53">
        <v>0.03883495145631066</v>
      </c>
      <c r="N170" s="49">
        <v>468000</v>
      </c>
      <c r="O170" s="49">
        <v>486000</v>
      </c>
      <c r="P170" s="50">
        <v>18000</v>
      </c>
    </row>
    <row r="171">
      <c r="H171" s="62">
        <v>61</v>
      </c>
      <c r="I171" s="54" t="str">
        <v>1180 QT</v>
      </c>
      <c r="J171" s="56" t="str">
        <v>DV_Cắt_Vip</v>
      </c>
      <c r="K171" s="56">
        <v>1065</v>
      </c>
      <c r="L171" s="60" t="str">
        <f>K171-J171</f>
        <v>Cắt Gội Combo 3 - Dưỡng sinh</v>
      </c>
      <c r="M171" s="57">
        <v>0.03883495145631066</v>
      </c>
      <c r="N171" s="58">
        <v>299000</v>
      </c>
      <c r="O171" s="58">
        <v>311000</v>
      </c>
      <c r="P171" s="50">
        <v>12000</v>
      </c>
    </row>
    <row r="172">
      <c r="H172" s="51">
        <v>61</v>
      </c>
      <c r="I172" s="54" t="str">
        <v>1180 QT</v>
      </c>
      <c r="J172" s="52" t="str">
        <v>DV_Gội</v>
      </c>
      <c r="K172" s="52">
        <v>867</v>
      </c>
      <c r="L172" s="48" t="str">
        <f>K172-J172</f>
        <v>Gội dưỡng sinh cổ vai gáy</v>
      </c>
      <c r="M172" s="53">
        <v>0.03883495145631066</v>
      </c>
      <c r="N172" s="49">
        <v>99000</v>
      </c>
      <c r="O172" s="49">
        <v>103000</v>
      </c>
      <c r="P172" s="50">
        <v>4000</v>
      </c>
    </row>
    <row r="173">
      <c r="H173" s="62">
        <v>61</v>
      </c>
      <c r="I173" s="54" t="str">
        <v>1180 QT</v>
      </c>
      <c r="J173" s="56" t="str">
        <v>DV_Gội</v>
      </c>
      <c r="K173" s="56">
        <v>930</v>
      </c>
      <c r="L173" s="60" t="str">
        <f>K173-J173</f>
        <v>[NEW] Gội dưỡng sinh cổ vai gáy và chăm sóc da</v>
      </c>
      <c r="M173" s="57">
        <v>0.03883495145631066</v>
      </c>
      <c r="N173" s="58">
        <v>139000</v>
      </c>
      <c r="O173" s="58">
        <v>144000</v>
      </c>
      <c r="P173" s="50">
        <v>5000</v>
      </c>
    </row>
    <row r="174">
      <c r="H174" s="51">
        <v>61</v>
      </c>
      <c r="I174" s="54" t="str">
        <v>1180 QT</v>
      </c>
      <c r="J174" s="52" t="str">
        <v>DV_Gội</v>
      </c>
      <c r="K174" s="52">
        <v>934</v>
      </c>
      <c r="L174" s="48" t="str">
        <f>K174-J174</f>
        <v>Gội combo 3 - Dưỡng sinh</v>
      </c>
      <c r="M174" s="53">
        <v>0.03883495145631066</v>
      </c>
      <c r="N174" s="49">
        <v>229000</v>
      </c>
      <c r="O174" s="49">
        <v>238000</v>
      </c>
      <c r="P174" s="50">
        <v>9000</v>
      </c>
    </row>
    <row r="175">
      <c r="H175" s="62">
        <v>61</v>
      </c>
      <c r="I175" s="54" t="str">
        <v>1180 QT</v>
      </c>
      <c r="J175" s="56" t="str">
        <v>DV_Gội</v>
      </c>
      <c r="K175" s="56">
        <v>940</v>
      </c>
      <c r="L175" s="60" t="str">
        <f>K175-J175</f>
        <v>[NEW] Gội dưỡng sinh</v>
      </c>
      <c r="M175" s="57">
        <v>0.03883495145631066</v>
      </c>
      <c r="N175" s="58">
        <v>59000</v>
      </c>
      <c r="O175" s="58">
        <v>61000</v>
      </c>
      <c r="P175" s="61">
        <v>2000</v>
      </c>
    </row>
    <row r="176">
      <c r="H176" s="51">
        <v>61</v>
      </c>
      <c r="I176" s="54" t="str">
        <v>1180 QT</v>
      </c>
      <c r="J176" s="52" t="str">
        <v>DV_Gội</v>
      </c>
      <c r="K176" s="52">
        <v>1058</v>
      </c>
      <c r="L176" s="48" t="str">
        <f>K176-J176</f>
        <v>Gội Combo 2</v>
      </c>
      <c r="M176" s="53">
        <v>0.03883495145631066</v>
      </c>
      <c r="N176" s="49">
        <v>159000</v>
      </c>
      <c r="O176" s="49">
        <v>165000</v>
      </c>
      <c r="P176" s="50">
        <v>6000</v>
      </c>
    </row>
    <row r="177">
      <c r="H177" s="62">
        <v>61</v>
      </c>
      <c r="I177" s="54" t="str">
        <v>1180 QT</v>
      </c>
      <c r="J177" s="56" t="str">
        <v>DV_Gội</v>
      </c>
      <c r="K177" s="56">
        <v>1059</v>
      </c>
      <c r="L177" s="60" t="str">
        <f>K177-J177</f>
        <v>Gội Combo 3 - Chăm da</v>
      </c>
      <c r="M177" s="57">
        <v>0.03883495145631066</v>
      </c>
      <c r="N177" s="58">
        <v>239000</v>
      </c>
      <c r="O177" s="58">
        <v>248000</v>
      </c>
      <c r="P177" s="50">
        <v>9000</v>
      </c>
    </row>
    <row r="178">
      <c r="H178" s="51">
        <v>61</v>
      </c>
      <c r="I178" s="54" t="str">
        <v>1180 QT</v>
      </c>
      <c r="J178" s="52" t="str">
        <v>DV_Gội</v>
      </c>
      <c r="K178" s="52">
        <v>1060</v>
      </c>
      <c r="L178" s="48" t="str">
        <f>K178-J178</f>
        <v>Gội Combo 4</v>
      </c>
      <c r="M178" s="53">
        <v>0.03883495145631066</v>
      </c>
      <c r="N178" s="49">
        <v>329000</v>
      </c>
      <c r="O178" s="49">
        <v>342000</v>
      </c>
      <c r="P178" s="61">
        <v>13000</v>
      </c>
    </row>
    <row r="179">
      <c r="H179" s="62">
        <v>61</v>
      </c>
      <c r="I179" s="54" t="str">
        <v>1180 QT</v>
      </c>
      <c r="J179" s="56" t="str">
        <v>DV_Gội</v>
      </c>
      <c r="K179" s="56">
        <v>1061</v>
      </c>
      <c r="L179" s="60" t="str">
        <f>K179-J179</f>
        <v>Gội Combo 5 - Chăm da</v>
      </c>
      <c r="M179" s="57">
        <v>0.03883495145631066</v>
      </c>
      <c r="N179" s="58">
        <v>359000</v>
      </c>
      <c r="O179" s="58">
        <v>373000</v>
      </c>
      <c r="P179" s="50">
        <v>14000</v>
      </c>
    </row>
    <row r="180">
      <c r="H180" s="51">
        <v>61</v>
      </c>
      <c r="I180" s="54" t="str">
        <v>1180 QT</v>
      </c>
      <c r="J180" s="52" t="str">
        <v>DV_Gội</v>
      </c>
      <c r="K180" s="52">
        <v>1066</v>
      </c>
      <c r="L180" s="48" t="str">
        <f>K180-J180</f>
        <v>Gội trải nghiệm 75p</v>
      </c>
      <c r="M180" s="53">
        <v>0.03883495145631066</v>
      </c>
      <c r="N180" s="49">
        <v>589000</v>
      </c>
      <c r="O180" s="49">
        <v>612000</v>
      </c>
      <c r="P180" s="50">
        <v>23000</v>
      </c>
    </row>
    <row r="181">
      <c r="H181" s="62">
        <v>61</v>
      </c>
      <c r="I181" s="54" t="str">
        <v>1180 QT</v>
      </c>
      <c r="J181" s="56" t="str">
        <v>DV_Gội</v>
      </c>
      <c r="K181" s="56">
        <v>1067</v>
      </c>
      <c r="L181" s="60" t="str">
        <f>K181-J181</f>
        <v>Gội trải nghiệm 90p</v>
      </c>
      <c r="M181" s="57">
        <v>0.03883495145631066</v>
      </c>
      <c r="N181" s="58">
        <v>789000</v>
      </c>
      <c r="O181" s="58">
        <v>820000</v>
      </c>
      <c r="P181" s="50">
        <v>31000</v>
      </c>
    </row>
    <row r="182">
      <c r="H182" s="51">
        <v>61</v>
      </c>
      <c r="I182" s="54" t="str">
        <v>1180 QT</v>
      </c>
      <c r="J182" s="52" t="str">
        <v>DV_Gội</v>
      </c>
      <c r="K182" s="52">
        <v>1068</v>
      </c>
      <c r="L182" s="48" t="str">
        <f>K182-J182</f>
        <v>Gội trải nghiệm 115p</v>
      </c>
      <c r="M182" s="53">
        <v>0.03883495145631066</v>
      </c>
      <c r="N182" s="49">
        <v>999000</v>
      </c>
      <c r="O182" s="49">
        <v>1038000</v>
      </c>
      <c r="P182" s="50">
        <v>39000</v>
      </c>
    </row>
    <row r="183">
      <c r="H183" s="62">
        <v>61</v>
      </c>
      <c r="I183" s="54" t="str">
        <v>1180 QT</v>
      </c>
      <c r="J183" s="56" t="str">
        <v>DV_Spa</v>
      </c>
      <c r="K183" s="56">
        <v>936</v>
      </c>
      <c r="L183" s="60" t="str">
        <f>K183-J183</f>
        <v>[NEW] Chăm sóc da Shine Spa 199k (có phân tích da)</v>
      </c>
      <c r="M183" s="57">
        <v>0.03883495145631066</v>
      </c>
      <c r="N183" s="58">
        <v>199000</v>
      </c>
      <c r="O183" s="58">
        <v>207000</v>
      </c>
      <c r="P183" s="50">
        <v>8000</v>
      </c>
    </row>
    <row r="184">
      <c r="H184" s="51">
        <v>12</v>
      </c>
      <c r="I184" s="54" t="str">
        <v>12 LDT</v>
      </c>
      <c r="J184" s="52" t="str">
        <v>DV_Cắt</v>
      </c>
      <c r="K184" s="52">
        <v>513</v>
      </c>
      <c r="L184" s="48" t="str">
        <f>K184-J184</f>
        <v>[DV] ShineCombo 10 bước Ultra Care 2023</v>
      </c>
      <c r="M184" s="53">
        <v>0.029126213592233</v>
      </c>
      <c r="N184" s="49">
        <v>122000</v>
      </c>
      <c r="O184" s="49">
        <v>122000</v>
      </c>
      <c r="P184" s="50"/>
    </row>
    <row r="185">
      <c r="H185" s="62">
        <v>12</v>
      </c>
      <c r="I185" s="54" t="str">
        <v>12 LDT</v>
      </c>
      <c r="J185" s="56" t="str">
        <v>DV_Cắt</v>
      </c>
      <c r="K185" s="56">
        <v>891</v>
      </c>
      <c r="L185" s="60" t="str">
        <f>K185-J185</f>
        <v>Cắt xả tạo kiểu</v>
      </c>
      <c r="M185" s="57">
        <v>0.029126213592233</v>
      </c>
      <c r="N185" s="58">
        <v>103000</v>
      </c>
      <c r="O185" s="58">
        <v>106000</v>
      </c>
      <c r="P185" s="50">
        <v>3000</v>
      </c>
    </row>
    <row r="186">
      <c r="H186" s="51">
        <v>12</v>
      </c>
      <c r="I186" s="54" t="str">
        <v>12 LDT</v>
      </c>
      <c r="J186" s="52" t="str">
        <v>DV_Cắt</v>
      </c>
      <c r="K186" s="52">
        <v>1002</v>
      </c>
      <c r="L186" s="48" t="str">
        <f>K186-J186</f>
        <v>Kid Cắt</v>
      </c>
      <c r="M186" s="53">
        <v>0.029126213592233</v>
      </c>
      <c r="N186" s="49">
        <v>84000</v>
      </c>
      <c r="O186" s="49">
        <v>86000</v>
      </c>
      <c r="P186" s="50">
        <v>2000</v>
      </c>
    </row>
    <row r="187">
      <c r="H187" s="62">
        <v>12</v>
      </c>
      <c r="I187" s="54" t="str">
        <v>12 LDT</v>
      </c>
      <c r="J187" s="56" t="str">
        <v>DV_Cắt</v>
      </c>
      <c r="K187" s="56">
        <v>1052</v>
      </c>
      <c r="L187" s="60" t="str">
        <f>K187-J187</f>
        <v>Combo 1 - First Class 1</v>
      </c>
      <c r="M187" s="57">
        <v>0.029126213592233</v>
      </c>
      <c r="N187" s="58">
        <v>139000</v>
      </c>
      <c r="O187" s="58">
        <v>139000</v>
      </c>
      <c r="P187" s="50"/>
    </row>
    <row r="188">
      <c r="H188" s="51">
        <v>12</v>
      </c>
      <c r="I188" s="54" t="str">
        <v>12 LDT</v>
      </c>
      <c r="J188" s="52" t="str">
        <v>DV_Cắt</v>
      </c>
      <c r="K188" s="52">
        <v>1070</v>
      </c>
      <c r="L188" s="48" t="str">
        <f>K188-J188</f>
        <v>Combo Cắt gội Kid</v>
      </c>
      <c r="M188" s="53">
        <v>0.029126213592233</v>
      </c>
      <c r="N188" s="49">
        <v>100000</v>
      </c>
      <c r="O188" s="49">
        <v>103000</v>
      </c>
      <c r="P188" s="50">
        <v>3000</v>
      </c>
    </row>
    <row r="189">
      <c r="H189" s="62">
        <v>12</v>
      </c>
      <c r="I189" s="54" t="str">
        <v>12 LDT</v>
      </c>
      <c r="J189" s="56" t="str">
        <v>DV_Cắt_Vip</v>
      </c>
      <c r="K189" s="56">
        <v>1046</v>
      </c>
      <c r="L189" s="60" t="str">
        <f>K189-J189</f>
        <v>Shinecombo 2</v>
      </c>
      <c r="M189" s="57">
        <v>0.029126213592233</v>
      </c>
      <c r="N189" s="58">
        <v>208000</v>
      </c>
      <c r="O189" s="58">
        <v>214000</v>
      </c>
      <c r="P189" s="50">
        <v>6000</v>
      </c>
    </row>
    <row r="190">
      <c r="H190" s="51">
        <v>12</v>
      </c>
      <c r="I190" s="54" t="str">
        <v>12 LDT</v>
      </c>
      <c r="J190" s="52" t="str">
        <v>DV_Cắt_Vip</v>
      </c>
      <c r="K190" s="52">
        <v>1047</v>
      </c>
      <c r="L190" s="48" t="str">
        <f>K190-J190</f>
        <v>Cắt Gội Combo 3 - Chăm da</v>
      </c>
      <c r="M190" s="53">
        <v>0.029126213592233</v>
      </c>
      <c r="N190" s="49">
        <v>308000</v>
      </c>
      <c r="O190" s="49">
        <v>317000</v>
      </c>
      <c r="P190" s="50">
        <v>9000</v>
      </c>
    </row>
    <row r="191">
      <c r="H191" s="62">
        <v>12</v>
      </c>
      <c r="I191" s="54" t="str">
        <v>12 LDT</v>
      </c>
      <c r="J191" s="56" t="str">
        <v>DV_Cắt_Vip</v>
      </c>
      <c r="K191" s="56">
        <v>1048</v>
      </c>
      <c r="L191" s="60" t="str">
        <f>K191-J191</f>
        <v>Combo 4</v>
      </c>
      <c r="M191" s="57">
        <v>0.029126213592233</v>
      </c>
      <c r="N191" s="58">
        <v>398000</v>
      </c>
      <c r="O191" s="58">
        <v>410000</v>
      </c>
      <c r="P191" s="50">
        <v>12000</v>
      </c>
    </row>
    <row r="192">
      <c r="H192" s="51">
        <v>12</v>
      </c>
      <c r="I192" s="54" t="str">
        <v>12 LDT</v>
      </c>
      <c r="J192" s="52" t="str">
        <v>DV_Cắt_Vip</v>
      </c>
      <c r="K192" s="52">
        <v>1049</v>
      </c>
      <c r="L192" s="48" t="str">
        <f>K192-J192</f>
        <v>Cắt Gội Combo 5 - Chăm da</v>
      </c>
      <c r="M192" s="53">
        <v>0.029126213592233</v>
      </c>
      <c r="N192" s="49">
        <v>399000</v>
      </c>
      <c r="O192" s="49">
        <v>411000</v>
      </c>
      <c r="P192" s="50">
        <v>12000</v>
      </c>
    </row>
    <row r="193">
      <c r="H193" s="62">
        <v>12</v>
      </c>
      <c r="I193" s="54" t="str">
        <v>12 LDT</v>
      </c>
      <c r="J193" s="56" t="str">
        <v>DV_Cắt_Vip</v>
      </c>
      <c r="K193" s="56">
        <v>1053</v>
      </c>
      <c r="L193" s="60" t="str">
        <f>K193-J193</f>
        <v>Combo 2 - First Class 2</v>
      </c>
      <c r="M193" s="57">
        <v>0.029126213592233</v>
      </c>
      <c r="N193" s="58">
        <v>248000</v>
      </c>
      <c r="O193" s="58">
        <v>255000</v>
      </c>
      <c r="P193" s="50">
        <v>7000</v>
      </c>
    </row>
    <row r="194">
      <c r="H194" s="51">
        <v>12</v>
      </c>
      <c r="I194" s="54" t="str">
        <v>12 LDT</v>
      </c>
      <c r="J194" s="52" t="str">
        <v>DV_Cắt_Vip</v>
      </c>
      <c r="K194" s="52">
        <v>1054</v>
      </c>
      <c r="L194" s="48" t="str">
        <f>K194-J194</f>
        <v>Combo 3 - First Class 3</v>
      </c>
      <c r="M194" s="53">
        <v>0.029126213592233</v>
      </c>
      <c r="N194" s="49">
        <v>318000</v>
      </c>
      <c r="O194" s="49">
        <v>327000</v>
      </c>
      <c r="P194" s="50">
        <v>9000</v>
      </c>
    </row>
    <row r="195">
      <c r="H195" s="62">
        <v>12</v>
      </c>
      <c r="I195" s="54" t="str">
        <v>12 LDT</v>
      </c>
      <c r="J195" s="56" t="str">
        <v>DV_Cắt_Vip</v>
      </c>
      <c r="K195" s="56">
        <v>1055</v>
      </c>
      <c r="L195" s="60" t="str">
        <f>K195-J195</f>
        <v>Combo 4- First Class 4</v>
      </c>
      <c r="M195" s="57">
        <v>0.029126213592233</v>
      </c>
      <c r="N195" s="58">
        <v>418000</v>
      </c>
      <c r="O195" s="58">
        <v>430000</v>
      </c>
      <c r="P195" s="50">
        <v>12000</v>
      </c>
    </row>
    <row r="196">
      <c r="H196" s="51">
        <v>12</v>
      </c>
      <c r="I196" s="54" t="str">
        <v>12 LDT</v>
      </c>
      <c r="J196" s="52" t="str">
        <v>DV_Cắt_Vip</v>
      </c>
      <c r="K196" s="52">
        <v>1064</v>
      </c>
      <c r="L196" s="48" t="str">
        <f>K196-J196</f>
        <v>Cắt Gội Combo 5 - Dưỡng sinh</v>
      </c>
      <c r="M196" s="53">
        <v>0.029126213592233</v>
      </c>
      <c r="N196" s="49">
        <v>468000</v>
      </c>
      <c r="O196" s="49">
        <v>482000</v>
      </c>
      <c r="P196" s="50">
        <v>14000</v>
      </c>
    </row>
    <row r="197">
      <c r="H197" s="62">
        <v>12</v>
      </c>
      <c r="I197" s="54" t="str">
        <v>12 LDT</v>
      </c>
      <c r="J197" s="56" t="str">
        <v>DV_Cắt_Vip</v>
      </c>
      <c r="K197" s="56">
        <v>1065</v>
      </c>
      <c r="L197" s="60" t="str">
        <f>K197-J197</f>
        <v>Cắt Gội Combo 3 - Dưỡng sinh</v>
      </c>
      <c r="M197" s="57">
        <v>0.029126213592233</v>
      </c>
      <c r="N197" s="58">
        <v>299000</v>
      </c>
      <c r="O197" s="58">
        <v>308000</v>
      </c>
      <c r="P197" s="50">
        <v>9000</v>
      </c>
    </row>
    <row r="198">
      <c r="H198" s="51">
        <v>12</v>
      </c>
      <c r="I198" s="54" t="str">
        <v>12 LDT</v>
      </c>
      <c r="J198" s="52" t="str">
        <v>DV_Gội</v>
      </c>
      <c r="K198" s="52">
        <v>867</v>
      </c>
      <c r="L198" s="48" t="str">
        <f>K198-J198</f>
        <v>Gội dưỡng sinh cổ vai gáy</v>
      </c>
      <c r="M198" s="53">
        <v>0.029126213592233</v>
      </c>
      <c r="N198" s="49">
        <v>99000</v>
      </c>
      <c r="O198" s="49">
        <v>102000</v>
      </c>
      <c r="P198" s="61">
        <v>3000</v>
      </c>
    </row>
    <row r="199">
      <c r="H199" s="62">
        <v>12</v>
      </c>
      <c r="I199" s="54" t="str">
        <v>12 LDT</v>
      </c>
      <c r="J199" s="56" t="str">
        <v>DV_Gội</v>
      </c>
      <c r="K199" s="56">
        <v>930</v>
      </c>
      <c r="L199" s="60" t="str">
        <f>K199-J199</f>
        <v>[NEW] Gội dưỡng sinh cổ vai gáy và chăm sóc da</v>
      </c>
      <c r="M199" s="57">
        <v>0.029126213592233</v>
      </c>
      <c r="N199" s="58">
        <v>139000</v>
      </c>
      <c r="O199" s="58">
        <v>143000</v>
      </c>
      <c r="P199" s="50">
        <v>4000</v>
      </c>
    </row>
    <row r="200">
      <c r="H200" s="51">
        <v>12</v>
      </c>
      <c r="I200" s="54" t="str">
        <v>12 LDT</v>
      </c>
      <c r="J200" s="52" t="str">
        <v>DV_Gội</v>
      </c>
      <c r="K200" s="52">
        <v>934</v>
      </c>
      <c r="L200" s="48" t="str">
        <f>K200-J200</f>
        <v>Gội combo 3 - Dưỡng sinh</v>
      </c>
      <c r="M200" s="53">
        <v>0.029126213592233</v>
      </c>
      <c r="N200" s="49">
        <v>229000</v>
      </c>
      <c r="O200" s="49">
        <v>236000</v>
      </c>
      <c r="P200" s="50">
        <v>7000</v>
      </c>
    </row>
    <row r="201">
      <c r="H201" s="62">
        <v>12</v>
      </c>
      <c r="I201" s="54" t="str">
        <v>12 LDT</v>
      </c>
      <c r="J201" s="56" t="str">
        <v>DV_Gội</v>
      </c>
      <c r="K201" s="56">
        <v>940</v>
      </c>
      <c r="L201" s="60" t="str">
        <f>K201-J201</f>
        <v>[NEW] Gội dưỡng sinh</v>
      </c>
      <c r="M201" s="57">
        <v>0.029126213592233</v>
      </c>
      <c r="N201" s="58">
        <v>59000</v>
      </c>
      <c r="O201" s="58">
        <v>61000</v>
      </c>
      <c r="P201" s="61">
        <v>2000</v>
      </c>
    </row>
    <row r="202">
      <c r="H202" s="51">
        <v>12</v>
      </c>
      <c r="I202" s="54" t="str">
        <v>12 LDT</v>
      </c>
      <c r="J202" s="52" t="str">
        <v>DV_Gội</v>
      </c>
      <c r="K202" s="52">
        <v>1058</v>
      </c>
      <c r="L202" s="48" t="str">
        <f>K202-J202</f>
        <v>Gội Combo 2</v>
      </c>
      <c r="M202" s="53">
        <v>0.029126213592233</v>
      </c>
      <c r="N202" s="49">
        <v>159000</v>
      </c>
      <c r="O202" s="49">
        <v>164000</v>
      </c>
      <c r="P202" s="50">
        <v>5000</v>
      </c>
    </row>
    <row r="203">
      <c r="H203" s="62">
        <v>12</v>
      </c>
      <c r="I203" s="54" t="str">
        <v>12 LDT</v>
      </c>
      <c r="J203" s="56" t="str">
        <v>DV_Gội</v>
      </c>
      <c r="K203" s="56">
        <v>1059</v>
      </c>
      <c r="L203" s="60" t="str">
        <f>K203-J203</f>
        <v>Gội Combo 3 - Chăm da</v>
      </c>
      <c r="M203" s="57">
        <v>0.029126213592233</v>
      </c>
      <c r="N203" s="58">
        <v>239000</v>
      </c>
      <c r="O203" s="58">
        <v>246000</v>
      </c>
      <c r="P203" s="50">
        <v>7000</v>
      </c>
    </row>
    <row r="204">
      <c r="H204" s="51">
        <v>12</v>
      </c>
      <c r="I204" s="54" t="str">
        <v>12 LDT</v>
      </c>
      <c r="J204" s="52" t="str">
        <v>DV_Gội</v>
      </c>
      <c r="K204" s="52">
        <v>1060</v>
      </c>
      <c r="L204" s="48" t="str">
        <f>K204-J204</f>
        <v>Gội Combo 4</v>
      </c>
      <c r="M204" s="53">
        <v>0.029126213592233</v>
      </c>
      <c r="N204" s="49">
        <v>329000</v>
      </c>
      <c r="O204" s="49">
        <v>339000</v>
      </c>
      <c r="P204" s="50">
        <v>10000</v>
      </c>
    </row>
    <row r="205">
      <c r="H205" s="62">
        <v>12</v>
      </c>
      <c r="I205" s="54" t="str">
        <v>12 LDT</v>
      </c>
      <c r="J205" s="56" t="str">
        <v>DV_Gội</v>
      </c>
      <c r="K205" s="56">
        <v>1061</v>
      </c>
      <c r="L205" s="60" t="str">
        <f>K205-J205</f>
        <v>Gội Combo 5 - Chăm da</v>
      </c>
      <c r="M205" s="57">
        <v>0.029126213592233</v>
      </c>
      <c r="N205" s="58">
        <v>359000</v>
      </c>
      <c r="O205" s="58">
        <v>369000</v>
      </c>
      <c r="P205" s="50">
        <v>10000</v>
      </c>
    </row>
    <row r="206">
      <c r="H206" s="51">
        <v>12</v>
      </c>
      <c r="I206" s="54" t="str">
        <v>12 LDT</v>
      </c>
      <c r="J206" s="52" t="str">
        <v>DV_Gội</v>
      </c>
      <c r="K206" s="52">
        <v>1066</v>
      </c>
      <c r="L206" s="48" t="str">
        <f>K206-J206</f>
        <v>Gội trải nghiệm 75p</v>
      </c>
      <c r="M206" s="53">
        <v>0.029126213592233</v>
      </c>
      <c r="N206" s="49">
        <v>589000</v>
      </c>
      <c r="O206" s="49">
        <v>606000</v>
      </c>
      <c r="P206" s="50">
        <v>17000</v>
      </c>
    </row>
    <row r="207">
      <c r="H207" s="62">
        <v>12</v>
      </c>
      <c r="I207" s="54" t="str">
        <v>12 LDT</v>
      </c>
      <c r="J207" s="56" t="str">
        <v>DV_Gội</v>
      </c>
      <c r="K207" s="56">
        <v>1067</v>
      </c>
      <c r="L207" s="60" t="str">
        <f>K207-J207</f>
        <v>Gội trải nghiệm 90p</v>
      </c>
      <c r="M207" s="57">
        <v>0.029126213592233</v>
      </c>
      <c r="N207" s="58">
        <v>789000</v>
      </c>
      <c r="O207" s="58">
        <v>812000</v>
      </c>
      <c r="P207" s="50">
        <v>23000</v>
      </c>
    </row>
    <row r="208">
      <c r="H208" s="51">
        <v>12</v>
      </c>
      <c r="I208" s="54" t="str">
        <v>12 LDT</v>
      </c>
      <c r="J208" s="52" t="str">
        <v>DV_Gội</v>
      </c>
      <c r="K208" s="52">
        <v>1068</v>
      </c>
      <c r="L208" s="48" t="str">
        <f>K208-J208</f>
        <v>Gội trải nghiệm 115p</v>
      </c>
      <c r="M208" s="53">
        <v>0.029126213592233</v>
      </c>
      <c r="N208" s="49">
        <v>999000</v>
      </c>
      <c r="O208" s="49">
        <v>1028000</v>
      </c>
      <c r="P208" s="50">
        <v>29000</v>
      </c>
    </row>
    <row r="209">
      <c r="H209" s="62">
        <v>12</v>
      </c>
      <c r="I209" s="54" t="str">
        <v>12 LDT</v>
      </c>
      <c r="J209" s="56" t="str">
        <v>DV_Spa</v>
      </c>
      <c r="K209" s="56">
        <v>936</v>
      </c>
      <c r="L209" s="60" t="str">
        <f>K209-J209</f>
        <v>[NEW] Chăm sóc da Shine Spa 199k (có phân tích da)</v>
      </c>
      <c r="M209" s="57">
        <v>0.029126213592233</v>
      </c>
      <c r="N209" s="58">
        <v>199000</v>
      </c>
      <c r="O209" s="58">
        <v>205000</v>
      </c>
      <c r="P209" s="50">
        <v>6000</v>
      </c>
    </row>
    <row r="210">
      <c r="H210" s="51">
        <v>247</v>
      </c>
      <c r="I210" s="54" t="str">
        <v>1371 PVT</v>
      </c>
      <c r="J210" s="52" t="str">
        <v>DV_Cắt</v>
      </c>
      <c r="K210" s="52">
        <v>513</v>
      </c>
      <c r="L210" s="48" t="str">
        <f>K210-J210</f>
        <v>[DV] ShineCombo 10 bước Ultra Care 2023</v>
      </c>
      <c r="M210" s="53">
        <v>0.01960784313725483</v>
      </c>
      <c r="N210" s="49">
        <v>122000</v>
      </c>
      <c r="O210" s="49">
        <v>122000</v>
      </c>
      <c r="P210" s="50"/>
    </row>
    <row r="211">
      <c r="H211" s="62">
        <v>247</v>
      </c>
      <c r="I211" s="54" t="str">
        <v>1371 PVT</v>
      </c>
      <c r="J211" s="56" t="str">
        <v>DV_Cắt</v>
      </c>
      <c r="K211" s="56">
        <v>891</v>
      </c>
      <c r="L211" s="60" t="str">
        <f>K211-J211</f>
        <v>Cắt xả tạo kiểu</v>
      </c>
      <c r="M211" s="57">
        <v>0.01960784313725483</v>
      </c>
      <c r="N211" s="58">
        <v>102000</v>
      </c>
      <c r="O211" s="58">
        <v>104000</v>
      </c>
      <c r="P211" s="50">
        <v>2000</v>
      </c>
    </row>
    <row r="212">
      <c r="H212" s="51">
        <v>247</v>
      </c>
      <c r="I212" s="54" t="str">
        <v>1371 PVT</v>
      </c>
      <c r="J212" s="52" t="str">
        <v>DV_Cắt</v>
      </c>
      <c r="K212" s="52">
        <v>1002</v>
      </c>
      <c r="L212" s="48" t="str">
        <f>K212-J212</f>
        <v>Kid Cắt</v>
      </c>
      <c r="M212" s="53">
        <v>0.01960784313725483</v>
      </c>
      <c r="N212" s="49">
        <v>83000</v>
      </c>
      <c r="O212" s="49">
        <v>85000</v>
      </c>
      <c r="P212" s="50">
        <v>2000</v>
      </c>
    </row>
    <row r="213">
      <c r="H213" s="62">
        <v>247</v>
      </c>
      <c r="I213" s="54" t="str">
        <v>1371 PVT</v>
      </c>
      <c r="J213" s="56" t="str">
        <v>DV_Cắt</v>
      </c>
      <c r="K213" s="56">
        <v>1070</v>
      </c>
      <c r="L213" s="60" t="str">
        <f>K213-J213</f>
        <v>Combo Cắt gội Kid</v>
      </c>
      <c r="M213" s="57">
        <v>0.01960784313725483</v>
      </c>
      <c r="N213" s="58">
        <v>100000</v>
      </c>
      <c r="O213" s="58">
        <v>102000</v>
      </c>
      <c r="P213" s="50">
        <v>2000</v>
      </c>
    </row>
    <row r="214">
      <c r="H214" s="51">
        <v>247</v>
      </c>
      <c r="I214" s="54" t="str">
        <v>1371 PVT</v>
      </c>
      <c r="J214" s="52" t="str">
        <v>DV_Cắt_Vip</v>
      </c>
      <c r="K214" s="52">
        <v>1046</v>
      </c>
      <c r="L214" s="48" t="str">
        <f>K214-J214</f>
        <v>Shinecombo 2</v>
      </c>
      <c r="M214" s="53">
        <v>0.01960784313725483</v>
      </c>
      <c r="N214" s="49">
        <v>177000</v>
      </c>
      <c r="O214" s="49">
        <v>180000</v>
      </c>
      <c r="P214" s="61">
        <v>3000</v>
      </c>
    </row>
    <row r="215">
      <c r="H215" s="62">
        <v>247</v>
      </c>
      <c r="I215" s="54" t="str">
        <v>1371 PVT</v>
      </c>
      <c r="J215" s="56" t="str">
        <v>DV_Cắt_Vip</v>
      </c>
      <c r="K215" s="56">
        <v>1047</v>
      </c>
      <c r="L215" s="60" t="str">
        <f>K215-J215</f>
        <v>Cắt Gội Combo 3 - Chăm da</v>
      </c>
      <c r="M215" s="57">
        <v>0.01960784313725483</v>
      </c>
      <c r="N215" s="58">
        <v>287000</v>
      </c>
      <c r="O215" s="58">
        <v>293000</v>
      </c>
      <c r="P215" s="61">
        <v>6000</v>
      </c>
    </row>
    <row r="216">
      <c r="H216" s="51">
        <v>247</v>
      </c>
      <c r="I216" s="54" t="str">
        <v>1371 PVT</v>
      </c>
      <c r="J216" s="52" t="str">
        <v>DV_Cắt_Vip</v>
      </c>
      <c r="K216" s="52">
        <v>1048</v>
      </c>
      <c r="L216" s="48" t="str">
        <f>K216-J216</f>
        <v>Combo 4</v>
      </c>
      <c r="M216" s="53">
        <v>0.01960784313725483</v>
      </c>
      <c r="N216" s="49">
        <v>397000</v>
      </c>
      <c r="O216" s="49">
        <v>405000</v>
      </c>
      <c r="P216" s="61">
        <v>8000</v>
      </c>
    </row>
    <row r="217">
      <c r="H217" s="62">
        <v>247</v>
      </c>
      <c r="I217" s="54" t="str">
        <v>1371 PVT</v>
      </c>
      <c r="J217" s="56" t="str">
        <v>DV_Cắt_Vip</v>
      </c>
      <c r="K217" s="56">
        <v>1064</v>
      </c>
      <c r="L217" s="60" t="str">
        <f>K217-J217</f>
        <v>Cắt Gội Combo 5 - Dưỡng sinh</v>
      </c>
      <c r="M217" s="57">
        <v>0.01960784313725483</v>
      </c>
      <c r="N217" s="58">
        <v>459000</v>
      </c>
      <c r="O217" s="58">
        <v>468000</v>
      </c>
      <c r="P217" s="61">
        <v>9000</v>
      </c>
    </row>
    <row r="218">
      <c r="H218" s="51">
        <v>247</v>
      </c>
      <c r="I218" s="54" t="str">
        <v>1371 PVT</v>
      </c>
      <c r="J218" s="52" t="str">
        <v>DV_Cắt_Vip</v>
      </c>
      <c r="K218" s="52">
        <v>1065</v>
      </c>
      <c r="L218" s="48" t="str">
        <f>K218-J218</f>
        <v>Cắt Gội Combo 3 - Dưỡng sinh</v>
      </c>
      <c r="M218" s="53">
        <v>0.01960784313725483</v>
      </c>
      <c r="N218" s="49">
        <v>299000</v>
      </c>
      <c r="O218" s="49">
        <v>305000</v>
      </c>
      <c r="P218" s="61">
        <v>6000</v>
      </c>
    </row>
    <row r="219">
      <c r="H219" s="62">
        <v>247</v>
      </c>
      <c r="I219" s="54" t="str">
        <v>1371 PVT</v>
      </c>
      <c r="J219" s="56" t="str">
        <v>DV_Cắt_Vip</v>
      </c>
      <c r="K219" s="56">
        <v>1150</v>
      </c>
      <c r="L219" s="60" t="str">
        <f>K219-J219</f>
        <v>Combo cắt gội đỉnh cao thư giãn vip</v>
      </c>
      <c r="M219" s="57">
        <v>0.01960784313725483</v>
      </c>
      <c r="N219" s="58">
        <v>508000</v>
      </c>
      <c r="O219" s="58">
        <v>518000</v>
      </c>
      <c r="P219" s="61">
        <v>10000</v>
      </c>
    </row>
    <row r="220">
      <c r="H220" s="51">
        <v>247</v>
      </c>
      <c r="I220" s="54" t="str">
        <v>1371 PVT</v>
      </c>
      <c r="J220" s="52" t="str">
        <v>DV_Gội</v>
      </c>
      <c r="K220" s="52">
        <v>867</v>
      </c>
      <c r="L220" s="48" t="str">
        <f>K220-J220</f>
        <v>Gội dưỡng sinh cổ vai gáy</v>
      </c>
      <c r="M220" s="53">
        <v>0.01960784313725483</v>
      </c>
      <c r="N220" s="49">
        <v>99000</v>
      </c>
      <c r="O220" s="49">
        <v>101000</v>
      </c>
      <c r="P220" s="61">
        <v>2000</v>
      </c>
    </row>
    <row r="221">
      <c r="H221" s="62">
        <v>247</v>
      </c>
      <c r="I221" s="54" t="str">
        <v>1371 PVT</v>
      </c>
      <c r="J221" s="56" t="str">
        <v>DV_Gội</v>
      </c>
      <c r="K221" s="56">
        <v>930</v>
      </c>
      <c r="L221" s="60" t="str">
        <f>K221-J221</f>
        <v>[NEW] Gội dưỡng sinh cổ vai gáy và chăm sóc da</v>
      </c>
      <c r="M221" s="57">
        <v>0.01960784313725483</v>
      </c>
      <c r="N221" s="58">
        <v>139000</v>
      </c>
      <c r="O221" s="58">
        <v>142000</v>
      </c>
      <c r="P221" s="61">
        <v>3000</v>
      </c>
    </row>
    <row r="222">
      <c r="H222" s="51">
        <v>247</v>
      </c>
      <c r="I222" s="54" t="str">
        <v>1371 PVT</v>
      </c>
      <c r="J222" s="52" t="str">
        <v>DV_Gội</v>
      </c>
      <c r="K222" s="52">
        <v>934</v>
      </c>
      <c r="L222" s="48" t="str">
        <f>K222-J222</f>
        <v>Gội combo 3 - Dưỡng sinh</v>
      </c>
      <c r="M222" s="53">
        <v>0.01960784313725483</v>
      </c>
      <c r="N222" s="49">
        <v>229000</v>
      </c>
      <c r="O222" s="49">
        <v>233000</v>
      </c>
      <c r="P222" s="61">
        <v>4000</v>
      </c>
    </row>
    <row r="223">
      <c r="H223" s="62">
        <v>247</v>
      </c>
      <c r="I223" s="54" t="str">
        <v>1371 PVT</v>
      </c>
      <c r="J223" s="56" t="str">
        <v>DV_Gội</v>
      </c>
      <c r="K223" s="56">
        <v>940</v>
      </c>
      <c r="L223" s="60" t="str">
        <f>K223-J223</f>
        <v>[NEW] Gội dưỡng sinh</v>
      </c>
      <c r="M223" s="57">
        <v>0.01960784313725483</v>
      </c>
      <c r="N223" s="58">
        <v>59000</v>
      </c>
      <c r="O223" s="58">
        <v>60000</v>
      </c>
      <c r="P223" s="61">
        <v>1000</v>
      </c>
    </row>
    <row r="224">
      <c r="H224" s="51">
        <v>247</v>
      </c>
      <c r="I224" s="54" t="str">
        <v>1371 PVT</v>
      </c>
      <c r="J224" s="52" t="str">
        <v>DV_Gội</v>
      </c>
      <c r="K224" s="52">
        <v>1058</v>
      </c>
      <c r="L224" s="48" t="str">
        <f>K224-J224</f>
        <v>Gội Combo 2</v>
      </c>
      <c r="M224" s="53">
        <v>0.01960784313725483</v>
      </c>
      <c r="N224" s="49">
        <v>159000</v>
      </c>
      <c r="O224" s="49">
        <v>162000</v>
      </c>
      <c r="P224" s="61">
        <v>3000</v>
      </c>
    </row>
    <row r="225">
      <c r="H225" s="62">
        <v>247</v>
      </c>
      <c r="I225" s="54" t="str">
        <v>1371 PVT</v>
      </c>
      <c r="J225" s="56" t="str">
        <v>DV_Gội</v>
      </c>
      <c r="K225" s="56">
        <v>1059</v>
      </c>
      <c r="L225" s="60" t="str">
        <f>K225-J225</f>
        <v>Gội Combo 3 - Chăm da</v>
      </c>
      <c r="M225" s="57">
        <v>0.01960784313725483</v>
      </c>
      <c r="N225" s="58">
        <v>239000</v>
      </c>
      <c r="O225" s="58">
        <v>244000</v>
      </c>
      <c r="P225" s="61">
        <v>5000</v>
      </c>
    </row>
    <row r="226">
      <c r="H226" s="51">
        <v>247</v>
      </c>
      <c r="I226" s="54" t="str">
        <v>1371 PVT</v>
      </c>
      <c r="J226" s="52" t="str">
        <v>DV_Gội</v>
      </c>
      <c r="K226" s="52">
        <v>1060</v>
      </c>
      <c r="L226" s="48" t="str">
        <f>K226-J226</f>
        <v>Gội Combo 4</v>
      </c>
      <c r="M226" s="53">
        <v>0.01960784313725483</v>
      </c>
      <c r="N226" s="49">
        <v>319000</v>
      </c>
      <c r="O226" s="49">
        <v>325000</v>
      </c>
      <c r="P226" s="61">
        <v>6000</v>
      </c>
    </row>
    <row r="227">
      <c r="H227" s="62">
        <v>247</v>
      </c>
      <c r="I227" s="54" t="str">
        <v>1371 PVT</v>
      </c>
      <c r="J227" s="56" t="str">
        <v>DV_Gội</v>
      </c>
      <c r="K227" s="56">
        <v>1066</v>
      </c>
      <c r="L227" s="60" t="str">
        <f>K227-J227</f>
        <v>Gội trải nghiệm 75p</v>
      </c>
      <c r="M227" s="57">
        <v>0.01960784313725483</v>
      </c>
      <c r="N227" s="58">
        <v>589000</v>
      </c>
      <c r="O227" s="58">
        <v>601000</v>
      </c>
      <c r="P227" s="61">
        <v>12000</v>
      </c>
    </row>
    <row r="228">
      <c r="H228" s="51">
        <v>247</v>
      </c>
      <c r="I228" s="54" t="str">
        <v>1371 PVT</v>
      </c>
      <c r="J228" s="52" t="str">
        <v>DV_Gội</v>
      </c>
      <c r="K228" s="52">
        <v>1067</v>
      </c>
      <c r="L228" s="48" t="str">
        <f>K228-J228</f>
        <v>Gội trải nghiệm 90p</v>
      </c>
      <c r="M228" s="53">
        <v>0.01960784313725483</v>
      </c>
      <c r="N228" s="49">
        <v>789000</v>
      </c>
      <c r="O228" s="49">
        <v>804000</v>
      </c>
      <c r="P228" s="61">
        <v>15000</v>
      </c>
    </row>
    <row r="229">
      <c r="H229" s="62">
        <v>247</v>
      </c>
      <c r="I229" s="54" t="str">
        <v>1371 PVT</v>
      </c>
      <c r="J229" s="56" t="str">
        <v>DV_Gội</v>
      </c>
      <c r="K229" s="56">
        <v>1068</v>
      </c>
      <c r="L229" s="60" t="str">
        <f>K229-J229</f>
        <v>Gội trải nghiệm 115p</v>
      </c>
      <c r="M229" s="57">
        <v>0.01960784313725483</v>
      </c>
      <c r="N229" s="58">
        <v>999000</v>
      </c>
      <c r="O229" s="58">
        <v>1019000</v>
      </c>
      <c r="P229" s="61">
        <v>20000</v>
      </c>
    </row>
    <row r="230">
      <c r="H230" s="51">
        <v>247</v>
      </c>
      <c r="I230" s="54" t="str">
        <v>1371 PVT</v>
      </c>
      <c r="J230" s="52" t="str">
        <v>DV_Gội</v>
      </c>
      <c r="K230" s="52">
        <v>1240</v>
      </c>
      <c r="L230" s="48" t="str">
        <f>K230-J230</f>
        <v>Gội Detox Scalp Pro</v>
      </c>
      <c r="M230" s="53">
        <v>0.01960784313725483</v>
      </c>
      <c r="N230" s="49">
        <v>179000</v>
      </c>
      <c r="O230" s="49">
        <v>183000</v>
      </c>
      <c r="P230" s="61">
        <v>4000</v>
      </c>
    </row>
    <row r="231">
      <c r="H231" s="62">
        <v>247</v>
      </c>
      <c r="I231" s="54" t="str">
        <v>1371 PVT</v>
      </c>
      <c r="J231" s="56" t="str">
        <v>DV_Spa</v>
      </c>
      <c r="K231" s="56">
        <v>936</v>
      </c>
      <c r="L231" s="60" t="str">
        <f>K231-J231</f>
        <v>[NEW] Chăm sóc da Shine Spa 199k (có phân tích da)</v>
      </c>
      <c r="M231" s="57">
        <v>0.01960784313725483</v>
      </c>
      <c r="N231" s="58">
        <v>199000</v>
      </c>
      <c r="O231" s="58">
        <v>203000</v>
      </c>
      <c r="P231" s="50">
        <v>4000</v>
      </c>
    </row>
    <row r="232">
      <c r="H232" s="51">
        <v>193</v>
      </c>
      <c r="I232" s="54" t="str">
        <v>145 THT</v>
      </c>
      <c r="J232" s="52" t="str">
        <v>DV_Cắt</v>
      </c>
      <c r="K232" s="52">
        <v>513</v>
      </c>
      <c r="L232" s="48" t="str">
        <f>K232-J232</f>
        <v>[DV] ShineCombo 10 bước Ultra Care 2023</v>
      </c>
      <c r="M232" s="53">
        <v>0.06382978723404253</v>
      </c>
      <c r="N232" s="49">
        <v>122000</v>
      </c>
      <c r="O232" s="49">
        <v>122000</v>
      </c>
      <c r="P232" s="50"/>
    </row>
    <row r="233">
      <c r="H233" s="62">
        <v>193</v>
      </c>
      <c r="I233" s="54" t="str">
        <v>145 THT</v>
      </c>
      <c r="J233" s="56" t="str">
        <v>DV_Cắt</v>
      </c>
      <c r="K233" s="56">
        <v>891</v>
      </c>
      <c r="L233" s="60" t="str">
        <f>K233-J233</f>
        <v>Cắt xả tạo kiểu</v>
      </c>
      <c r="M233" s="57">
        <v>0.06382978723404253</v>
      </c>
      <c r="N233" s="58">
        <v>94000</v>
      </c>
      <c r="O233" s="58">
        <v>100000</v>
      </c>
      <c r="P233" s="61">
        <v>6000</v>
      </c>
    </row>
    <row r="234">
      <c r="H234" s="51">
        <v>193</v>
      </c>
      <c r="I234" s="54" t="str">
        <v>145 THT</v>
      </c>
      <c r="J234" s="52" t="str">
        <v>DV_Cắt</v>
      </c>
      <c r="K234" s="52">
        <v>1002</v>
      </c>
      <c r="L234" s="48" t="str">
        <f>K234-J234</f>
        <v>Kid Cắt</v>
      </c>
      <c r="M234" s="53">
        <v>0.06382978723404253</v>
      </c>
      <c r="N234" s="49">
        <v>75000</v>
      </c>
      <c r="O234" s="49">
        <v>80000</v>
      </c>
      <c r="P234" s="50">
        <v>5000</v>
      </c>
    </row>
    <row r="235">
      <c r="H235" s="62">
        <v>193</v>
      </c>
      <c r="I235" s="54" t="str">
        <v>145 THT</v>
      </c>
      <c r="J235" s="56" t="str">
        <v>DV_Cắt</v>
      </c>
      <c r="K235" s="56">
        <v>1070</v>
      </c>
      <c r="L235" s="60" t="str">
        <f>K235-J235</f>
        <v>Combo Cắt gội Kid</v>
      </c>
      <c r="M235" s="57">
        <v>0.06382978723404253</v>
      </c>
      <c r="N235" s="58">
        <v>100000</v>
      </c>
      <c r="O235" s="58">
        <v>106000</v>
      </c>
      <c r="P235" s="50">
        <v>6000</v>
      </c>
    </row>
    <row r="236">
      <c r="H236" s="51">
        <v>193</v>
      </c>
      <c r="I236" s="54" t="str">
        <v>145 THT</v>
      </c>
      <c r="J236" s="52" t="str">
        <v>DV_Cắt_Vip</v>
      </c>
      <c r="K236" s="52">
        <v>1046</v>
      </c>
      <c r="L236" s="48" t="str">
        <f>K236-J236</f>
        <v>Shinecombo 2</v>
      </c>
      <c r="M236" s="53">
        <v>0.06382978723404253</v>
      </c>
      <c r="N236" s="49">
        <v>199000</v>
      </c>
      <c r="O236" s="49">
        <v>212000</v>
      </c>
      <c r="P236" s="50">
        <v>13000</v>
      </c>
    </row>
    <row r="237">
      <c r="H237" s="62">
        <v>193</v>
      </c>
      <c r="I237" s="54" t="str">
        <v>145 THT</v>
      </c>
      <c r="J237" s="56" t="str">
        <v>DV_Cắt_Vip</v>
      </c>
      <c r="K237" s="56">
        <v>1047</v>
      </c>
      <c r="L237" s="60" t="str">
        <f>K237-J237</f>
        <v>Cắt Gội Combo 3 - Chăm da</v>
      </c>
      <c r="M237" s="57">
        <v>0.06382978723404253</v>
      </c>
      <c r="N237" s="58">
        <v>299000</v>
      </c>
      <c r="O237" s="58">
        <v>318000</v>
      </c>
      <c r="P237" s="50">
        <v>19000</v>
      </c>
    </row>
    <row r="238">
      <c r="H238" s="51">
        <v>193</v>
      </c>
      <c r="I238" s="54" t="str">
        <v>145 THT</v>
      </c>
      <c r="J238" s="52" t="str">
        <v>DV_Cắt_Vip</v>
      </c>
      <c r="K238" s="52">
        <v>1048</v>
      </c>
      <c r="L238" s="48" t="str">
        <f>K238-J238</f>
        <v>Combo 4</v>
      </c>
      <c r="M238" s="53">
        <v>0.06382978723404253</v>
      </c>
      <c r="N238" s="49">
        <v>389000</v>
      </c>
      <c r="O238" s="49">
        <v>414000</v>
      </c>
      <c r="P238" s="50">
        <v>25000</v>
      </c>
    </row>
    <row r="239">
      <c r="H239" s="62">
        <v>193</v>
      </c>
      <c r="I239" s="54" t="str">
        <v>145 THT</v>
      </c>
      <c r="J239" s="56" t="str">
        <v>DV_Cắt_Vip</v>
      </c>
      <c r="K239" s="56">
        <v>1049</v>
      </c>
      <c r="L239" s="60" t="str">
        <f>K239-J239</f>
        <v>Cắt Gội Combo 5 - Chăm da</v>
      </c>
      <c r="M239" s="57">
        <v>0.06382978723404253</v>
      </c>
      <c r="N239" s="58">
        <v>399000</v>
      </c>
      <c r="O239" s="58">
        <v>424000</v>
      </c>
      <c r="P239" s="50">
        <v>25000</v>
      </c>
    </row>
    <row r="240">
      <c r="H240" s="51">
        <v>193</v>
      </c>
      <c r="I240" s="54" t="str">
        <v>145 THT</v>
      </c>
      <c r="J240" s="52" t="str">
        <v>DV_Cắt_Vip</v>
      </c>
      <c r="K240" s="52">
        <v>1064</v>
      </c>
      <c r="L240" s="48" t="str">
        <f>K240-J240</f>
        <v>Cắt Gội Combo 5 - Dưỡng sinh</v>
      </c>
      <c r="M240" s="53">
        <v>0.06382978723404253</v>
      </c>
      <c r="N240" s="49">
        <v>459000</v>
      </c>
      <c r="O240" s="49">
        <v>488000</v>
      </c>
      <c r="P240" s="50">
        <v>29000</v>
      </c>
    </row>
    <row r="241">
      <c r="H241" s="62">
        <v>193</v>
      </c>
      <c r="I241" s="54" t="str">
        <v>145 THT</v>
      </c>
      <c r="J241" s="56" t="str">
        <v>DV_Cắt_Vip</v>
      </c>
      <c r="K241" s="56">
        <v>1065</v>
      </c>
      <c r="L241" s="60" t="str">
        <f>K241-J241</f>
        <v>Cắt Gội Combo 3 - Dưỡng sinh</v>
      </c>
      <c r="M241" s="57">
        <v>0.06382978723404253</v>
      </c>
      <c r="N241" s="58">
        <v>299000</v>
      </c>
      <c r="O241" s="58">
        <v>318000</v>
      </c>
      <c r="P241" s="50">
        <v>19000</v>
      </c>
    </row>
    <row r="242">
      <c r="H242" s="51">
        <v>193</v>
      </c>
      <c r="I242" s="54" t="str">
        <v>145 THT</v>
      </c>
      <c r="J242" s="52" t="str">
        <v>DV_Gội</v>
      </c>
      <c r="K242" s="52">
        <v>867</v>
      </c>
      <c r="L242" s="48" t="str">
        <f>K242-J242</f>
        <v>Gội dưỡng sinh cổ vai gáy</v>
      </c>
      <c r="M242" s="53">
        <v>0.06382978723404253</v>
      </c>
      <c r="N242" s="49">
        <v>100000</v>
      </c>
      <c r="O242" s="49">
        <v>106000</v>
      </c>
      <c r="P242" s="50">
        <v>6000</v>
      </c>
    </row>
    <row r="243">
      <c r="H243" s="62">
        <v>193</v>
      </c>
      <c r="I243" s="54" t="str">
        <v>145 THT</v>
      </c>
      <c r="J243" s="56" t="str">
        <v>DV_Gội</v>
      </c>
      <c r="K243" s="56">
        <v>930</v>
      </c>
      <c r="L243" s="60" t="str">
        <f>K243-J243</f>
        <v>[NEW] Gội dưỡng sinh cổ vai gáy và chăm sóc da</v>
      </c>
      <c r="M243" s="57">
        <v>0.06382978723404253</v>
      </c>
      <c r="N243" s="58">
        <v>139000</v>
      </c>
      <c r="O243" s="58">
        <v>148000</v>
      </c>
      <c r="P243" s="50">
        <v>9000</v>
      </c>
    </row>
    <row r="244">
      <c r="H244" s="51">
        <v>193</v>
      </c>
      <c r="I244" s="54" t="str">
        <v>145 THT</v>
      </c>
      <c r="J244" s="52" t="str">
        <v>DV_Gội</v>
      </c>
      <c r="K244" s="52">
        <v>932</v>
      </c>
      <c r="L244" s="48" t="str">
        <f>K244-J244</f>
        <v>Gội combo 5 dưỡng sinh</v>
      </c>
      <c r="M244" s="53">
        <v>0.06382978723404253</v>
      </c>
      <c r="N244" s="49">
        <v>399000</v>
      </c>
      <c r="O244" s="49">
        <v>424000</v>
      </c>
      <c r="P244" s="50">
        <v>25000</v>
      </c>
    </row>
    <row r="245">
      <c r="H245" s="62">
        <v>193</v>
      </c>
      <c r="I245" s="54" t="str">
        <v>145 THT</v>
      </c>
      <c r="J245" s="56" t="str">
        <v>DV_Gội</v>
      </c>
      <c r="K245" s="56">
        <v>934</v>
      </c>
      <c r="L245" s="60" t="str">
        <f>K245-J245</f>
        <v>Gội combo 3 - Dưỡng sinh</v>
      </c>
      <c r="M245" s="57">
        <v>0.06382978723404253</v>
      </c>
      <c r="N245" s="58">
        <v>229000</v>
      </c>
      <c r="O245" s="58">
        <v>244000</v>
      </c>
      <c r="P245" s="50">
        <v>15000</v>
      </c>
    </row>
    <row r="246">
      <c r="H246" s="51">
        <v>193</v>
      </c>
      <c r="I246" s="54" t="str">
        <v>145 THT</v>
      </c>
      <c r="J246" s="52" t="str">
        <v>DV_Gội</v>
      </c>
      <c r="K246" s="52">
        <v>940</v>
      </c>
      <c r="L246" s="48" t="str">
        <f>K246-J246</f>
        <v>[NEW] Gội dưỡng sinh</v>
      </c>
      <c r="M246" s="53">
        <v>0.06382978723404253</v>
      </c>
      <c r="N246" s="49">
        <v>59000</v>
      </c>
      <c r="O246" s="49">
        <v>63000</v>
      </c>
      <c r="P246" s="50">
        <v>4000</v>
      </c>
    </row>
    <row r="247">
      <c r="H247" s="62">
        <v>193</v>
      </c>
      <c r="I247" s="54" t="str">
        <v>145 THT</v>
      </c>
      <c r="J247" s="56" t="str">
        <v>DV_Gội</v>
      </c>
      <c r="K247" s="56">
        <v>1058</v>
      </c>
      <c r="L247" s="60" t="str">
        <f>K247-J247</f>
        <v>Gội Combo 2</v>
      </c>
      <c r="M247" s="57">
        <v>0.06382978723404253</v>
      </c>
      <c r="N247" s="58">
        <v>159000</v>
      </c>
      <c r="O247" s="58">
        <v>169000</v>
      </c>
      <c r="P247" s="50">
        <v>10000</v>
      </c>
    </row>
    <row r="248">
      <c r="H248" s="51">
        <v>193</v>
      </c>
      <c r="I248" s="54" t="str">
        <v>145 THT</v>
      </c>
      <c r="J248" s="52" t="str">
        <v>DV_Gội</v>
      </c>
      <c r="K248" s="52">
        <v>1059</v>
      </c>
      <c r="L248" s="48" t="str">
        <f>K248-J248</f>
        <v>Gội Combo 3 - Chăm da</v>
      </c>
      <c r="M248" s="53">
        <v>0.06382978723404253</v>
      </c>
      <c r="N248" s="49">
        <v>239000</v>
      </c>
      <c r="O248" s="49">
        <v>254000</v>
      </c>
      <c r="P248" s="50">
        <v>15000</v>
      </c>
    </row>
    <row r="249">
      <c r="H249" s="62">
        <v>193</v>
      </c>
      <c r="I249" s="54" t="str">
        <v>145 THT</v>
      </c>
      <c r="J249" s="56" t="str">
        <v>DV_Gội</v>
      </c>
      <c r="K249" s="56">
        <v>1060</v>
      </c>
      <c r="L249" s="60" t="str">
        <f>K249-J249</f>
        <v>Gội Combo 4</v>
      </c>
      <c r="M249" s="57">
        <v>0.06382978723404253</v>
      </c>
      <c r="N249" s="58">
        <v>319000</v>
      </c>
      <c r="O249" s="58">
        <v>339000</v>
      </c>
      <c r="P249" s="50">
        <v>20000</v>
      </c>
    </row>
    <row r="250">
      <c r="H250" s="51">
        <v>193</v>
      </c>
      <c r="I250" s="54" t="str">
        <v>145 THT</v>
      </c>
      <c r="J250" s="52" t="str">
        <v>DV_Gội</v>
      </c>
      <c r="K250" s="52">
        <v>1061</v>
      </c>
      <c r="L250" s="48" t="str">
        <f>K250-J250</f>
        <v>Gội Combo 5 - Chăm da</v>
      </c>
      <c r="M250" s="53">
        <v>0.06382978723404253</v>
      </c>
      <c r="N250" s="49">
        <v>359000</v>
      </c>
      <c r="O250" s="49">
        <v>382000</v>
      </c>
      <c r="P250" s="61">
        <v>23000</v>
      </c>
    </row>
    <row r="251">
      <c r="H251" s="62">
        <v>193</v>
      </c>
      <c r="I251" s="54" t="str">
        <v>145 THT</v>
      </c>
      <c r="J251" s="56" t="str">
        <v>DV_Gội</v>
      </c>
      <c r="K251" s="56">
        <v>1066</v>
      </c>
      <c r="L251" s="60" t="str">
        <f>K251-J251</f>
        <v>Gội trải nghiệm 75p</v>
      </c>
      <c r="M251" s="57">
        <v>0.06382978723404253</v>
      </c>
      <c r="N251" s="58">
        <v>589000</v>
      </c>
      <c r="O251" s="58">
        <v>627000</v>
      </c>
      <c r="P251" s="50">
        <v>38000</v>
      </c>
    </row>
    <row r="252">
      <c r="H252" s="51">
        <v>193</v>
      </c>
      <c r="I252" s="54" t="str">
        <v>145 THT</v>
      </c>
      <c r="J252" s="52" t="str">
        <v>DV_Gội</v>
      </c>
      <c r="K252" s="52">
        <v>1067</v>
      </c>
      <c r="L252" s="48" t="str">
        <f>K252-J252</f>
        <v>Gội trải nghiệm 90p</v>
      </c>
      <c r="M252" s="53">
        <v>0.06382978723404253</v>
      </c>
      <c r="N252" s="49">
        <v>789000</v>
      </c>
      <c r="O252" s="49">
        <v>839000</v>
      </c>
      <c r="P252" s="50">
        <v>50000</v>
      </c>
    </row>
    <row r="253">
      <c r="H253" s="62">
        <v>193</v>
      </c>
      <c r="I253" s="54" t="str">
        <v>145 THT</v>
      </c>
      <c r="J253" s="56" t="str">
        <v>DV_Gội</v>
      </c>
      <c r="K253" s="56">
        <v>1068</v>
      </c>
      <c r="L253" s="60" t="str">
        <f>K253-J253</f>
        <v>Gội trải nghiệm 115p</v>
      </c>
      <c r="M253" s="57">
        <v>0.06382978723404253</v>
      </c>
      <c r="N253" s="58">
        <v>999000</v>
      </c>
      <c r="O253" s="58">
        <v>1063000</v>
      </c>
      <c r="P253" s="61">
        <v>64000</v>
      </c>
    </row>
    <row r="254">
      <c r="H254" s="51">
        <v>193</v>
      </c>
      <c r="I254" s="54" t="str">
        <v>145 THT</v>
      </c>
      <c r="J254" s="52" t="str">
        <v>DV_Spa</v>
      </c>
      <c r="K254" s="52">
        <v>936</v>
      </c>
      <c r="L254" s="48" t="str">
        <f>K254-J254</f>
        <v>[NEW] Chăm sóc da Shine Spa 199k (có phân tích da)</v>
      </c>
      <c r="M254" s="53">
        <v>0.06382978723404253</v>
      </c>
      <c r="N254" s="49">
        <v>199000</v>
      </c>
      <c r="O254" s="49">
        <v>212000</v>
      </c>
      <c r="P254" s="50">
        <v>13000</v>
      </c>
    </row>
    <row r="255">
      <c r="H255" s="62">
        <v>210</v>
      </c>
      <c r="I255" s="54" t="str">
        <v>148 TD</v>
      </c>
      <c r="J255" s="56" t="str">
        <v>DV_Cắt</v>
      </c>
      <c r="K255" s="56">
        <v>513</v>
      </c>
      <c r="L255" s="60" t="str">
        <f>K255-J255</f>
        <v>[DV] ShineCombo 10 bước Ultra Care 2023</v>
      </c>
      <c r="M255" s="57">
        <v>0.04166666666666674</v>
      </c>
      <c r="N255" s="58">
        <v>122000</v>
      </c>
      <c r="O255" s="58">
        <v>122000</v>
      </c>
      <c r="P255" s="50"/>
    </row>
    <row r="256">
      <c r="H256" s="51">
        <v>210</v>
      </c>
      <c r="I256" s="54" t="str">
        <v>148 TD</v>
      </c>
      <c r="J256" s="52" t="str">
        <v>DV_Cắt</v>
      </c>
      <c r="K256" s="52">
        <v>891</v>
      </c>
      <c r="L256" s="48" t="str">
        <f>K256-J256</f>
        <v>Cắt xả tạo kiểu</v>
      </c>
      <c r="M256" s="53">
        <v>0.04166666666666674</v>
      </c>
      <c r="N256" s="49">
        <v>96000</v>
      </c>
      <c r="O256" s="49">
        <v>100000</v>
      </c>
      <c r="P256" s="50">
        <v>4000</v>
      </c>
    </row>
    <row r="257">
      <c r="H257" s="62">
        <v>210</v>
      </c>
      <c r="I257" s="54" t="str">
        <v>148 TD</v>
      </c>
      <c r="J257" s="56" t="str">
        <v>DV_Cắt</v>
      </c>
      <c r="K257" s="56">
        <v>1002</v>
      </c>
      <c r="L257" s="60" t="str">
        <f>K257-J257</f>
        <v>Kid Cắt</v>
      </c>
      <c r="M257" s="57">
        <v>0.04166666666666674</v>
      </c>
      <c r="N257" s="58">
        <v>77000</v>
      </c>
      <c r="O257" s="58">
        <v>80000</v>
      </c>
      <c r="P257" s="50">
        <v>3000</v>
      </c>
    </row>
    <row r="258">
      <c r="H258" s="51">
        <v>210</v>
      </c>
      <c r="I258" s="54" t="str">
        <v>148 TD</v>
      </c>
      <c r="J258" s="52" t="str">
        <v>DV_Cắt</v>
      </c>
      <c r="K258" s="52">
        <v>1070</v>
      </c>
      <c r="L258" s="48" t="str">
        <f>K258-J258</f>
        <v>Combo Cắt gội Kid</v>
      </c>
      <c r="M258" s="53">
        <v>0.04166666666666674</v>
      </c>
      <c r="N258" s="49">
        <v>100000</v>
      </c>
      <c r="O258" s="49">
        <v>104000</v>
      </c>
      <c r="P258" s="50">
        <v>4000</v>
      </c>
    </row>
    <row r="259">
      <c r="H259" s="62">
        <v>210</v>
      </c>
      <c r="I259" s="54" t="str">
        <v>148 TD</v>
      </c>
      <c r="J259" s="56" t="str">
        <v>DV_Cắt_Vip</v>
      </c>
      <c r="K259" s="56">
        <v>1046</v>
      </c>
      <c r="L259" s="60" t="str">
        <f>K259-J259</f>
        <v>Shinecombo 2</v>
      </c>
      <c r="M259" s="57">
        <v>0.04166666666666674</v>
      </c>
      <c r="N259" s="58">
        <v>201000</v>
      </c>
      <c r="O259" s="58">
        <v>209000</v>
      </c>
      <c r="P259" s="50">
        <v>8000</v>
      </c>
    </row>
    <row r="260">
      <c r="H260" s="51">
        <v>210</v>
      </c>
      <c r="I260" s="54" t="str">
        <v>148 TD</v>
      </c>
      <c r="J260" s="52" t="str">
        <v>DV_Cắt_Vip</v>
      </c>
      <c r="K260" s="52">
        <v>1047</v>
      </c>
      <c r="L260" s="48" t="str">
        <f>K260-J260</f>
        <v>Cắt Gội Combo 3 - Chăm da</v>
      </c>
      <c r="M260" s="53">
        <v>0.04166666666666674</v>
      </c>
      <c r="N260" s="49">
        <v>301000</v>
      </c>
      <c r="O260" s="49">
        <v>314000</v>
      </c>
      <c r="P260" s="50">
        <v>13000</v>
      </c>
    </row>
    <row r="261">
      <c r="H261" s="62">
        <v>210</v>
      </c>
      <c r="I261" s="54" t="str">
        <v>148 TD</v>
      </c>
      <c r="J261" s="56" t="str">
        <v>DV_Cắt_Vip</v>
      </c>
      <c r="K261" s="56">
        <v>1048</v>
      </c>
      <c r="L261" s="60" t="str">
        <f>K261-J261</f>
        <v>Combo 4</v>
      </c>
      <c r="M261" s="57">
        <v>0.04166666666666674</v>
      </c>
      <c r="N261" s="58">
        <v>391000</v>
      </c>
      <c r="O261" s="58">
        <v>407000</v>
      </c>
      <c r="P261" s="50">
        <v>16000</v>
      </c>
    </row>
    <row r="262">
      <c r="H262" s="51">
        <v>210</v>
      </c>
      <c r="I262" s="54" t="str">
        <v>148 TD</v>
      </c>
      <c r="J262" s="52" t="str">
        <v>DV_Cắt_Vip</v>
      </c>
      <c r="K262" s="52">
        <v>1064</v>
      </c>
      <c r="L262" s="48" t="str">
        <f>K262-J262</f>
        <v>Cắt Gội Combo 5 - Dưỡng sinh</v>
      </c>
      <c r="M262" s="53">
        <v>0.04166666666666674</v>
      </c>
      <c r="N262" s="49">
        <v>459000</v>
      </c>
      <c r="O262" s="49">
        <v>478000</v>
      </c>
      <c r="P262" s="50">
        <v>19000</v>
      </c>
    </row>
    <row r="263">
      <c r="H263" s="62">
        <v>210</v>
      </c>
      <c r="I263" s="54" t="str">
        <v>148 TD</v>
      </c>
      <c r="J263" s="56" t="str">
        <v>DV_Cắt_Vip</v>
      </c>
      <c r="K263" s="56">
        <v>1065</v>
      </c>
      <c r="L263" s="60" t="str">
        <f>K263-J263</f>
        <v>Cắt Gội Combo 3 - Dưỡng sinh</v>
      </c>
      <c r="M263" s="57">
        <v>0.04166666666666674</v>
      </c>
      <c r="N263" s="58">
        <v>301000</v>
      </c>
      <c r="O263" s="58">
        <v>314000</v>
      </c>
      <c r="P263" s="50">
        <v>13000</v>
      </c>
    </row>
    <row r="264">
      <c r="H264" s="51">
        <v>210</v>
      </c>
      <c r="I264" s="54" t="str">
        <v>148 TD</v>
      </c>
      <c r="J264" s="52" t="str">
        <v>DV_Gội</v>
      </c>
      <c r="K264" s="52">
        <v>867</v>
      </c>
      <c r="L264" s="48" t="str">
        <f>K264-J264</f>
        <v>Gội dưỡng sinh cổ vai gáy</v>
      </c>
      <c r="M264" s="53">
        <v>0.04166666666666674</v>
      </c>
      <c r="N264" s="49">
        <v>99000</v>
      </c>
      <c r="O264" s="49">
        <v>103000</v>
      </c>
      <c r="P264" s="50">
        <v>4000</v>
      </c>
    </row>
    <row r="265">
      <c r="H265" s="62">
        <v>210</v>
      </c>
      <c r="I265" s="54" t="str">
        <v>148 TD</v>
      </c>
      <c r="J265" s="56" t="str">
        <v>DV_Gội</v>
      </c>
      <c r="K265" s="56">
        <v>930</v>
      </c>
      <c r="L265" s="60" t="str">
        <f>K265-J265</f>
        <v>[NEW] Gội dưỡng sinh cổ vai gáy và chăm sóc da</v>
      </c>
      <c r="M265" s="57">
        <v>0.04166666666666674</v>
      </c>
      <c r="N265" s="58">
        <v>139000</v>
      </c>
      <c r="O265" s="58">
        <v>145000</v>
      </c>
      <c r="P265" s="50">
        <v>6000</v>
      </c>
    </row>
    <row r="266">
      <c r="H266" s="51">
        <v>210</v>
      </c>
      <c r="I266" s="54" t="str">
        <v>148 TD</v>
      </c>
      <c r="J266" s="52" t="str">
        <v>DV_Gội</v>
      </c>
      <c r="K266" s="52">
        <v>934</v>
      </c>
      <c r="L266" s="48" t="str">
        <f>K266-J266</f>
        <v>Gội combo 3 - Dưỡng sinh</v>
      </c>
      <c r="M266" s="53">
        <v>0.04166666666666674</v>
      </c>
      <c r="N266" s="49">
        <v>229000</v>
      </c>
      <c r="O266" s="49">
        <v>239000</v>
      </c>
      <c r="P266" s="50">
        <v>10000</v>
      </c>
    </row>
    <row r="267">
      <c r="H267" s="62">
        <v>210</v>
      </c>
      <c r="I267" s="54" t="str">
        <v>148 TD</v>
      </c>
      <c r="J267" s="56" t="str">
        <v>DV_Gội</v>
      </c>
      <c r="K267" s="56">
        <v>940</v>
      </c>
      <c r="L267" s="60" t="str">
        <f>K267-J267</f>
        <v>[NEW] Gội dưỡng sinh</v>
      </c>
      <c r="M267" s="57">
        <v>0.04166666666666674</v>
      </c>
      <c r="N267" s="58">
        <v>59000</v>
      </c>
      <c r="O267" s="58">
        <v>61000</v>
      </c>
      <c r="P267" s="50">
        <v>2000</v>
      </c>
    </row>
    <row r="268">
      <c r="H268" s="51">
        <v>210</v>
      </c>
      <c r="I268" s="54" t="str">
        <v>148 TD</v>
      </c>
      <c r="J268" s="52" t="str">
        <v>DV_Gội</v>
      </c>
      <c r="K268" s="52">
        <v>1058</v>
      </c>
      <c r="L268" s="48" t="str">
        <f>K268-J268</f>
        <v>Gội Combo 2</v>
      </c>
      <c r="M268" s="53">
        <v>0.04166666666666674</v>
      </c>
      <c r="N268" s="49">
        <v>159000</v>
      </c>
      <c r="O268" s="49">
        <v>166000</v>
      </c>
      <c r="P268" s="50">
        <v>7000</v>
      </c>
    </row>
    <row r="269">
      <c r="H269" s="62">
        <v>210</v>
      </c>
      <c r="I269" s="54" t="str">
        <v>148 TD</v>
      </c>
      <c r="J269" s="56" t="str">
        <v>DV_Gội</v>
      </c>
      <c r="K269" s="56">
        <v>1059</v>
      </c>
      <c r="L269" s="60" t="str">
        <f>K269-J269</f>
        <v>Gội Combo 3 - Chăm da</v>
      </c>
      <c r="M269" s="57">
        <v>0.04166666666666674</v>
      </c>
      <c r="N269" s="58">
        <v>239000</v>
      </c>
      <c r="O269" s="58">
        <v>249000</v>
      </c>
      <c r="P269" s="61">
        <v>10000</v>
      </c>
    </row>
    <row r="270">
      <c r="H270" s="51">
        <v>210</v>
      </c>
      <c r="I270" s="54" t="str">
        <v>148 TD</v>
      </c>
      <c r="J270" s="52" t="str">
        <v>DV_Gội</v>
      </c>
      <c r="K270" s="52">
        <v>1060</v>
      </c>
      <c r="L270" s="48" t="str">
        <f>K270-J270</f>
        <v>Gội Combo 4</v>
      </c>
      <c r="M270" s="53">
        <v>0.04166666666666674</v>
      </c>
      <c r="N270" s="49">
        <v>319000</v>
      </c>
      <c r="O270" s="49">
        <v>332000</v>
      </c>
      <c r="P270" s="50">
        <v>13000</v>
      </c>
    </row>
    <row r="271">
      <c r="H271" s="62">
        <v>210</v>
      </c>
      <c r="I271" s="54" t="str">
        <v>148 TD</v>
      </c>
      <c r="J271" s="56" t="str">
        <v>DV_Gội</v>
      </c>
      <c r="K271" s="56">
        <v>1066</v>
      </c>
      <c r="L271" s="60" t="str">
        <f>K271-J271</f>
        <v>Gội trải nghiệm 75p</v>
      </c>
      <c r="M271" s="57">
        <v>0.04166666666666674</v>
      </c>
      <c r="N271" s="58">
        <v>589000</v>
      </c>
      <c r="O271" s="58">
        <v>614000</v>
      </c>
      <c r="P271" s="50">
        <v>25000</v>
      </c>
    </row>
    <row r="272">
      <c r="H272" s="51">
        <v>210</v>
      </c>
      <c r="I272" s="54" t="str">
        <v>148 TD</v>
      </c>
      <c r="J272" s="52" t="str">
        <v>DV_Gội</v>
      </c>
      <c r="K272" s="52">
        <v>1067</v>
      </c>
      <c r="L272" s="48" t="str">
        <f>K272-J272</f>
        <v>Gội trải nghiệm 90p</v>
      </c>
      <c r="M272" s="53">
        <v>0.04166666666666674</v>
      </c>
      <c r="N272" s="49">
        <v>789000</v>
      </c>
      <c r="O272" s="49">
        <v>822000</v>
      </c>
      <c r="P272" s="61">
        <v>33000</v>
      </c>
    </row>
    <row r="273">
      <c r="H273" s="62">
        <v>210</v>
      </c>
      <c r="I273" s="54" t="str">
        <v>148 TD</v>
      </c>
      <c r="J273" s="56" t="str">
        <v>DV_Gội</v>
      </c>
      <c r="K273" s="56">
        <v>1068</v>
      </c>
      <c r="L273" s="60" t="str">
        <f>K273-J273</f>
        <v>Gội trải nghiệm 115p</v>
      </c>
      <c r="M273" s="57">
        <v>0.04166666666666674</v>
      </c>
      <c r="N273" s="58">
        <v>999000</v>
      </c>
      <c r="O273" s="58">
        <v>1041000</v>
      </c>
      <c r="P273" s="50">
        <v>42000</v>
      </c>
    </row>
    <row r="274">
      <c r="H274" s="51">
        <v>210</v>
      </c>
      <c r="I274" s="54" t="str">
        <v>148 TD</v>
      </c>
      <c r="J274" s="52" t="str">
        <v>DV_Spa</v>
      </c>
      <c r="K274" s="52">
        <v>936</v>
      </c>
      <c r="L274" s="48" t="str">
        <f>K274-J274</f>
        <v>[NEW] Chăm sóc da Shine Spa 199k (có phân tích da)</v>
      </c>
      <c r="M274" s="53">
        <v>0.04166666666666674</v>
      </c>
      <c r="N274" s="49">
        <v>199000</v>
      </c>
      <c r="O274" s="49">
        <v>207000</v>
      </c>
      <c r="P274" s="50">
        <v>8000</v>
      </c>
    </row>
    <row r="275">
      <c r="H275" s="62">
        <v>39</v>
      </c>
      <c r="I275" s="54" t="str">
        <v>151 CG</v>
      </c>
      <c r="J275" s="56" t="str">
        <v>DV_Cắt</v>
      </c>
      <c r="K275" s="56">
        <v>513</v>
      </c>
      <c r="L275" s="60" t="str">
        <f>K275-J275</f>
        <v>[DV] ShineCombo 10 bước Ultra Care 2023</v>
      </c>
      <c r="M275" s="57">
        <v>0</v>
      </c>
      <c r="N275" s="58">
        <v>122000</v>
      </c>
      <c r="O275" s="58">
        <v>122000</v>
      </c>
      <c r="P275" s="50"/>
    </row>
    <row r="276">
      <c r="H276" s="51">
        <v>39</v>
      </c>
      <c r="I276" s="54" t="str">
        <v>151 CG</v>
      </c>
      <c r="J276" s="52" t="str">
        <v>DV_Cắt</v>
      </c>
      <c r="K276" s="52">
        <v>891</v>
      </c>
      <c r="L276" s="48" t="str">
        <f>K276-J276</f>
        <v>Cắt xả tạo kiểu</v>
      </c>
      <c r="M276" s="53">
        <v>0</v>
      </c>
      <c r="N276" s="49">
        <v>94000</v>
      </c>
      <c r="O276" s="49">
        <v>94000</v>
      </c>
      <c r="P276" s="50"/>
    </row>
    <row r="277">
      <c r="H277" s="62">
        <v>39</v>
      </c>
      <c r="I277" s="54" t="str">
        <v>151 CG</v>
      </c>
      <c r="J277" s="56" t="str">
        <v>DV_Cắt</v>
      </c>
      <c r="K277" s="56">
        <v>1002</v>
      </c>
      <c r="L277" s="60" t="str">
        <f>K277-J277</f>
        <v>Kid Cắt</v>
      </c>
      <c r="M277" s="57">
        <v>0</v>
      </c>
      <c r="N277" s="58">
        <v>75000</v>
      </c>
      <c r="O277" s="58">
        <v>75000</v>
      </c>
      <c r="P277" s="50"/>
    </row>
    <row r="278">
      <c r="H278" s="51">
        <v>39</v>
      </c>
      <c r="I278" s="54" t="str">
        <v>151 CG</v>
      </c>
      <c r="J278" s="52" t="str">
        <v>DV_Cắt</v>
      </c>
      <c r="K278" s="52">
        <v>1070</v>
      </c>
      <c r="L278" s="48" t="str">
        <f>K278-J278</f>
        <v>Combo Cắt gội Kid</v>
      </c>
      <c r="M278" s="53">
        <v>0</v>
      </c>
      <c r="N278" s="49">
        <v>100000</v>
      </c>
      <c r="O278" s="49">
        <v>100000</v>
      </c>
      <c r="P278" s="50"/>
    </row>
    <row r="279">
      <c r="H279" s="62">
        <v>39</v>
      </c>
      <c r="I279" s="54" t="str">
        <v>151 CG</v>
      </c>
      <c r="J279" s="56" t="str">
        <v>DV_Cắt_Vip</v>
      </c>
      <c r="K279" s="56">
        <v>1046</v>
      </c>
      <c r="L279" s="60" t="str">
        <f>K279-J279</f>
        <v>Shinecombo 2</v>
      </c>
      <c r="M279" s="57">
        <v>0</v>
      </c>
      <c r="N279" s="58">
        <v>199000</v>
      </c>
      <c r="O279" s="58">
        <v>199000</v>
      </c>
      <c r="P279" s="50"/>
    </row>
    <row r="280">
      <c r="H280" s="51">
        <v>39</v>
      </c>
      <c r="I280" s="54" t="str">
        <v>151 CG</v>
      </c>
      <c r="J280" s="52" t="str">
        <v>DV_Cắt_Vip</v>
      </c>
      <c r="K280" s="52">
        <v>1047</v>
      </c>
      <c r="L280" s="48" t="str">
        <f>K280-J280</f>
        <v>Cắt Gội Combo 3 - Chăm da</v>
      </c>
      <c r="M280" s="53">
        <v>0</v>
      </c>
      <c r="N280" s="49">
        <v>299000</v>
      </c>
      <c r="O280" s="49">
        <v>299000</v>
      </c>
      <c r="P280" s="50"/>
    </row>
    <row r="281">
      <c r="H281" s="62">
        <v>39</v>
      </c>
      <c r="I281" s="54" t="str">
        <v>151 CG</v>
      </c>
      <c r="J281" s="56" t="str">
        <v>DV_Cắt_Vip</v>
      </c>
      <c r="K281" s="56">
        <v>1048</v>
      </c>
      <c r="L281" s="60" t="str">
        <f>K281-J281</f>
        <v>Combo 4</v>
      </c>
      <c r="M281" s="57">
        <v>0</v>
      </c>
      <c r="N281" s="58">
        <v>389000</v>
      </c>
      <c r="O281" s="58">
        <v>389000</v>
      </c>
      <c r="P281" s="50"/>
    </row>
    <row r="282">
      <c r="H282" s="51">
        <v>39</v>
      </c>
      <c r="I282" s="54" t="str">
        <v>151 CG</v>
      </c>
      <c r="J282" s="52" t="str">
        <v>DV_Cắt_Vip</v>
      </c>
      <c r="K282" s="52">
        <v>1064</v>
      </c>
      <c r="L282" s="48" t="str">
        <f>K282-J282</f>
        <v>Cắt Gội Combo 5 - Dưỡng sinh</v>
      </c>
      <c r="M282" s="53">
        <v>0</v>
      </c>
      <c r="N282" s="49">
        <v>459000</v>
      </c>
      <c r="O282" s="49">
        <v>459000</v>
      </c>
      <c r="P282" s="50"/>
    </row>
    <row r="283">
      <c r="H283" s="62">
        <v>39</v>
      </c>
      <c r="I283" s="54" t="str">
        <v>151 CG</v>
      </c>
      <c r="J283" s="56" t="str">
        <v>DV_Gội</v>
      </c>
      <c r="K283" s="56">
        <v>867</v>
      </c>
      <c r="L283" s="60" t="str">
        <f>K283-J283</f>
        <v>Gội dưỡng sinh cổ vai gáy</v>
      </c>
      <c r="M283" s="57">
        <v>0</v>
      </c>
      <c r="N283" s="58">
        <v>99000</v>
      </c>
      <c r="O283" s="58">
        <v>99000</v>
      </c>
      <c r="P283" s="50"/>
    </row>
    <row r="284">
      <c r="H284" s="51">
        <v>39</v>
      </c>
      <c r="I284" s="54" t="str">
        <v>151 CG</v>
      </c>
      <c r="J284" s="52" t="str">
        <v>DV_Gội</v>
      </c>
      <c r="K284" s="52">
        <v>930</v>
      </c>
      <c r="L284" s="48" t="str">
        <f>K284-J284</f>
        <v>[NEW] Gội dưỡng sinh cổ vai gáy và chăm sóc da</v>
      </c>
      <c r="M284" s="53">
        <v>0</v>
      </c>
      <c r="N284" s="49">
        <v>139000</v>
      </c>
      <c r="O284" s="49">
        <v>139000</v>
      </c>
      <c r="P284" s="50"/>
    </row>
    <row r="285">
      <c r="H285" s="62">
        <v>39</v>
      </c>
      <c r="I285" s="54" t="str">
        <v>151 CG</v>
      </c>
      <c r="J285" s="56" t="str">
        <v>DV_Gội</v>
      </c>
      <c r="K285" s="56">
        <v>934</v>
      </c>
      <c r="L285" s="60" t="str">
        <f>K285-J285</f>
        <v>Gội combo 3 - Dưỡng sinh</v>
      </c>
      <c r="M285" s="57">
        <v>0</v>
      </c>
      <c r="N285" s="58">
        <v>229000</v>
      </c>
      <c r="O285" s="58">
        <v>229000</v>
      </c>
      <c r="P285" s="50"/>
    </row>
    <row r="286">
      <c r="H286" s="51">
        <v>39</v>
      </c>
      <c r="I286" s="54" t="str">
        <v>151 CG</v>
      </c>
      <c r="J286" s="52" t="str">
        <v>DV_Gội</v>
      </c>
      <c r="K286" s="52">
        <v>940</v>
      </c>
      <c r="L286" s="48" t="str">
        <f>K286-J286</f>
        <v>[NEW] Gội dưỡng sinh</v>
      </c>
      <c r="M286" s="53">
        <v>0</v>
      </c>
      <c r="N286" s="49">
        <v>59000</v>
      </c>
      <c r="O286" s="49">
        <v>59000</v>
      </c>
      <c r="P286" s="50"/>
    </row>
    <row r="287">
      <c r="H287" s="62">
        <v>39</v>
      </c>
      <c r="I287" s="54" t="str">
        <v>151 CG</v>
      </c>
      <c r="J287" s="56" t="str">
        <v>DV_Gội</v>
      </c>
      <c r="K287" s="56">
        <v>1058</v>
      </c>
      <c r="L287" s="60" t="str">
        <f>K287-J287</f>
        <v>Gội Combo 2</v>
      </c>
      <c r="M287" s="57">
        <v>0</v>
      </c>
      <c r="N287" s="58">
        <v>159000</v>
      </c>
      <c r="O287" s="58">
        <v>159000</v>
      </c>
      <c r="P287" s="61"/>
    </row>
    <row r="288">
      <c r="H288" s="51">
        <v>39</v>
      </c>
      <c r="I288" s="54" t="str">
        <v>151 CG</v>
      </c>
      <c r="J288" s="52" t="str">
        <v>DV_Gội</v>
      </c>
      <c r="K288" s="52">
        <v>1059</v>
      </c>
      <c r="L288" s="48" t="str">
        <f>K288-J288</f>
        <v>Gội Combo 3 - Chăm da</v>
      </c>
      <c r="M288" s="53">
        <v>0</v>
      </c>
      <c r="N288" s="49">
        <v>239000</v>
      </c>
      <c r="O288" s="49">
        <v>239000</v>
      </c>
      <c r="P288" s="50"/>
    </row>
    <row r="289">
      <c r="H289" s="62">
        <v>39</v>
      </c>
      <c r="I289" s="54" t="str">
        <v>151 CG</v>
      </c>
      <c r="J289" s="56" t="str">
        <v>DV_Gội</v>
      </c>
      <c r="K289" s="56">
        <v>1060</v>
      </c>
      <c r="L289" s="60" t="str">
        <f>K289-J289</f>
        <v>Gội Combo 4</v>
      </c>
      <c r="M289" s="57">
        <v>0</v>
      </c>
      <c r="N289" s="58">
        <v>319000</v>
      </c>
      <c r="O289" s="58">
        <v>319000</v>
      </c>
      <c r="P289" s="50"/>
    </row>
    <row r="290">
      <c r="H290" s="51">
        <v>39</v>
      </c>
      <c r="I290" s="54" t="str">
        <v>151 CG</v>
      </c>
      <c r="J290" s="52" t="str">
        <v>DV_Gội</v>
      </c>
      <c r="K290" s="52">
        <v>1066</v>
      </c>
      <c r="L290" s="48" t="str">
        <f>K290-J290</f>
        <v>Gội trải nghiệm 75p</v>
      </c>
      <c r="M290" s="53">
        <v>0</v>
      </c>
      <c r="N290" s="49">
        <v>589000</v>
      </c>
      <c r="O290" s="49">
        <v>589000</v>
      </c>
      <c r="P290" s="50"/>
    </row>
    <row r="291">
      <c r="H291" s="62">
        <v>39</v>
      </c>
      <c r="I291" s="54" t="str">
        <v>151 CG</v>
      </c>
      <c r="J291" s="56" t="str">
        <v>DV_Gội</v>
      </c>
      <c r="K291" s="56">
        <v>1067</v>
      </c>
      <c r="L291" s="60" t="str">
        <f>K291-J291</f>
        <v>Gội trải nghiệm 90p</v>
      </c>
      <c r="M291" s="57">
        <v>0</v>
      </c>
      <c r="N291" s="58">
        <v>789000</v>
      </c>
      <c r="O291" s="58">
        <v>789000</v>
      </c>
      <c r="P291" s="50"/>
    </row>
    <row r="292">
      <c r="H292" s="51">
        <v>39</v>
      </c>
      <c r="I292" s="54" t="str">
        <v>151 CG</v>
      </c>
      <c r="J292" s="52" t="str">
        <v>DV_Gội</v>
      </c>
      <c r="K292" s="52">
        <v>1068</v>
      </c>
      <c r="L292" s="48" t="str">
        <f>K292-J292</f>
        <v>Gội trải nghiệm 115p</v>
      </c>
      <c r="M292" s="53">
        <v>0</v>
      </c>
      <c r="N292" s="49">
        <v>999000</v>
      </c>
      <c r="O292" s="49">
        <v>999000</v>
      </c>
      <c r="P292" s="50"/>
    </row>
    <row r="293">
      <c r="H293" s="62">
        <v>39</v>
      </c>
      <c r="I293" s="54" t="str">
        <v>151 CG</v>
      </c>
      <c r="J293" s="56" t="str">
        <v>DV_Spa</v>
      </c>
      <c r="K293" s="56">
        <v>936</v>
      </c>
      <c r="L293" s="60" t="str">
        <f>K293-J293</f>
        <v>[NEW] Chăm sóc da Shine Spa 199k (có phân tích da)</v>
      </c>
      <c r="M293" s="57">
        <v>0</v>
      </c>
      <c r="N293" s="58">
        <v>199000</v>
      </c>
      <c r="O293" s="58">
        <v>199000</v>
      </c>
      <c r="P293" s="50"/>
    </row>
    <row r="294">
      <c r="H294" s="51">
        <v>144</v>
      </c>
      <c r="I294" s="54" t="str">
        <v>168 NVC</v>
      </c>
      <c r="J294" s="52" t="str">
        <v>DV_Cắt</v>
      </c>
      <c r="K294" s="52">
        <v>513</v>
      </c>
      <c r="L294" s="48" t="str">
        <f>K294-J294</f>
        <v>[DV] ShineCombo 10 bước Ultra Care 2023</v>
      </c>
      <c r="M294" s="53">
        <v>0.08737864077669899</v>
      </c>
      <c r="N294" s="49">
        <v>122000</v>
      </c>
      <c r="O294" s="49">
        <v>122000</v>
      </c>
      <c r="P294" s="50"/>
    </row>
    <row r="295">
      <c r="H295" s="62">
        <v>144</v>
      </c>
      <c r="I295" s="54" t="str">
        <v>168 NVC</v>
      </c>
      <c r="J295" s="56" t="str">
        <v>DV_Cắt</v>
      </c>
      <c r="K295" s="56">
        <v>891</v>
      </c>
      <c r="L295" s="60" t="str">
        <f>K295-J295</f>
        <v>Cắt xả tạo kiểu</v>
      </c>
      <c r="M295" s="57">
        <v>0.08737864077669899</v>
      </c>
      <c r="N295" s="58">
        <v>103000</v>
      </c>
      <c r="O295" s="58">
        <v>112000</v>
      </c>
      <c r="P295" s="50">
        <v>9000</v>
      </c>
    </row>
    <row r="296">
      <c r="H296" s="51">
        <v>144</v>
      </c>
      <c r="I296" s="54" t="str">
        <v>168 NVC</v>
      </c>
      <c r="J296" s="52" t="str">
        <v>DV_Cắt</v>
      </c>
      <c r="K296" s="52">
        <v>1002</v>
      </c>
      <c r="L296" s="48" t="str">
        <f>K296-J296</f>
        <v>Kid Cắt</v>
      </c>
      <c r="M296" s="53">
        <v>0.08737864077669899</v>
      </c>
      <c r="N296" s="49">
        <v>84000</v>
      </c>
      <c r="O296" s="49">
        <v>91000</v>
      </c>
      <c r="P296" s="50">
        <v>7000</v>
      </c>
    </row>
    <row r="297">
      <c r="H297" s="62">
        <v>144</v>
      </c>
      <c r="I297" s="54" t="str">
        <v>168 NVC</v>
      </c>
      <c r="J297" s="56" t="str">
        <v>DV_Cắt</v>
      </c>
      <c r="K297" s="56">
        <v>1052</v>
      </c>
      <c r="L297" s="60" t="str">
        <f>K297-J297</f>
        <v>Combo 1 - First Class 1</v>
      </c>
      <c r="M297" s="57">
        <v>0.08737864077669899</v>
      </c>
      <c r="N297" s="58">
        <v>139000</v>
      </c>
      <c r="O297" s="58">
        <v>139000</v>
      </c>
      <c r="P297" s="50"/>
    </row>
    <row r="298">
      <c r="H298" s="51">
        <v>144</v>
      </c>
      <c r="I298" s="54" t="str">
        <v>168 NVC</v>
      </c>
      <c r="J298" s="52" t="str">
        <v>DV_Cắt</v>
      </c>
      <c r="K298" s="52">
        <v>1070</v>
      </c>
      <c r="L298" s="48" t="str">
        <f>K298-J298</f>
        <v>Combo Cắt gội Kid</v>
      </c>
      <c r="M298" s="53">
        <v>0.08737864077669899</v>
      </c>
      <c r="N298" s="49">
        <v>100000</v>
      </c>
      <c r="O298" s="49">
        <v>109000</v>
      </c>
      <c r="P298" s="50">
        <v>9000</v>
      </c>
    </row>
    <row r="299">
      <c r="H299" s="62">
        <v>144</v>
      </c>
      <c r="I299" s="54" t="str">
        <v>168 NVC</v>
      </c>
      <c r="J299" s="56" t="str">
        <v>DV_Cắt_Vip</v>
      </c>
      <c r="K299" s="56">
        <v>1046</v>
      </c>
      <c r="L299" s="60" t="str">
        <f>K299-J299</f>
        <v>Shinecombo 2</v>
      </c>
      <c r="M299" s="57">
        <v>0.08737864077669899</v>
      </c>
      <c r="N299" s="58">
        <v>208000</v>
      </c>
      <c r="O299" s="58">
        <v>226000</v>
      </c>
      <c r="P299" s="50">
        <v>18000</v>
      </c>
    </row>
    <row r="300">
      <c r="H300" s="51">
        <v>144</v>
      </c>
      <c r="I300" s="54" t="str">
        <v>168 NVC</v>
      </c>
      <c r="J300" s="52" t="str">
        <v>DV_Cắt_Vip</v>
      </c>
      <c r="K300" s="52">
        <v>1047</v>
      </c>
      <c r="L300" s="48" t="str">
        <f>K300-J300</f>
        <v>Cắt Gội Combo 3 - Chăm da</v>
      </c>
      <c r="M300" s="53">
        <v>0.08737864077669899</v>
      </c>
      <c r="N300" s="49">
        <v>308000</v>
      </c>
      <c r="O300" s="49">
        <v>335000</v>
      </c>
      <c r="P300" s="50">
        <v>27000</v>
      </c>
    </row>
    <row r="301">
      <c r="H301" s="62">
        <v>144</v>
      </c>
      <c r="I301" s="54" t="str">
        <v>168 NVC</v>
      </c>
      <c r="J301" s="56" t="str">
        <v>DV_Cắt_Vip</v>
      </c>
      <c r="K301" s="56">
        <v>1048</v>
      </c>
      <c r="L301" s="60" t="str">
        <f>K301-J301</f>
        <v>Combo 4</v>
      </c>
      <c r="M301" s="57">
        <v>0.08737864077669899</v>
      </c>
      <c r="N301" s="58">
        <v>398000</v>
      </c>
      <c r="O301" s="58">
        <v>433000</v>
      </c>
      <c r="P301" s="50">
        <v>35000</v>
      </c>
    </row>
    <row r="302">
      <c r="H302" s="51">
        <v>144</v>
      </c>
      <c r="I302" s="54" t="str">
        <v>168 NVC</v>
      </c>
      <c r="J302" s="52" t="str">
        <v>DV_Cắt_Vip</v>
      </c>
      <c r="K302" s="52">
        <v>1053</v>
      </c>
      <c r="L302" s="48" t="str">
        <f>K302-J302</f>
        <v>Combo 2 - First Class 2</v>
      </c>
      <c r="M302" s="53">
        <v>0.08737864077669899</v>
      </c>
      <c r="N302" s="49">
        <v>248000</v>
      </c>
      <c r="O302" s="49">
        <v>270000</v>
      </c>
      <c r="P302" s="50">
        <v>22000</v>
      </c>
    </row>
    <row r="303">
      <c r="H303" s="62">
        <v>144</v>
      </c>
      <c r="I303" s="54" t="str">
        <v>168 NVC</v>
      </c>
      <c r="J303" s="56" t="str">
        <v>DV_Cắt_Vip</v>
      </c>
      <c r="K303" s="56">
        <v>1054</v>
      </c>
      <c r="L303" s="60" t="str">
        <f>K303-J303</f>
        <v>Combo 3 - First Class 3</v>
      </c>
      <c r="M303" s="57">
        <v>0.08737864077669899</v>
      </c>
      <c r="N303" s="58">
        <v>318000</v>
      </c>
      <c r="O303" s="58">
        <v>346000</v>
      </c>
      <c r="P303" s="50">
        <v>28000</v>
      </c>
    </row>
    <row r="304">
      <c r="H304" s="51">
        <v>144</v>
      </c>
      <c r="I304" s="54" t="str">
        <v>168 NVC</v>
      </c>
      <c r="J304" s="52" t="str">
        <v>DV_Cắt_Vip</v>
      </c>
      <c r="K304" s="52">
        <v>1055</v>
      </c>
      <c r="L304" s="48" t="str">
        <f>K304-J304</f>
        <v>Combo 4- First Class 4</v>
      </c>
      <c r="M304" s="53">
        <v>0.08737864077669899</v>
      </c>
      <c r="N304" s="49">
        <v>418000</v>
      </c>
      <c r="O304" s="49">
        <v>455000</v>
      </c>
      <c r="P304" s="61">
        <v>37000</v>
      </c>
    </row>
    <row r="305">
      <c r="H305" s="62">
        <v>144</v>
      </c>
      <c r="I305" s="54" t="str">
        <v>168 NVC</v>
      </c>
      <c r="J305" s="56" t="str">
        <v>DV_Cắt_Vip</v>
      </c>
      <c r="K305" s="56">
        <v>1064</v>
      </c>
      <c r="L305" s="60" t="str">
        <f>K305-J305</f>
        <v>Cắt Gội Combo 5 - Dưỡng sinh</v>
      </c>
      <c r="M305" s="57">
        <v>0.08737864077669899</v>
      </c>
      <c r="N305" s="58">
        <v>459000</v>
      </c>
      <c r="O305" s="58">
        <v>499000</v>
      </c>
      <c r="P305" s="61">
        <v>40000</v>
      </c>
    </row>
    <row r="306">
      <c r="H306" s="51">
        <v>144</v>
      </c>
      <c r="I306" s="54" t="str">
        <v>168 NVC</v>
      </c>
      <c r="J306" s="52" t="str">
        <v>DV_Cắt_Vip</v>
      </c>
      <c r="K306" s="52">
        <v>1065</v>
      </c>
      <c r="L306" s="48" t="str">
        <f>K306-J306</f>
        <v>Cắt Gội Combo 3 - Dưỡng sinh</v>
      </c>
      <c r="M306" s="53">
        <v>0.08737864077669899</v>
      </c>
      <c r="N306" s="49">
        <v>308000</v>
      </c>
      <c r="O306" s="49">
        <v>335000</v>
      </c>
      <c r="P306" s="61">
        <v>27000</v>
      </c>
    </row>
    <row r="307">
      <c r="H307" s="62">
        <v>144</v>
      </c>
      <c r="I307" s="54" t="str">
        <v>168 NVC</v>
      </c>
      <c r="J307" s="56" t="str">
        <v>DV_Gội</v>
      </c>
      <c r="K307" s="56">
        <v>867</v>
      </c>
      <c r="L307" s="60" t="str">
        <f>K307-J307</f>
        <v>Gội dưỡng sinh cổ vai gáy</v>
      </c>
      <c r="M307" s="57">
        <v>0.08737864077669899</v>
      </c>
      <c r="N307" s="58">
        <v>99000</v>
      </c>
      <c r="O307" s="58">
        <v>108000</v>
      </c>
      <c r="P307" s="61">
        <v>9000</v>
      </c>
    </row>
    <row r="308">
      <c r="H308" s="51">
        <v>144</v>
      </c>
      <c r="I308" s="54" t="str">
        <v>168 NVC</v>
      </c>
      <c r="J308" s="52" t="str">
        <v>DV_Gội</v>
      </c>
      <c r="K308" s="52">
        <v>930</v>
      </c>
      <c r="L308" s="48" t="str">
        <f>K308-J308</f>
        <v>[NEW] Gội dưỡng sinh cổ vai gáy và chăm sóc da</v>
      </c>
      <c r="M308" s="53">
        <v>0.08737864077669899</v>
      </c>
      <c r="N308" s="49">
        <v>139000</v>
      </c>
      <c r="O308" s="49">
        <v>151000</v>
      </c>
      <c r="P308" s="61">
        <v>12000</v>
      </c>
    </row>
    <row r="309">
      <c r="H309" s="62">
        <v>144</v>
      </c>
      <c r="I309" s="54" t="str">
        <v>168 NVC</v>
      </c>
      <c r="J309" s="56" t="str">
        <v>DV_Gội</v>
      </c>
      <c r="K309" s="56">
        <v>934</v>
      </c>
      <c r="L309" s="60" t="str">
        <f>K309-J309</f>
        <v>Gội combo 3 - Dưỡng sinh</v>
      </c>
      <c r="M309" s="57">
        <v>0.08737864077669899</v>
      </c>
      <c r="N309" s="58">
        <v>229000</v>
      </c>
      <c r="O309" s="58">
        <v>249000</v>
      </c>
      <c r="P309" s="61">
        <v>20000</v>
      </c>
    </row>
    <row r="310">
      <c r="H310" s="51">
        <v>144</v>
      </c>
      <c r="I310" s="54" t="str">
        <v>168 NVC</v>
      </c>
      <c r="J310" s="52" t="str">
        <v>DV_Gội</v>
      </c>
      <c r="K310" s="52">
        <v>940</v>
      </c>
      <c r="L310" s="48" t="str">
        <f>K310-J310</f>
        <v>[NEW] Gội dưỡng sinh</v>
      </c>
      <c r="M310" s="53">
        <v>0.08737864077669899</v>
      </c>
      <c r="N310" s="49">
        <v>59000</v>
      </c>
      <c r="O310" s="49">
        <v>64000</v>
      </c>
      <c r="P310" s="61">
        <v>5000</v>
      </c>
    </row>
    <row r="311">
      <c r="H311" s="62">
        <v>144</v>
      </c>
      <c r="I311" s="54" t="str">
        <v>168 NVC</v>
      </c>
      <c r="J311" s="56" t="str">
        <v>DV_Gội</v>
      </c>
      <c r="K311" s="56">
        <v>1058</v>
      </c>
      <c r="L311" s="60" t="str">
        <f>K311-J311</f>
        <v>Gội Combo 2</v>
      </c>
      <c r="M311" s="57">
        <v>0.08737864077669899</v>
      </c>
      <c r="N311" s="58">
        <v>159000</v>
      </c>
      <c r="O311" s="58">
        <v>173000</v>
      </c>
      <c r="P311" s="61">
        <v>14000</v>
      </c>
    </row>
    <row r="312">
      <c r="H312" s="51">
        <v>144</v>
      </c>
      <c r="I312" s="54" t="str">
        <v>168 NVC</v>
      </c>
      <c r="J312" s="52" t="str">
        <v>DV_Gội</v>
      </c>
      <c r="K312" s="52">
        <v>1059</v>
      </c>
      <c r="L312" s="48" t="str">
        <f>K312-J312</f>
        <v>Gội Combo 3 - Chăm da</v>
      </c>
      <c r="M312" s="53">
        <v>0.08737864077669899</v>
      </c>
      <c r="N312" s="49">
        <v>239000</v>
      </c>
      <c r="O312" s="49">
        <v>260000</v>
      </c>
      <c r="P312" s="61">
        <v>21000</v>
      </c>
    </row>
    <row r="313">
      <c r="H313" s="62">
        <v>144</v>
      </c>
      <c r="I313" s="54" t="str">
        <v>168 NVC</v>
      </c>
      <c r="J313" s="56" t="str">
        <v>DV_Gội</v>
      </c>
      <c r="K313" s="56">
        <v>1060</v>
      </c>
      <c r="L313" s="60" t="str">
        <f>K313-J313</f>
        <v>Gội Combo 4</v>
      </c>
      <c r="M313" s="57">
        <v>0.08737864077669899</v>
      </c>
      <c r="N313" s="58">
        <v>329000</v>
      </c>
      <c r="O313" s="58">
        <v>358000</v>
      </c>
      <c r="P313" s="61">
        <v>29000</v>
      </c>
    </row>
    <row r="314">
      <c r="H314" s="51">
        <v>144</v>
      </c>
      <c r="I314" s="54" t="str">
        <v>168 NVC</v>
      </c>
      <c r="J314" s="52" t="str">
        <v>DV_Gội</v>
      </c>
      <c r="K314" s="52">
        <v>1066</v>
      </c>
      <c r="L314" s="48" t="str">
        <f>K314-J314</f>
        <v>Gội trải nghiệm 75p</v>
      </c>
      <c r="M314" s="53">
        <v>0.08737864077669899</v>
      </c>
      <c r="N314" s="49">
        <v>589000</v>
      </c>
      <c r="O314" s="49">
        <v>640000</v>
      </c>
      <c r="P314" s="61">
        <v>51000</v>
      </c>
    </row>
    <row r="315">
      <c r="H315" s="62">
        <v>144</v>
      </c>
      <c r="I315" s="54" t="str">
        <v>168 NVC</v>
      </c>
      <c r="J315" s="56" t="str">
        <v>DV_Gội</v>
      </c>
      <c r="K315" s="56">
        <v>1067</v>
      </c>
      <c r="L315" s="60" t="str">
        <f>K315-J315</f>
        <v>Gội trải nghiệm 90p</v>
      </c>
      <c r="M315" s="57">
        <v>0.08737864077669899</v>
      </c>
      <c r="N315" s="58">
        <v>789000</v>
      </c>
      <c r="O315" s="58">
        <v>858000</v>
      </c>
      <c r="P315" s="61">
        <v>69000</v>
      </c>
    </row>
    <row r="316">
      <c r="H316" s="51">
        <v>144</v>
      </c>
      <c r="I316" s="54" t="str">
        <v>168 NVC</v>
      </c>
      <c r="J316" s="52" t="str">
        <v>DV_Gội</v>
      </c>
      <c r="K316" s="52">
        <v>1068</v>
      </c>
      <c r="L316" s="48" t="str">
        <f>K316-J316</f>
        <v>Gội trải nghiệm 115p</v>
      </c>
      <c r="M316" s="53">
        <v>0.08737864077669899</v>
      </c>
      <c r="N316" s="49">
        <v>999000</v>
      </c>
      <c r="O316" s="49">
        <v>1086000</v>
      </c>
      <c r="P316" s="61">
        <v>87000</v>
      </c>
    </row>
    <row r="317">
      <c r="H317" s="62">
        <v>144</v>
      </c>
      <c r="I317" s="54" t="str">
        <v>168 NVC</v>
      </c>
      <c r="J317" s="56" t="str">
        <v>DV_Spa</v>
      </c>
      <c r="K317" s="56">
        <v>936</v>
      </c>
      <c r="L317" s="60" t="str">
        <f>K317-J317</f>
        <v>[NEW] Chăm sóc da Shine Spa 199k (có phân tích da)</v>
      </c>
      <c r="M317" s="57">
        <v>0.08737864077669899</v>
      </c>
      <c r="N317" s="58">
        <v>199000</v>
      </c>
      <c r="O317" s="58">
        <v>216000</v>
      </c>
      <c r="P317" s="61">
        <v>17000</v>
      </c>
    </row>
    <row r="318">
      <c r="H318" s="51">
        <v>250</v>
      </c>
      <c r="I318" s="54" t="str">
        <v>173 TN</v>
      </c>
      <c r="J318" s="52" t="str">
        <v>DV_Cắt</v>
      </c>
      <c r="K318" s="52">
        <v>513</v>
      </c>
      <c r="L318" s="48" t="str">
        <f>K318-J318</f>
        <v>[DV] ShineCombo 10 bước Ultra Care 2023</v>
      </c>
      <c r="M318" s="53">
        <v>0.02000000000000002</v>
      </c>
      <c r="N318" s="49">
        <v>122000</v>
      </c>
      <c r="O318" s="49">
        <v>122000</v>
      </c>
      <c r="P318" s="61"/>
    </row>
    <row r="319">
      <c r="H319" s="62">
        <v>250</v>
      </c>
      <c r="I319" s="54" t="str">
        <v>173 TN</v>
      </c>
      <c r="J319" s="56" t="str">
        <v>DV_Cắt</v>
      </c>
      <c r="K319" s="56">
        <v>891</v>
      </c>
      <c r="L319" s="60" t="str">
        <f>K319-J319</f>
        <v>Cắt xả tạo kiểu</v>
      </c>
      <c r="M319" s="57">
        <v>0.02000000000000002</v>
      </c>
      <c r="N319" s="58">
        <v>100000</v>
      </c>
      <c r="O319" s="58">
        <v>102000</v>
      </c>
      <c r="P319" s="61">
        <v>2000</v>
      </c>
    </row>
    <row r="320">
      <c r="H320" s="51">
        <v>250</v>
      </c>
      <c r="I320" s="54" t="str">
        <v>173 TN</v>
      </c>
      <c r="J320" s="52" t="str">
        <v>DV_Cắt</v>
      </c>
      <c r="K320" s="52">
        <v>1002</v>
      </c>
      <c r="L320" s="48" t="str">
        <f>K320-J320</f>
        <v>Kid Cắt</v>
      </c>
      <c r="M320" s="53">
        <v>0.02000000000000002</v>
      </c>
      <c r="N320" s="49">
        <v>81000</v>
      </c>
      <c r="O320" s="49">
        <v>83000</v>
      </c>
      <c r="P320" s="50">
        <v>2000</v>
      </c>
    </row>
    <row r="321">
      <c r="H321" s="62">
        <v>250</v>
      </c>
      <c r="I321" s="54" t="str">
        <v>173 TN</v>
      </c>
      <c r="J321" s="56" t="str">
        <v>DV_Cắt</v>
      </c>
      <c r="K321" s="56">
        <v>1070</v>
      </c>
      <c r="L321" s="60" t="str">
        <f>K321-J321</f>
        <v>Combo Cắt gội Kid</v>
      </c>
      <c r="M321" s="57">
        <v>0.02000000000000002</v>
      </c>
      <c r="N321" s="58">
        <v>100000</v>
      </c>
      <c r="O321" s="58">
        <v>102000</v>
      </c>
      <c r="P321" s="50">
        <v>2000</v>
      </c>
    </row>
    <row r="322">
      <c r="H322" s="51">
        <v>250</v>
      </c>
      <c r="I322" s="54" t="str">
        <v>173 TN</v>
      </c>
      <c r="J322" s="52" t="str">
        <v>DV_Cắt_Vip</v>
      </c>
      <c r="K322" s="52">
        <v>1046</v>
      </c>
      <c r="L322" s="48" t="str">
        <f>K322-J322</f>
        <v>Shinecombo 2</v>
      </c>
      <c r="M322" s="53">
        <v>0.02000000000000002</v>
      </c>
      <c r="N322" s="49">
        <v>205000</v>
      </c>
      <c r="O322" s="49">
        <v>209000</v>
      </c>
      <c r="P322" s="50">
        <v>4000</v>
      </c>
    </row>
    <row r="323">
      <c r="H323" s="62">
        <v>250</v>
      </c>
      <c r="I323" s="54" t="str">
        <v>173 TN</v>
      </c>
      <c r="J323" s="56" t="str">
        <v>DV_Cắt_Vip</v>
      </c>
      <c r="K323" s="56">
        <v>1047</v>
      </c>
      <c r="L323" s="60" t="str">
        <f>K323-J323</f>
        <v>Cắt Gội Combo 3 - Chăm da</v>
      </c>
      <c r="M323" s="57">
        <v>0.02000000000000002</v>
      </c>
      <c r="N323" s="58">
        <v>305000</v>
      </c>
      <c r="O323" s="58">
        <v>311000</v>
      </c>
      <c r="P323" s="50">
        <v>6000</v>
      </c>
    </row>
    <row r="324">
      <c r="H324" s="51">
        <v>250</v>
      </c>
      <c r="I324" s="54" t="str">
        <v>173 TN</v>
      </c>
      <c r="J324" s="52" t="str">
        <v>DV_Cắt_Vip</v>
      </c>
      <c r="K324" s="52">
        <v>1048</v>
      </c>
      <c r="L324" s="48" t="str">
        <f>K324-J324</f>
        <v>Combo 4</v>
      </c>
      <c r="M324" s="53">
        <v>0.02000000000000002</v>
      </c>
      <c r="N324" s="49">
        <v>395000</v>
      </c>
      <c r="O324" s="49">
        <v>403000</v>
      </c>
      <c r="P324" s="50">
        <v>8000</v>
      </c>
    </row>
    <row r="325">
      <c r="H325" s="62">
        <v>250</v>
      </c>
      <c r="I325" s="54" t="str">
        <v>173 TN</v>
      </c>
      <c r="J325" s="56" t="str">
        <v>DV_Cắt_Vip</v>
      </c>
      <c r="K325" s="56">
        <v>1064</v>
      </c>
      <c r="L325" s="60" t="str">
        <f>K325-J325</f>
        <v>Cắt Gội Combo 5 - Dưỡng sinh</v>
      </c>
      <c r="M325" s="57">
        <v>0.02000000000000002</v>
      </c>
      <c r="N325" s="58">
        <v>459000</v>
      </c>
      <c r="O325" s="58">
        <v>468000</v>
      </c>
      <c r="P325" s="50">
        <v>9000</v>
      </c>
    </row>
    <row r="326">
      <c r="H326" s="51">
        <v>250</v>
      </c>
      <c r="I326" s="54" t="str">
        <v>173 TN</v>
      </c>
      <c r="J326" s="52" t="str">
        <v>DV_Gội</v>
      </c>
      <c r="K326" s="52">
        <v>867</v>
      </c>
      <c r="L326" s="48" t="str">
        <f>K326-J326</f>
        <v>Gội dưỡng sinh cổ vai gáy</v>
      </c>
      <c r="M326" s="53">
        <v>0.02000000000000002</v>
      </c>
      <c r="N326" s="49">
        <v>99000</v>
      </c>
      <c r="O326" s="49">
        <v>101000</v>
      </c>
      <c r="P326" s="50">
        <v>2000</v>
      </c>
    </row>
    <row r="327">
      <c r="H327" s="62">
        <v>250</v>
      </c>
      <c r="I327" s="54" t="str">
        <v>173 TN</v>
      </c>
      <c r="J327" s="56" t="str">
        <v>DV_Gội</v>
      </c>
      <c r="K327" s="56">
        <v>930</v>
      </c>
      <c r="L327" s="60" t="str">
        <f>K327-J327</f>
        <v>[NEW] Gội dưỡng sinh cổ vai gáy và chăm sóc da</v>
      </c>
      <c r="M327" s="57">
        <v>0.02000000000000002</v>
      </c>
      <c r="N327" s="58">
        <v>139000</v>
      </c>
      <c r="O327" s="58">
        <v>142000</v>
      </c>
      <c r="P327" s="50">
        <v>3000</v>
      </c>
    </row>
    <row r="328">
      <c r="H328" s="51">
        <v>250</v>
      </c>
      <c r="I328" s="54" t="str">
        <v>173 TN</v>
      </c>
      <c r="J328" s="52" t="str">
        <v>DV_Gội</v>
      </c>
      <c r="K328" s="52">
        <v>934</v>
      </c>
      <c r="L328" s="48" t="str">
        <f>K328-J328</f>
        <v>Gội combo 3 - Dưỡng sinh</v>
      </c>
      <c r="M328" s="53">
        <v>0.02000000000000002</v>
      </c>
      <c r="N328" s="49">
        <v>229000</v>
      </c>
      <c r="O328" s="49">
        <v>234000</v>
      </c>
      <c r="P328" s="50">
        <v>5000</v>
      </c>
    </row>
    <row r="329">
      <c r="H329" s="62">
        <v>250</v>
      </c>
      <c r="I329" s="54" t="str">
        <v>173 TN</v>
      </c>
      <c r="J329" s="56" t="str">
        <v>DV_Gội</v>
      </c>
      <c r="K329" s="56">
        <v>940</v>
      </c>
      <c r="L329" s="60" t="str">
        <f>K329-J329</f>
        <v>[NEW] Gội dưỡng sinh</v>
      </c>
      <c r="M329" s="57">
        <v>0.02000000000000002</v>
      </c>
      <c r="N329" s="58">
        <v>59000</v>
      </c>
      <c r="O329" s="58">
        <v>60000</v>
      </c>
      <c r="P329" s="50">
        <v>1000</v>
      </c>
    </row>
    <row r="330">
      <c r="H330" s="51">
        <v>250</v>
      </c>
      <c r="I330" s="54" t="str">
        <v>173 TN</v>
      </c>
      <c r="J330" s="52" t="str">
        <v>DV_Gội</v>
      </c>
      <c r="K330" s="52">
        <v>1058</v>
      </c>
      <c r="L330" s="48" t="str">
        <f>K330-J330</f>
        <v>Gội Combo 2</v>
      </c>
      <c r="M330" s="53">
        <v>0.02000000000000002</v>
      </c>
      <c r="N330" s="49">
        <v>159000</v>
      </c>
      <c r="O330" s="49">
        <v>162000</v>
      </c>
      <c r="P330" s="50">
        <v>3000</v>
      </c>
    </row>
    <row r="331">
      <c r="H331" s="62">
        <v>250</v>
      </c>
      <c r="I331" s="54" t="str">
        <v>173 TN</v>
      </c>
      <c r="J331" s="56" t="str">
        <v>DV_Gội</v>
      </c>
      <c r="K331" s="56">
        <v>1059</v>
      </c>
      <c r="L331" s="60" t="str">
        <f>K331-J331</f>
        <v>Gội Combo 3 - Chăm da</v>
      </c>
      <c r="M331" s="57">
        <v>0.02000000000000002</v>
      </c>
      <c r="N331" s="58">
        <v>239000</v>
      </c>
      <c r="O331" s="58">
        <v>244000</v>
      </c>
      <c r="P331" s="50">
        <v>5000</v>
      </c>
    </row>
    <row r="332">
      <c r="H332" s="51">
        <v>250</v>
      </c>
      <c r="I332" s="54" t="str">
        <v>173 TN</v>
      </c>
      <c r="J332" s="52" t="str">
        <v>DV_Gội</v>
      </c>
      <c r="K332" s="52">
        <v>1060</v>
      </c>
      <c r="L332" s="48" t="str">
        <f>K332-J332</f>
        <v>Gội Combo 4</v>
      </c>
      <c r="M332" s="53">
        <v>0.02000000000000002</v>
      </c>
      <c r="N332" s="49">
        <v>319000</v>
      </c>
      <c r="O332" s="49">
        <v>325000</v>
      </c>
      <c r="P332" s="50">
        <v>6000</v>
      </c>
    </row>
    <row r="333">
      <c r="H333" s="62">
        <v>250</v>
      </c>
      <c r="I333" s="54" t="str">
        <v>173 TN</v>
      </c>
      <c r="J333" s="56" t="str">
        <v>DV_Gội</v>
      </c>
      <c r="K333" s="56">
        <v>1066</v>
      </c>
      <c r="L333" s="60" t="str">
        <f>K333-J333</f>
        <v>Gội trải nghiệm 75p</v>
      </c>
      <c r="M333" s="57">
        <v>0.02000000000000002</v>
      </c>
      <c r="N333" s="58">
        <v>589000</v>
      </c>
      <c r="O333" s="58">
        <v>601000</v>
      </c>
      <c r="P333" s="50">
        <v>12000</v>
      </c>
    </row>
    <row r="334">
      <c r="H334" s="51">
        <v>250</v>
      </c>
      <c r="I334" s="54" t="str">
        <v>173 TN</v>
      </c>
      <c r="J334" s="52" t="str">
        <v>DV_Gội</v>
      </c>
      <c r="K334" s="52">
        <v>1067</v>
      </c>
      <c r="L334" s="48" t="str">
        <f>K334-J334</f>
        <v>Gội trải nghiệm 90p</v>
      </c>
      <c r="M334" s="53">
        <v>0.02000000000000002</v>
      </c>
      <c r="N334" s="49">
        <v>789000</v>
      </c>
      <c r="O334" s="49">
        <v>805000</v>
      </c>
      <c r="P334" s="50">
        <v>16000</v>
      </c>
    </row>
    <row r="335">
      <c r="H335" s="62">
        <v>250</v>
      </c>
      <c r="I335" s="54" t="str">
        <v>173 TN</v>
      </c>
      <c r="J335" s="56" t="str">
        <v>DV_Gội</v>
      </c>
      <c r="K335" s="56">
        <v>1068</v>
      </c>
      <c r="L335" s="60" t="str">
        <f>K335-J335</f>
        <v>Gội trải nghiệm 115p</v>
      </c>
      <c r="M335" s="57">
        <v>0.02000000000000002</v>
      </c>
      <c r="N335" s="58">
        <v>999000</v>
      </c>
      <c r="O335" s="58">
        <v>1019000</v>
      </c>
      <c r="P335" s="61">
        <v>20000</v>
      </c>
    </row>
    <row r="336">
      <c r="H336" s="51">
        <v>250</v>
      </c>
      <c r="I336" s="54" t="str">
        <v>173 TN</v>
      </c>
      <c r="J336" s="52" t="str">
        <v>DV_Spa</v>
      </c>
      <c r="K336" s="52">
        <v>936</v>
      </c>
      <c r="L336" s="48" t="str">
        <f>K336-J336</f>
        <v>[NEW] Chăm sóc da Shine Spa 199k (có phân tích da)</v>
      </c>
      <c r="M336" s="53">
        <v>0.02000000000000002</v>
      </c>
      <c r="N336" s="49">
        <v>199000</v>
      </c>
      <c r="O336" s="49">
        <v>203000</v>
      </c>
      <c r="P336" s="50">
        <v>4000</v>
      </c>
    </row>
    <row r="337">
      <c r="H337" s="62">
        <v>182</v>
      </c>
      <c r="I337" s="54" t="str">
        <v>186 DTH</v>
      </c>
      <c r="J337" s="56" t="str">
        <v>DV_Cắt</v>
      </c>
      <c r="K337" s="56">
        <v>513</v>
      </c>
      <c r="L337" s="60" t="str">
        <f>K337-J337</f>
        <v>[DV] ShineCombo 10 bước Ultra Care 2023</v>
      </c>
      <c r="M337" s="57">
        <v>0.0106382978723405</v>
      </c>
      <c r="N337" s="58">
        <v>122000</v>
      </c>
      <c r="O337" s="58">
        <v>122000</v>
      </c>
      <c r="P337" s="50"/>
    </row>
    <row r="338">
      <c r="H338" s="51">
        <v>182</v>
      </c>
      <c r="I338" s="54" t="str">
        <v>186 DTH</v>
      </c>
      <c r="J338" s="52" t="str">
        <v>DV_Cắt</v>
      </c>
      <c r="K338" s="52">
        <v>891</v>
      </c>
      <c r="L338" s="48" t="str">
        <f>K338-J338</f>
        <v>Cắt xả tạo kiểu</v>
      </c>
      <c r="M338" s="53">
        <v>0.0106382978723405</v>
      </c>
      <c r="N338" s="49">
        <v>94000</v>
      </c>
      <c r="O338" s="49">
        <v>95000</v>
      </c>
      <c r="P338" s="61">
        <v>1000</v>
      </c>
    </row>
    <row r="339">
      <c r="H339" s="62">
        <v>182</v>
      </c>
      <c r="I339" s="54" t="str">
        <v>186 DTH</v>
      </c>
      <c r="J339" s="56" t="str">
        <v>DV_Cắt</v>
      </c>
      <c r="K339" s="56">
        <v>1002</v>
      </c>
      <c r="L339" s="60" t="str">
        <f>K339-J339</f>
        <v>Kid Cắt</v>
      </c>
      <c r="M339" s="57">
        <v>0.0106382978723405</v>
      </c>
      <c r="N339" s="58">
        <v>75000</v>
      </c>
      <c r="O339" s="58">
        <v>76000</v>
      </c>
      <c r="P339" s="50">
        <v>1000</v>
      </c>
    </row>
    <row r="340">
      <c r="H340" s="51">
        <v>182</v>
      </c>
      <c r="I340" s="54" t="str">
        <v>186 DTH</v>
      </c>
      <c r="J340" s="52" t="str">
        <v>DV_Cắt</v>
      </c>
      <c r="K340" s="52">
        <v>1070</v>
      </c>
      <c r="L340" s="48" t="str">
        <f>K340-J340</f>
        <v>Combo Cắt gội Kid</v>
      </c>
      <c r="M340" s="53">
        <v>0.0106382978723405</v>
      </c>
      <c r="N340" s="49">
        <v>100000</v>
      </c>
      <c r="O340" s="49">
        <v>101000</v>
      </c>
      <c r="P340" s="50">
        <v>1000</v>
      </c>
    </row>
    <row r="341">
      <c r="H341" s="62">
        <v>182</v>
      </c>
      <c r="I341" s="54" t="str">
        <v>186 DTH</v>
      </c>
      <c r="J341" s="56" t="str">
        <v>DV_Cắt</v>
      </c>
      <c r="K341" s="56">
        <v>1242</v>
      </c>
      <c r="L341" s="60" t="str">
        <f>K341-J341</f>
        <v>combo cắt gội tiện lợi</v>
      </c>
      <c r="M341" s="57">
        <v>0.0106382978723405</v>
      </c>
      <c r="N341" s="58">
        <v>199000</v>
      </c>
      <c r="O341" s="58">
        <v>201000</v>
      </c>
      <c r="P341" s="50">
        <v>2000</v>
      </c>
    </row>
    <row r="342">
      <c r="H342" s="51">
        <v>182</v>
      </c>
      <c r="I342" s="54" t="str">
        <v>186 DTH</v>
      </c>
      <c r="J342" s="52" t="str">
        <v>DV_Cắt_Vip</v>
      </c>
      <c r="K342" s="52">
        <v>1046</v>
      </c>
      <c r="L342" s="48" t="str">
        <f>K342-J342</f>
        <v>Shinecombo 2</v>
      </c>
      <c r="M342" s="53">
        <v>0.0106382978723405</v>
      </c>
      <c r="N342" s="49">
        <v>199000</v>
      </c>
      <c r="O342" s="49">
        <v>201000</v>
      </c>
      <c r="P342" s="50">
        <v>2000</v>
      </c>
    </row>
    <row r="343">
      <c r="H343" s="62">
        <v>182</v>
      </c>
      <c r="I343" s="54" t="str">
        <v>186 DTH</v>
      </c>
      <c r="J343" s="56" t="str">
        <v>DV_Cắt_Vip</v>
      </c>
      <c r="K343" s="56">
        <v>1047</v>
      </c>
      <c r="L343" s="60" t="str">
        <f>K343-J343</f>
        <v>Cắt Gội Combo 3 - Chăm da</v>
      </c>
      <c r="M343" s="57">
        <v>0.0106382978723405</v>
      </c>
      <c r="N343" s="58">
        <v>299000</v>
      </c>
      <c r="O343" s="58">
        <v>302000</v>
      </c>
      <c r="P343" s="50">
        <v>3000</v>
      </c>
    </row>
    <row r="344">
      <c r="H344" s="51">
        <v>182</v>
      </c>
      <c r="I344" s="54" t="str">
        <v>186 DTH</v>
      </c>
      <c r="J344" s="52" t="str">
        <v>DV_Cắt_Vip</v>
      </c>
      <c r="K344" s="52">
        <v>1048</v>
      </c>
      <c r="L344" s="48" t="str">
        <f>K344-J344</f>
        <v>Combo 4</v>
      </c>
      <c r="M344" s="53">
        <v>0.0106382978723405</v>
      </c>
      <c r="N344" s="49">
        <v>389000</v>
      </c>
      <c r="O344" s="49">
        <v>393000</v>
      </c>
      <c r="P344" s="50">
        <v>4000</v>
      </c>
    </row>
    <row r="345">
      <c r="H345" s="62">
        <v>182</v>
      </c>
      <c r="I345" s="54" t="str">
        <v>186 DTH</v>
      </c>
      <c r="J345" s="56" t="str">
        <v>DV_Cắt_Vip</v>
      </c>
      <c r="K345" s="56">
        <v>1064</v>
      </c>
      <c r="L345" s="60" t="str">
        <f>K345-J345</f>
        <v>Cắt Gội Combo 5 - Dưỡng sinh</v>
      </c>
      <c r="M345" s="57">
        <v>0.0106382978723405</v>
      </c>
      <c r="N345" s="58">
        <v>459000</v>
      </c>
      <c r="O345" s="58">
        <v>464000</v>
      </c>
      <c r="P345" s="50">
        <v>5000</v>
      </c>
    </row>
    <row r="346">
      <c r="H346" s="51">
        <v>182</v>
      </c>
      <c r="I346" s="54" t="str">
        <v>186 DTH</v>
      </c>
      <c r="J346" s="52" t="str">
        <v>DV_Cắt_Vip</v>
      </c>
      <c r="K346" s="52">
        <v>1065</v>
      </c>
      <c r="L346" s="48" t="str">
        <f>K346-J346</f>
        <v>Cắt Gội Combo 3 - Dưỡng sinh</v>
      </c>
      <c r="M346" s="53">
        <v>0.0106382978723405</v>
      </c>
      <c r="N346" s="49">
        <v>299000</v>
      </c>
      <c r="O346" s="49">
        <v>302000</v>
      </c>
      <c r="P346" s="50">
        <v>3000</v>
      </c>
    </row>
    <row r="347">
      <c r="H347" s="62">
        <v>182</v>
      </c>
      <c r="I347" s="54" t="str">
        <v>186 DTH</v>
      </c>
      <c r="J347" s="56" t="str">
        <v>DV_Gội</v>
      </c>
      <c r="K347" s="56">
        <v>867</v>
      </c>
      <c r="L347" s="60" t="str">
        <f>K347-J347</f>
        <v>Gội dưỡng sinh cổ vai gáy</v>
      </c>
      <c r="M347" s="57">
        <v>0.0106382978723405</v>
      </c>
      <c r="N347" s="58">
        <v>99000</v>
      </c>
      <c r="O347" s="58">
        <v>100000</v>
      </c>
      <c r="P347" s="50">
        <v>1000</v>
      </c>
    </row>
    <row r="348">
      <c r="H348" s="51">
        <v>182</v>
      </c>
      <c r="I348" s="54" t="str">
        <v>186 DTH</v>
      </c>
      <c r="J348" s="52" t="str">
        <v>DV_Gội</v>
      </c>
      <c r="K348" s="52">
        <v>930</v>
      </c>
      <c r="L348" s="48" t="str">
        <f>K348-J348</f>
        <v>[NEW] Gội dưỡng sinh cổ vai gáy và chăm sóc da</v>
      </c>
      <c r="M348" s="53">
        <v>0.0106382978723405</v>
      </c>
      <c r="N348" s="49">
        <v>139000</v>
      </c>
      <c r="O348" s="49">
        <v>140000</v>
      </c>
      <c r="P348" s="50">
        <v>1000</v>
      </c>
    </row>
    <row r="349">
      <c r="H349" s="62">
        <v>182</v>
      </c>
      <c r="I349" s="54" t="str">
        <v>186 DTH</v>
      </c>
      <c r="J349" s="56" t="str">
        <v>DV_Gội</v>
      </c>
      <c r="K349" s="56">
        <v>934</v>
      </c>
      <c r="L349" s="60" t="str">
        <f>K349-J349</f>
        <v>Gội combo 3 - Dưỡng sinh</v>
      </c>
      <c r="M349" s="57">
        <v>0.0106382978723405</v>
      </c>
      <c r="N349" s="58">
        <v>229000</v>
      </c>
      <c r="O349" s="58">
        <v>231000</v>
      </c>
      <c r="P349" s="50">
        <v>2000</v>
      </c>
    </row>
    <row r="350">
      <c r="H350" s="51">
        <v>182</v>
      </c>
      <c r="I350" s="54" t="str">
        <v>186 DTH</v>
      </c>
      <c r="J350" s="52" t="str">
        <v>DV_Gội</v>
      </c>
      <c r="K350" s="52">
        <v>940</v>
      </c>
      <c r="L350" s="48" t="str">
        <f>K350-J350</f>
        <v>[NEW] Gội dưỡng sinh</v>
      </c>
      <c r="M350" s="53">
        <v>0.0106382978723405</v>
      </c>
      <c r="N350" s="49">
        <v>59000</v>
      </c>
      <c r="O350" s="49">
        <v>60000</v>
      </c>
      <c r="P350" s="50">
        <v>1000</v>
      </c>
    </row>
    <row r="351">
      <c r="H351" s="62">
        <v>182</v>
      </c>
      <c r="I351" s="54" t="str">
        <v>186 DTH</v>
      </c>
      <c r="J351" s="56" t="str">
        <v>DV_Gội</v>
      </c>
      <c r="K351" s="56">
        <v>1058</v>
      </c>
      <c r="L351" s="60" t="str">
        <f>K351-J351</f>
        <v>Gội Combo 2</v>
      </c>
      <c r="M351" s="57">
        <v>0.0106382978723405</v>
      </c>
      <c r="N351" s="58">
        <v>159000</v>
      </c>
      <c r="O351" s="58">
        <v>161000</v>
      </c>
      <c r="P351" s="50">
        <v>2000</v>
      </c>
    </row>
    <row r="352">
      <c r="H352" s="51">
        <v>182</v>
      </c>
      <c r="I352" s="54" t="str">
        <v>186 DTH</v>
      </c>
      <c r="J352" s="52" t="str">
        <v>DV_Gội</v>
      </c>
      <c r="K352" s="52">
        <v>1059</v>
      </c>
      <c r="L352" s="48" t="str">
        <f>K352-J352</f>
        <v>Gội Combo 3 - Chăm da</v>
      </c>
      <c r="M352" s="53">
        <v>0.0106382978723405</v>
      </c>
      <c r="N352" s="49">
        <v>239000</v>
      </c>
      <c r="O352" s="49">
        <v>242000</v>
      </c>
      <c r="P352" s="50">
        <v>3000</v>
      </c>
    </row>
    <row r="353">
      <c r="H353" s="62">
        <v>182</v>
      </c>
      <c r="I353" s="54" t="str">
        <v>186 DTH</v>
      </c>
      <c r="J353" s="56" t="str">
        <v>DV_Gội</v>
      </c>
      <c r="K353" s="56">
        <v>1060</v>
      </c>
      <c r="L353" s="60" t="str">
        <f>K353-J353</f>
        <v>Gội Combo 4</v>
      </c>
      <c r="M353" s="57">
        <v>0.0106382978723405</v>
      </c>
      <c r="N353" s="58">
        <v>319000</v>
      </c>
      <c r="O353" s="58">
        <v>322000</v>
      </c>
      <c r="P353" s="50">
        <v>3000</v>
      </c>
    </row>
    <row r="354">
      <c r="H354" s="51">
        <v>182</v>
      </c>
      <c r="I354" s="54" t="str">
        <v>186 DTH</v>
      </c>
      <c r="J354" s="52" t="str">
        <v>DV_Gội</v>
      </c>
      <c r="K354" s="52">
        <v>1066</v>
      </c>
      <c r="L354" s="48" t="str">
        <f>K354-J354</f>
        <v>Gội trải nghiệm 75p</v>
      </c>
      <c r="M354" s="53">
        <v>0.0106382978723405</v>
      </c>
      <c r="N354" s="49">
        <v>589000</v>
      </c>
      <c r="O354" s="49">
        <v>595000</v>
      </c>
      <c r="P354" s="61">
        <v>6000</v>
      </c>
    </row>
    <row r="355">
      <c r="H355" s="62">
        <v>182</v>
      </c>
      <c r="I355" s="54" t="str">
        <v>186 DTH</v>
      </c>
      <c r="J355" s="56" t="str">
        <v>DV_Gội</v>
      </c>
      <c r="K355" s="56">
        <v>1067</v>
      </c>
      <c r="L355" s="60" t="str">
        <f>K355-J355</f>
        <v>Gội trải nghiệm 90p</v>
      </c>
      <c r="M355" s="57">
        <v>0.0106382978723405</v>
      </c>
      <c r="N355" s="58">
        <v>789000</v>
      </c>
      <c r="O355" s="58">
        <v>797000</v>
      </c>
      <c r="P355" s="61">
        <v>8000</v>
      </c>
    </row>
    <row r="356">
      <c r="H356" s="51">
        <v>182</v>
      </c>
      <c r="I356" s="54" t="str">
        <v>186 DTH</v>
      </c>
      <c r="J356" s="52" t="str">
        <v>DV_Gội</v>
      </c>
      <c r="K356" s="52">
        <v>1068</v>
      </c>
      <c r="L356" s="48" t="str">
        <f>K356-J356</f>
        <v>Gội trải nghiệm 115p</v>
      </c>
      <c r="M356" s="53">
        <v>0.0106382978723405</v>
      </c>
      <c r="N356" s="49">
        <v>999000</v>
      </c>
      <c r="O356" s="49">
        <v>1010000</v>
      </c>
      <c r="P356" s="61">
        <v>11000</v>
      </c>
    </row>
    <row r="357">
      <c r="H357" s="62">
        <v>182</v>
      </c>
      <c r="I357" s="54" t="str">
        <v>186 DTH</v>
      </c>
      <c r="J357" s="56" t="str">
        <v>DV_Spa</v>
      </c>
      <c r="K357" s="56">
        <v>936</v>
      </c>
      <c r="L357" s="60" t="str">
        <f>K357-J357</f>
        <v>[NEW] Chăm sóc da Shine Spa 199k (có phân tích da)</v>
      </c>
      <c r="M357" s="57">
        <v>0.0106382978723405</v>
      </c>
      <c r="N357" s="58">
        <v>199000</v>
      </c>
      <c r="O357" s="58">
        <v>201000</v>
      </c>
      <c r="P357" s="61">
        <v>2000</v>
      </c>
    </row>
    <row r="358">
      <c r="H358" s="51">
        <v>239</v>
      </c>
      <c r="I358" s="54" t="str">
        <v>186 QT</v>
      </c>
      <c r="J358" s="52" t="str">
        <v>DV_Cắt</v>
      </c>
      <c r="K358" s="52">
        <v>513</v>
      </c>
      <c r="L358" s="48" t="str">
        <f>K358-J358</f>
        <v>[DV] ShineCombo 10 bước Ultra Care 2023</v>
      </c>
      <c r="M358" s="53">
        <v>0.01941747572815533</v>
      </c>
      <c r="N358" s="49">
        <v>122000</v>
      </c>
      <c r="O358" s="49">
        <v>122000</v>
      </c>
      <c r="P358" s="61"/>
    </row>
    <row r="359">
      <c r="H359" s="62">
        <v>239</v>
      </c>
      <c r="I359" s="54" t="str">
        <v>186 QT</v>
      </c>
      <c r="J359" s="56" t="str">
        <v>DV_Cắt</v>
      </c>
      <c r="K359" s="56">
        <v>891</v>
      </c>
      <c r="L359" s="60" t="str">
        <f>K359-J359</f>
        <v>Cắt xả tạo kiểu</v>
      </c>
      <c r="M359" s="57">
        <v>0.01941747572815533</v>
      </c>
      <c r="N359" s="58">
        <v>103000</v>
      </c>
      <c r="O359" s="58">
        <v>105000</v>
      </c>
      <c r="P359" s="61">
        <v>2000</v>
      </c>
    </row>
    <row r="360">
      <c r="H360" s="51">
        <v>239</v>
      </c>
      <c r="I360" s="54" t="str">
        <v>186 QT</v>
      </c>
      <c r="J360" s="52" t="str">
        <v>DV_Cắt</v>
      </c>
      <c r="K360" s="52">
        <v>1002</v>
      </c>
      <c r="L360" s="48" t="str">
        <f>K360-J360</f>
        <v>Kid Cắt</v>
      </c>
      <c r="M360" s="53">
        <v>0.01941747572815533</v>
      </c>
      <c r="N360" s="49">
        <v>84000</v>
      </c>
      <c r="O360" s="49">
        <v>86000</v>
      </c>
      <c r="P360" s="61">
        <v>2000</v>
      </c>
    </row>
    <row r="361">
      <c r="H361" s="62">
        <v>239</v>
      </c>
      <c r="I361" s="54" t="str">
        <v>186 QT</v>
      </c>
      <c r="J361" s="56" t="str">
        <v>DV_Cắt</v>
      </c>
      <c r="K361" s="56">
        <v>1070</v>
      </c>
      <c r="L361" s="60" t="str">
        <f>K361-J361</f>
        <v>Combo Cắt gội Kid</v>
      </c>
      <c r="M361" s="57">
        <v>0.01941747572815533</v>
      </c>
      <c r="N361" s="58">
        <v>100000</v>
      </c>
      <c r="O361" s="58">
        <v>102000</v>
      </c>
      <c r="P361" s="61">
        <v>2000</v>
      </c>
    </row>
    <row r="362">
      <c r="H362" s="51">
        <v>239</v>
      </c>
      <c r="I362" s="54" t="str">
        <v>186 QT</v>
      </c>
      <c r="J362" s="52" t="str">
        <v>DV_Cắt_Vip</v>
      </c>
      <c r="K362" s="52">
        <v>1046</v>
      </c>
      <c r="L362" s="48" t="str">
        <f>K362-J362</f>
        <v>Shinecombo 2</v>
      </c>
      <c r="M362" s="53">
        <v>0.01941747572815533</v>
      </c>
      <c r="N362" s="49">
        <v>208000</v>
      </c>
      <c r="O362" s="49">
        <v>212000</v>
      </c>
      <c r="P362" s="61">
        <v>4000</v>
      </c>
    </row>
    <row r="363">
      <c r="H363" s="62">
        <v>239</v>
      </c>
      <c r="I363" s="54" t="str">
        <v>186 QT</v>
      </c>
      <c r="J363" s="56" t="str">
        <v>DV_Cắt_Vip</v>
      </c>
      <c r="K363" s="56">
        <v>1047</v>
      </c>
      <c r="L363" s="60" t="str">
        <f>K363-J363</f>
        <v>Cắt Gội Combo 3 - Chăm da</v>
      </c>
      <c r="M363" s="57">
        <v>0.01941747572815533</v>
      </c>
      <c r="N363" s="58">
        <v>308000</v>
      </c>
      <c r="O363" s="58">
        <v>314000</v>
      </c>
      <c r="P363" s="61">
        <v>6000</v>
      </c>
    </row>
    <row r="364">
      <c r="H364" s="51">
        <v>239</v>
      </c>
      <c r="I364" s="54" t="str">
        <v>186 QT</v>
      </c>
      <c r="J364" s="52" t="str">
        <v>DV_Cắt_Vip</v>
      </c>
      <c r="K364" s="52">
        <v>1048</v>
      </c>
      <c r="L364" s="48" t="str">
        <f>K364-J364</f>
        <v>Combo 4</v>
      </c>
      <c r="M364" s="53">
        <v>0.01941747572815533</v>
      </c>
      <c r="N364" s="49">
        <v>398000</v>
      </c>
      <c r="O364" s="49">
        <v>406000</v>
      </c>
      <c r="P364" s="61">
        <v>8000</v>
      </c>
    </row>
    <row r="365">
      <c r="H365" s="62">
        <v>239</v>
      </c>
      <c r="I365" s="54" t="str">
        <v>186 QT</v>
      </c>
      <c r="J365" s="56" t="str">
        <v>DV_Cắt_Vip</v>
      </c>
      <c r="K365" s="56">
        <v>1064</v>
      </c>
      <c r="L365" s="60" t="str">
        <f>K365-J365</f>
        <v>Cắt Gội Combo 5 - Dưỡng sinh</v>
      </c>
      <c r="M365" s="57">
        <v>0.01941747572815533</v>
      </c>
      <c r="N365" s="58">
        <v>459000</v>
      </c>
      <c r="O365" s="58">
        <v>468000</v>
      </c>
      <c r="P365" s="61">
        <v>9000</v>
      </c>
    </row>
    <row r="366">
      <c r="H366" s="51">
        <v>239</v>
      </c>
      <c r="I366" s="54" t="str">
        <v>186 QT</v>
      </c>
      <c r="J366" s="52" t="str">
        <v>DV_Gội</v>
      </c>
      <c r="K366" s="52">
        <v>867</v>
      </c>
      <c r="L366" s="48" t="str">
        <f>K366-J366</f>
        <v>Gội dưỡng sinh cổ vai gáy</v>
      </c>
      <c r="M366" s="53">
        <v>0.01941747572815533</v>
      </c>
      <c r="N366" s="49">
        <v>99000</v>
      </c>
      <c r="O366" s="49">
        <v>101000</v>
      </c>
      <c r="P366" s="61">
        <v>2000</v>
      </c>
    </row>
    <row r="367">
      <c r="H367" s="62">
        <v>239</v>
      </c>
      <c r="I367" s="54" t="str">
        <v>186 QT</v>
      </c>
      <c r="J367" s="56" t="str">
        <v>DV_Gội</v>
      </c>
      <c r="K367" s="56">
        <v>930</v>
      </c>
      <c r="L367" s="60" t="str">
        <f>K367-J367</f>
        <v>[NEW] Gội dưỡng sinh cổ vai gáy và chăm sóc da</v>
      </c>
      <c r="M367" s="57">
        <v>0.01941747572815533</v>
      </c>
      <c r="N367" s="58">
        <v>139000</v>
      </c>
      <c r="O367" s="58">
        <v>142000</v>
      </c>
      <c r="P367" s="61">
        <v>3000</v>
      </c>
    </row>
    <row r="368">
      <c r="H368" s="51">
        <v>239</v>
      </c>
      <c r="I368" s="54" t="str">
        <v>186 QT</v>
      </c>
      <c r="J368" s="52" t="str">
        <v>DV_Gội</v>
      </c>
      <c r="K368" s="52">
        <v>934</v>
      </c>
      <c r="L368" s="48" t="str">
        <f>K368-J368</f>
        <v>Gội combo 3 - Dưỡng sinh</v>
      </c>
      <c r="M368" s="53">
        <v>0.01941747572815533</v>
      </c>
      <c r="N368" s="49">
        <v>229000</v>
      </c>
      <c r="O368" s="49">
        <v>233000</v>
      </c>
      <c r="P368" s="61">
        <v>4000</v>
      </c>
    </row>
    <row r="369">
      <c r="H369" s="62">
        <v>239</v>
      </c>
      <c r="I369" s="54" t="str">
        <v>186 QT</v>
      </c>
      <c r="J369" s="56" t="str">
        <v>DV_Gội</v>
      </c>
      <c r="K369" s="56">
        <v>940</v>
      </c>
      <c r="L369" s="60" t="str">
        <f>K369-J369</f>
        <v>[NEW] Gội dưỡng sinh</v>
      </c>
      <c r="M369" s="57">
        <v>0.01941747572815533</v>
      </c>
      <c r="N369" s="58">
        <v>59000</v>
      </c>
      <c r="O369" s="58">
        <v>60000</v>
      </c>
      <c r="P369" s="61">
        <v>1000</v>
      </c>
    </row>
    <row r="370">
      <c r="H370" s="51">
        <v>239</v>
      </c>
      <c r="I370" s="54" t="str">
        <v>186 QT</v>
      </c>
      <c r="J370" s="52" t="str">
        <v>DV_Gội</v>
      </c>
      <c r="K370" s="52">
        <v>1058</v>
      </c>
      <c r="L370" s="48" t="str">
        <f>K370-J370</f>
        <v>Gội Combo 2</v>
      </c>
      <c r="M370" s="53">
        <v>0.01941747572815533</v>
      </c>
      <c r="N370" s="49">
        <v>159000</v>
      </c>
      <c r="O370" s="49">
        <v>162000</v>
      </c>
      <c r="P370" s="61">
        <v>3000</v>
      </c>
    </row>
    <row r="371">
      <c r="H371" s="62">
        <v>239</v>
      </c>
      <c r="I371" s="54" t="str">
        <v>186 QT</v>
      </c>
      <c r="J371" s="56" t="str">
        <v>DV_Gội</v>
      </c>
      <c r="K371" s="56">
        <v>1059</v>
      </c>
      <c r="L371" s="60" t="str">
        <f>K371-J371</f>
        <v>Gội Combo 3 - Chăm da</v>
      </c>
      <c r="M371" s="57">
        <v>0.01941747572815533</v>
      </c>
      <c r="N371" s="58">
        <v>239000</v>
      </c>
      <c r="O371" s="58">
        <v>244000</v>
      </c>
      <c r="P371" s="61">
        <v>5000</v>
      </c>
    </row>
    <row r="372">
      <c r="H372" s="51">
        <v>239</v>
      </c>
      <c r="I372" s="54" t="str">
        <v>186 QT</v>
      </c>
      <c r="J372" s="52" t="str">
        <v>DV_Gội</v>
      </c>
      <c r="K372" s="52">
        <v>1060</v>
      </c>
      <c r="L372" s="48" t="str">
        <f>K372-J372</f>
        <v>Gội Combo 4</v>
      </c>
      <c r="M372" s="53">
        <v>0.01941747572815533</v>
      </c>
      <c r="N372" s="49">
        <v>289000</v>
      </c>
      <c r="O372" s="49">
        <v>295000</v>
      </c>
      <c r="P372" s="50">
        <v>6000</v>
      </c>
    </row>
    <row r="373">
      <c r="H373" s="62">
        <v>239</v>
      </c>
      <c r="I373" s="54" t="str">
        <v>186 QT</v>
      </c>
      <c r="J373" s="56" t="str">
        <v>DV_Gội</v>
      </c>
      <c r="K373" s="56">
        <v>1066</v>
      </c>
      <c r="L373" s="60" t="str">
        <f>K373-J373</f>
        <v>Gội trải nghiệm 75p</v>
      </c>
      <c r="M373" s="57">
        <v>0.01941747572815533</v>
      </c>
      <c r="N373" s="58">
        <v>589000</v>
      </c>
      <c r="O373" s="58">
        <v>600000</v>
      </c>
      <c r="P373" s="50">
        <v>11000</v>
      </c>
    </row>
    <row r="374">
      <c r="H374" s="51">
        <v>239</v>
      </c>
      <c r="I374" s="54" t="str">
        <v>186 QT</v>
      </c>
      <c r="J374" s="52" t="str">
        <v>DV_Gội</v>
      </c>
      <c r="K374" s="52">
        <v>1067</v>
      </c>
      <c r="L374" s="48" t="str">
        <f>K374-J374</f>
        <v>Gội trải nghiệm 90p</v>
      </c>
      <c r="M374" s="53">
        <v>0.01941747572815533</v>
      </c>
      <c r="N374" s="49">
        <v>789000</v>
      </c>
      <c r="O374" s="49">
        <v>804000</v>
      </c>
      <c r="P374" s="61">
        <v>15000</v>
      </c>
    </row>
    <row r="375">
      <c r="H375" s="62">
        <v>239</v>
      </c>
      <c r="I375" s="54" t="str">
        <v>186 QT</v>
      </c>
      <c r="J375" s="56" t="str">
        <v>DV_Gội</v>
      </c>
      <c r="K375" s="56">
        <v>1068</v>
      </c>
      <c r="L375" s="60" t="str">
        <f>K375-J375</f>
        <v>Gội trải nghiệm 115p</v>
      </c>
      <c r="M375" s="57">
        <v>0.01941747572815533</v>
      </c>
      <c r="N375" s="58">
        <v>999000</v>
      </c>
      <c r="O375" s="58">
        <v>1018000</v>
      </c>
      <c r="P375" s="50">
        <v>19000</v>
      </c>
    </row>
    <row r="376">
      <c r="H376" s="51">
        <v>239</v>
      </c>
      <c r="I376" s="54" t="str">
        <v>186 QT</v>
      </c>
      <c r="J376" s="52" t="str">
        <v>DV_Gội</v>
      </c>
      <c r="K376" s="52">
        <v>1069</v>
      </c>
      <c r="L376" s="48" t="str">
        <f>K376-J376</f>
        <v>Gội trải nghiệm 140p</v>
      </c>
      <c r="M376" s="53">
        <v>0.01941747572815533</v>
      </c>
      <c r="N376" s="49">
        <v>1199000</v>
      </c>
      <c r="O376" s="49">
        <v>1222000</v>
      </c>
      <c r="P376" s="50">
        <v>23000</v>
      </c>
    </row>
    <row r="377">
      <c r="H377" s="62">
        <v>239</v>
      </c>
      <c r="I377" s="54" t="str">
        <v>186 QT</v>
      </c>
      <c r="J377" s="56" t="str">
        <v>DV_Spa</v>
      </c>
      <c r="K377" s="56">
        <v>936</v>
      </c>
      <c r="L377" s="60" t="str">
        <f>K377-J377</f>
        <v>[NEW] Chăm sóc da Shine Spa 199k (có phân tích da)</v>
      </c>
      <c r="M377" s="57">
        <v>0.01941747572815533</v>
      </c>
      <c r="N377" s="58">
        <v>199000</v>
      </c>
      <c r="O377" s="58">
        <v>203000</v>
      </c>
      <c r="P377" s="50">
        <v>4000</v>
      </c>
    </row>
    <row r="378">
      <c r="H378" s="51">
        <v>188</v>
      </c>
      <c r="I378" s="54" t="str">
        <v>190 HB</v>
      </c>
      <c r="J378" s="52" t="str">
        <v>DV_Cắt</v>
      </c>
      <c r="K378" s="52">
        <v>513</v>
      </c>
      <c r="L378" s="48" t="str">
        <f>K378-J378</f>
        <v>[DV] ShineCombo 10 bước Ultra Care 2023</v>
      </c>
      <c r="M378" s="53">
        <v>0</v>
      </c>
      <c r="N378" s="49">
        <v>122000</v>
      </c>
      <c r="O378" s="49">
        <v>122000</v>
      </c>
      <c r="P378" s="50"/>
    </row>
    <row r="379">
      <c r="H379" s="62">
        <v>188</v>
      </c>
      <c r="I379" s="54" t="str">
        <v>190 HB</v>
      </c>
      <c r="J379" s="56" t="str">
        <v>DV_Cắt</v>
      </c>
      <c r="K379" s="56">
        <v>891</v>
      </c>
      <c r="L379" s="60" t="str">
        <f>K379-J379</f>
        <v>Cắt xả tạo kiểu</v>
      </c>
      <c r="M379" s="57">
        <v>0</v>
      </c>
      <c r="N379" s="58">
        <v>100000</v>
      </c>
      <c r="O379" s="58">
        <v>100000</v>
      </c>
      <c r="P379" s="50"/>
    </row>
    <row r="380">
      <c r="H380" s="51">
        <v>188</v>
      </c>
      <c r="I380" s="54" t="str">
        <v>190 HB</v>
      </c>
      <c r="J380" s="52" t="str">
        <v>DV_Cắt</v>
      </c>
      <c r="K380" s="52">
        <v>1002</v>
      </c>
      <c r="L380" s="48" t="str">
        <f>K380-J380</f>
        <v>Kid Cắt</v>
      </c>
      <c r="M380" s="53">
        <v>0</v>
      </c>
      <c r="N380" s="49">
        <v>81000</v>
      </c>
      <c r="O380" s="49">
        <v>81000</v>
      </c>
      <c r="P380" s="50"/>
    </row>
    <row r="381">
      <c r="H381" s="62">
        <v>188</v>
      </c>
      <c r="I381" s="54" t="str">
        <v>190 HB</v>
      </c>
      <c r="J381" s="56" t="str">
        <v>DV_Cắt</v>
      </c>
      <c r="K381" s="56">
        <v>1070</v>
      </c>
      <c r="L381" s="60" t="str">
        <f>K381-J381</f>
        <v>Combo Cắt gội Kid</v>
      </c>
      <c r="M381" s="57">
        <v>0</v>
      </c>
      <c r="N381" s="58">
        <v>100000</v>
      </c>
      <c r="O381" s="58">
        <v>100000</v>
      </c>
      <c r="P381" s="50"/>
    </row>
    <row r="382">
      <c r="H382" s="51">
        <v>188</v>
      </c>
      <c r="I382" s="54" t="str">
        <v>190 HB</v>
      </c>
      <c r="J382" s="52" t="str">
        <v>DV_Cắt_Vip</v>
      </c>
      <c r="K382" s="52">
        <v>1046</v>
      </c>
      <c r="L382" s="48" t="str">
        <f>K382-J382</f>
        <v>Shinecombo 2</v>
      </c>
      <c r="M382" s="53">
        <v>0</v>
      </c>
      <c r="N382" s="49">
        <v>205000</v>
      </c>
      <c r="O382" s="49">
        <v>205000</v>
      </c>
      <c r="P382" s="50"/>
    </row>
    <row r="383">
      <c r="H383" s="62">
        <v>188</v>
      </c>
      <c r="I383" s="54" t="str">
        <v>190 HB</v>
      </c>
      <c r="J383" s="56" t="str">
        <v>DV_Cắt_Vip</v>
      </c>
      <c r="K383" s="56">
        <v>1047</v>
      </c>
      <c r="L383" s="60" t="str">
        <f>K383-J383</f>
        <v>Cắt Gội Combo 3 - Chăm da</v>
      </c>
      <c r="M383" s="57">
        <v>0</v>
      </c>
      <c r="N383" s="58">
        <v>305000</v>
      </c>
      <c r="O383" s="58">
        <v>305000</v>
      </c>
      <c r="P383" s="50"/>
    </row>
    <row r="384">
      <c r="H384" s="51">
        <v>188</v>
      </c>
      <c r="I384" s="54" t="str">
        <v>190 HB</v>
      </c>
      <c r="J384" s="52" t="str">
        <v>DV_Cắt_Vip</v>
      </c>
      <c r="K384" s="52">
        <v>1048</v>
      </c>
      <c r="L384" s="48" t="str">
        <f>K384-J384</f>
        <v>Combo 4</v>
      </c>
      <c r="M384" s="53">
        <v>0</v>
      </c>
      <c r="N384" s="49">
        <v>395000</v>
      </c>
      <c r="O384" s="49">
        <v>395000</v>
      </c>
      <c r="P384" s="50"/>
    </row>
    <row r="385">
      <c r="H385" s="62">
        <v>188</v>
      </c>
      <c r="I385" s="54" t="str">
        <v>190 HB</v>
      </c>
      <c r="J385" s="56" t="str">
        <v>DV_Cắt_Vip</v>
      </c>
      <c r="K385" s="56">
        <v>1049</v>
      </c>
      <c r="L385" s="60" t="str">
        <f>K385-J385</f>
        <v>Cắt Gội Combo 5 - Chăm da</v>
      </c>
      <c r="M385" s="57">
        <v>0</v>
      </c>
      <c r="N385" s="58">
        <v>399000</v>
      </c>
      <c r="O385" s="58">
        <v>399000</v>
      </c>
      <c r="P385" s="50"/>
    </row>
    <row r="386">
      <c r="H386" s="51">
        <v>188</v>
      </c>
      <c r="I386" s="54" t="str">
        <v>190 HB</v>
      </c>
      <c r="J386" s="52" t="str">
        <v>DV_Cắt_Vip</v>
      </c>
      <c r="K386" s="52">
        <v>1064</v>
      </c>
      <c r="L386" s="48" t="str">
        <f>K386-J386</f>
        <v>Cắt Gội Combo 5 - Dưỡng sinh</v>
      </c>
      <c r="M386" s="53">
        <v>0</v>
      </c>
      <c r="N386" s="49">
        <v>459000</v>
      </c>
      <c r="O386" s="49">
        <v>459000</v>
      </c>
      <c r="P386" s="50"/>
    </row>
    <row r="387">
      <c r="H387" s="62">
        <v>188</v>
      </c>
      <c r="I387" s="54" t="str">
        <v>190 HB</v>
      </c>
      <c r="J387" s="56" t="str">
        <v>DV_Cắt_Vip</v>
      </c>
      <c r="K387" s="56">
        <v>1065</v>
      </c>
      <c r="L387" s="60" t="str">
        <f>K387-J387</f>
        <v>Cắt Gội Combo 3 - Dưỡng sinh</v>
      </c>
      <c r="M387" s="57">
        <v>0</v>
      </c>
      <c r="N387" s="58">
        <v>299000</v>
      </c>
      <c r="O387" s="58">
        <v>299000</v>
      </c>
      <c r="P387" s="50"/>
    </row>
    <row r="388">
      <c r="H388" s="51">
        <v>188</v>
      </c>
      <c r="I388" s="54" t="str">
        <v>190 HB</v>
      </c>
      <c r="J388" s="52" t="str">
        <v>DV_Cắt_Vip</v>
      </c>
      <c r="K388" s="52">
        <v>1194</v>
      </c>
      <c r="L388" s="48" t="str">
        <f>K388-J388</f>
        <v>Combo Best choice</v>
      </c>
      <c r="M388" s="53">
        <v>0</v>
      </c>
      <c r="N388" s="49">
        <v>305000</v>
      </c>
      <c r="O388" s="49">
        <v>305000</v>
      </c>
      <c r="P388" s="61"/>
    </row>
    <row r="389">
      <c r="H389" s="62">
        <v>188</v>
      </c>
      <c r="I389" s="54" t="str">
        <v>190 HB</v>
      </c>
      <c r="J389" s="56" t="str">
        <v>DV_Gội</v>
      </c>
      <c r="K389" s="56">
        <v>867</v>
      </c>
      <c r="L389" s="60" t="str">
        <f>K389-J389</f>
        <v>Gội dưỡng sinh cổ vai gáy</v>
      </c>
      <c r="M389" s="57">
        <v>0</v>
      </c>
      <c r="N389" s="58">
        <v>100000</v>
      </c>
      <c r="O389" s="58">
        <v>100000</v>
      </c>
      <c r="P389" s="50"/>
    </row>
    <row r="390">
      <c r="H390" s="51">
        <v>188</v>
      </c>
      <c r="I390" s="54" t="str">
        <v>190 HB</v>
      </c>
      <c r="J390" s="52" t="str">
        <v>DV_Gội</v>
      </c>
      <c r="K390" s="52">
        <v>930</v>
      </c>
      <c r="L390" s="48" t="str">
        <f>K390-J390</f>
        <v>[NEW] Gội dưỡng sinh cổ vai gáy và chăm sóc da</v>
      </c>
      <c r="M390" s="53">
        <v>0</v>
      </c>
      <c r="N390" s="49">
        <v>139000</v>
      </c>
      <c r="O390" s="49">
        <v>139000</v>
      </c>
      <c r="P390" s="50"/>
    </row>
    <row r="391">
      <c r="H391" s="62">
        <v>188</v>
      </c>
      <c r="I391" s="54" t="str">
        <v>190 HB</v>
      </c>
      <c r="J391" s="56" t="str">
        <v>DV_Gội</v>
      </c>
      <c r="K391" s="56">
        <v>932</v>
      </c>
      <c r="L391" s="60" t="str">
        <f>K391-J391</f>
        <v>Gội combo 5 dưỡng sinh</v>
      </c>
      <c r="M391" s="57">
        <v>0</v>
      </c>
      <c r="N391" s="58">
        <v>399000</v>
      </c>
      <c r="O391" s="58">
        <v>399000</v>
      </c>
      <c r="P391" s="50"/>
    </row>
    <row r="392">
      <c r="H392" s="51">
        <v>188</v>
      </c>
      <c r="I392" s="54" t="str">
        <v>190 HB</v>
      </c>
      <c r="J392" s="52" t="str">
        <v>DV_Gội</v>
      </c>
      <c r="K392" s="52">
        <v>934</v>
      </c>
      <c r="L392" s="48" t="str">
        <f>K392-J392</f>
        <v>Gội combo 3 - Dưỡng sinh</v>
      </c>
      <c r="M392" s="53">
        <v>0</v>
      </c>
      <c r="N392" s="49">
        <v>229000</v>
      </c>
      <c r="O392" s="49">
        <v>229000</v>
      </c>
      <c r="P392" s="50"/>
    </row>
    <row r="393">
      <c r="H393" s="62">
        <v>188</v>
      </c>
      <c r="I393" s="54" t="str">
        <v>190 HB</v>
      </c>
      <c r="J393" s="56" t="str">
        <v>DV_Gội</v>
      </c>
      <c r="K393" s="56">
        <v>940</v>
      </c>
      <c r="L393" s="60" t="str">
        <f>K393-J393</f>
        <v>[NEW] Gội dưỡng sinh</v>
      </c>
      <c r="M393" s="57">
        <v>0</v>
      </c>
      <c r="N393" s="58">
        <v>59000</v>
      </c>
      <c r="O393" s="58">
        <v>59000</v>
      </c>
      <c r="P393" s="50"/>
    </row>
    <row r="394">
      <c r="H394" s="51">
        <v>188</v>
      </c>
      <c r="I394" s="54" t="str">
        <v>190 HB</v>
      </c>
      <c r="J394" s="52" t="str">
        <v>DV_Gội</v>
      </c>
      <c r="K394" s="52">
        <v>1058</v>
      </c>
      <c r="L394" s="48" t="str">
        <f>K394-J394</f>
        <v>Gội Combo 2</v>
      </c>
      <c r="M394" s="53">
        <v>0</v>
      </c>
      <c r="N394" s="49">
        <v>159000</v>
      </c>
      <c r="O394" s="49">
        <v>159000</v>
      </c>
      <c r="P394" s="50"/>
    </row>
    <row r="395">
      <c r="H395" s="62">
        <v>188</v>
      </c>
      <c r="I395" s="54" t="str">
        <v>190 HB</v>
      </c>
      <c r="J395" s="56" t="str">
        <v>DV_Gội</v>
      </c>
      <c r="K395" s="56">
        <v>1059</v>
      </c>
      <c r="L395" s="60" t="str">
        <f>K395-J395</f>
        <v>Gội Combo 3 - Chăm da</v>
      </c>
      <c r="M395" s="57">
        <v>0</v>
      </c>
      <c r="N395" s="58">
        <v>239000</v>
      </c>
      <c r="O395" s="58">
        <v>239000</v>
      </c>
      <c r="P395" s="50"/>
    </row>
    <row r="396">
      <c r="H396" s="51">
        <v>188</v>
      </c>
      <c r="I396" s="54" t="str">
        <v>190 HB</v>
      </c>
      <c r="J396" s="52" t="str">
        <v>DV_Gội</v>
      </c>
      <c r="K396" s="52">
        <v>1060</v>
      </c>
      <c r="L396" s="48" t="str">
        <f>K396-J396</f>
        <v>Gội Combo 4</v>
      </c>
      <c r="M396" s="53">
        <v>0</v>
      </c>
      <c r="N396" s="49">
        <v>319000</v>
      </c>
      <c r="O396" s="49">
        <v>319000</v>
      </c>
      <c r="P396" s="50"/>
    </row>
    <row r="397">
      <c r="H397" s="62">
        <v>188</v>
      </c>
      <c r="I397" s="54" t="str">
        <v>190 HB</v>
      </c>
      <c r="J397" s="56" t="str">
        <v>DV_Gội</v>
      </c>
      <c r="K397" s="56">
        <v>1061</v>
      </c>
      <c r="L397" s="60" t="str">
        <f>K397-J397</f>
        <v>Gội Combo 5 - Chăm da</v>
      </c>
      <c r="M397" s="57">
        <v>0</v>
      </c>
      <c r="N397" s="58">
        <v>359000</v>
      </c>
      <c r="O397" s="58">
        <v>359000</v>
      </c>
      <c r="P397" s="50"/>
    </row>
    <row r="398">
      <c r="H398" s="51">
        <v>188</v>
      </c>
      <c r="I398" s="54" t="str">
        <v>190 HB</v>
      </c>
      <c r="J398" s="52" t="str">
        <v>DV_Gội</v>
      </c>
      <c r="K398" s="52">
        <v>1066</v>
      </c>
      <c r="L398" s="48" t="str">
        <f>K398-J398</f>
        <v>Gội trải nghiệm 75p</v>
      </c>
      <c r="M398" s="53">
        <v>0</v>
      </c>
      <c r="N398" s="49">
        <v>589000</v>
      </c>
      <c r="O398" s="49">
        <v>589000</v>
      </c>
      <c r="P398" s="50"/>
    </row>
    <row r="399">
      <c r="H399" s="62">
        <v>188</v>
      </c>
      <c r="I399" s="54" t="str">
        <v>190 HB</v>
      </c>
      <c r="J399" s="56" t="str">
        <v>DV_Gội</v>
      </c>
      <c r="K399" s="56">
        <v>1067</v>
      </c>
      <c r="L399" s="60" t="str">
        <f>K399-J399</f>
        <v>Gội trải nghiệm 90p</v>
      </c>
      <c r="M399" s="57">
        <v>0</v>
      </c>
      <c r="N399" s="58">
        <v>789000</v>
      </c>
      <c r="O399" s="58">
        <v>789000</v>
      </c>
      <c r="P399" s="50"/>
    </row>
    <row r="400">
      <c r="H400" s="51">
        <v>188</v>
      </c>
      <c r="I400" s="54" t="str">
        <v>190 HB</v>
      </c>
      <c r="J400" s="52" t="str">
        <v>DV_Gội</v>
      </c>
      <c r="K400" s="52">
        <v>1068</v>
      </c>
      <c r="L400" s="48" t="str">
        <f>K400-J400</f>
        <v>Gội trải nghiệm 115p</v>
      </c>
      <c r="M400" s="53">
        <v>0</v>
      </c>
      <c r="N400" s="49">
        <v>999000</v>
      </c>
      <c r="O400" s="49">
        <v>999000</v>
      </c>
      <c r="P400" s="50"/>
    </row>
    <row r="401">
      <c r="H401" s="62">
        <v>188</v>
      </c>
      <c r="I401" s="54" t="str">
        <v>190 HB</v>
      </c>
      <c r="J401" s="56" t="str">
        <v>DV_Spa</v>
      </c>
      <c r="K401" s="56">
        <v>936</v>
      </c>
      <c r="L401" s="60" t="str">
        <f>K401-J401</f>
        <v>[NEW] Chăm sóc da Shine Spa 199k (có phân tích da)</v>
      </c>
      <c r="M401" s="57">
        <v>0</v>
      </c>
      <c r="N401" s="58">
        <v>199000</v>
      </c>
      <c r="O401" s="58">
        <v>199000</v>
      </c>
      <c r="P401" s="50"/>
    </row>
    <row r="402">
      <c r="H402" s="51">
        <v>196</v>
      </c>
      <c r="I402" s="54" t="str">
        <v>202 DC</v>
      </c>
      <c r="J402" s="52" t="str">
        <v>DV_Cắt</v>
      </c>
      <c r="K402" s="52">
        <v>513</v>
      </c>
      <c r="L402" s="48" t="str">
        <f>K402-J402</f>
        <v>[DV] ShineCombo 10 bước Ultra Care 2023</v>
      </c>
      <c r="M402" s="53">
        <v>0.06796116504854366</v>
      </c>
      <c r="N402" s="49">
        <v>122000</v>
      </c>
      <c r="O402" s="49">
        <v>122000</v>
      </c>
      <c r="P402" s="61"/>
      <c r="Q402" s="5" t="str">
        <v>Áp dụng đổi giá theo option 1</v>
      </c>
    </row>
    <row r="403">
      <c r="H403" s="62">
        <v>196</v>
      </c>
      <c r="I403" s="54" t="str">
        <v>202 DC</v>
      </c>
      <c r="J403" s="56" t="str">
        <v>DV_Cắt</v>
      </c>
      <c r="K403" s="56">
        <v>891</v>
      </c>
      <c r="L403" s="60" t="str">
        <f>K403-J403</f>
        <v>Cắt xả tạo kiểu</v>
      </c>
      <c r="M403" s="57">
        <v>0.06796116504854366</v>
      </c>
      <c r="N403" s="58">
        <v>103000</v>
      </c>
      <c r="O403" s="58">
        <v>110000</v>
      </c>
      <c r="P403" s="50">
        <v>7000</v>
      </c>
      <c r="Q403" s="5" t="str">
        <v>Áp dụng đổi giá theo option 1</v>
      </c>
    </row>
    <row r="404">
      <c r="H404" s="51">
        <v>196</v>
      </c>
      <c r="I404" s="54" t="str">
        <v>202 DC</v>
      </c>
      <c r="J404" s="52" t="str">
        <v>DV_Cắt</v>
      </c>
      <c r="K404" s="52">
        <v>1002</v>
      </c>
      <c r="L404" s="48" t="str">
        <f>K404-J404</f>
        <v>Kid Cắt</v>
      </c>
      <c r="M404" s="53">
        <v>0.06796116504854366</v>
      </c>
      <c r="N404" s="49">
        <v>84000</v>
      </c>
      <c r="O404" s="49">
        <v>90000</v>
      </c>
      <c r="P404" s="50">
        <v>6000</v>
      </c>
      <c r="Q404" s="5" t="str">
        <v>Áp dụng đổi giá theo option 1</v>
      </c>
    </row>
    <row r="405">
      <c r="H405" s="62">
        <v>196</v>
      </c>
      <c r="I405" s="54" t="str">
        <v>202 DC</v>
      </c>
      <c r="J405" s="56" t="str">
        <v>DV_Cắt</v>
      </c>
      <c r="K405" s="56">
        <v>1070</v>
      </c>
      <c r="L405" s="60" t="str">
        <f>K405-J405</f>
        <v>Combo Cắt gội Kid</v>
      </c>
      <c r="M405" s="57">
        <v>0.06796116504854366</v>
      </c>
      <c r="N405" s="58">
        <v>100000</v>
      </c>
      <c r="O405" s="58">
        <v>107000</v>
      </c>
      <c r="P405" s="50">
        <v>7000</v>
      </c>
      <c r="Q405" s="5" t="str">
        <v>Áp dụng đổi giá theo option 1</v>
      </c>
    </row>
    <row r="406">
      <c r="H406" s="51">
        <v>196</v>
      </c>
      <c r="I406" s="54" t="str">
        <v>202 DC</v>
      </c>
      <c r="J406" s="52" t="str">
        <v>DV_Cắt_Vip</v>
      </c>
      <c r="K406" s="52">
        <v>1046</v>
      </c>
      <c r="L406" s="48" t="str">
        <f>K406-J406</f>
        <v>Shinecombo 2</v>
      </c>
      <c r="M406" s="53">
        <v>0.06796116504854366</v>
      </c>
      <c r="N406" s="49">
        <v>208000</v>
      </c>
      <c r="O406" s="49">
        <v>222000</v>
      </c>
      <c r="P406" s="50">
        <v>14000</v>
      </c>
      <c r="Q406" s="5" t="str">
        <v>Áp dụng đổi giá theo option 1</v>
      </c>
    </row>
    <row r="407">
      <c r="H407" s="62">
        <v>196</v>
      </c>
      <c r="I407" s="54" t="str">
        <v>202 DC</v>
      </c>
      <c r="J407" s="56" t="str">
        <v>DV_Cắt_Vip</v>
      </c>
      <c r="K407" s="56">
        <v>1047</v>
      </c>
      <c r="L407" s="60" t="str">
        <f>K407-J407</f>
        <v>Cắt Gội Combo 3 - Chăm da</v>
      </c>
      <c r="M407" s="57">
        <v>0.06796116504854366</v>
      </c>
      <c r="N407" s="58">
        <v>308000</v>
      </c>
      <c r="O407" s="58">
        <v>329000</v>
      </c>
      <c r="P407" s="50">
        <v>21000</v>
      </c>
      <c r="Q407" s="5" t="str">
        <v>Áp dụng đổi giá theo option 1</v>
      </c>
    </row>
    <row r="408">
      <c r="H408" s="51">
        <v>196</v>
      </c>
      <c r="I408" s="54" t="str">
        <v>202 DC</v>
      </c>
      <c r="J408" s="52" t="str">
        <v>DV_Cắt_Vip</v>
      </c>
      <c r="K408" s="52">
        <v>1048</v>
      </c>
      <c r="L408" s="48" t="str">
        <f>K408-J408</f>
        <v>Combo 4</v>
      </c>
      <c r="M408" s="53">
        <v>0.06796116504854366</v>
      </c>
      <c r="N408" s="49">
        <v>398000</v>
      </c>
      <c r="O408" s="49">
        <v>425000</v>
      </c>
      <c r="P408" s="50">
        <v>27000</v>
      </c>
      <c r="Q408" s="5" t="str">
        <v>Áp dụng đổi giá theo option 1</v>
      </c>
    </row>
    <row r="409">
      <c r="H409" s="62">
        <v>196</v>
      </c>
      <c r="I409" s="54" t="str">
        <v>202 DC</v>
      </c>
      <c r="J409" s="56" t="str">
        <v>DV_Cắt_Vip</v>
      </c>
      <c r="K409" s="56">
        <v>1064</v>
      </c>
      <c r="L409" s="60" t="str">
        <f>K409-J409</f>
        <v>Cắt Gội Combo 5 - Dưỡng sinh</v>
      </c>
      <c r="M409" s="57">
        <v>0.06796116504854366</v>
      </c>
      <c r="N409" s="58">
        <v>459000</v>
      </c>
      <c r="O409" s="58">
        <v>490000</v>
      </c>
      <c r="P409" s="50">
        <v>31000</v>
      </c>
      <c r="Q409" s="5" t="str">
        <v>Áp dụng đổi giá theo option 1</v>
      </c>
    </row>
    <row r="410">
      <c r="H410" s="51">
        <v>196</v>
      </c>
      <c r="I410" s="54" t="str">
        <v>202 DC</v>
      </c>
      <c r="J410" s="52" t="str">
        <v>DV_Cắt_Vip</v>
      </c>
      <c r="K410" s="52">
        <v>1065</v>
      </c>
      <c r="L410" s="48" t="str">
        <f>K410-J410</f>
        <v>Cắt Gội Combo 3 - Dưỡng sinh</v>
      </c>
      <c r="M410" s="53">
        <v>0.06796116504854366</v>
      </c>
      <c r="N410" s="49">
        <v>308000</v>
      </c>
      <c r="O410" s="49">
        <v>329000</v>
      </c>
      <c r="P410" s="50">
        <v>21000</v>
      </c>
      <c r="Q410" s="5" t="str">
        <v>Áp dụng đổi giá theo option 1</v>
      </c>
    </row>
    <row r="411">
      <c r="H411" s="62">
        <v>196</v>
      </c>
      <c r="I411" s="54" t="str">
        <v>202 DC</v>
      </c>
      <c r="J411" s="56" t="str">
        <v>DV_Gội</v>
      </c>
      <c r="K411" s="56">
        <v>867</v>
      </c>
      <c r="L411" s="60" t="str">
        <f>K411-J411</f>
        <v>Gội dưỡng sinh cổ vai gáy</v>
      </c>
      <c r="M411" s="57">
        <v>0.06796116504854366</v>
      </c>
      <c r="N411" s="58">
        <v>129000</v>
      </c>
      <c r="O411" s="58">
        <v>138000</v>
      </c>
      <c r="P411" s="50">
        <v>9000</v>
      </c>
      <c r="Q411" s="5" t="str">
        <v>Áp dụng đổi giá theo option 1</v>
      </c>
    </row>
    <row r="412">
      <c r="H412" s="51">
        <v>196</v>
      </c>
      <c r="I412" s="54" t="str">
        <v>202 DC</v>
      </c>
      <c r="J412" s="52" t="str">
        <v>DV_Gội</v>
      </c>
      <c r="K412" s="52">
        <v>930</v>
      </c>
      <c r="L412" s="48" t="str">
        <f>K412-J412</f>
        <v>[NEW] Gội dưỡng sinh cổ vai gáy và chăm sóc da</v>
      </c>
      <c r="M412" s="53">
        <v>0.06796116504854366</v>
      </c>
      <c r="N412" s="49">
        <v>139000</v>
      </c>
      <c r="O412" s="49">
        <v>148000</v>
      </c>
      <c r="P412" s="50">
        <v>9000</v>
      </c>
      <c r="Q412" s="5" t="str">
        <v>Áp dụng đổi giá theo option 1</v>
      </c>
    </row>
    <row r="413">
      <c r="H413" s="62">
        <v>196</v>
      </c>
      <c r="I413" s="54" t="str">
        <v>202 DC</v>
      </c>
      <c r="J413" s="56" t="str">
        <v>DV_Gội</v>
      </c>
      <c r="K413" s="56">
        <v>934</v>
      </c>
      <c r="L413" s="60" t="str">
        <f>K413-J413</f>
        <v>Gội combo 3 - Dưỡng sinh</v>
      </c>
      <c r="M413" s="57">
        <v>0.06796116504854366</v>
      </c>
      <c r="N413" s="58">
        <v>229000</v>
      </c>
      <c r="O413" s="58">
        <v>245000</v>
      </c>
      <c r="P413" s="50">
        <v>16000</v>
      </c>
      <c r="Q413" s="5" t="str">
        <v>Áp dụng đổi giá theo option 1</v>
      </c>
    </row>
    <row r="414">
      <c r="H414" s="51">
        <v>196</v>
      </c>
      <c r="I414" s="54" t="str">
        <v>202 DC</v>
      </c>
      <c r="J414" s="52" t="str">
        <v>DV_Gội</v>
      </c>
      <c r="K414" s="52">
        <v>940</v>
      </c>
      <c r="L414" s="48" t="str">
        <f>K414-J414</f>
        <v>[NEW] Gội dưỡng sinh</v>
      </c>
      <c r="M414" s="53">
        <v>0.06796116504854366</v>
      </c>
      <c r="N414" s="49">
        <v>59000</v>
      </c>
      <c r="O414" s="49">
        <v>63000</v>
      </c>
      <c r="P414" s="50">
        <v>4000</v>
      </c>
      <c r="Q414" s="5" t="str">
        <v>Áp dụng đổi giá theo option 1</v>
      </c>
    </row>
    <row r="415">
      <c r="H415" s="62">
        <v>196</v>
      </c>
      <c r="I415" s="54" t="str">
        <v>202 DC</v>
      </c>
      <c r="J415" s="56" t="str">
        <v>DV_Gội</v>
      </c>
      <c r="K415" s="56">
        <v>1058</v>
      </c>
      <c r="L415" s="60" t="str">
        <f>K415-J415</f>
        <v>Gội Combo 2</v>
      </c>
      <c r="M415" s="57">
        <v>0.06796116504854366</v>
      </c>
      <c r="N415" s="58">
        <v>159000</v>
      </c>
      <c r="O415" s="58">
        <v>170000</v>
      </c>
      <c r="P415" s="50">
        <v>11000</v>
      </c>
      <c r="Q415" s="5" t="str">
        <v>Áp dụng đổi giá theo option 1</v>
      </c>
    </row>
    <row r="416">
      <c r="H416" s="51">
        <v>196</v>
      </c>
      <c r="I416" s="54" t="str">
        <v>202 DC</v>
      </c>
      <c r="J416" s="52" t="str">
        <v>DV_Gội</v>
      </c>
      <c r="K416" s="52">
        <v>1059</v>
      </c>
      <c r="L416" s="48" t="str">
        <f>K416-J416</f>
        <v>Gội Combo 3 - Chăm da</v>
      </c>
      <c r="M416" s="53">
        <v>0.06796116504854366</v>
      </c>
      <c r="N416" s="49">
        <v>239000</v>
      </c>
      <c r="O416" s="49">
        <v>255000</v>
      </c>
      <c r="P416" s="50">
        <v>16000</v>
      </c>
      <c r="Q416" s="5" t="str">
        <v>Áp dụng đổi giá theo option 1</v>
      </c>
    </row>
    <row r="417">
      <c r="H417" s="62">
        <v>196</v>
      </c>
      <c r="I417" s="54" t="str">
        <v>202 DC</v>
      </c>
      <c r="J417" s="56" t="str">
        <v>DV_Gội</v>
      </c>
      <c r="K417" s="56">
        <v>1060</v>
      </c>
      <c r="L417" s="60" t="str">
        <f>K417-J417</f>
        <v>Gội Combo 4</v>
      </c>
      <c r="M417" s="57">
        <v>0.06796116504854366</v>
      </c>
      <c r="N417" s="58">
        <v>319000</v>
      </c>
      <c r="O417" s="58">
        <v>341000</v>
      </c>
      <c r="P417" s="50">
        <v>22000</v>
      </c>
      <c r="Q417" s="5" t="str">
        <v>Áp dụng đổi giá theo option 1</v>
      </c>
    </row>
    <row r="418">
      <c r="H418" s="51">
        <v>196</v>
      </c>
      <c r="I418" s="54" t="str">
        <v>202 DC</v>
      </c>
      <c r="J418" s="52" t="str">
        <v>DV_Gội</v>
      </c>
      <c r="K418" s="52">
        <v>1066</v>
      </c>
      <c r="L418" s="48" t="str">
        <f>K418-J418</f>
        <v>Gội trải nghiệm 75p</v>
      </c>
      <c r="M418" s="53">
        <v>0.06796116504854366</v>
      </c>
      <c r="N418" s="49">
        <v>589000</v>
      </c>
      <c r="O418" s="49">
        <v>629000</v>
      </c>
      <c r="P418" s="61">
        <v>40000</v>
      </c>
    </row>
    <row r="419">
      <c r="H419" s="62">
        <v>196</v>
      </c>
      <c r="I419" s="54" t="str">
        <v>202 DC</v>
      </c>
      <c r="J419" s="56" t="str">
        <v>DV_Gội</v>
      </c>
      <c r="K419" s="56">
        <v>1067</v>
      </c>
      <c r="L419" s="60" t="str">
        <f>K419-J419</f>
        <v>Gội trải nghiệm 90p</v>
      </c>
      <c r="M419" s="57">
        <v>0.06796116504854366</v>
      </c>
      <c r="N419" s="58">
        <v>789000</v>
      </c>
      <c r="O419" s="58">
        <v>843000</v>
      </c>
      <c r="P419" s="61">
        <v>54000</v>
      </c>
    </row>
    <row r="420">
      <c r="H420" s="51">
        <v>196</v>
      </c>
      <c r="I420" s="54" t="str">
        <v>202 DC</v>
      </c>
      <c r="J420" s="52" t="str">
        <v>DV_Gội</v>
      </c>
      <c r="K420" s="52">
        <v>1068</v>
      </c>
      <c r="L420" s="48" t="str">
        <f>K420-J420</f>
        <v>Gội trải nghiệm 115p</v>
      </c>
      <c r="M420" s="53">
        <v>0.06796116504854366</v>
      </c>
      <c r="N420" s="49">
        <v>999000</v>
      </c>
      <c r="O420" s="49">
        <v>1067000</v>
      </c>
      <c r="P420" s="61">
        <v>68000</v>
      </c>
    </row>
    <row r="421">
      <c r="H421" s="62">
        <v>196</v>
      </c>
      <c r="I421" s="54" t="str">
        <v>202 DC</v>
      </c>
      <c r="J421" s="56" t="str">
        <v>DV_Spa</v>
      </c>
      <c r="K421" s="56">
        <v>936</v>
      </c>
      <c r="L421" s="60" t="str">
        <f>K421-J421</f>
        <v>[NEW] Chăm sóc da Shine Spa 199k (có phân tích da)</v>
      </c>
      <c r="M421" s="57">
        <v>0.06796116504854366</v>
      </c>
      <c r="N421" s="58">
        <v>199000</v>
      </c>
      <c r="O421" s="58">
        <v>213000</v>
      </c>
      <c r="P421" s="61">
        <v>14000</v>
      </c>
    </row>
    <row r="422">
      <c r="H422" s="51">
        <v>141</v>
      </c>
      <c r="I422" s="54" t="str">
        <v>236 DBT</v>
      </c>
      <c r="J422" s="52" t="str">
        <v>DV_Cắt</v>
      </c>
      <c r="K422" s="52">
        <v>513</v>
      </c>
      <c r="L422" s="48" t="str">
        <f>K422-J422</f>
        <v>[DV] ShineCombo 10 bước Ultra Care 2023</v>
      </c>
      <c r="M422" s="53">
        <v>0.02970297029702973</v>
      </c>
      <c r="N422" s="49">
        <v>122000</v>
      </c>
      <c r="O422" s="49">
        <v>122000</v>
      </c>
      <c r="P422" s="61"/>
    </row>
    <row r="423">
      <c r="H423" s="62">
        <v>141</v>
      </c>
      <c r="I423" s="54" t="str">
        <v>236 DBT</v>
      </c>
      <c r="J423" s="56" t="str">
        <v>DV_Cắt</v>
      </c>
      <c r="K423" s="56">
        <v>891</v>
      </c>
      <c r="L423" s="60" t="str">
        <f>K423-J423</f>
        <v>Cắt xả tạo kiểu</v>
      </c>
      <c r="M423" s="57">
        <v>0.02970297029702973</v>
      </c>
      <c r="N423" s="58">
        <v>101000</v>
      </c>
      <c r="O423" s="58">
        <v>104000</v>
      </c>
      <c r="P423" s="61">
        <v>3000</v>
      </c>
    </row>
    <row r="424">
      <c r="H424" s="51">
        <v>141</v>
      </c>
      <c r="I424" s="54" t="str">
        <v>236 DBT</v>
      </c>
      <c r="J424" s="52" t="str">
        <v>DV_Cắt</v>
      </c>
      <c r="K424" s="52">
        <v>1002</v>
      </c>
      <c r="L424" s="48" t="str">
        <f>K424-J424</f>
        <v>Kid Cắt</v>
      </c>
      <c r="M424" s="53">
        <v>0.02970297029702973</v>
      </c>
      <c r="N424" s="49">
        <v>82000</v>
      </c>
      <c r="O424" s="49">
        <v>84000</v>
      </c>
      <c r="P424" s="61">
        <v>2000</v>
      </c>
    </row>
    <row r="425">
      <c r="H425" s="62">
        <v>141</v>
      </c>
      <c r="I425" s="54" t="str">
        <v>236 DBT</v>
      </c>
      <c r="J425" s="56" t="str">
        <v>DV_Cắt</v>
      </c>
      <c r="K425" s="56">
        <v>1070</v>
      </c>
      <c r="L425" s="60" t="str">
        <f>K425-J425</f>
        <v>Combo Cắt gội Kid</v>
      </c>
      <c r="M425" s="57">
        <v>0.02970297029702973</v>
      </c>
      <c r="N425" s="58">
        <v>100000</v>
      </c>
      <c r="O425" s="58">
        <v>103000</v>
      </c>
      <c r="P425" s="61">
        <v>3000</v>
      </c>
    </row>
    <row r="426">
      <c r="H426" s="51">
        <v>141</v>
      </c>
      <c r="I426" s="54" t="str">
        <v>236 DBT</v>
      </c>
      <c r="J426" s="52" t="str">
        <v>DV_Cắt_Vip</v>
      </c>
      <c r="K426" s="52">
        <v>1046</v>
      </c>
      <c r="L426" s="48" t="str">
        <f>K426-J426</f>
        <v>Shinecombo 2</v>
      </c>
      <c r="M426" s="53">
        <v>0.02970297029702973</v>
      </c>
      <c r="N426" s="49">
        <v>206000</v>
      </c>
      <c r="O426" s="49">
        <v>212000</v>
      </c>
      <c r="P426" s="61">
        <v>6000</v>
      </c>
    </row>
    <row r="427">
      <c r="H427" s="62">
        <v>141</v>
      </c>
      <c r="I427" s="54" t="str">
        <v>236 DBT</v>
      </c>
      <c r="J427" s="56" t="str">
        <v>DV_Cắt_Vip</v>
      </c>
      <c r="K427" s="56">
        <v>1047</v>
      </c>
      <c r="L427" s="60" t="str">
        <f>K427-J427</f>
        <v>Cắt Gội Combo 3 - Chăm da</v>
      </c>
      <c r="M427" s="57">
        <v>0.02970297029702973</v>
      </c>
      <c r="N427" s="58">
        <v>306000</v>
      </c>
      <c r="O427" s="58">
        <v>315000</v>
      </c>
      <c r="P427" s="61">
        <v>9000</v>
      </c>
    </row>
    <row r="428">
      <c r="H428" s="51">
        <v>141</v>
      </c>
      <c r="I428" s="54" t="str">
        <v>236 DBT</v>
      </c>
      <c r="J428" s="52" t="str">
        <v>DV_Cắt_Vip</v>
      </c>
      <c r="K428" s="52">
        <v>1048</v>
      </c>
      <c r="L428" s="48" t="str">
        <f>K428-J428</f>
        <v>Combo 4</v>
      </c>
      <c r="M428" s="53">
        <v>0.02970297029702973</v>
      </c>
      <c r="N428" s="49">
        <v>396000</v>
      </c>
      <c r="O428" s="49">
        <v>408000</v>
      </c>
      <c r="P428" s="61">
        <v>12000</v>
      </c>
    </row>
    <row r="429">
      <c r="H429" s="62">
        <v>141</v>
      </c>
      <c r="I429" s="54" t="str">
        <v>236 DBT</v>
      </c>
      <c r="J429" s="56" t="str">
        <v>DV_Cắt_Vip</v>
      </c>
      <c r="K429" s="56">
        <v>1064</v>
      </c>
      <c r="L429" s="60" t="str">
        <f>K429-J429</f>
        <v>Cắt Gội Combo 5 - Dưỡng sinh</v>
      </c>
      <c r="M429" s="57">
        <v>0.02970297029702973</v>
      </c>
      <c r="N429" s="58">
        <v>466000</v>
      </c>
      <c r="O429" s="58">
        <v>480000</v>
      </c>
      <c r="P429" s="61">
        <v>14000</v>
      </c>
    </row>
    <row r="430">
      <c r="H430" s="51">
        <v>141</v>
      </c>
      <c r="I430" s="54" t="str">
        <v>236 DBT</v>
      </c>
      <c r="J430" s="52" t="str">
        <v>DV_Cắt_Vip</v>
      </c>
      <c r="K430" s="52">
        <v>1065</v>
      </c>
      <c r="L430" s="48" t="str">
        <f>K430-J430</f>
        <v>Cắt Gội Combo 3 - Dưỡng sinh</v>
      </c>
      <c r="M430" s="53">
        <v>0.02970297029702973</v>
      </c>
      <c r="N430" s="49">
        <v>306000</v>
      </c>
      <c r="O430" s="49">
        <v>315000</v>
      </c>
      <c r="P430" s="61">
        <v>9000</v>
      </c>
    </row>
    <row r="431">
      <c r="H431" s="62">
        <v>141</v>
      </c>
      <c r="I431" s="54" t="str">
        <v>236 DBT</v>
      </c>
      <c r="J431" s="56" t="str">
        <v>DV_Gội</v>
      </c>
      <c r="K431" s="56">
        <v>867</v>
      </c>
      <c r="L431" s="60" t="str">
        <f>K431-J431</f>
        <v>Gội dưỡng sinh cổ vai gáy</v>
      </c>
      <c r="M431" s="57">
        <v>0.02970297029702973</v>
      </c>
      <c r="N431" s="58">
        <v>99000</v>
      </c>
      <c r="O431" s="58">
        <v>102000</v>
      </c>
      <c r="P431" s="61">
        <v>3000</v>
      </c>
    </row>
    <row r="432">
      <c r="H432" s="51">
        <v>141</v>
      </c>
      <c r="I432" s="54" t="str">
        <v>236 DBT</v>
      </c>
      <c r="J432" s="52" t="str">
        <v>DV_Gội</v>
      </c>
      <c r="K432" s="52">
        <v>930</v>
      </c>
      <c r="L432" s="48" t="str">
        <f>K432-J432</f>
        <v>[NEW] Gội dưỡng sinh cổ vai gáy và chăm sóc da</v>
      </c>
      <c r="M432" s="53">
        <v>0.02970297029702973</v>
      </c>
      <c r="N432" s="49">
        <v>139000</v>
      </c>
      <c r="O432" s="49">
        <v>143000</v>
      </c>
      <c r="P432" s="61">
        <v>4000</v>
      </c>
    </row>
    <row r="433">
      <c r="H433" s="62">
        <v>141</v>
      </c>
      <c r="I433" s="54" t="str">
        <v>236 DBT</v>
      </c>
      <c r="J433" s="56" t="str">
        <v>DV_Gội</v>
      </c>
      <c r="K433" s="56">
        <v>932</v>
      </c>
      <c r="L433" s="60" t="str">
        <f>K433-J433</f>
        <v>Gội combo 5 dưỡng sinh</v>
      </c>
      <c r="M433" s="57">
        <v>0.02970297029702973</v>
      </c>
      <c r="N433" s="58">
        <v>399000</v>
      </c>
      <c r="O433" s="58">
        <v>411000</v>
      </c>
      <c r="P433" s="61">
        <v>12000</v>
      </c>
    </row>
    <row r="434">
      <c r="H434" s="51">
        <v>141</v>
      </c>
      <c r="I434" s="54" t="str">
        <v>236 DBT</v>
      </c>
      <c r="J434" s="52" t="str">
        <v>DV_Gội</v>
      </c>
      <c r="K434" s="52">
        <v>934</v>
      </c>
      <c r="L434" s="48" t="str">
        <f>K434-J434</f>
        <v>Gội combo 3 - Dưỡng sinh</v>
      </c>
      <c r="M434" s="53">
        <v>0.02970297029702973</v>
      </c>
      <c r="N434" s="49">
        <v>229000</v>
      </c>
      <c r="O434" s="49">
        <v>236000</v>
      </c>
      <c r="P434" s="50">
        <v>7000</v>
      </c>
    </row>
    <row r="435">
      <c r="H435" s="62">
        <v>141</v>
      </c>
      <c r="I435" s="54" t="str">
        <v>236 DBT</v>
      </c>
      <c r="J435" s="56" t="str">
        <v>DV_Gội</v>
      </c>
      <c r="K435" s="56">
        <v>940</v>
      </c>
      <c r="L435" s="60" t="str">
        <f>K435-J435</f>
        <v>[NEW] Gội dưỡng sinh</v>
      </c>
      <c r="M435" s="57">
        <v>0.02970297029702973</v>
      </c>
      <c r="N435" s="58">
        <v>59000</v>
      </c>
      <c r="O435" s="58">
        <v>61000</v>
      </c>
      <c r="P435" s="50">
        <v>2000</v>
      </c>
    </row>
    <row r="436">
      <c r="H436" s="51">
        <v>141</v>
      </c>
      <c r="I436" s="54" t="str">
        <v>236 DBT</v>
      </c>
      <c r="J436" s="52" t="str">
        <v>DV_Gội</v>
      </c>
      <c r="K436" s="52">
        <v>1058</v>
      </c>
      <c r="L436" s="48" t="str">
        <f>K436-J436</f>
        <v>Gội Combo 2</v>
      </c>
      <c r="M436" s="53">
        <v>0.02970297029702973</v>
      </c>
      <c r="N436" s="49">
        <v>159000</v>
      </c>
      <c r="O436" s="49">
        <v>164000</v>
      </c>
      <c r="P436" s="50">
        <v>5000</v>
      </c>
    </row>
    <row r="437">
      <c r="H437" s="62">
        <v>141</v>
      </c>
      <c r="I437" s="54" t="str">
        <v>236 DBT</v>
      </c>
      <c r="J437" s="56" t="str">
        <v>DV_Gội</v>
      </c>
      <c r="K437" s="56">
        <v>1059</v>
      </c>
      <c r="L437" s="60" t="str">
        <f>K437-J437</f>
        <v>Gội Combo 3 - Chăm da</v>
      </c>
      <c r="M437" s="57">
        <v>0.02970297029702973</v>
      </c>
      <c r="N437" s="58">
        <v>239000</v>
      </c>
      <c r="O437" s="58">
        <v>246000</v>
      </c>
      <c r="P437" s="50">
        <v>7000</v>
      </c>
    </row>
    <row r="438">
      <c r="H438" s="51">
        <v>141</v>
      </c>
      <c r="I438" s="54" t="str">
        <v>236 DBT</v>
      </c>
      <c r="J438" s="52" t="str">
        <v>DV_Gội</v>
      </c>
      <c r="K438" s="52">
        <v>1060</v>
      </c>
      <c r="L438" s="48" t="str">
        <f>K438-J438</f>
        <v>Gội Combo 4</v>
      </c>
      <c r="M438" s="53">
        <v>0.02970297029702973</v>
      </c>
      <c r="N438" s="49">
        <v>319000</v>
      </c>
      <c r="O438" s="49">
        <v>328000</v>
      </c>
      <c r="P438" s="50">
        <v>9000</v>
      </c>
    </row>
    <row r="439">
      <c r="H439" s="62">
        <v>141</v>
      </c>
      <c r="I439" s="54" t="str">
        <v>236 DBT</v>
      </c>
      <c r="J439" s="56" t="str">
        <v>DV_Gội</v>
      </c>
      <c r="K439" s="56">
        <v>1066</v>
      </c>
      <c r="L439" s="60" t="str">
        <f>K439-J439</f>
        <v>Gội trải nghiệm 75p</v>
      </c>
      <c r="M439" s="57">
        <v>0.02970297029702973</v>
      </c>
      <c r="N439" s="58">
        <v>589000</v>
      </c>
      <c r="O439" s="58">
        <v>606000</v>
      </c>
      <c r="P439" s="50">
        <v>17000</v>
      </c>
    </row>
    <row r="440">
      <c r="H440" s="51">
        <v>141</v>
      </c>
      <c r="I440" s="54" t="str">
        <v>236 DBT</v>
      </c>
      <c r="J440" s="52" t="str">
        <v>DV_Gội</v>
      </c>
      <c r="K440" s="52">
        <v>1067</v>
      </c>
      <c r="L440" s="48" t="str">
        <f>K440-J440</f>
        <v>Gội trải nghiệm 90p</v>
      </c>
      <c r="M440" s="53">
        <v>0.02970297029702973</v>
      </c>
      <c r="N440" s="49">
        <v>789000</v>
      </c>
      <c r="O440" s="49">
        <v>812000</v>
      </c>
      <c r="P440" s="50">
        <v>23000</v>
      </c>
    </row>
    <row r="441">
      <c r="H441" s="62">
        <v>141</v>
      </c>
      <c r="I441" s="54" t="str">
        <v>236 DBT</v>
      </c>
      <c r="J441" s="56" t="str">
        <v>DV_Gội</v>
      </c>
      <c r="K441" s="56">
        <v>1068</v>
      </c>
      <c r="L441" s="60" t="str">
        <f>K441-J441</f>
        <v>Gội trải nghiệm 115p</v>
      </c>
      <c r="M441" s="57">
        <v>0.02970297029702973</v>
      </c>
      <c r="N441" s="58">
        <v>999000</v>
      </c>
      <c r="O441" s="58">
        <v>1029000</v>
      </c>
      <c r="P441" s="50">
        <v>30000</v>
      </c>
    </row>
    <row r="442">
      <c r="H442" s="51">
        <v>141</v>
      </c>
      <c r="I442" s="54" t="str">
        <v>236 DBT</v>
      </c>
      <c r="J442" s="52" t="str">
        <v>DV_Spa</v>
      </c>
      <c r="K442" s="52">
        <v>936</v>
      </c>
      <c r="L442" s="48" t="str">
        <f>K442-J442</f>
        <v>[NEW] Chăm sóc da Shine Spa 199k (có phân tích da)</v>
      </c>
      <c r="M442" s="53">
        <v>0.02970297029702973</v>
      </c>
      <c r="N442" s="49">
        <v>199000</v>
      </c>
      <c r="O442" s="49">
        <v>205000</v>
      </c>
      <c r="P442" s="50">
        <v>6000</v>
      </c>
    </row>
    <row r="443">
      <c r="H443" s="62">
        <v>145</v>
      </c>
      <c r="I443" s="54" t="str">
        <v>237 NTT</v>
      </c>
      <c r="J443" s="56" t="str">
        <v>DV_Cắt</v>
      </c>
      <c r="K443" s="56">
        <v>513</v>
      </c>
      <c r="L443" s="60" t="str">
        <f>K443-J443</f>
        <v>[DV] ShineCombo 10 bước Ultra Care 2023</v>
      </c>
      <c r="M443" s="57">
        <v>0</v>
      </c>
      <c r="N443" s="58">
        <v>122000</v>
      </c>
      <c r="O443" s="58">
        <v>122000</v>
      </c>
      <c r="P443" s="50"/>
    </row>
    <row r="444">
      <c r="H444" s="51">
        <v>145</v>
      </c>
      <c r="I444" s="54" t="str">
        <v>237 NTT</v>
      </c>
      <c r="J444" s="52" t="str">
        <v>DV_Cắt</v>
      </c>
      <c r="K444" s="52">
        <v>891</v>
      </c>
      <c r="L444" s="48" t="str">
        <f>K444-J444</f>
        <v>Cắt xả tạo kiểu</v>
      </c>
      <c r="M444" s="53">
        <v>0</v>
      </c>
      <c r="N444" s="49">
        <v>94000</v>
      </c>
      <c r="O444" s="49">
        <v>94000</v>
      </c>
      <c r="P444" s="50"/>
    </row>
    <row r="445">
      <c r="H445" s="62">
        <v>145</v>
      </c>
      <c r="I445" s="54" t="str">
        <v>237 NTT</v>
      </c>
      <c r="J445" s="56" t="str">
        <v>DV_Cắt</v>
      </c>
      <c r="K445" s="56">
        <v>1002</v>
      </c>
      <c r="L445" s="60" t="str">
        <f>K445-J445</f>
        <v>Kid Cắt</v>
      </c>
      <c r="M445" s="57">
        <v>0</v>
      </c>
      <c r="N445" s="58">
        <v>75000</v>
      </c>
      <c r="O445" s="58">
        <v>75000</v>
      </c>
      <c r="P445" s="50"/>
    </row>
    <row r="446">
      <c r="H446" s="51">
        <v>145</v>
      </c>
      <c r="I446" s="54" t="str">
        <v>237 NTT</v>
      </c>
      <c r="J446" s="52" t="str">
        <v>DV_Cắt</v>
      </c>
      <c r="K446" s="52">
        <v>1052</v>
      </c>
      <c r="L446" s="48" t="str">
        <f>K446-J446</f>
        <v>Combo 1 - First Class 1</v>
      </c>
      <c r="M446" s="53">
        <v>0</v>
      </c>
      <c r="N446" s="49">
        <v>139000</v>
      </c>
      <c r="O446" s="49">
        <v>139000</v>
      </c>
      <c r="P446" s="50"/>
    </row>
    <row r="447">
      <c r="H447" s="62">
        <v>145</v>
      </c>
      <c r="I447" s="54" t="str">
        <v>237 NTT</v>
      </c>
      <c r="J447" s="56" t="str">
        <v>DV_Cắt</v>
      </c>
      <c r="K447" s="56">
        <v>1070</v>
      </c>
      <c r="L447" s="60" t="str">
        <f>K447-J447</f>
        <v>Combo Cắt gội Kid</v>
      </c>
      <c r="M447" s="57">
        <v>0</v>
      </c>
      <c r="N447" s="58">
        <v>100000</v>
      </c>
      <c r="O447" s="58">
        <v>100000</v>
      </c>
      <c r="P447" s="50"/>
    </row>
    <row r="448">
      <c r="H448" s="51">
        <v>145</v>
      </c>
      <c r="I448" s="54" t="str">
        <v>237 NTT</v>
      </c>
      <c r="J448" s="52" t="str">
        <v>DV_Cắt_Vip</v>
      </c>
      <c r="K448" s="52">
        <v>1046</v>
      </c>
      <c r="L448" s="48" t="str">
        <f>K448-J448</f>
        <v>Shinecombo 2</v>
      </c>
      <c r="M448" s="53">
        <v>0</v>
      </c>
      <c r="N448" s="49">
        <v>199000</v>
      </c>
      <c r="O448" s="49">
        <v>199000</v>
      </c>
      <c r="P448" s="50"/>
    </row>
    <row r="449">
      <c r="H449" s="62">
        <v>145</v>
      </c>
      <c r="I449" s="54" t="str">
        <v>237 NTT</v>
      </c>
      <c r="J449" s="56" t="str">
        <v>DV_Cắt_Vip</v>
      </c>
      <c r="K449" s="56">
        <v>1047</v>
      </c>
      <c r="L449" s="60" t="str">
        <f>K449-J449</f>
        <v>Cắt Gội Combo 3 - Chăm da</v>
      </c>
      <c r="M449" s="57">
        <v>0</v>
      </c>
      <c r="N449" s="58">
        <v>299000</v>
      </c>
      <c r="O449" s="58">
        <v>299000</v>
      </c>
      <c r="P449" s="50"/>
    </row>
    <row r="450">
      <c r="H450" s="51">
        <v>145</v>
      </c>
      <c r="I450" s="54" t="str">
        <v>237 NTT</v>
      </c>
      <c r="J450" s="52" t="str">
        <v>DV_Cắt_Vip</v>
      </c>
      <c r="K450" s="52">
        <v>1048</v>
      </c>
      <c r="L450" s="48" t="str">
        <f>K450-J450</f>
        <v>Combo 4</v>
      </c>
      <c r="M450" s="53">
        <v>0</v>
      </c>
      <c r="N450" s="49">
        <v>389000</v>
      </c>
      <c r="O450" s="49">
        <v>389000</v>
      </c>
      <c r="P450" s="50"/>
    </row>
    <row r="451">
      <c r="H451" s="62">
        <v>145</v>
      </c>
      <c r="I451" s="54" t="str">
        <v>237 NTT</v>
      </c>
      <c r="J451" s="56" t="str">
        <v>DV_Cắt_Vip</v>
      </c>
      <c r="K451" s="56">
        <v>1053</v>
      </c>
      <c r="L451" s="60" t="str">
        <f>K451-J451</f>
        <v>Combo 2 - First Class 2</v>
      </c>
      <c r="M451" s="57">
        <v>0</v>
      </c>
      <c r="N451" s="58">
        <v>239000</v>
      </c>
      <c r="O451" s="58">
        <v>239000</v>
      </c>
      <c r="P451" s="50"/>
    </row>
    <row r="452">
      <c r="H452" s="51">
        <v>145</v>
      </c>
      <c r="I452" s="54" t="str">
        <v>237 NTT</v>
      </c>
      <c r="J452" s="52" t="str">
        <v>DV_Cắt_Vip</v>
      </c>
      <c r="K452" s="52">
        <v>1054</v>
      </c>
      <c r="L452" s="48" t="str">
        <f>K452-J452</f>
        <v>Combo 3 - First Class 3</v>
      </c>
      <c r="M452" s="53">
        <v>0</v>
      </c>
      <c r="N452" s="49">
        <v>309000</v>
      </c>
      <c r="O452" s="49">
        <v>309000</v>
      </c>
      <c r="P452" s="50"/>
    </row>
    <row r="453">
      <c r="H453" s="62">
        <v>145</v>
      </c>
      <c r="I453" s="54" t="str">
        <v>237 NTT</v>
      </c>
      <c r="J453" s="56" t="str">
        <v>DV_Cắt_Vip</v>
      </c>
      <c r="K453" s="56">
        <v>1055</v>
      </c>
      <c r="L453" s="60" t="str">
        <f>K453-J453</f>
        <v>Combo 4- First Class 4</v>
      </c>
      <c r="M453" s="57">
        <v>0</v>
      </c>
      <c r="N453" s="58">
        <v>409000</v>
      </c>
      <c r="O453" s="58">
        <v>409000</v>
      </c>
      <c r="P453" s="61"/>
    </row>
    <row r="454">
      <c r="H454" s="51">
        <v>145</v>
      </c>
      <c r="I454" s="54" t="str">
        <v>237 NTT</v>
      </c>
      <c r="J454" s="52" t="str">
        <v>DV_Cắt_Vip</v>
      </c>
      <c r="K454" s="52">
        <v>1064</v>
      </c>
      <c r="L454" s="48" t="str">
        <f>K454-J454</f>
        <v>Cắt Gội Combo 5 - Dưỡng sinh</v>
      </c>
      <c r="M454" s="53">
        <v>0</v>
      </c>
      <c r="N454" s="49">
        <v>459000</v>
      </c>
      <c r="O454" s="49">
        <v>459000</v>
      </c>
      <c r="P454" s="50"/>
    </row>
    <row r="455">
      <c r="H455" s="62">
        <v>145</v>
      </c>
      <c r="I455" s="54" t="str">
        <v>237 NTT</v>
      </c>
      <c r="J455" s="56" t="str">
        <v>DV_Cắt_Vip</v>
      </c>
      <c r="K455" s="56">
        <v>1065</v>
      </c>
      <c r="L455" s="60" t="str">
        <f>K455-J455</f>
        <v>Cắt Gội Combo 3 - Dưỡng sinh</v>
      </c>
      <c r="M455" s="57">
        <v>0</v>
      </c>
      <c r="N455" s="58">
        <v>299000</v>
      </c>
      <c r="O455" s="58">
        <v>299000</v>
      </c>
      <c r="P455" s="50"/>
    </row>
    <row r="456">
      <c r="H456" s="51">
        <v>145</v>
      </c>
      <c r="I456" s="54" t="str">
        <v>237 NTT</v>
      </c>
      <c r="J456" s="52" t="str">
        <v>DV_Gội</v>
      </c>
      <c r="K456" s="52">
        <v>867</v>
      </c>
      <c r="L456" s="48" t="str">
        <f>K456-J456</f>
        <v>Gội dưỡng sinh cổ vai gáy</v>
      </c>
      <c r="M456" s="53">
        <v>0</v>
      </c>
      <c r="N456" s="49">
        <v>99000</v>
      </c>
      <c r="O456" s="49">
        <v>99000</v>
      </c>
      <c r="P456" s="50"/>
    </row>
    <row r="457">
      <c r="H457" s="62">
        <v>145</v>
      </c>
      <c r="I457" s="54" t="str">
        <v>237 NTT</v>
      </c>
      <c r="J457" s="56" t="str">
        <v>DV_Gội</v>
      </c>
      <c r="K457" s="56">
        <v>930</v>
      </c>
      <c r="L457" s="60" t="str">
        <f>K457-J457</f>
        <v>[NEW] Gội dưỡng sinh cổ vai gáy và chăm sóc da</v>
      </c>
      <c r="M457" s="57">
        <v>0</v>
      </c>
      <c r="N457" s="58">
        <v>139000</v>
      </c>
      <c r="O457" s="58">
        <v>139000</v>
      </c>
      <c r="P457" s="50"/>
    </row>
    <row r="458">
      <c r="H458" s="51">
        <v>145</v>
      </c>
      <c r="I458" s="54" t="str">
        <v>237 NTT</v>
      </c>
      <c r="J458" s="52" t="str">
        <v>DV_Gội</v>
      </c>
      <c r="K458" s="52">
        <v>932</v>
      </c>
      <c r="L458" s="48" t="str">
        <f>K458-J458</f>
        <v>Gội combo 5 dưỡng sinh</v>
      </c>
      <c r="M458" s="53">
        <v>0</v>
      </c>
      <c r="N458" s="49">
        <v>399000</v>
      </c>
      <c r="O458" s="49">
        <v>399000</v>
      </c>
      <c r="P458" s="50"/>
    </row>
    <row r="459">
      <c r="H459" s="62">
        <v>145</v>
      </c>
      <c r="I459" s="54" t="str">
        <v>237 NTT</v>
      </c>
      <c r="J459" s="56" t="str">
        <v>DV_Gội</v>
      </c>
      <c r="K459" s="56">
        <v>934</v>
      </c>
      <c r="L459" s="60" t="str">
        <f>K459-J459</f>
        <v>Gội combo 3 - Dưỡng sinh</v>
      </c>
      <c r="M459" s="57">
        <v>0</v>
      </c>
      <c r="N459" s="58">
        <v>229000</v>
      </c>
      <c r="O459" s="58">
        <v>229000</v>
      </c>
      <c r="P459" s="50"/>
    </row>
    <row r="460">
      <c r="H460" s="51">
        <v>145</v>
      </c>
      <c r="I460" s="54" t="str">
        <v>237 NTT</v>
      </c>
      <c r="J460" s="52" t="str">
        <v>DV_Gội</v>
      </c>
      <c r="K460" s="52">
        <v>940</v>
      </c>
      <c r="L460" s="48" t="str">
        <f>K460-J460</f>
        <v>[NEW] Gội dưỡng sinh</v>
      </c>
      <c r="M460" s="53">
        <v>0</v>
      </c>
      <c r="N460" s="49">
        <v>59000</v>
      </c>
      <c r="O460" s="49">
        <v>59000</v>
      </c>
      <c r="P460" s="50"/>
    </row>
    <row r="461">
      <c r="H461" s="62">
        <v>145</v>
      </c>
      <c r="I461" s="54" t="str">
        <v>237 NTT</v>
      </c>
      <c r="J461" s="56" t="str">
        <v>DV_Gội</v>
      </c>
      <c r="K461" s="56">
        <v>1058</v>
      </c>
      <c r="L461" s="60" t="str">
        <f>K461-J461</f>
        <v>Gội Combo 2</v>
      </c>
      <c r="M461" s="57">
        <v>0</v>
      </c>
      <c r="N461" s="58">
        <v>159000</v>
      </c>
      <c r="O461" s="58">
        <v>159000</v>
      </c>
      <c r="P461" s="50"/>
    </row>
    <row r="462">
      <c r="H462" s="51">
        <v>145</v>
      </c>
      <c r="I462" s="54" t="str">
        <v>237 NTT</v>
      </c>
      <c r="J462" s="52" t="str">
        <v>DV_Gội</v>
      </c>
      <c r="K462" s="52">
        <v>1059</v>
      </c>
      <c r="L462" s="48" t="str">
        <f>K462-J462</f>
        <v>Gội Combo 3 - Chăm da</v>
      </c>
      <c r="M462" s="53">
        <v>0</v>
      </c>
      <c r="N462" s="49">
        <v>239000</v>
      </c>
      <c r="O462" s="49">
        <v>239000</v>
      </c>
      <c r="P462" s="50"/>
    </row>
    <row r="463">
      <c r="H463" s="62">
        <v>145</v>
      </c>
      <c r="I463" s="54" t="str">
        <v>237 NTT</v>
      </c>
      <c r="J463" s="56" t="str">
        <v>DV_Gội</v>
      </c>
      <c r="K463" s="56">
        <v>1060</v>
      </c>
      <c r="L463" s="60" t="str">
        <f>K463-J463</f>
        <v>Gội Combo 4</v>
      </c>
      <c r="M463" s="57">
        <v>0</v>
      </c>
      <c r="N463" s="58">
        <v>329000</v>
      </c>
      <c r="O463" s="58">
        <v>329000</v>
      </c>
      <c r="P463" s="50"/>
    </row>
    <row r="464">
      <c r="H464" s="51">
        <v>145</v>
      </c>
      <c r="I464" s="54" t="str">
        <v>237 NTT</v>
      </c>
      <c r="J464" s="52" t="str">
        <v>DV_Gội</v>
      </c>
      <c r="K464" s="52">
        <v>1066</v>
      </c>
      <c r="L464" s="48" t="str">
        <f>K464-J464</f>
        <v>Gội trải nghiệm 75p</v>
      </c>
      <c r="M464" s="53">
        <v>0</v>
      </c>
      <c r="N464" s="49">
        <v>589000</v>
      </c>
      <c r="O464" s="49">
        <v>589000</v>
      </c>
      <c r="P464" s="50"/>
    </row>
    <row r="465">
      <c r="H465" s="62">
        <v>145</v>
      </c>
      <c r="I465" s="54" t="str">
        <v>237 NTT</v>
      </c>
      <c r="J465" s="56" t="str">
        <v>DV_Gội</v>
      </c>
      <c r="K465" s="56">
        <v>1067</v>
      </c>
      <c r="L465" s="60" t="str">
        <f>K465-J465</f>
        <v>Gội trải nghiệm 90p</v>
      </c>
      <c r="M465" s="57">
        <v>0</v>
      </c>
      <c r="N465" s="58">
        <v>789000</v>
      </c>
      <c r="O465" s="58">
        <v>789000</v>
      </c>
      <c r="P465" s="50"/>
    </row>
    <row r="466">
      <c r="H466" s="51">
        <v>145</v>
      </c>
      <c r="I466" s="54" t="str">
        <v>237 NTT</v>
      </c>
      <c r="J466" s="52" t="str">
        <v>DV_Gội</v>
      </c>
      <c r="K466" s="52">
        <v>1068</v>
      </c>
      <c r="L466" s="48" t="str">
        <f>K466-J466</f>
        <v>Gội trải nghiệm 115p</v>
      </c>
      <c r="M466" s="53">
        <v>0</v>
      </c>
      <c r="N466" s="49">
        <v>999000</v>
      </c>
      <c r="O466" s="49">
        <v>999000</v>
      </c>
      <c r="P466" s="50"/>
    </row>
    <row r="467">
      <c r="H467" s="62">
        <v>145</v>
      </c>
      <c r="I467" s="54" t="str">
        <v>237 NTT</v>
      </c>
      <c r="J467" s="56" t="str">
        <v>DV_Spa</v>
      </c>
      <c r="K467" s="56">
        <v>936</v>
      </c>
      <c r="L467" s="60" t="str">
        <f>K467-J467</f>
        <v>[NEW] Chăm sóc da Shine Spa 199k (có phân tích da)</v>
      </c>
      <c r="M467" s="57">
        <v>0</v>
      </c>
      <c r="N467" s="58">
        <v>199000</v>
      </c>
      <c r="O467" s="58">
        <v>199000</v>
      </c>
      <c r="P467" s="50"/>
    </row>
    <row r="468">
      <c r="H468" s="51">
        <v>45</v>
      </c>
      <c r="I468" s="54" t="str">
        <v>25 TD</v>
      </c>
      <c r="J468" s="52" t="str">
        <v>DV_Cắt</v>
      </c>
      <c r="K468" s="52">
        <v>513</v>
      </c>
      <c r="L468" s="48" t="str">
        <f>K468-J468</f>
        <v>[DV] ShineCombo 10 bước Ultra Care 2023</v>
      </c>
      <c r="M468" s="53">
        <v>0.01052631578947372</v>
      </c>
      <c r="N468" s="49">
        <v>122000</v>
      </c>
      <c r="O468" s="49">
        <v>122000</v>
      </c>
      <c r="P468" s="50"/>
    </row>
    <row r="469">
      <c r="H469" s="62">
        <v>45</v>
      </c>
      <c r="I469" s="54" t="str">
        <v>25 TD</v>
      </c>
      <c r="J469" s="56" t="str">
        <v>DV_Cắt</v>
      </c>
      <c r="K469" s="56">
        <v>891</v>
      </c>
      <c r="L469" s="60" t="str">
        <f>K469-J469</f>
        <v>Cắt xả tạo kiểu</v>
      </c>
      <c r="M469" s="57">
        <v>0.01052631578947372</v>
      </c>
      <c r="N469" s="58">
        <v>95000</v>
      </c>
      <c r="O469" s="58">
        <v>96000</v>
      </c>
      <c r="P469" s="50">
        <v>1000</v>
      </c>
    </row>
    <row r="470">
      <c r="H470" s="51">
        <v>45</v>
      </c>
      <c r="I470" s="54" t="str">
        <v>25 TD</v>
      </c>
      <c r="J470" s="52" t="str">
        <v>DV_Cắt</v>
      </c>
      <c r="K470" s="52">
        <v>1002</v>
      </c>
      <c r="L470" s="48" t="str">
        <f>K470-J470</f>
        <v>Kid Cắt</v>
      </c>
      <c r="M470" s="53">
        <v>0.01052631578947372</v>
      </c>
      <c r="N470" s="49">
        <v>76000</v>
      </c>
      <c r="O470" s="49">
        <v>77000</v>
      </c>
      <c r="P470" s="50">
        <v>1000</v>
      </c>
    </row>
    <row r="471">
      <c r="H471" s="62">
        <v>45</v>
      </c>
      <c r="I471" s="54" t="str">
        <v>25 TD</v>
      </c>
      <c r="J471" s="56" t="str">
        <v>DV_Cắt</v>
      </c>
      <c r="K471" s="56">
        <v>1052</v>
      </c>
      <c r="L471" s="60" t="str">
        <f>K471-J471</f>
        <v>Combo 1 - First Class 1</v>
      </c>
      <c r="M471" s="57">
        <v>0.01052631578947372</v>
      </c>
      <c r="N471" s="58">
        <v>139000</v>
      </c>
      <c r="O471" s="58">
        <v>139000</v>
      </c>
      <c r="P471" s="61"/>
    </row>
    <row r="472">
      <c r="H472" s="51">
        <v>45</v>
      </c>
      <c r="I472" s="54" t="str">
        <v>25 TD</v>
      </c>
      <c r="J472" s="52" t="str">
        <v>DV_Cắt</v>
      </c>
      <c r="K472" s="52">
        <v>1070</v>
      </c>
      <c r="L472" s="48" t="str">
        <f>K472-J472</f>
        <v>Combo Cắt gội Kid</v>
      </c>
      <c r="M472" s="53">
        <v>0.01052631578947372</v>
      </c>
      <c r="N472" s="49">
        <v>100000</v>
      </c>
      <c r="O472" s="49">
        <v>101000</v>
      </c>
      <c r="P472" s="50">
        <v>1000</v>
      </c>
    </row>
    <row r="473">
      <c r="H473" s="62">
        <v>45</v>
      </c>
      <c r="I473" s="54" t="str">
        <v>25 TD</v>
      </c>
      <c r="J473" s="56" t="str">
        <v>DV_Cắt_Vip</v>
      </c>
      <c r="K473" s="56">
        <v>1046</v>
      </c>
      <c r="L473" s="60" t="str">
        <f>K473-J473</f>
        <v>Shinecombo 2</v>
      </c>
      <c r="M473" s="57">
        <v>0.01052631578947372</v>
      </c>
      <c r="N473" s="58">
        <v>200000</v>
      </c>
      <c r="O473" s="58">
        <v>202000</v>
      </c>
      <c r="P473" s="50">
        <v>2000</v>
      </c>
    </row>
    <row r="474">
      <c r="H474" s="51">
        <v>45</v>
      </c>
      <c r="I474" s="54" t="str">
        <v>25 TD</v>
      </c>
      <c r="J474" s="52" t="str">
        <v>DV_Cắt_Vip</v>
      </c>
      <c r="K474" s="52">
        <v>1047</v>
      </c>
      <c r="L474" s="48" t="str">
        <f>K474-J474</f>
        <v>Cắt Gội Combo 3 - Chăm da</v>
      </c>
      <c r="M474" s="53">
        <v>0.01052631578947372</v>
      </c>
      <c r="N474" s="49">
        <v>300000</v>
      </c>
      <c r="O474" s="49">
        <v>303000</v>
      </c>
      <c r="P474" s="61">
        <v>3000</v>
      </c>
    </row>
    <row r="475">
      <c r="H475" s="62">
        <v>45</v>
      </c>
      <c r="I475" s="54" t="str">
        <v>25 TD</v>
      </c>
      <c r="J475" s="56" t="str">
        <v>DV_Cắt_Vip</v>
      </c>
      <c r="K475" s="56">
        <v>1048</v>
      </c>
      <c r="L475" s="60" t="str">
        <f>K475-J475</f>
        <v>Combo 4</v>
      </c>
      <c r="M475" s="57">
        <v>0.01052631578947372</v>
      </c>
      <c r="N475" s="58">
        <v>390000</v>
      </c>
      <c r="O475" s="58">
        <v>394000</v>
      </c>
      <c r="P475" s="50">
        <v>4000</v>
      </c>
    </row>
    <row r="476">
      <c r="H476" s="51">
        <v>45</v>
      </c>
      <c r="I476" s="54" t="str">
        <v>25 TD</v>
      </c>
      <c r="J476" s="52" t="str">
        <v>DV_Cắt_Vip</v>
      </c>
      <c r="K476" s="52">
        <v>1053</v>
      </c>
      <c r="L476" s="48" t="str">
        <f>K476-J476</f>
        <v>Combo 2 - First Class 2</v>
      </c>
      <c r="M476" s="53">
        <v>0.01052631578947372</v>
      </c>
      <c r="N476" s="49">
        <v>240000</v>
      </c>
      <c r="O476" s="49">
        <v>243000</v>
      </c>
      <c r="P476" s="50">
        <v>3000</v>
      </c>
    </row>
    <row r="477">
      <c r="H477" s="62">
        <v>45</v>
      </c>
      <c r="I477" s="54" t="str">
        <v>25 TD</v>
      </c>
      <c r="J477" s="56" t="str">
        <v>DV_Cắt_Vip</v>
      </c>
      <c r="K477" s="56">
        <v>1054</v>
      </c>
      <c r="L477" s="60" t="str">
        <f>K477-J477</f>
        <v>Combo 3 - First Class 3</v>
      </c>
      <c r="M477" s="57">
        <v>0.01052631578947372</v>
      </c>
      <c r="N477" s="58">
        <v>310000</v>
      </c>
      <c r="O477" s="58">
        <v>313000</v>
      </c>
      <c r="P477" s="50">
        <v>3000</v>
      </c>
    </row>
    <row r="478">
      <c r="H478" s="51">
        <v>45</v>
      </c>
      <c r="I478" s="54" t="str">
        <v>25 TD</v>
      </c>
      <c r="J478" s="52" t="str">
        <v>DV_Cắt_Vip</v>
      </c>
      <c r="K478" s="52">
        <v>1055</v>
      </c>
      <c r="L478" s="48" t="str">
        <f>K478-J478</f>
        <v>Combo 4- First Class 4</v>
      </c>
      <c r="M478" s="53">
        <v>0.01052631578947372</v>
      </c>
      <c r="N478" s="49">
        <v>410000</v>
      </c>
      <c r="O478" s="49">
        <v>414000</v>
      </c>
      <c r="P478" s="50">
        <v>4000</v>
      </c>
    </row>
    <row r="479">
      <c r="H479" s="62">
        <v>45</v>
      </c>
      <c r="I479" s="54" t="str">
        <v>25 TD</v>
      </c>
      <c r="J479" s="56" t="str">
        <v>DV_Cắt_Vip</v>
      </c>
      <c r="K479" s="56">
        <v>1064</v>
      </c>
      <c r="L479" s="60" t="str">
        <f>K479-J479</f>
        <v>Cắt Gội Combo 5 - Dưỡng sinh</v>
      </c>
      <c r="M479" s="57">
        <v>0.01052631578947372</v>
      </c>
      <c r="N479" s="58">
        <v>459000</v>
      </c>
      <c r="O479" s="58">
        <v>464000</v>
      </c>
      <c r="P479" s="50">
        <v>5000</v>
      </c>
    </row>
    <row r="480">
      <c r="H480" s="51">
        <v>45</v>
      </c>
      <c r="I480" s="54" t="str">
        <v>25 TD</v>
      </c>
      <c r="J480" s="52" t="str">
        <v>DV_Gội</v>
      </c>
      <c r="K480" s="52">
        <v>867</v>
      </c>
      <c r="L480" s="48" t="str">
        <f>K480-J480</f>
        <v>Gội dưỡng sinh cổ vai gáy</v>
      </c>
      <c r="M480" s="53">
        <v>0.01052631578947372</v>
      </c>
      <c r="N480" s="49">
        <v>99000</v>
      </c>
      <c r="O480" s="49">
        <v>100000</v>
      </c>
      <c r="P480" s="50">
        <v>1000</v>
      </c>
    </row>
    <row r="481">
      <c r="H481" s="62">
        <v>45</v>
      </c>
      <c r="I481" s="54" t="str">
        <v>25 TD</v>
      </c>
      <c r="J481" s="56" t="str">
        <v>DV_Gội</v>
      </c>
      <c r="K481" s="56">
        <v>930</v>
      </c>
      <c r="L481" s="60" t="str">
        <f>K481-J481</f>
        <v>[NEW] Gội dưỡng sinh cổ vai gáy và chăm sóc da</v>
      </c>
      <c r="M481" s="57">
        <v>0.01052631578947372</v>
      </c>
      <c r="N481" s="58">
        <v>139000</v>
      </c>
      <c r="O481" s="58">
        <v>140000</v>
      </c>
      <c r="P481" s="50">
        <v>1000</v>
      </c>
    </row>
    <row r="482">
      <c r="H482" s="51">
        <v>45</v>
      </c>
      <c r="I482" s="54" t="str">
        <v>25 TD</v>
      </c>
      <c r="J482" s="52" t="str">
        <v>DV_Gội</v>
      </c>
      <c r="K482" s="52">
        <v>932</v>
      </c>
      <c r="L482" s="48" t="str">
        <f>K482-J482</f>
        <v>Gội combo 5 dưỡng sinh</v>
      </c>
      <c r="M482" s="53">
        <v>0.01052631578947372</v>
      </c>
      <c r="N482" s="49">
        <v>399000</v>
      </c>
      <c r="O482" s="49">
        <v>403000</v>
      </c>
      <c r="P482" s="50">
        <v>4000</v>
      </c>
    </row>
    <row r="483">
      <c r="H483" s="62">
        <v>45</v>
      </c>
      <c r="I483" s="54" t="str">
        <v>25 TD</v>
      </c>
      <c r="J483" s="56" t="str">
        <v>DV_Gội</v>
      </c>
      <c r="K483" s="56">
        <v>934</v>
      </c>
      <c r="L483" s="60" t="str">
        <f>K483-J483</f>
        <v>Gội combo 3 - Dưỡng sinh</v>
      </c>
      <c r="M483" s="57">
        <v>0.01052631578947372</v>
      </c>
      <c r="N483" s="58">
        <v>229000</v>
      </c>
      <c r="O483" s="58">
        <v>231000</v>
      </c>
      <c r="P483" s="50">
        <v>2000</v>
      </c>
    </row>
    <row r="484">
      <c r="H484" s="51">
        <v>45</v>
      </c>
      <c r="I484" s="54" t="str">
        <v>25 TD</v>
      </c>
      <c r="J484" s="52" t="str">
        <v>DV_Gội</v>
      </c>
      <c r="K484" s="52">
        <v>940</v>
      </c>
      <c r="L484" s="48" t="str">
        <f>K484-J484</f>
        <v>[NEW] Gội dưỡng sinh</v>
      </c>
      <c r="M484" s="53">
        <v>0.01052631578947372</v>
      </c>
      <c r="N484" s="49">
        <v>59000</v>
      </c>
      <c r="O484" s="49">
        <v>60000</v>
      </c>
      <c r="P484" s="50">
        <v>1000</v>
      </c>
    </row>
    <row r="485">
      <c r="H485" s="62">
        <v>45</v>
      </c>
      <c r="I485" s="54" t="str">
        <v>25 TD</v>
      </c>
      <c r="J485" s="56" t="str">
        <v>DV_Gội</v>
      </c>
      <c r="K485" s="56">
        <v>1058</v>
      </c>
      <c r="L485" s="60" t="str">
        <f>K485-J485</f>
        <v>Gội Combo 2</v>
      </c>
      <c r="M485" s="57">
        <v>0.01052631578947372</v>
      </c>
      <c r="N485" s="58">
        <v>159000</v>
      </c>
      <c r="O485" s="58">
        <v>161000</v>
      </c>
      <c r="P485" s="50">
        <v>2000</v>
      </c>
    </row>
    <row r="486">
      <c r="H486" s="51">
        <v>45</v>
      </c>
      <c r="I486" s="54" t="str">
        <v>25 TD</v>
      </c>
      <c r="J486" s="52" t="str">
        <v>DV_Gội</v>
      </c>
      <c r="K486" s="52">
        <v>1059</v>
      </c>
      <c r="L486" s="48" t="str">
        <f>K486-J486</f>
        <v>Gội Combo 3 - Chăm da</v>
      </c>
      <c r="M486" s="53">
        <v>0.01052631578947372</v>
      </c>
      <c r="N486" s="49">
        <v>239000</v>
      </c>
      <c r="O486" s="49">
        <v>242000</v>
      </c>
      <c r="P486" s="50">
        <v>3000</v>
      </c>
    </row>
    <row r="487">
      <c r="H487" s="62">
        <v>45</v>
      </c>
      <c r="I487" s="54" t="str">
        <v>25 TD</v>
      </c>
      <c r="J487" s="56" t="str">
        <v>DV_Gội</v>
      </c>
      <c r="K487" s="56">
        <v>1060</v>
      </c>
      <c r="L487" s="60" t="str">
        <f>K487-J487</f>
        <v>Gội Combo 4</v>
      </c>
      <c r="M487" s="57">
        <v>0.01052631578947372</v>
      </c>
      <c r="N487" s="58">
        <v>329000</v>
      </c>
      <c r="O487" s="58">
        <v>332000</v>
      </c>
      <c r="P487" s="50">
        <v>3000</v>
      </c>
    </row>
    <row r="488">
      <c r="H488" s="51">
        <v>45</v>
      </c>
      <c r="I488" s="54" t="str">
        <v>25 TD</v>
      </c>
      <c r="J488" s="52" t="str">
        <v>DV_Gội</v>
      </c>
      <c r="K488" s="52">
        <v>1066</v>
      </c>
      <c r="L488" s="48" t="str">
        <f>K488-J488</f>
        <v>Gội trải nghiệm 75p</v>
      </c>
      <c r="M488" s="53">
        <v>0.01052631578947372</v>
      </c>
      <c r="N488" s="49">
        <v>589000</v>
      </c>
      <c r="O488" s="49">
        <v>595000</v>
      </c>
      <c r="P488" s="50">
        <v>6000</v>
      </c>
    </row>
    <row r="489">
      <c r="H489" s="62">
        <v>45</v>
      </c>
      <c r="I489" s="54" t="str">
        <v>25 TD</v>
      </c>
      <c r="J489" s="56" t="str">
        <v>DV_Gội</v>
      </c>
      <c r="K489" s="56">
        <v>1067</v>
      </c>
      <c r="L489" s="60" t="str">
        <f>K489-J489</f>
        <v>Gội trải nghiệm 90p</v>
      </c>
      <c r="M489" s="57">
        <v>0.01052631578947372</v>
      </c>
      <c r="N489" s="58">
        <v>789000</v>
      </c>
      <c r="O489" s="58">
        <v>797000</v>
      </c>
      <c r="P489" s="50">
        <v>8000</v>
      </c>
    </row>
    <row r="490">
      <c r="H490" s="51">
        <v>45</v>
      </c>
      <c r="I490" s="54" t="str">
        <v>25 TD</v>
      </c>
      <c r="J490" s="52" t="str">
        <v>DV_Gội</v>
      </c>
      <c r="K490" s="52">
        <v>1068</v>
      </c>
      <c r="L490" s="48" t="str">
        <f>K490-J490</f>
        <v>Gội trải nghiệm 115p</v>
      </c>
      <c r="M490" s="53">
        <v>0.01052631578947372</v>
      </c>
      <c r="N490" s="49">
        <v>999000</v>
      </c>
      <c r="O490" s="49">
        <v>1010000</v>
      </c>
      <c r="P490" s="61">
        <v>11000</v>
      </c>
    </row>
    <row r="491">
      <c r="H491" s="62">
        <v>45</v>
      </c>
      <c r="I491" s="54" t="str">
        <v>25 TD</v>
      </c>
      <c r="J491" s="56" t="str">
        <v>DV_Spa</v>
      </c>
      <c r="K491" s="56">
        <v>936</v>
      </c>
      <c r="L491" s="60" t="str">
        <f>K491-J491</f>
        <v>[NEW] Chăm sóc da Shine Spa 199k (có phân tích da)</v>
      </c>
      <c r="M491" s="57">
        <v>0.01052631578947372</v>
      </c>
      <c r="N491" s="58">
        <v>199000</v>
      </c>
      <c r="O491" s="58">
        <v>201000</v>
      </c>
      <c r="P491" s="50">
        <v>2000</v>
      </c>
    </row>
    <row r="492">
      <c r="H492" s="51">
        <v>65</v>
      </c>
      <c r="I492" s="54" t="str">
        <v>255 NAN</v>
      </c>
      <c r="J492" s="52" t="str">
        <v>DV_Cắt</v>
      </c>
      <c r="K492" s="52">
        <v>513</v>
      </c>
      <c r="L492" s="48" t="str">
        <f>K492-J492</f>
        <v>[DV] ShineCombo 10 bước Ultra Care 2023</v>
      </c>
      <c r="M492" s="53">
        <v>0.06796116504854366</v>
      </c>
      <c r="N492" s="49">
        <v>122000</v>
      </c>
      <c r="O492" s="49">
        <v>122000</v>
      </c>
      <c r="P492" s="50"/>
    </row>
    <row r="493">
      <c r="H493" s="62">
        <v>65</v>
      </c>
      <c r="I493" s="54" t="str">
        <v>255 NAN</v>
      </c>
      <c r="J493" s="56" t="str">
        <v>DV_Cắt</v>
      </c>
      <c r="K493" s="56">
        <v>891</v>
      </c>
      <c r="L493" s="60" t="str">
        <f>K493-J493</f>
        <v>Cắt xả tạo kiểu</v>
      </c>
      <c r="M493" s="57">
        <v>0.06796116504854366</v>
      </c>
      <c r="N493" s="58">
        <v>103000</v>
      </c>
      <c r="O493" s="58">
        <v>110000</v>
      </c>
      <c r="P493" s="50">
        <v>7000</v>
      </c>
    </row>
    <row r="494">
      <c r="H494" s="51">
        <v>65</v>
      </c>
      <c r="I494" s="54" t="str">
        <v>255 NAN</v>
      </c>
      <c r="J494" s="52" t="str">
        <v>DV_Cắt</v>
      </c>
      <c r="K494" s="52">
        <v>1002</v>
      </c>
      <c r="L494" s="48" t="str">
        <f>K494-J494</f>
        <v>Kid Cắt</v>
      </c>
      <c r="M494" s="53">
        <v>0.06796116504854366</v>
      </c>
      <c r="N494" s="49">
        <v>84000</v>
      </c>
      <c r="O494" s="49">
        <v>90000</v>
      </c>
      <c r="P494" s="50">
        <v>6000</v>
      </c>
    </row>
    <row r="495">
      <c r="H495" s="62">
        <v>65</v>
      </c>
      <c r="I495" s="54" t="str">
        <v>255 NAN</v>
      </c>
      <c r="J495" s="56" t="str">
        <v>DV_Cắt</v>
      </c>
      <c r="K495" s="56">
        <v>1070</v>
      </c>
      <c r="L495" s="60" t="str">
        <f>K495-J495</f>
        <v>Combo Cắt gội Kid</v>
      </c>
      <c r="M495" s="57">
        <v>0.06796116504854366</v>
      </c>
      <c r="N495" s="58">
        <v>100000</v>
      </c>
      <c r="O495" s="58">
        <v>107000</v>
      </c>
      <c r="P495" s="50">
        <v>7000</v>
      </c>
    </row>
    <row r="496">
      <c r="H496" s="51">
        <v>65</v>
      </c>
      <c r="I496" s="54" t="str">
        <v>255 NAN</v>
      </c>
      <c r="J496" s="52" t="str">
        <v>DV_Cắt_Vip</v>
      </c>
      <c r="K496" s="52">
        <v>1046</v>
      </c>
      <c r="L496" s="48" t="str">
        <f>K496-J496</f>
        <v>Shinecombo 2</v>
      </c>
      <c r="M496" s="53">
        <v>0.06796116504854366</v>
      </c>
      <c r="N496" s="49">
        <v>208000</v>
      </c>
      <c r="O496" s="49">
        <v>222000</v>
      </c>
      <c r="P496" s="50">
        <v>14000</v>
      </c>
    </row>
    <row r="497">
      <c r="H497" s="62">
        <v>65</v>
      </c>
      <c r="I497" s="54" t="str">
        <v>255 NAN</v>
      </c>
      <c r="J497" s="56" t="str">
        <v>DV_Cắt_Vip</v>
      </c>
      <c r="K497" s="56">
        <v>1047</v>
      </c>
      <c r="L497" s="60" t="str">
        <f>K497-J497</f>
        <v>Cắt Gội Combo 3 - Chăm da</v>
      </c>
      <c r="M497" s="57">
        <v>0.06796116504854366</v>
      </c>
      <c r="N497" s="58">
        <v>308000</v>
      </c>
      <c r="O497" s="58">
        <v>329000</v>
      </c>
      <c r="P497" s="50">
        <v>21000</v>
      </c>
    </row>
    <row r="498">
      <c r="H498" s="51">
        <v>65</v>
      </c>
      <c r="I498" s="54" t="str">
        <v>255 NAN</v>
      </c>
      <c r="J498" s="52" t="str">
        <v>DV_Cắt_Vip</v>
      </c>
      <c r="K498" s="52">
        <v>1048</v>
      </c>
      <c r="L498" s="48" t="str">
        <f>K498-J498</f>
        <v>Combo 4</v>
      </c>
      <c r="M498" s="53">
        <v>0.06796116504854366</v>
      </c>
      <c r="N498" s="49">
        <v>398000</v>
      </c>
      <c r="O498" s="49">
        <v>425000</v>
      </c>
      <c r="P498" s="50">
        <v>27000</v>
      </c>
    </row>
    <row r="499">
      <c r="H499" s="62">
        <v>65</v>
      </c>
      <c r="I499" s="54" t="str">
        <v>255 NAN</v>
      </c>
      <c r="J499" s="56" t="str">
        <v>DV_Cắt_Vip</v>
      </c>
      <c r="K499" s="56">
        <v>1064</v>
      </c>
      <c r="L499" s="60" t="str">
        <f>K499-J499</f>
        <v>Cắt Gội Combo 5 - Dưỡng sinh</v>
      </c>
      <c r="M499" s="57">
        <v>0.06796116504854366</v>
      </c>
      <c r="N499" s="58">
        <v>459000</v>
      </c>
      <c r="O499" s="58">
        <v>490000</v>
      </c>
      <c r="P499" s="50">
        <v>31000</v>
      </c>
    </row>
    <row r="500">
      <c r="H500" s="51">
        <v>65</v>
      </c>
      <c r="I500" s="54" t="str">
        <v>255 NAN</v>
      </c>
      <c r="J500" s="52" t="str">
        <v>DV_Cắt_Vip</v>
      </c>
      <c r="K500" s="52">
        <v>1065</v>
      </c>
      <c r="L500" s="48" t="str">
        <f>K500-J500</f>
        <v>Cắt Gội Combo 3 - Dưỡng sinh</v>
      </c>
      <c r="M500" s="53">
        <v>0.06796116504854366</v>
      </c>
      <c r="N500" s="49">
        <v>308000</v>
      </c>
      <c r="O500" s="49">
        <v>329000</v>
      </c>
      <c r="P500" s="50">
        <v>21000</v>
      </c>
    </row>
    <row r="501">
      <c r="H501" s="62">
        <v>65</v>
      </c>
      <c r="I501" s="54" t="str">
        <v>255 NAN</v>
      </c>
      <c r="J501" s="56" t="str">
        <v>DV_Cắt_Vip</v>
      </c>
      <c r="K501" s="56">
        <v>1150</v>
      </c>
      <c r="L501" s="60" t="str">
        <f>K501-J501</f>
        <v>Combo cắt gội đỉnh cao thư giãn vip</v>
      </c>
      <c r="M501" s="57">
        <v>0.06796116504854366</v>
      </c>
      <c r="N501" s="58">
        <v>509000</v>
      </c>
      <c r="O501" s="58">
        <v>544000</v>
      </c>
      <c r="P501" s="50">
        <v>35000</v>
      </c>
    </row>
    <row r="502">
      <c r="H502" s="51">
        <v>65</v>
      </c>
      <c r="I502" s="54" t="str">
        <v>255 NAN</v>
      </c>
      <c r="J502" s="52" t="str">
        <v>DV_Gội</v>
      </c>
      <c r="K502" s="52">
        <v>867</v>
      </c>
      <c r="L502" s="48" t="str">
        <f>K502-J502</f>
        <v>Gội dưỡng sinh cổ vai gáy</v>
      </c>
      <c r="M502" s="53">
        <v>0.06796116504854366</v>
      </c>
      <c r="N502" s="49">
        <v>95000</v>
      </c>
      <c r="O502" s="49">
        <v>101000</v>
      </c>
      <c r="P502" s="50">
        <v>6000</v>
      </c>
    </row>
    <row r="503">
      <c r="H503" s="62">
        <v>65</v>
      </c>
      <c r="I503" s="54" t="str">
        <v>255 NAN</v>
      </c>
      <c r="J503" s="56" t="str">
        <v>DV_Gội</v>
      </c>
      <c r="K503" s="56">
        <v>930</v>
      </c>
      <c r="L503" s="60" t="str">
        <f>K503-J503</f>
        <v>[NEW] Gội dưỡng sinh cổ vai gáy và chăm sóc da</v>
      </c>
      <c r="M503" s="57">
        <v>0.06796116504854366</v>
      </c>
      <c r="N503" s="58">
        <v>139000</v>
      </c>
      <c r="O503" s="58">
        <v>148000</v>
      </c>
      <c r="P503" s="50">
        <v>9000</v>
      </c>
    </row>
    <row r="504">
      <c r="H504" s="51">
        <v>65</v>
      </c>
      <c r="I504" s="54" t="str">
        <v>255 NAN</v>
      </c>
      <c r="J504" s="52" t="str">
        <v>DV_Gội</v>
      </c>
      <c r="K504" s="52">
        <v>934</v>
      </c>
      <c r="L504" s="48" t="str">
        <f>K504-J504</f>
        <v>Gội combo 3 - Dưỡng sinh</v>
      </c>
      <c r="M504" s="53">
        <v>0.06796116504854366</v>
      </c>
      <c r="N504" s="49">
        <v>229000</v>
      </c>
      <c r="O504" s="49">
        <v>245000</v>
      </c>
      <c r="P504" s="50">
        <v>16000</v>
      </c>
    </row>
    <row r="505">
      <c r="H505" s="62">
        <v>65</v>
      </c>
      <c r="I505" s="54" t="str">
        <v>255 NAN</v>
      </c>
      <c r="J505" s="56" t="str">
        <v>DV_Gội</v>
      </c>
      <c r="K505" s="56">
        <v>940</v>
      </c>
      <c r="L505" s="60" t="str">
        <f>K505-J505</f>
        <v>[NEW] Gội dưỡng sinh</v>
      </c>
      <c r="M505" s="57">
        <v>0.06796116504854366</v>
      </c>
      <c r="N505" s="58">
        <v>59000</v>
      </c>
      <c r="O505" s="58">
        <v>63000</v>
      </c>
      <c r="P505" s="50">
        <v>4000</v>
      </c>
    </row>
    <row r="506">
      <c r="H506" s="51">
        <v>65</v>
      </c>
      <c r="I506" s="54" t="str">
        <v>255 NAN</v>
      </c>
      <c r="J506" s="52" t="str">
        <v>DV_Gội</v>
      </c>
      <c r="K506" s="52">
        <v>1058</v>
      </c>
      <c r="L506" s="48" t="str">
        <f>K506-J506</f>
        <v>Gội Combo 2</v>
      </c>
      <c r="M506" s="53">
        <v>0.06796116504854366</v>
      </c>
      <c r="N506" s="49">
        <v>159000</v>
      </c>
      <c r="O506" s="49">
        <v>170000</v>
      </c>
      <c r="P506" s="61">
        <v>11000</v>
      </c>
    </row>
    <row r="507">
      <c r="H507" s="62">
        <v>65</v>
      </c>
      <c r="I507" s="54" t="str">
        <v>255 NAN</v>
      </c>
      <c r="J507" s="56" t="str">
        <v>DV_Gội</v>
      </c>
      <c r="K507" s="56">
        <v>1059</v>
      </c>
      <c r="L507" s="60" t="str">
        <f>K507-J507</f>
        <v>Gội Combo 3 - Chăm da</v>
      </c>
      <c r="M507" s="57">
        <v>0.06796116504854366</v>
      </c>
      <c r="N507" s="58">
        <v>239000</v>
      </c>
      <c r="O507" s="58">
        <v>255000</v>
      </c>
      <c r="P507" s="50">
        <v>16000</v>
      </c>
    </row>
    <row r="508">
      <c r="H508" s="51">
        <v>65</v>
      </c>
      <c r="I508" s="54" t="str">
        <v>255 NAN</v>
      </c>
      <c r="J508" s="52" t="str">
        <v>DV_Gội</v>
      </c>
      <c r="K508" s="52">
        <v>1060</v>
      </c>
      <c r="L508" s="48" t="str">
        <f>K508-J508</f>
        <v>Gội Combo 4</v>
      </c>
      <c r="M508" s="53">
        <v>0.06796116504854366</v>
      </c>
      <c r="N508" s="49">
        <v>319000</v>
      </c>
      <c r="O508" s="49">
        <v>341000</v>
      </c>
      <c r="P508" s="50">
        <v>22000</v>
      </c>
    </row>
    <row r="509">
      <c r="H509" s="62">
        <v>65</v>
      </c>
      <c r="I509" s="54" t="str">
        <v>255 NAN</v>
      </c>
      <c r="J509" s="56" t="str">
        <v>DV_Gội</v>
      </c>
      <c r="K509" s="56">
        <v>1066</v>
      </c>
      <c r="L509" s="60" t="str">
        <f>K509-J509</f>
        <v>Gội trải nghiệm 75p</v>
      </c>
      <c r="M509" s="57">
        <v>0.06796116504854366</v>
      </c>
      <c r="N509" s="58">
        <v>589000</v>
      </c>
      <c r="O509" s="58">
        <v>629000</v>
      </c>
      <c r="P509" s="61">
        <v>40000</v>
      </c>
    </row>
    <row r="510">
      <c r="H510" s="51">
        <v>65</v>
      </c>
      <c r="I510" s="54" t="str">
        <v>255 NAN</v>
      </c>
      <c r="J510" s="52" t="str">
        <v>DV_Gội</v>
      </c>
      <c r="K510" s="52">
        <v>1067</v>
      </c>
      <c r="L510" s="48" t="str">
        <f>K510-J510</f>
        <v>Gội trải nghiệm 90p</v>
      </c>
      <c r="M510" s="53">
        <v>0.06796116504854366</v>
      </c>
      <c r="N510" s="49">
        <v>789000</v>
      </c>
      <c r="O510" s="49">
        <v>843000</v>
      </c>
      <c r="P510" s="50">
        <v>54000</v>
      </c>
    </row>
    <row r="511">
      <c r="H511" s="62">
        <v>65</v>
      </c>
      <c r="I511" s="54" t="str">
        <v>255 NAN</v>
      </c>
      <c r="J511" s="56" t="str">
        <v>DV_Gội</v>
      </c>
      <c r="K511" s="56">
        <v>1068</v>
      </c>
      <c r="L511" s="60" t="str">
        <f>K511-J511</f>
        <v>Gội trải nghiệm 115p</v>
      </c>
      <c r="M511" s="57">
        <v>0.06796116504854366</v>
      </c>
      <c r="N511" s="58">
        <v>999000</v>
      </c>
      <c r="O511" s="58">
        <v>1067000</v>
      </c>
      <c r="P511" s="50">
        <v>68000</v>
      </c>
    </row>
    <row r="512">
      <c r="H512" s="51">
        <v>65</v>
      </c>
      <c r="I512" s="54" t="str">
        <v>255 NAN</v>
      </c>
      <c r="J512" s="52" t="str">
        <v>DV_Spa</v>
      </c>
      <c r="K512" s="52">
        <v>936</v>
      </c>
      <c r="L512" s="48" t="str">
        <f>K512-J512</f>
        <v>[NEW] Chăm sóc da Shine Spa 199k (có phân tích da)</v>
      </c>
      <c r="M512" s="53">
        <v>0.06796116504854366</v>
      </c>
      <c r="N512" s="49">
        <v>199000</v>
      </c>
      <c r="O512" s="49">
        <v>213000</v>
      </c>
      <c r="P512" s="50">
        <v>14000</v>
      </c>
    </row>
    <row r="513">
      <c r="H513" s="62">
        <v>192</v>
      </c>
      <c r="I513" s="54" t="str">
        <v>264 LLQ</v>
      </c>
      <c r="J513" s="56" t="str">
        <v>DV_Cắt</v>
      </c>
      <c r="K513" s="56">
        <v>513</v>
      </c>
      <c r="L513" s="60" t="str">
        <f>K513-J513</f>
        <v>[DV] ShineCombo 10 bước Ultra Care 2023</v>
      </c>
      <c r="M513" s="57">
        <v>0.1914893617021276</v>
      </c>
      <c r="N513" s="58">
        <v>122000</v>
      </c>
      <c r="O513" s="58">
        <v>122000</v>
      </c>
      <c r="P513" s="50"/>
    </row>
    <row r="514">
      <c r="H514" s="51">
        <v>192</v>
      </c>
      <c r="I514" s="54" t="str">
        <v>264 LLQ</v>
      </c>
      <c r="J514" s="52" t="str">
        <v>DV_Cắt</v>
      </c>
      <c r="K514" s="52">
        <v>891</v>
      </c>
      <c r="L514" s="48" t="str">
        <f>K514-J514</f>
        <v>Cắt xả tạo kiểu</v>
      </c>
      <c r="M514" s="53">
        <v>0.1914893617021276</v>
      </c>
      <c r="N514" s="49">
        <v>94000</v>
      </c>
      <c r="O514" s="49">
        <v>112000</v>
      </c>
      <c r="P514" s="50">
        <v>18000</v>
      </c>
    </row>
    <row r="515">
      <c r="H515" s="62">
        <v>192</v>
      </c>
      <c r="I515" s="54" t="str">
        <v>264 LLQ</v>
      </c>
      <c r="J515" s="56" t="str">
        <v>DV_Cắt</v>
      </c>
      <c r="K515" s="56">
        <v>1002</v>
      </c>
      <c r="L515" s="60" t="str">
        <f>K515-J515</f>
        <v>Kid Cắt</v>
      </c>
      <c r="M515" s="57">
        <v>0.1914893617021276</v>
      </c>
      <c r="N515" s="58">
        <v>75000</v>
      </c>
      <c r="O515" s="58">
        <v>89000</v>
      </c>
      <c r="P515" s="50">
        <v>18000</v>
      </c>
    </row>
    <row r="516">
      <c r="H516" s="51">
        <v>192</v>
      </c>
      <c r="I516" s="54" t="str">
        <v>264 LLQ</v>
      </c>
      <c r="J516" s="52" t="str">
        <v>DV_Cắt</v>
      </c>
      <c r="K516" s="52">
        <v>1070</v>
      </c>
      <c r="L516" s="48" t="str">
        <f>K516-J516</f>
        <v>Combo Cắt gội Kid</v>
      </c>
      <c r="M516" s="53">
        <v>0.1914893617021276</v>
      </c>
      <c r="N516" s="49">
        <v>100000</v>
      </c>
      <c r="O516" s="49">
        <v>118000</v>
      </c>
      <c r="P516" s="50">
        <v>18000</v>
      </c>
    </row>
    <row r="517">
      <c r="H517" s="62">
        <v>192</v>
      </c>
      <c r="I517" s="54" t="str">
        <v>264 LLQ</v>
      </c>
      <c r="J517" s="56" t="str">
        <v>DV_Cắt_Vip</v>
      </c>
      <c r="K517" s="56">
        <v>1046</v>
      </c>
      <c r="L517" s="60" t="str">
        <f>K517-J517</f>
        <v>Shinecombo 2</v>
      </c>
      <c r="M517" s="57">
        <v>0.1914893617021276</v>
      </c>
      <c r="N517" s="58">
        <v>199000</v>
      </c>
      <c r="O517" s="58">
        <v>217000</v>
      </c>
      <c r="P517" s="50">
        <v>18000</v>
      </c>
    </row>
    <row r="518">
      <c r="H518" s="51">
        <v>192</v>
      </c>
      <c r="I518" s="54" t="str">
        <v>264 LLQ</v>
      </c>
      <c r="J518" s="52" t="str">
        <v>DV_Cắt_Vip</v>
      </c>
      <c r="K518" s="52">
        <v>1047</v>
      </c>
      <c r="L518" s="48" t="str">
        <f>K518-J518</f>
        <v>Cắt Gội Combo 3 - Chăm da</v>
      </c>
      <c r="M518" s="53">
        <v>0.1914893617021276</v>
      </c>
      <c r="N518" s="49">
        <v>299000</v>
      </c>
      <c r="O518" s="49">
        <v>317000</v>
      </c>
      <c r="P518" s="50">
        <v>18000</v>
      </c>
    </row>
    <row r="519">
      <c r="H519" s="62">
        <v>192</v>
      </c>
      <c r="I519" s="54" t="str">
        <v>264 LLQ</v>
      </c>
      <c r="J519" s="56" t="str">
        <v>DV_Cắt_Vip</v>
      </c>
      <c r="K519" s="56">
        <v>1048</v>
      </c>
      <c r="L519" s="60" t="str">
        <f>K519-J519</f>
        <v>Combo 4</v>
      </c>
      <c r="M519" s="57">
        <v>0.1914893617021276</v>
      </c>
      <c r="N519" s="58">
        <v>389000</v>
      </c>
      <c r="O519" s="58">
        <v>407000</v>
      </c>
      <c r="P519" s="50">
        <v>18000</v>
      </c>
    </row>
    <row r="520">
      <c r="H520" s="51">
        <v>192</v>
      </c>
      <c r="I520" s="54" t="str">
        <v>264 LLQ</v>
      </c>
      <c r="J520" s="52" t="str">
        <v>DV_Cắt_Vip</v>
      </c>
      <c r="K520" s="52">
        <v>1064</v>
      </c>
      <c r="L520" s="48" t="str">
        <f>K520-J520</f>
        <v>Cắt Gội Combo 5 - Dưỡng sinh</v>
      </c>
      <c r="M520" s="53">
        <v>0.1914893617021276</v>
      </c>
      <c r="N520" s="49">
        <v>459000</v>
      </c>
      <c r="O520" s="49">
        <v>477000</v>
      </c>
      <c r="P520" s="61">
        <v>18000</v>
      </c>
    </row>
    <row r="521">
      <c r="H521" s="62">
        <v>192</v>
      </c>
      <c r="I521" s="54" t="str">
        <v>264 LLQ</v>
      </c>
      <c r="J521" s="56" t="str">
        <v>DV_Gội</v>
      </c>
      <c r="K521" s="56">
        <v>867</v>
      </c>
      <c r="L521" s="60" t="str">
        <f>K521-J521</f>
        <v>Gội dưỡng sinh cổ vai gáy</v>
      </c>
      <c r="M521" s="57">
        <v>0.1914893617021276</v>
      </c>
      <c r="N521" s="58">
        <v>99000</v>
      </c>
      <c r="O521" s="58">
        <v>117000</v>
      </c>
      <c r="P521" s="50">
        <v>18000</v>
      </c>
    </row>
    <row r="522">
      <c r="H522" s="51">
        <v>192</v>
      </c>
      <c r="I522" s="54" t="str">
        <v>264 LLQ</v>
      </c>
      <c r="J522" s="52" t="str">
        <v>DV_Gội</v>
      </c>
      <c r="K522" s="52">
        <v>930</v>
      </c>
      <c r="L522" s="48" t="str">
        <f>K522-J522</f>
        <v>[NEW] Gội dưỡng sinh cổ vai gáy và chăm sóc da</v>
      </c>
      <c r="M522" s="53">
        <v>0.1914893617021276</v>
      </c>
      <c r="N522" s="49">
        <v>139000</v>
      </c>
      <c r="O522" s="49">
        <v>157000</v>
      </c>
      <c r="P522" s="50">
        <v>18000</v>
      </c>
    </row>
    <row r="523">
      <c r="H523" s="62">
        <v>192</v>
      </c>
      <c r="I523" s="54" t="str">
        <v>264 LLQ</v>
      </c>
      <c r="J523" s="56" t="str">
        <v>DV_Gội</v>
      </c>
      <c r="K523" s="56">
        <v>934</v>
      </c>
      <c r="L523" s="60" t="str">
        <f>K523-J523</f>
        <v>Gội combo 3 - Dưỡng sinh</v>
      </c>
      <c r="M523" s="57">
        <v>0.1914893617021276</v>
      </c>
      <c r="N523" s="58">
        <v>229000</v>
      </c>
      <c r="O523" s="58">
        <v>247000</v>
      </c>
      <c r="P523" s="61">
        <v>18000</v>
      </c>
    </row>
    <row r="524">
      <c r="H524" s="51">
        <v>192</v>
      </c>
      <c r="I524" s="54" t="str">
        <v>264 LLQ</v>
      </c>
      <c r="J524" s="52" t="str">
        <v>DV_Gội</v>
      </c>
      <c r="K524" s="52">
        <v>940</v>
      </c>
      <c r="L524" s="48" t="str">
        <f>K524-J524</f>
        <v>[NEW] Gội dưỡng sinh</v>
      </c>
      <c r="M524" s="53">
        <v>0.1914893617021276</v>
      </c>
      <c r="N524" s="49">
        <v>59000</v>
      </c>
      <c r="O524" s="49">
        <v>77000</v>
      </c>
      <c r="P524" s="50">
        <v>18000</v>
      </c>
    </row>
    <row r="525">
      <c r="H525" s="62">
        <v>192</v>
      </c>
      <c r="I525" s="54" t="str">
        <v>264 LLQ</v>
      </c>
      <c r="J525" s="56" t="str">
        <v>DV_Gội</v>
      </c>
      <c r="K525" s="56">
        <v>1058</v>
      </c>
      <c r="L525" s="60" t="str">
        <f>K525-J525</f>
        <v>Gội Combo 2</v>
      </c>
      <c r="M525" s="57">
        <v>0.1914893617021276</v>
      </c>
      <c r="N525" s="58">
        <v>159000</v>
      </c>
      <c r="O525" s="58">
        <v>177000</v>
      </c>
      <c r="P525" s="50">
        <v>18000</v>
      </c>
    </row>
    <row r="526">
      <c r="H526" s="51">
        <v>192</v>
      </c>
      <c r="I526" s="54" t="str">
        <v>264 LLQ</v>
      </c>
      <c r="J526" s="52" t="str">
        <v>DV_Gội</v>
      </c>
      <c r="K526" s="52">
        <v>1059</v>
      </c>
      <c r="L526" s="48" t="str">
        <f>K526-J526</f>
        <v>Gội Combo 3 - Chăm da</v>
      </c>
      <c r="M526" s="53">
        <v>0.1914893617021276</v>
      </c>
      <c r="N526" s="49">
        <v>239000</v>
      </c>
      <c r="O526" s="49">
        <v>257000</v>
      </c>
      <c r="P526" s="50">
        <v>18000</v>
      </c>
    </row>
    <row r="527">
      <c r="H527" s="62">
        <v>192</v>
      </c>
      <c r="I527" s="54" t="str">
        <v>264 LLQ</v>
      </c>
      <c r="J527" s="56" t="str">
        <v>DV_Gội</v>
      </c>
      <c r="K527" s="56">
        <v>1060</v>
      </c>
      <c r="L527" s="60" t="str">
        <f>K527-J527</f>
        <v>Gội Combo 4</v>
      </c>
      <c r="M527" s="57">
        <v>0.1914893617021276</v>
      </c>
      <c r="N527" s="58">
        <v>319000</v>
      </c>
      <c r="O527" s="58">
        <v>337000</v>
      </c>
      <c r="P527" s="50">
        <v>18000</v>
      </c>
    </row>
    <row r="528">
      <c r="H528" s="51">
        <v>192</v>
      </c>
      <c r="I528" s="54" t="str">
        <v>264 LLQ</v>
      </c>
      <c r="J528" s="52" t="str">
        <v>DV_Gội</v>
      </c>
      <c r="K528" s="52">
        <v>1066</v>
      </c>
      <c r="L528" s="48" t="str">
        <f>K528-J528</f>
        <v>Gội trải nghiệm 75p</v>
      </c>
      <c r="M528" s="53">
        <v>0.1914893617021276</v>
      </c>
      <c r="N528" s="49">
        <v>589000</v>
      </c>
      <c r="O528" s="49">
        <v>607000</v>
      </c>
      <c r="P528" s="50">
        <v>18000</v>
      </c>
    </row>
    <row r="529">
      <c r="H529" s="62">
        <v>192</v>
      </c>
      <c r="I529" s="54" t="str">
        <v>264 LLQ</v>
      </c>
      <c r="J529" s="56" t="str">
        <v>DV_Gội</v>
      </c>
      <c r="K529" s="56">
        <v>1067</v>
      </c>
      <c r="L529" s="60" t="str">
        <f>K529-J529</f>
        <v>Gội trải nghiệm 90p</v>
      </c>
      <c r="M529" s="57">
        <v>0.1914893617021276</v>
      </c>
      <c r="N529" s="58">
        <v>789000</v>
      </c>
      <c r="O529" s="58">
        <v>807000</v>
      </c>
      <c r="P529" s="50">
        <v>18000</v>
      </c>
    </row>
    <row r="530">
      <c r="H530" s="51">
        <v>192</v>
      </c>
      <c r="I530" s="54" t="str">
        <v>264 LLQ</v>
      </c>
      <c r="J530" s="52" t="str">
        <v>DV_Gội</v>
      </c>
      <c r="K530" s="52">
        <v>1068</v>
      </c>
      <c r="L530" s="48" t="str">
        <f>K530-J530</f>
        <v>Gội trải nghiệm 115p</v>
      </c>
      <c r="M530" s="53">
        <v>0.1914893617021276</v>
      </c>
      <c r="N530" s="49">
        <v>999000</v>
      </c>
      <c r="O530" s="49">
        <v>1017000</v>
      </c>
      <c r="P530" s="50">
        <v>18000</v>
      </c>
    </row>
    <row r="531">
      <c r="H531" s="62">
        <v>192</v>
      </c>
      <c r="I531" s="54" t="str">
        <v>264 LLQ</v>
      </c>
      <c r="J531" s="56" t="str">
        <v>DV_Gội</v>
      </c>
      <c r="K531" s="56">
        <v>1069</v>
      </c>
      <c r="L531" s="60" t="str">
        <f>K531-J531</f>
        <v>Gội trải nghiệm 140p</v>
      </c>
      <c r="M531" s="57">
        <v>0.1914893617021276</v>
      </c>
      <c r="N531" s="58">
        <v>1199000</v>
      </c>
      <c r="O531" s="58">
        <v>1217000</v>
      </c>
      <c r="P531" s="50">
        <v>18000</v>
      </c>
    </row>
    <row r="532">
      <c r="H532" s="51">
        <v>192</v>
      </c>
      <c r="I532" s="54" t="str">
        <v>264 LLQ</v>
      </c>
      <c r="J532" s="52" t="str">
        <v>DV_Spa</v>
      </c>
      <c r="K532" s="52">
        <v>936</v>
      </c>
      <c r="L532" s="48" t="str">
        <f>K532-J532</f>
        <v>[NEW] Chăm sóc da Shine Spa 199k (có phân tích da)</v>
      </c>
      <c r="M532" s="53">
        <v>0.1914893617021276</v>
      </c>
      <c r="N532" s="49">
        <v>199000</v>
      </c>
      <c r="O532" s="49">
        <v>217000</v>
      </c>
      <c r="P532" s="50">
        <v>18000</v>
      </c>
    </row>
    <row r="533">
      <c r="H533" s="62">
        <v>63</v>
      </c>
      <c r="I533" s="54" t="str">
        <v>29 HB</v>
      </c>
      <c r="J533" s="56" t="str">
        <v>DV_Cắt</v>
      </c>
      <c r="K533" s="56">
        <v>513</v>
      </c>
      <c r="L533" s="60" t="str">
        <f>K533-J533</f>
        <v>[DV] ShineCombo 10 bước Ultra Care 2023</v>
      </c>
      <c r="M533" s="57">
        <v>0</v>
      </c>
      <c r="N533" s="58">
        <v>122000</v>
      </c>
      <c r="O533" s="58">
        <v>122000</v>
      </c>
      <c r="P533" s="50"/>
    </row>
    <row r="534">
      <c r="H534" s="51">
        <v>63</v>
      </c>
      <c r="I534" s="54" t="str">
        <v>29 HB</v>
      </c>
      <c r="J534" s="52" t="str">
        <v>DV_Cắt</v>
      </c>
      <c r="K534" s="52">
        <v>891</v>
      </c>
      <c r="L534" s="48" t="str">
        <f>K534-J534</f>
        <v>Cắt xả tạo kiểu</v>
      </c>
      <c r="M534" s="53">
        <v>0</v>
      </c>
      <c r="N534" s="49">
        <v>94000</v>
      </c>
      <c r="O534" s="49">
        <v>94000</v>
      </c>
      <c r="P534" s="50"/>
    </row>
    <row r="535">
      <c r="H535" s="62">
        <v>63</v>
      </c>
      <c r="I535" s="54" t="str">
        <v>29 HB</v>
      </c>
      <c r="J535" s="56" t="str">
        <v>DV_Cắt</v>
      </c>
      <c r="K535" s="56">
        <v>1002</v>
      </c>
      <c r="L535" s="60" t="str">
        <f>K535-J535</f>
        <v>Kid Cắt</v>
      </c>
      <c r="M535" s="57">
        <v>0</v>
      </c>
      <c r="N535" s="58">
        <v>75000</v>
      </c>
      <c r="O535" s="58">
        <v>75000</v>
      </c>
      <c r="P535" s="50"/>
    </row>
    <row r="536">
      <c r="H536" s="51">
        <v>63</v>
      </c>
      <c r="I536" s="54" t="str">
        <v>29 HB</v>
      </c>
      <c r="J536" s="52" t="str">
        <v>DV_Cắt</v>
      </c>
      <c r="K536" s="52">
        <v>1070</v>
      </c>
      <c r="L536" s="48" t="str">
        <f>K536-J536</f>
        <v>Combo Cắt gội Kid</v>
      </c>
      <c r="M536" s="53">
        <v>0</v>
      </c>
      <c r="N536" s="49">
        <v>100000</v>
      </c>
      <c r="O536" s="49">
        <v>100000</v>
      </c>
      <c r="P536" s="50"/>
    </row>
    <row r="537">
      <c r="H537" s="62">
        <v>63</v>
      </c>
      <c r="I537" s="54" t="str">
        <v>29 HB</v>
      </c>
      <c r="J537" s="56" t="str">
        <v>DV_Cắt_Vip</v>
      </c>
      <c r="K537" s="56">
        <v>1046</v>
      </c>
      <c r="L537" s="60" t="str">
        <f>K537-J537</f>
        <v>Shinecombo 2</v>
      </c>
      <c r="M537" s="57">
        <v>0</v>
      </c>
      <c r="N537" s="58">
        <v>199000</v>
      </c>
      <c r="O537" s="58">
        <v>199000</v>
      </c>
      <c r="P537" s="61"/>
      <c r="Q537" s="5" t="str">
        <v>Áp dụng đổi giá theo option 1</v>
      </c>
    </row>
    <row r="538">
      <c r="H538" s="51">
        <v>63</v>
      </c>
      <c r="I538" s="54" t="str">
        <v>29 HB</v>
      </c>
      <c r="J538" s="52" t="str">
        <v>DV_Cắt_Vip</v>
      </c>
      <c r="K538" s="52">
        <v>1047</v>
      </c>
      <c r="L538" s="48" t="str">
        <f>K538-J538</f>
        <v>Cắt Gội Combo 3 - Chăm da</v>
      </c>
      <c r="M538" s="53">
        <v>0</v>
      </c>
      <c r="N538" s="49">
        <v>299000</v>
      </c>
      <c r="O538" s="49">
        <v>299000</v>
      </c>
      <c r="P538" s="50"/>
      <c r="Q538" s="5" t="str">
        <v>Áp dụng đổi giá theo option 1</v>
      </c>
    </row>
    <row r="539">
      <c r="H539" s="62">
        <v>63</v>
      </c>
      <c r="I539" s="54" t="str">
        <v>29 HB</v>
      </c>
      <c r="J539" s="56" t="str">
        <v>DV_Cắt_Vip</v>
      </c>
      <c r="K539" s="56">
        <v>1048</v>
      </c>
      <c r="L539" s="60" t="str">
        <f>K539-J539</f>
        <v>Combo 4</v>
      </c>
      <c r="M539" s="57">
        <v>0</v>
      </c>
      <c r="N539" s="58">
        <v>389000</v>
      </c>
      <c r="O539" s="58">
        <v>389000</v>
      </c>
      <c r="P539" s="50"/>
      <c r="Q539" s="5" t="str">
        <v>Áp dụng đổi giá theo option 1</v>
      </c>
    </row>
    <row r="540">
      <c r="H540" s="51">
        <v>63</v>
      </c>
      <c r="I540" s="54" t="str">
        <v>29 HB</v>
      </c>
      <c r="J540" s="52" t="str">
        <v>DV_Cắt_Vip</v>
      </c>
      <c r="K540" s="52">
        <v>1064</v>
      </c>
      <c r="L540" s="48" t="str">
        <f>K540-J540</f>
        <v>Cắt Gội Combo 5 - Dưỡng sinh</v>
      </c>
      <c r="M540" s="53">
        <v>0</v>
      </c>
      <c r="N540" s="49">
        <v>459000</v>
      </c>
      <c r="O540" s="49">
        <v>459000</v>
      </c>
      <c r="P540" s="50"/>
      <c r="Q540" s="5" t="str">
        <v>Áp dụng đổi giá theo option 1</v>
      </c>
    </row>
    <row r="541">
      <c r="H541" s="62">
        <v>63</v>
      </c>
      <c r="I541" s="54" t="str">
        <v>29 HB</v>
      </c>
      <c r="J541" s="56" t="str">
        <v>DV_Cắt_Vip</v>
      </c>
      <c r="K541" s="56">
        <v>1065</v>
      </c>
      <c r="L541" s="60" t="str">
        <f>K541-J541</f>
        <v>Cắt Gội Combo 3 - Dưỡng sinh</v>
      </c>
      <c r="M541" s="57">
        <v>0</v>
      </c>
      <c r="N541" s="58">
        <v>299000</v>
      </c>
      <c r="O541" s="58">
        <v>299000</v>
      </c>
      <c r="P541" s="50"/>
      <c r="Q541" s="5" t="str">
        <v>Áp dụng đổi giá theo option 1</v>
      </c>
    </row>
    <row r="542">
      <c r="H542" s="51">
        <v>63</v>
      </c>
      <c r="I542" s="54" t="str">
        <v>29 HB</v>
      </c>
      <c r="J542" s="52" t="str">
        <v>DV_Cắt_Vip</v>
      </c>
      <c r="K542" s="52">
        <v>1150</v>
      </c>
      <c r="L542" s="48" t="str">
        <f>K542-J542</f>
        <v>Combo cắt gội đỉnh cao thư giãn vip</v>
      </c>
      <c r="M542" s="53">
        <v>0</v>
      </c>
      <c r="N542" s="49">
        <v>500000</v>
      </c>
      <c r="O542" s="49">
        <v>500000</v>
      </c>
      <c r="P542" s="50"/>
      <c r="Q542" s="5" t="str">
        <v>Áp dụng đổi giá theo option 1</v>
      </c>
    </row>
    <row r="543">
      <c r="H543" s="62">
        <v>63</v>
      </c>
      <c r="I543" s="54" t="str">
        <v>29 HB</v>
      </c>
      <c r="J543" s="56" t="str">
        <v>DV_Gội</v>
      </c>
      <c r="K543" s="56">
        <v>867</v>
      </c>
      <c r="L543" s="60" t="str">
        <f>K543-J543</f>
        <v>Gội dưỡng sinh cổ vai gáy</v>
      </c>
      <c r="M543" s="57">
        <v>0</v>
      </c>
      <c r="N543" s="58">
        <v>99000</v>
      </c>
      <c r="O543" s="58">
        <v>99000</v>
      </c>
      <c r="P543" s="50"/>
      <c r="Q543" s="5" t="str">
        <v>Áp dụng đổi giá theo option 1</v>
      </c>
    </row>
    <row r="544">
      <c r="H544" s="51">
        <v>63</v>
      </c>
      <c r="I544" s="54" t="str">
        <v>29 HB</v>
      </c>
      <c r="J544" s="52" t="str">
        <v>DV_Gội</v>
      </c>
      <c r="K544" s="52">
        <v>930</v>
      </c>
      <c r="L544" s="48" t="str">
        <f>K544-J544</f>
        <v>[NEW] Gội dưỡng sinh cổ vai gáy và chăm sóc da</v>
      </c>
      <c r="M544" s="53">
        <v>0</v>
      </c>
      <c r="N544" s="49">
        <v>139000</v>
      </c>
      <c r="O544" s="49">
        <v>139000</v>
      </c>
      <c r="P544" s="50"/>
      <c r="Q544" s="5" t="str">
        <v>Áp dụng đổi giá theo option 1</v>
      </c>
    </row>
    <row r="545">
      <c r="H545" s="62">
        <v>63</v>
      </c>
      <c r="I545" s="54" t="str">
        <v>29 HB</v>
      </c>
      <c r="J545" s="56" t="str">
        <v>DV_Gội</v>
      </c>
      <c r="K545" s="56">
        <v>934</v>
      </c>
      <c r="L545" s="60" t="str">
        <f>K545-J545</f>
        <v>Gội combo 3 - Dưỡng sinh</v>
      </c>
      <c r="M545" s="57">
        <v>0</v>
      </c>
      <c r="N545" s="58">
        <v>229000</v>
      </c>
      <c r="O545" s="58">
        <v>229000</v>
      </c>
      <c r="P545" s="50"/>
      <c r="Q545" s="5" t="str">
        <v>Áp dụng đổi giá theo option 1</v>
      </c>
    </row>
    <row r="546">
      <c r="H546" s="51">
        <v>63</v>
      </c>
      <c r="I546" s="54" t="str">
        <v>29 HB</v>
      </c>
      <c r="J546" s="52" t="str">
        <v>DV_Gội</v>
      </c>
      <c r="K546" s="52">
        <v>940</v>
      </c>
      <c r="L546" s="48" t="str">
        <f>K546-J546</f>
        <v>[NEW] Gội dưỡng sinh</v>
      </c>
      <c r="M546" s="53">
        <v>0</v>
      </c>
      <c r="N546" s="49">
        <v>59000</v>
      </c>
      <c r="O546" s="49">
        <v>59000</v>
      </c>
      <c r="P546" s="50"/>
      <c r="Q546" s="5" t="str">
        <v>Áp dụng đổi giá theo option 1</v>
      </c>
    </row>
    <row r="547">
      <c r="H547" s="62">
        <v>63</v>
      </c>
      <c r="I547" s="54" t="str">
        <v>29 HB</v>
      </c>
      <c r="J547" s="56" t="str">
        <v>DV_Gội</v>
      </c>
      <c r="K547" s="56">
        <v>1058</v>
      </c>
      <c r="L547" s="60" t="str">
        <f>K547-J547</f>
        <v>Gội Combo 2</v>
      </c>
      <c r="M547" s="57">
        <v>0</v>
      </c>
      <c r="N547" s="58">
        <v>159000</v>
      </c>
      <c r="O547" s="58">
        <v>159000</v>
      </c>
      <c r="P547" s="50"/>
      <c r="Q547" s="5" t="str">
        <v>Áp dụng đổi giá theo option 1</v>
      </c>
    </row>
    <row r="548">
      <c r="H548" s="51">
        <v>63</v>
      </c>
      <c r="I548" s="54" t="str">
        <v>29 HB</v>
      </c>
      <c r="J548" s="52" t="str">
        <v>DV_Gội</v>
      </c>
      <c r="K548" s="52">
        <v>1059</v>
      </c>
      <c r="L548" s="48" t="str">
        <f>K548-J548</f>
        <v>Gội Combo 3 - Chăm da</v>
      </c>
      <c r="M548" s="53">
        <v>0</v>
      </c>
      <c r="N548" s="49">
        <v>239000</v>
      </c>
      <c r="O548" s="49">
        <v>239000</v>
      </c>
      <c r="P548" s="50"/>
      <c r="Q548" s="5" t="str">
        <v>Áp dụng đổi giá theo option 1</v>
      </c>
    </row>
    <row r="549">
      <c r="H549" s="62">
        <v>63</v>
      </c>
      <c r="I549" s="54" t="str">
        <v>29 HB</v>
      </c>
      <c r="J549" s="56" t="str">
        <v>DV_Gội</v>
      </c>
      <c r="K549" s="56">
        <v>1060</v>
      </c>
      <c r="L549" s="60" t="str">
        <f>K549-J549</f>
        <v>Gội Combo 4</v>
      </c>
      <c r="M549" s="57">
        <v>0</v>
      </c>
      <c r="N549" s="58">
        <v>319000</v>
      </c>
      <c r="O549" s="58">
        <v>319000</v>
      </c>
      <c r="P549" s="50"/>
      <c r="Q549" s="5" t="str">
        <v>Áp dụng đổi giá theo option 1</v>
      </c>
    </row>
    <row r="550">
      <c r="H550" s="51">
        <v>63</v>
      </c>
      <c r="I550" s="54" t="str">
        <v>29 HB</v>
      </c>
      <c r="J550" s="52" t="str">
        <v>DV_Gội</v>
      </c>
      <c r="K550" s="52">
        <v>1066</v>
      </c>
      <c r="L550" s="48" t="str">
        <f>K550-J550</f>
        <v>Gội trải nghiệm 75p</v>
      </c>
      <c r="M550" s="53">
        <v>0</v>
      </c>
      <c r="N550" s="49">
        <v>589000</v>
      </c>
      <c r="O550" s="49">
        <v>589000</v>
      </c>
      <c r="P550" s="50"/>
      <c r="Q550" s="5" t="str">
        <v>Áp dụng đổi giá theo option 1</v>
      </c>
    </row>
    <row r="551">
      <c r="H551" s="62">
        <v>63</v>
      </c>
      <c r="I551" s="54" t="str">
        <v>29 HB</v>
      </c>
      <c r="J551" s="56" t="str">
        <v>DV_Gội</v>
      </c>
      <c r="K551" s="56">
        <v>1067</v>
      </c>
      <c r="L551" s="60" t="str">
        <f>K551-J551</f>
        <v>Gội trải nghiệm 90p</v>
      </c>
      <c r="M551" s="57">
        <v>0</v>
      </c>
      <c r="N551" s="58">
        <v>789000</v>
      </c>
      <c r="O551" s="58">
        <v>789000</v>
      </c>
      <c r="P551" s="61"/>
    </row>
    <row r="552">
      <c r="H552" s="51">
        <v>63</v>
      </c>
      <c r="I552" s="54" t="str">
        <v>29 HB</v>
      </c>
      <c r="J552" s="52" t="str">
        <v>DV_Gội</v>
      </c>
      <c r="K552" s="52">
        <v>1068</v>
      </c>
      <c r="L552" s="48" t="str">
        <f>K552-J552</f>
        <v>Gội trải nghiệm 115p</v>
      </c>
      <c r="M552" s="53">
        <v>0</v>
      </c>
      <c r="N552" s="49">
        <v>999000</v>
      </c>
      <c r="O552" s="49">
        <v>999000</v>
      </c>
      <c r="P552" s="50"/>
    </row>
    <row r="553">
      <c r="H553" s="62">
        <v>63</v>
      </c>
      <c r="I553" s="54" t="str">
        <v>29 HB</v>
      </c>
      <c r="J553" s="56" t="str">
        <v>DV_Gội</v>
      </c>
      <c r="K553" s="56">
        <v>1240</v>
      </c>
      <c r="L553" s="60" t="str">
        <f>K553-J553</f>
        <v>Gội Detox Scalp Pro</v>
      </c>
      <c r="M553" s="57">
        <v>0</v>
      </c>
      <c r="N553" s="58">
        <v>179000</v>
      </c>
      <c r="O553" s="58">
        <v>179000</v>
      </c>
      <c r="P553" s="50"/>
    </row>
    <row r="554">
      <c r="H554" s="51">
        <v>63</v>
      </c>
      <c r="I554" s="54" t="str">
        <v>29 HB</v>
      </c>
      <c r="J554" s="52" t="str">
        <v>DV_Spa</v>
      </c>
      <c r="K554" s="52">
        <v>936</v>
      </c>
      <c r="L554" s="48" t="str">
        <f>K554-J554</f>
        <v>[NEW] Chăm sóc da Shine Spa 199k (có phân tích da)</v>
      </c>
      <c r="M554" s="53">
        <v>0</v>
      </c>
      <c r="N554" s="49">
        <v>199000</v>
      </c>
      <c r="O554" s="49">
        <v>199000</v>
      </c>
      <c r="P554" s="50"/>
    </row>
    <row r="555">
      <c r="H555" s="62">
        <v>230</v>
      </c>
      <c r="I555" s="54" t="str">
        <v>290 QT TH</v>
      </c>
      <c r="J555" s="56" t="str">
        <v>DV_Cắt</v>
      </c>
      <c r="K555" s="56">
        <v>513</v>
      </c>
      <c r="L555" s="60" t="str">
        <f>K555-J555</f>
        <v>[DV] ShineCombo 10 bước Ultra Care 2023</v>
      </c>
      <c r="M555" s="57">
        <v>0.02105263157894743</v>
      </c>
      <c r="N555" s="58">
        <v>122000</v>
      </c>
      <c r="O555" s="58">
        <v>122000</v>
      </c>
      <c r="P555" s="50"/>
    </row>
    <row r="556">
      <c r="H556" s="51">
        <v>230</v>
      </c>
      <c r="I556" s="54" t="str">
        <v>290 QT TH</v>
      </c>
      <c r="J556" s="52" t="str">
        <v>DV_Cắt</v>
      </c>
      <c r="K556" s="52">
        <v>891</v>
      </c>
      <c r="L556" s="48" t="str">
        <f>K556-J556</f>
        <v>Cắt xả tạo kiểu</v>
      </c>
      <c r="M556" s="53">
        <v>0.02105263157894743</v>
      </c>
      <c r="N556" s="49">
        <v>95000</v>
      </c>
      <c r="O556" s="49">
        <v>97000</v>
      </c>
      <c r="P556" s="50">
        <v>2000</v>
      </c>
    </row>
    <row r="557">
      <c r="H557" s="62">
        <v>230</v>
      </c>
      <c r="I557" s="54" t="str">
        <v>290 QT TH</v>
      </c>
      <c r="J557" s="56" t="str">
        <v>DV_Cắt</v>
      </c>
      <c r="K557" s="56">
        <v>1002</v>
      </c>
      <c r="L557" s="60" t="str">
        <f>K557-J557</f>
        <v>Kid Cắt</v>
      </c>
      <c r="M557" s="57">
        <v>0.02105263157894743</v>
      </c>
      <c r="N557" s="58">
        <v>76000</v>
      </c>
      <c r="O557" s="58">
        <v>78000</v>
      </c>
      <c r="P557" s="50">
        <v>2000</v>
      </c>
    </row>
    <row r="558">
      <c r="H558" s="51">
        <v>230</v>
      </c>
      <c r="I558" s="54" t="str">
        <v>290 QT TH</v>
      </c>
      <c r="J558" s="52" t="str">
        <v>DV_Cắt</v>
      </c>
      <c r="K558" s="52">
        <v>1070</v>
      </c>
      <c r="L558" s="48" t="str">
        <f>K558-J558</f>
        <v>Combo Cắt gội Kid</v>
      </c>
      <c r="M558" s="53">
        <v>0.02105263157894743</v>
      </c>
      <c r="N558" s="49">
        <v>100000</v>
      </c>
      <c r="O558" s="49">
        <v>102000</v>
      </c>
      <c r="P558" s="50">
        <v>2000</v>
      </c>
    </row>
    <row r="559">
      <c r="H559" s="62">
        <v>230</v>
      </c>
      <c r="I559" s="54" t="str">
        <v>290 QT TH</v>
      </c>
      <c r="J559" s="56" t="str">
        <v>DV_Cắt</v>
      </c>
      <c r="K559" s="56">
        <v>1255</v>
      </c>
      <c r="L559" s="60" t="str">
        <f>K559-J559</f>
        <v>VH Cắt gội dưỡng sinh Vip</v>
      </c>
      <c r="M559" s="57">
        <v>0.02105263157894743</v>
      </c>
      <c r="N559" s="58">
        <v>250000</v>
      </c>
      <c r="O559" s="58">
        <v>255000</v>
      </c>
      <c r="P559" s="50">
        <v>5000</v>
      </c>
    </row>
    <row r="560">
      <c r="H560" s="51">
        <v>230</v>
      </c>
      <c r="I560" s="54" t="str">
        <v>290 QT TH</v>
      </c>
      <c r="J560" s="52" t="str">
        <v>DV_Cắt_Vip</v>
      </c>
      <c r="K560" s="52">
        <v>1046</v>
      </c>
      <c r="L560" s="48" t="str">
        <f>K560-J560</f>
        <v>Shinecombo 2</v>
      </c>
      <c r="M560" s="53">
        <v>0.02105263157894743</v>
      </c>
      <c r="N560" s="49">
        <v>200000</v>
      </c>
      <c r="O560" s="49">
        <v>204000</v>
      </c>
      <c r="P560" s="50">
        <v>4000</v>
      </c>
    </row>
    <row r="561">
      <c r="H561" s="62">
        <v>230</v>
      </c>
      <c r="I561" s="54" t="str">
        <v>290 QT TH</v>
      </c>
      <c r="J561" s="56" t="str">
        <v>DV_Cắt_Vip</v>
      </c>
      <c r="K561" s="56">
        <v>1047</v>
      </c>
      <c r="L561" s="60" t="str">
        <f>K561-J561</f>
        <v>Cắt Gội Combo 3 - Chăm da</v>
      </c>
      <c r="M561" s="57">
        <v>0.02105263157894743</v>
      </c>
      <c r="N561" s="58">
        <v>300000</v>
      </c>
      <c r="O561" s="58">
        <v>306000</v>
      </c>
      <c r="P561" s="50">
        <v>6000</v>
      </c>
    </row>
    <row r="562">
      <c r="H562" s="51">
        <v>230</v>
      </c>
      <c r="I562" s="54" t="str">
        <v>290 QT TH</v>
      </c>
      <c r="J562" s="52" t="str">
        <v>DV_Cắt_Vip</v>
      </c>
      <c r="K562" s="52">
        <v>1048</v>
      </c>
      <c r="L562" s="48" t="str">
        <f>K562-J562</f>
        <v>Combo 4</v>
      </c>
      <c r="M562" s="53">
        <v>0.02105263157894743</v>
      </c>
      <c r="N562" s="49">
        <v>390000</v>
      </c>
      <c r="O562" s="49">
        <v>398000</v>
      </c>
      <c r="P562" s="50">
        <v>8000</v>
      </c>
    </row>
    <row r="563">
      <c r="H563" s="62">
        <v>230</v>
      </c>
      <c r="I563" s="54" t="str">
        <v>290 QT TH</v>
      </c>
      <c r="J563" s="56" t="str">
        <v>DV_Cắt_Vip</v>
      </c>
      <c r="K563" s="56">
        <v>1064</v>
      </c>
      <c r="L563" s="60" t="str">
        <f>K563-J563</f>
        <v>Cắt Gội Combo 5 - Dưỡng sinh</v>
      </c>
      <c r="M563" s="57">
        <v>0.02105263157894743</v>
      </c>
      <c r="N563" s="58">
        <v>459000</v>
      </c>
      <c r="O563" s="58">
        <v>469000</v>
      </c>
      <c r="P563" s="50">
        <v>10000</v>
      </c>
    </row>
    <row r="564">
      <c r="H564" s="51">
        <v>230</v>
      </c>
      <c r="I564" s="54" t="str">
        <v>290 QT TH</v>
      </c>
      <c r="J564" s="52" t="str">
        <v>DV_Cắt_Vip</v>
      </c>
      <c r="K564" s="52">
        <v>1065</v>
      </c>
      <c r="L564" s="48" t="str">
        <f>K564-J564</f>
        <v>Cắt Gội Combo 3 - Dưỡng sinh</v>
      </c>
      <c r="M564" s="53">
        <v>0.02105263157894743</v>
      </c>
      <c r="N564" s="49">
        <v>300000</v>
      </c>
      <c r="O564" s="49">
        <v>306000</v>
      </c>
      <c r="P564" s="50">
        <v>6000</v>
      </c>
    </row>
    <row r="565">
      <c r="H565" s="62">
        <v>230</v>
      </c>
      <c r="I565" s="54" t="str">
        <v>290 QT TH</v>
      </c>
      <c r="J565" s="56" t="str">
        <v>DV_Cắt_Vip</v>
      </c>
      <c r="K565" s="56">
        <v>1256</v>
      </c>
      <c r="L565" s="60" t="str">
        <f>K565-J565</f>
        <v>VH Cắt gội dưỡng sinh Vip LRT</v>
      </c>
      <c r="M565" s="57">
        <v>0.02105263157894743</v>
      </c>
      <c r="N565" s="58">
        <v>300000</v>
      </c>
      <c r="O565" s="58">
        <v>306000</v>
      </c>
      <c r="P565" s="50">
        <v>6000</v>
      </c>
    </row>
    <row r="566">
      <c r="H566" s="51">
        <v>230</v>
      </c>
      <c r="I566" s="54" t="str">
        <v>290 QT TH</v>
      </c>
      <c r="J566" s="52" t="str">
        <v>DV_Cắt_Vip</v>
      </c>
      <c r="K566" s="52">
        <v>1257</v>
      </c>
      <c r="L566" s="48" t="str">
        <f>K566-J566</f>
        <v>VH Cắt gội thư giãn phục hồi</v>
      </c>
      <c r="M566" s="53">
        <v>0.02105263157894743</v>
      </c>
      <c r="N566" s="49">
        <v>450000</v>
      </c>
      <c r="O566" s="49">
        <v>459000</v>
      </c>
      <c r="P566" s="50">
        <v>9000</v>
      </c>
    </row>
    <row r="567">
      <c r="H567" s="62">
        <v>230</v>
      </c>
      <c r="I567" s="54" t="str">
        <v>290 QT TH</v>
      </c>
      <c r="J567" s="56" t="str">
        <v>DV_Gội</v>
      </c>
      <c r="K567" s="56">
        <v>867</v>
      </c>
      <c r="L567" s="60" t="str">
        <f>K567-J567</f>
        <v>Gội dưỡng sinh cổ vai gáy</v>
      </c>
      <c r="M567" s="57">
        <v>0.02105263157894743</v>
      </c>
      <c r="N567" s="58">
        <v>99000</v>
      </c>
      <c r="O567" s="58">
        <v>101000</v>
      </c>
      <c r="P567" s="50">
        <v>2000</v>
      </c>
    </row>
    <row r="568">
      <c r="H568" s="59">
        <v>230</v>
      </c>
      <c r="I568" s="55" t="str">
        <v>290 QT TH</v>
      </c>
      <c r="J568" s="56" t="str">
        <v>DV_Gội</v>
      </c>
      <c r="K568" s="56">
        <v>930</v>
      </c>
      <c r="L568" s="60" t="str">
        <f>K568-J568</f>
        <v>[NEW] Gội dưỡng sinh cổ vai gáy và chăm sóc da</v>
      </c>
      <c r="M568" s="57">
        <v>0.02105263157894743</v>
      </c>
      <c r="N568" s="58">
        <v>139000</v>
      </c>
      <c r="O568" s="58">
        <v>142000</v>
      </c>
      <c r="P568" s="61">
        <v>3000</v>
      </c>
    </row>
    <row r="569">
      <c r="H569" s="59">
        <v>230</v>
      </c>
      <c r="I569" s="55" t="str">
        <v>290 QT TH</v>
      </c>
      <c r="J569" s="56" t="str">
        <v>DV_Gội</v>
      </c>
      <c r="K569" s="56">
        <v>934</v>
      </c>
      <c r="L569" s="60" t="str">
        <f>K569-J569</f>
        <v>Gội combo 3 - Dưỡng sinh</v>
      </c>
      <c r="M569" s="57">
        <v>0.02105263157894743</v>
      </c>
      <c r="N569" s="58">
        <v>229000</v>
      </c>
      <c r="O569" s="58">
        <v>234000</v>
      </c>
      <c r="P569" s="50">
        <v>5000</v>
      </c>
    </row>
    <row r="570">
      <c r="H570" s="59">
        <v>230</v>
      </c>
      <c r="I570" s="55" t="str">
        <v>290 QT TH</v>
      </c>
      <c r="J570" s="56" t="str">
        <v>DV_Gội</v>
      </c>
      <c r="K570" s="56">
        <v>940</v>
      </c>
      <c r="L570" s="60" t="str">
        <f>K570-J570</f>
        <v>[NEW] Gội dưỡng sinh</v>
      </c>
      <c r="M570" s="57">
        <v>0.02105263157894743</v>
      </c>
      <c r="N570" s="58">
        <v>59000</v>
      </c>
      <c r="O570" s="58">
        <v>60000</v>
      </c>
      <c r="P570" s="50">
        <v>1000</v>
      </c>
    </row>
    <row r="571">
      <c r="H571" s="59">
        <v>230</v>
      </c>
      <c r="I571" s="55" t="str">
        <v>290 QT TH</v>
      </c>
      <c r="J571" s="56" t="str">
        <v>DV_Gội</v>
      </c>
      <c r="K571" s="56">
        <v>1058</v>
      </c>
      <c r="L571" s="60" t="str">
        <f>K571-J571</f>
        <v>Gội Combo 2</v>
      </c>
      <c r="M571" s="57">
        <v>0.02105263157894743</v>
      </c>
      <c r="N571" s="58">
        <v>159000</v>
      </c>
      <c r="O571" s="58">
        <v>162000</v>
      </c>
      <c r="P571" s="61">
        <v>3000</v>
      </c>
    </row>
    <row r="572">
      <c r="H572" s="59">
        <v>230</v>
      </c>
      <c r="I572" s="55" t="str">
        <v>290 QT TH</v>
      </c>
      <c r="J572" s="56" t="str">
        <v>DV_Gội</v>
      </c>
      <c r="K572" s="56">
        <v>1059</v>
      </c>
      <c r="L572" s="60" t="str">
        <f>K572-J572</f>
        <v>Gội Combo 3 - Chăm da</v>
      </c>
      <c r="M572" s="57">
        <v>0.02105263157894743</v>
      </c>
      <c r="N572" s="58">
        <v>219000</v>
      </c>
      <c r="O572" s="58">
        <v>224000</v>
      </c>
      <c r="P572" s="50">
        <v>5000</v>
      </c>
    </row>
    <row r="573">
      <c r="H573" s="59">
        <v>230</v>
      </c>
      <c r="I573" s="55" t="str">
        <v>290 QT TH</v>
      </c>
      <c r="J573" s="56" t="str">
        <v>DV_Gội</v>
      </c>
      <c r="K573" s="56">
        <v>1060</v>
      </c>
      <c r="L573" s="60" t="str">
        <f>K573-J573</f>
        <v>Gội Combo 4</v>
      </c>
      <c r="M573" s="57">
        <v>0.02105263157894743</v>
      </c>
      <c r="N573" s="58">
        <v>289000</v>
      </c>
      <c r="O573" s="58">
        <v>295000</v>
      </c>
      <c r="P573" s="50">
        <v>6000</v>
      </c>
    </row>
    <row r="574">
      <c r="H574" s="59">
        <v>230</v>
      </c>
      <c r="I574" s="55" t="str">
        <v>290 QT TH</v>
      </c>
      <c r="J574" s="56" t="str">
        <v>DV_Gội</v>
      </c>
      <c r="K574" s="56">
        <v>1066</v>
      </c>
      <c r="L574" s="60" t="str">
        <f>K574-J574</f>
        <v>Gội trải nghiệm 75p</v>
      </c>
      <c r="M574" s="57">
        <v>0.02105263157894743</v>
      </c>
      <c r="N574" s="58">
        <v>589000</v>
      </c>
      <c r="O574" s="58">
        <v>601000</v>
      </c>
      <c r="P574" s="50">
        <v>12000</v>
      </c>
    </row>
    <row r="575">
      <c r="H575" s="59">
        <v>230</v>
      </c>
      <c r="I575" s="55" t="str">
        <v>290 QT TH</v>
      </c>
      <c r="J575" s="56" t="str">
        <v>DV_Gội</v>
      </c>
      <c r="K575" s="56">
        <v>1067</v>
      </c>
      <c r="L575" s="60" t="str">
        <f>K575-J575</f>
        <v>Gội trải nghiệm 90p</v>
      </c>
      <c r="M575" s="57">
        <v>0.02105263157894743</v>
      </c>
      <c r="N575" s="58">
        <v>789000</v>
      </c>
      <c r="O575" s="58">
        <v>806000</v>
      </c>
      <c r="P575" s="50">
        <v>17000</v>
      </c>
    </row>
    <row r="576">
      <c r="H576" s="59">
        <v>230</v>
      </c>
      <c r="I576" s="55" t="str">
        <v>290 QT TH</v>
      </c>
      <c r="J576" s="56" t="str">
        <v>DV_Gội</v>
      </c>
      <c r="K576" s="56">
        <v>1068</v>
      </c>
      <c r="L576" s="60" t="str">
        <f>K576-J576</f>
        <v>Gội trải nghiệm 115p</v>
      </c>
      <c r="M576" s="57">
        <v>0.02105263157894743</v>
      </c>
      <c r="N576" s="58">
        <v>999000</v>
      </c>
      <c r="O576" s="58">
        <v>1020000</v>
      </c>
      <c r="P576" s="50">
        <v>21000</v>
      </c>
    </row>
    <row r="577">
      <c r="H577" s="59">
        <v>230</v>
      </c>
      <c r="I577" s="55" t="str">
        <v>290 QT TH</v>
      </c>
      <c r="J577" s="56" t="str">
        <v>DV_Gội</v>
      </c>
      <c r="K577" s="56">
        <v>1258</v>
      </c>
      <c r="L577" s="60" t="str">
        <f>K577-J577</f>
        <v>VH Gội Vip Dưỡng Sinh</v>
      </c>
      <c r="M577" s="57">
        <v>0.02105263157894743</v>
      </c>
      <c r="N577" s="58">
        <v>199000</v>
      </c>
      <c r="O577" s="58">
        <v>203000</v>
      </c>
      <c r="P577" s="50">
        <v>4000</v>
      </c>
    </row>
    <row r="578">
      <c r="H578" s="59">
        <v>230</v>
      </c>
      <c r="I578" s="55" t="str">
        <v>290 QT TH</v>
      </c>
      <c r="J578" s="56" t="str">
        <v>DV_Gội</v>
      </c>
      <c r="K578" s="56">
        <v>1259</v>
      </c>
      <c r="L578" s="60" t="str">
        <f>K578-J578</f>
        <v>VH Gội Vip Dưỡng Sinh LRT</v>
      </c>
      <c r="M578" s="57">
        <v>0.02105263157894743</v>
      </c>
      <c r="N578" s="58">
        <v>259000</v>
      </c>
      <c r="O578" s="58">
        <v>264000</v>
      </c>
      <c r="P578" s="50">
        <v>5000</v>
      </c>
    </row>
    <row r="579">
      <c r="H579" s="59">
        <v>230</v>
      </c>
      <c r="I579" s="55" t="str">
        <v>290 QT TH</v>
      </c>
      <c r="J579" s="56" t="str">
        <v>DV_Gội</v>
      </c>
      <c r="K579" s="56">
        <v>1260</v>
      </c>
      <c r="L579" s="60" t="str">
        <f>K579-J579</f>
        <v>VH Combo Gội Dưỡng Sinh Phục Hồi</v>
      </c>
      <c r="M579" s="57">
        <v>0.02105263157894743</v>
      </c>
      <c r="N579" s="58">
        <v>399000</v>
      </c>
      <c r="O579" s="58">
        <v>407000</v>
      </c>
      <c r="P579" s="50">
        <v>8000</v>
      </c>
    </row>
    <row r="580">
      <c r="H580" s="59">
        <v>230</v>
      </c>
      <c r="I580" s="55" t="str">
        <v>290 QT TH</v>
      </c>
      <c r="J580" s="56" t="str">
        <v>DV_Spa</v>
      </c>
      <c r="K580" s="56">
        <v>936</v>
      </c>
      <c r="L580" s="60" t="str">
        <f>K580-J580</f>
        <v>[NEW] Chăm sóc da Shine Spa 199k (có phân tích da)</v>
      </c>
      <c r="M580" s="57">
        <v>0.02105263157894743</v>
      </c>
      <c r="N580" s="58">
        <v>199000</v>
      </c>
      <c r="O580" s="58">
        <v>203000</v>
      </c>
      <c r="P580" s="50">
        <v>4000</v>
      </c>
    </row>
    <row r="581">
      <c r="H581" s="59">
        <v>231</v>
      </c>
      <c r="I581" s="55" t="str">
        <v>304 NT TH</v>
      </c>
      <c r="J581" s="56" t="str">
        <v>DV_Cắt</v>
      </c>
      <c r="K581" s="56">
        <v>513</v>
      </c>
      <c r="L581" s="60" t="str">
        <f>K581-J581</f>
        <v>[DV] ShineCombo 10 bước Ultra Care 2023</v>
      </c>
      <c r="M581" s="57">
        <v>0.06796116504854366</v>
      </c>
      <c r="N581" s="58">
        <v>122000</v>
      </c>
      <c r="O581" s="58">
        <v>122000</v>
      </c>
      <c r="P581" s="50"/>
    </row>
    <row r="582">
      <c r="H582" s="59">
        <v>231</v>
      </c>
      <c r="I582" s="55" t="str">
        <v>304 NT TH</v>
      </c>
      <c r="J582" s="56" t="str">
        <v>DV_Cắt</v>
      </c>
      <c r="K582" s="56">
        <v>891</v>
      </c>
      <c r="L582" s="60" t="str">
        <f>K582-J582</f>
        <v>Cắt xả tạo kiểu</v>
      </c>
      <c r="M582" s="57">
        <v>0.06796116504854366</v>
      </c>
      <c r="N582" s="58">
        <v>103000</v>
      </c>
      <c r="O582" s="58">
        <v>110000</v>
      </c>
      <c r="P582" s="50">
        <v>7000</v>
      </c>
    </row>
    <row r="583">
      <c r="H583" s="59">
        <v>231</v>
      </c>
      <c r="I583" s="55" t="str">
        <v>304 NT TH</v>
      </c>
      <c r="J583" s="56" t="str">
        <v>DV_Cắt</v>
      </c>
      <c r="K583" s="56">
        <v>1002</v>
      </c>
      <c r="L583" s="60" t="str">
        <f>K583-J583</f>
        <v>Kid Cắt</v>
      </c>
      <c r="M583" s="57">
        <v>0.06796116504854366</v>
      </c>
      <c r="N583" s="58">
        <v>84000</v>
      </c>
      <c r="O583" s="58">
        <v>90000</v>
      </c>
      <c r="P583" s="50">
        <v>6000</v>
      </c>
    </row>
    <row r="584">
      <c r="H584" s="59">
        <v>231</v>
      </c>
      <c r="I584" s="55" t="str">
        <v>304 NT TH</v>
      </c>
      <c r="J584" s="56" t="str">
        <v>DV_Cắt</v>
      </c>
      <c r="K584" s="56">
        <v>1070</v>
      </c>
      <c r="L584" s="60" t="str">
        <f>K584-J584</f>
        <v>Combo Cắt gội Kid</v>
      </c>
      <c r="M584" s="57">
        <v>0.06796116504854366</v>
      </c>
      <c r="N584" s="58">
        <v>100000</v>
      </c>
      <c r="O584" s="58">
        <v>107000</v>
      </c>
      <c r="P584" s="61">
        <v>7000</v>
      </c>
    </row>
    <row r="585">
      <c r="H585" s="59">
        <v>231</v>
      </c>
      <c r="I585" s="55" t="str">
        <v>304 NT TH</v>
      </c>
      <c r="J585" s="56" t="str">
        <v>DV_Cắt</v>
      </c>
      <c r="K585" s="56">
        <v>1255</v>
      </c>
      <c r="L585" s="60" t="str">
        <f>K585-J585</f>
        <v>VH Cắt gội dưỡng sinh Vip</v>
      </c>
      <c r="M585" s="57">
        <v>0.06796116504854366</v>
      </c>
      <c r="N585" s="58">
        <v>258000</v>
      </c>
      <c r="O585" s="58">
        <v>276000</v>
      </c>
      <c r="P585" s="50">
        <v>18000</v>
      </c>
    </row>
    <row r="586">
      <c r="H586" s="59">
        <v>231</v>
      </c>
      <c r="I586" s="55" t="str">
        <v>304 NT TH</v>
      </c>
      <c r="J586" s="56" t="str">
        <v>DV_Cắt_Vip</v>
      </c>
      <c r="K586" s="56">
        <v>1046</v>
      </c>
      <c r="L586" s="60" t="str">
        <f>K586-J586</f>
        <v>Shinecombo 2</v>
      </c>
      <c r="M586" s="57">
        <v>0.06796116504854366</v>
      </c>
      <c r="N586" s="58">
        <v>208000</v>
      </c>
      <c r="O586" s="58">
        <v>222000</v>
      </c>
      <c r="P586" s="50">
        <v>14000</v>
      </c>
    </row>
    <row r="587">
      <c r="H587" s="59">
        <v>231</v>
      </c>
      <c r="I587" s="55" t="str">
        <v>304 NT TH</v>
      </c>
      <c r="J587" s="56" t="str">
        <v>DV_Cắt_Vip</v>
      </c>
      <c r="K587" s="56">
        <v>1047</v>
      </c>
      <c r="L587" s="60" t="str">
        <f>K587-J587</f>
        <v>Cắt Gội Combo 3 - Chăm da</v>
      </c>
      <c r="M587" s="57">
        <v>0.06796116504854366</v>
      </c>
      <c r="N587" s="58">
        <v>308000</v>
      </c>
      <c r="O587" s="58">
        <v>329000</v>
      </c>
      <c r="P587" s="61">
        <v>21000</v>
      </c>
    </row>
    <row r="588">
      <c r="H588" s="59">
        <v>231</v>
      </c>
      <c r="I588" s="55" t="str">
        <v>304 NT TH</v>
      </c>
      <c r="J588" s="56" t="str">
        <v>DV_Cắt_Vip</v>
      </c>
      <c r="K588" s="56">
        <v>1048</v>
      </c>
      <c r="L588" s="60" t="str">
        <f>K588-J588</f>
        <v>Combo 4</v>
      </c>
      <c r="M588" s="57">
        <v>0.06796116504854366</v>
      </c>
      <c r="N588" s="58">
        <v>398000</v>
      </c>
      <c r="O588" s="58">
        <v>425000</v>
      </c>
      <c r="P588" s="50">
        <v>27000</v>
      </c>
    </row>
    <row r="589">
      <c r="H589" s="59">
        <v>231</v>
      </c>
      <c r="I589" s="55" t="str">
        <v>304 NT TH</v>
      </c>
      <c r="J589" s="56" t="str">
        <v>DV_Cắt_Vip</v>
      </c>
      <c r="K589" s="56">
        <v>1064</v>
      </c>
      <c r="L589" s="60" t="str">
        <f>K589-J589</f>
        <v>Cắt Gội Combo 5 - Dưỡng sinh</v>
      </c>
      <c r="M589" s="57">
        <v>0.06796116504854366</v>
      </c>
      <c r="N589" s="58">
        <v>459000</v>
      </c>
      <c r="O589" s="58">
        <v>490000</v>
      </c>
      <c r="P589" s="50">
        <v>31000</v>
      </c>
    </row>
    <row r="590">
      <c r="H590" s="59">
        <v>231</v>
      </c>
      <c r="I590" s="55" t="str">
        <v>304 NT TH</v>
      </c>
      <c r="J590" s="56" t="str">
        <v>DV_Cắt_Vip</v>
      </c>
      <c r="K590" s="56">
        <v>1065</v>
      </c>
      <c r="L590" s="60" t="str">
        <f>K590-J590</f>
        <v>Cắt Gội Combo 3 - Dưỡng sinh</v>
      </c>
      <c r="M590" s="57">
        <v>0.06796116504854366</v>
      </c>
      <c r="N590" s="58">
        <v>308000</v>
      </c>
      <c r="O590" s="58">
        <v>329000</v>
      </c>
      <c r="P590" s="50">
        <v>21000</v>
      </c>
    </row>
    <row r="591">
      <c r="H591" s="59">
        <v>231</v>
      </c>
      <c r="I591" s="55" t="str">
        <v>304 NT TH</v>
      </c>
      <c r="J591" s="56" t="str">
        <v>DV_Cắt_Vip</v>
      </c>
      <c r="K591" s="56">
        <v>1256</v>
      </c>
      <c r="L591" s="60" t="str">
        <f>K591-J591</f>
        <v>VH Cắt gội dưỡng sinh Vip LRT</v>
      </c>
      <c r="M591" s="57">
        <v>0.06796116504854366</v>
      </c>
      <c r="N591" s="58">
        <v>308000</v>
      </c>
      <c r="O591" s="58">
        <v>329000</v>
      </c>
      <c r="P591" s="50">
        <v>21000</v>
      </c>
    </row>
    <row r="592">
      <c r="H592" s="59">
        <v>231</v>
      </c>
      <c r="I592" s="55" t="str">
        <v>304 NT TH</v>
      </c>
      <c r="J592" s="56" t="str">
        <v>DV_Cắt_Vip</v>
      </c>
      <c r="K592" s="56">
        <v>1257</v>
      </c>
      <c r="L592" s="60" t="str">
        <f>K592-J592</f>
        <v>VH Cắt gội thư giãn phục hồi</v>
      </c>
      <c r="M592" s="57">
        <v>0.06796116504854366</v>
      </c>
      <c r="N592" s="58">
        <v>458000</v>
      </c>
      <c r="O592" s="58">
        <v>489000</v>
      </c>
      <c r="P592" s="50">
        <v>31000</v>
      </c>
    </row>
    <row r="593">
      <c r="H593" s="59">
        <v>231</v>
      </c>
      <c r="I593" s="55" t="str">
        <v>304 NT TH</v>
      </c>
      <c r="J593" s="56" t="str">
        <v>DV_Gội</v>
      </c>
      <c r="K593" s="56">
        <v>867</v>
      </c>
      <c r="L593" s="60" t="str">
        <f>K593-J593</f>
        <v>Gội dưỡng sinh cổ vai gáy</v>
      </c>
      <c r="M593" s="57">
        <v>0.06796116504854366</v>
      </c>
      <c r="N593" s="58">
        <v>99000</v>
      </c>
      <c r="O593" s="58">
        <v>106000</v>
      </c>
      <c r="P593" s="50">
        <v>7000</v>
      </c>
    </row>
    <row r="594">
      <c r="H594" s="59">
        <v>231</v>
      </c>
      <c r="I594" s="55" t="str">
        <v>304 NT TH</v>
      </c>
      <c r="J594" s="56" t="str">
        <v>DV_Gội</v>
      </c>
      <c r="K594" s="56">
        <v>930</v>
      </c>
      <c r="L594" s="60" t="str">
        <f>K594-J594</f>
        <v>[NEW] Gội dưỡng sinh cổ vai gáy và chăm sóc da</v>
      </c>
      <c r="M594" s="57">
        <v>0.06796116504854366</v>
      </c>
      <c r="N594" s="58">
        <v>139000</v>
      </c>
      <c r="O594" s="58">
        <v>148000</v>
      </c>
      <c r="P594" s="50">
        <v>9000</v>
      </c>
    </row>
    <row r="595">
      <c r="H595" s="59">
        <v>231</v>
      </c>
      <c r="I595" s="55" t="str">
        <v>304 NT TH</v>
      </c>
      <c r="J595" s="56" t="str">
        <v>DV_Gội</v>
      </c>
      <c r="K595" s="56">
        <v>934</v>
      </c>
      <c r="L595" s="60" t="str">
        <f>K595-J595</f>
        <v>Gội combo 3 - Dưỡng sinh</v>
      </c>
      <c r="M595" s="57">
        <v>0.06796116504854366</v>
      </c>
      <c r="N595" s="58">
        <v>229000</v>
      </c>
      <c r="O595" s="58">
        <v>245000</v>
      </c>
      <c r="P595" s="50">
        <v>16000</v>
      </c>
    </row>
    <row r="596">
      <c r="H596" s="59">
        <v>231</v>
      </c>
      <c r="I596" s="55" t="str">
        <v>304 NT TH</v>
      </c>
      <c r="J596" s="56" t="str">
        <v>DV_Gội</v>
      </c>
      <c r="K596" s="56">
        <v>940</v>
      </c>
      <c r="L596" s="60" t="str">
        <f>K596-J596</f>
        <v>[NEW] Gội dưỡng sinh</v>
      </c>
      <c r="M596" s="57">
        <v>0.06796116504854366</v>
      </c>
      <c r="N596" s="58">
        <v>59000</v>
      </c>
      <c r="O596" s="58">
        <v>63000</v>
      </c>
      <c r="P596" s="50">
        <v>4000</v>
      </c>
    </row>
    <row r="597">
      <c r="H597" s="59">
        <v>231</v>
      </c>
      <c r="I597" s="55" t="str">
        <v>304 NT TH</v>
      </c>
      <c r="J597" s="56" t="str">
        <v>DV_Gội</v>
      </c>
      <c r="K597" s="56">
        <v>1058</v>
      </c>
      <c r="L597" s="60" t="str">
        <f>K597-J597</f>
        <v>Gội Combo 2</v>
      </c>
      <c r="M597" s="57">
        <v>0.06796116504854366</v>
      </c>
      <c r="N597" s="58">
        <v>159000</v>
      </c>
      <c r="O597" s="58">
        <v>170000</v>
      </c>
      <c r="P597" s="50">
        <v>11000</v>
      </c>
    </row>
    <row r="598">
      <c r="H598" s="59">
        <v>231</v>
      </c>
      <c r="I598" s="55" t="str">
        <v>304 NT TH</v>
      </c>
      <c r="J598" s="56" t="str">
        <v>DV_Gội</v>
      </c>
      <c r="K598" s="56">
        <v>1059</v>
      </c>
      <c r="L598" s="60" t="str">
        <f>K598-J598</f>
        <v>Gội Combo 3 - Chăm da</v>
      </c>
      <c r="M598" s="57">
        <v>0.06796116504854366</v>
      </c>
      <c r="N598" s="58">
        <v>219000</v>
      </c>
      <c r="O598" s="58">
        <v>234000</v>
      </c>
      <c r="P598" s="50">
        <v>15000</v>
      </c>
    </row>
    <row r="599">
      <c r="H599" s="59">
        <v>231</v>
      </c>
      <c r="I599" s="55" t="str">
        <v>304 NT TH</v>
      </c>
      <c r="J599" s="56" t="str">
        <v>DV_Gội</v>
      </c>
      <c r="K599" s="56">
        <v>1060</v>
      </c>
      <c r="L599" s="60" t="str">
        <f>K599-J599</f>
        <v>Gội Combo 4</v>
      </c>
      <c r="M599" s="57">
        <v>0.06796116504854366</v>
      </c>
      <c r="N599" s="58">
        <v>289000</v>
      </c>
      <c r="O599" s="58">
        <v>309000</v>
      </c>
      <c r="P599" s="50">
        <v>20000</v>
      </c>
    </row>
    <row r="600">
      <c r="H600" s="59">
        <v>231</v>
      </c>
      <c r="I600" s="55" t="str">
        <v>304 NT TH</v>
      </c>
      <c r="J600" s="56" t="str">
        <v>DV_Gội</v>
      </c>
      <c r="K600" s="56">
        <v>1066</v>
      </c>
      <c r="L600" s="60" t="str">
        <f>K600-J600</f>
        <v>Gội trải nghiệm 75p</v>
      </c>
      <c r="M600" s="57">
        <v>0.06796116504854366</v>
      </c>
      <c r="N600" s="58">
        <v>589000</v>
      </c>
      <c r="O600" s="58">
        <v>629000</v>
      </c>
      <c r="P600" s="50">
        <v>40000</v>
      </c>
    </row>
    <row r="601">
      <c r="H601" s="59">
        <v>231</v>
      </c>
      <c r="I601" s="55" t="str">
        <v>304 NT TH</v>
      </c>
      <c r="J601" s="56" t="str">
        <v>DV_Gội</v>
      </c>
      <c r="K601" s="56">
        <v>1067</v>
      </c>
      <c r="L601" s="60" t="str">
        <f>K601-J601</f>
        <v>Gội trải nghiệm 90p</v>
      </c>
      <c r="M601" s="57">
        <v>0.06796116504854366</v>
      </c>
      <c r="N601" s="58">
        <v>789000</v>
      </c>
      <c r="O601" s="58">
        <v>843000</v>
      </c>
      <c r="P601" s="50">
        <v>54000</v>
      </c>
    </row>
    <row r="602">
      <c r="H602" s="59">
        <v>231</v>
      </c>
      <c r="I602" s="55" t="str">
        <v>304 NT TH</v>
      </c>
      <c r="J602" s="56" t="str">
        <v>DV_Gội</v>
      </c>
      <c r="K602" s="56">
        <v>1068</v>
      </c>
      <c r="L602" s="60" t="str">
        <f>K602-J602</f>
        <v>Gội trải nghiệm 115p</v>
      </c>
      <c r="M602" s="57">
        <v>0.06796116504854366</v>
      </c>
      <c r="N602" s="58">
        <v>999000</v>
      </c>
      <c r="O602" s="58">
        <v>1067000</v>
      </c>
      <c r="P602" s="50">
        <v>68000</v>
      </c>
    </row>
    <row r="603">
      <c r="H603" s="59">
        <v>231</v>
      </c>
      <c r="I603" s="55" t="str">
        <v>304 NT TH</v>
      </c>
      <c r="J603" s="56" t="str">
        <v>DV_Gội</v>
      </c>
      <c r="K603" s="56">
        <v>1258</v>
      </c>
      <c r="L603" s="60" t="str">
        <f>K603-J603</f>
        <v>VH Gội Vip Dưỡng Sinh</v>
      </c>
      <c r="M603" s="57">
        <v>0.06796116504854366</v>
      </c>
      <c r="N603" s="58">
        <v>199000</v>
      </c>
      <c r="O603" s="58">
        <v>213000</v>
      </c>
      <c r="P603" s="50">
        <v>14000</v>
      </c>
    </row>
    <row r="604">
      <c r="H604" s="59">
        <v>231</v>
      </c>
      <c r="I604" s="55" t="str">
        <v>304 NT TH</v>
      </c>
      <c r="J604" s="56" t="str">
        <v>DV_Spa</v>
      </c>
      <c r="K604" s="56">
        <v>936</v>
      </c>
      <c r="L604" s="60" t="str">
        <f>K604-J604</f>
        <v>[NEW] Chăm sóc da Shine Spa 199k (có phân tích da)</v>
      </c>
      <c r="M604" s="57">
        <v>0.06796116504854366</v>
      </c>
      <c r="N604" s="58">
        <v>199000</v>
      </c>
      <c r="O604" s="58">
        <v>213000</v>
      </c>
      <c r="P604" s="50">
        <v>14000</v>
      </c>
    </row>
    <row r="605">
      <c r="H605" s="59">
        <v>69</v>
      </c>
      <c r="I605" s="55" t="str">
        <v>312 LVS</v>
      </c>
      <c r="J605" s="56" t="str">
        <v>DV_Cắt</v>
      </c>
      <c r="K605" s="56">
        <v>513</v>
      </c>
      <c r="L605" s="60" t="str">
        <f>K605-J605</f>
        <v>[DV] ShineCombo 10 bước Ultra Care 2023</v>
      </c>
      <c r="M605" s="57">
        <v>0.02061855670103085</v>
      </c>
      <c r="N605" s="58">
        <v>122000</v>
      </c>
      <c r="O605" s="58">
        <v>122000</v>
      </c>
      <c r="P605" s="50"/>
    </row>
    <row r="606">
      <c r="H606" s="59">
        <v>69</v>
      </c>
      <c r="I606" s="55" t="str">
        <v>312 LVS</v>
      </c>
      <c r="J606" s="56" t="str">
        <v>DV_Cắt</v>
      </c>
      <c r="K606" s="56">
        <v>891</v>
      </c>
      <c r="L606" s="60" t="str">
        <f>K606-J606</f>
        <v>Cắt xả tạo kiểu</v>
      </c>
      <c r="M606" s="57">
        <v>0.02061855670103085</v>
      </c>
      <c r="N606" s="58">
        <v>97000</v>
      </c>
      <c r="O606" s="58">
        <v>99000</v>
      </c>
      <c r="P606" s="61">
        <v>2000</v>
      </c>
    </row>
    <row r="607">
      <c r="H607" s="59">
        <v>69</v>
      </c>
      <c r="I607" s="55" t="str">
        <v>312 LVS</v>
      </c>
      <c r="J607" s="56" t="str">
        <v>DV_Cắt</v>
      </c>
      <c r="K607" s="56">
        <v>1002</v>
      </c>
      <c r="L607" s="60" t="str">
        <f>K607-J607</f>
        <v>Kid Cắt</v>
      </c>
      <c r="M607" s="57">
        <v>0.02061855670103085</v>
      </c>
      <c r="N607" s="58">
        <v>78000</v>
      </c>
      <c r="O607" s="58">
        <v>80000</v>
      </c>
      <c r="P607" s="50">
        <v>2000</v>
      </c>
    </row>
    <row r="608">
      <c r="H608" s="59">
        <v>69</v>
      </c>
      <c r="I608" s="55" t="str">
        <v>312 LVS</v>
      </c>
      <c r="J608" s="56" t="str">
        <v>DV_Cắt</v>
      </c>
      <c r="K608" s="56">
        <v>1070</v>
      </c>
      <c r="L608" s="60" t="str">
        <f>K608-J608</f>
        <v>Combo Cắt gội Kid</v>
      </c>
      <c r="M608" s="57">
        <v>0.02061855670103085</v>
      </c>
      <c r="N608" s="58">
        <v>100000</v>
      </c>
      <c r="O608" s="58">
        <v>102000</v>
      </c>
      <c r="P608" s="50">
        <v>2000</v>
      </c>
    </row>
    <row r="609">
      <c r="H609" s="59">
        <v>69</v>
      </c>
      <c r="I609" s="55" t="str">
        <v>312 LVS</v>
      </c>
      <c r="J609" s="56" t="str">
        <v>DV_Cắt_Vip</v>
      </c>
      <c r="K609" s="56">
        <v>1046</v>
      </c>
      <c r="L609" s="60" t="str">
        <f>K609-J609</f>
        <v>Shinecombo 2</v>
      </c>
      <c r="M609" s="57">
        <v>0.02061855670103085</v>
      </c>
      <c r="N609" s="58">
        <v>202000</v>
      </c>
      <c r="O609" s="58">
        <v>206000</v>
      </c>
      <c r="P609" s="50">
        <v>4000</v>
      </c>
    </row>
    <row r="610">
      <c r="H610" s="59">
        <v>69</v>
      </c>
      <c r="I610" s="55" t="str">
        <v>312 LVS</v>
      </c>
      <c r="J610" s="56" t="str">
        <v>DV_Cắt_Vip</v>
      </c>
      <c r="K610" s="56">
        <v>1047</v>
      </c>
      <c r="L610" s="60" t="str">
        <f>K610-J610</f>
        <v>Cắt Gội Combo 3 - Chăm da</v>
      </c>
      <c r="M610" s="57">
        <v>0.02061855670103085</v>
      </c>
      <c r="N610" s="58">
        <v>302000</v>
      </c>
      <c r="O610" s="58">
        <v>308000</v>
      </c>
      <c r="P610" s="50">
        <v>6000</v>
      </c>
    </row>
    <row r="611">
      <c r="H611" s="59">
        <v>69</v>
      </c>
      <c r="I611" s="55" t="str">
        <v>312 LVS</v>
      </c>
      <c r="J611" s="56" t="str">
        <v>DV_Cắt_Vip</v>
      </c>
      <c r="K611" s="56">
        <v>1048</v>
      </c>
      <c r="L611" s="60" t="str">
        <f>K611-J611</f>
        <v>Combo 4</v>
      </c>
      <c r="M611" s="57">
        <v>0.02061855670103085</v>
      </c>
      <c r="N611" s="58">
        <v>392000</v>
      </c>
      <c r="O611" s="58">
        <v>400000</v>
      </c>
      <c r="P611" s="50">
        <v>8000</v>
      </c>
    </row>
    <row r="612">
      <c r="H612" s="59">
        <v>69</v>
      </c>
      <c r="I612" s="55" t="str">
        <v>312 LVS</v>
      </c>
      <c r="J612" s="56" t="str">
        <v>DV_Cắt_Vip</v>
      </c>
      <c r="K612" s="56">
        <v>1049</v>
      </c>
      <c r="L612" s="60" t="str">
        <f>K612-J612</f>
        <v>Cắt Gội Combo 5 - Chăm da</v>
      </c>
      <c r="M612" s="57">
        <v>0.02061855670103085</v>
      </c>
      <c r="N612" s="58">
        <v>399000</v>
      </c>
      <c r="O612" s="58">
        <v>407000</v>
      </c>
      <c r="P612" s="50">
        <v>8000</v>
      </c>
    </row>
    <row r="613">
      <c r="H613" s="59">
        <v>69</v>
      </c>
      <c r="I613" s="55" t="str">
        <v>312 LVS</v>
      </c>
      <c r="J613" s="56" t="str">
        <v>DV_Cắt_Vip</v>
      </c>
      <c r="K613" s="56">
        <v>1064</v>
      </c>
      <c r="L613" s="60" t="str">
        <f>K613-J613</f>
        <v>Cắt Gội Combo 5 - Dưỡng sinh</v>
      </c>
      <c r="M613" s="57">
        <v>0.02061855670103085</v>
      </c>
      <c r="N613" s="58">
        <v>462000</v>
      </c>
      <c r="O613" s="58">
        <v>472000</v>
      </c>
      <c r="P613" s="50">
        <v>10000</v>
      </c>
    </row>
    <row r="614">
      <c r="H614" s="59">
        <v>69</v>
      </c>
      <c r="I614" s="55" t="str">
        <v>312 LVS</v>
      </c>
      <c r="J614" s="56" t="str">
        <v>DV_Cắt_Vip</v>
      </c>
      <c r="K614" s="56">
        <v>1065</v>
      </c>
      <c r="L614" s="60" t="str">
        <f>K614-J614</f>
        <v>Cắt Gội Combo 3 - Dưỡng sinh</v>
      </c>
      <c r="M614" s="57">
        <v>0.02061855670103085</v>
      </c>
      <c r="N614" s="58">
        <v>302000</v>
      </c>
      <c r="O614" s="58">
        <v>308000</v>
      </c>
      <c r="P614" s="50">
        <v>6000</v>
      </c>
    </row>
    <row r="615">
      <c r="H615" s="59">
        <v>69</v>
      </c>
      <c r="I615" s="55" t="str">
        <v>312 LVS</v>
      </c>
      <c r="J615" s="56" t="str">
        <v>DV_Gội</v>
      </c>
      <c r="K615" s="56">
        <v>867</v>
      </c>
      <c r="L615" s="60" t="str">
        <f>K615-J615</f>
        <v>Gội dưỡng sinh cổ vai gáy</v>
      </c>
      <c r="M615" s="57">
        <v>0.02061855670103085</v>
      </c>
      <c r="N615" s="58">
        <v>100000</v>
      </c>
      <c r="O615" s="58">
        <v>102000</v>
      </c>
      <c r="P615" s="50">
        <v>2000</v>
      </c>
    </row>
    <row r="616">
      <c r="H616" s="59">
        <v>69</v>
      </c>
      <c r="I616" s="55" t="str">
        <v>312 LVS</v>
      </c>
      <c r="J616" s="56" t="str">
        <v>DV_Gội</v>
      </c>
      <c r="K616" s="56">
        <v>930</v>
      </c>
      <c r="L616" s="60" t="str">
        <f>K616-J616</f>
        <v>[NEW] Gội dưỡng sinh cổ vai gáy và chăm sóc da</v>
      </c>
      <c r="M616" s="57">
        <v>0.02061855670103085</v>
      </c>
      <c r="N616" s="58">
        <v>139000</v>
      </c>
      <c r="O616" s="58">
        <v>142000</v>
      </c>
      <c r="P616" s="50">
        <v>3000</v>
      </c>
    </row>
    <row r="617">
      <c r="H617" s="59">
        <v>69</v>
      </c>
      <c r="I617" s="55" t="str">
        <v>312 LVS</v>
      </c>
      <c r="J617" s="56" t="str">
        <v>DV_Gội</v>
      </c>
      <c r="K617" s="56">
        <v>932</v>
      </c>
      <c r="L617" s="60" t="str">
        <f>K617-J617</f>
        <v>Gội combo 5 dưỡng sinh</v>
      </c>
      <c r="M617" s="57">
        <v>0.02061855670103085</v>
      </c>
      <c r="N617" s="58">
        <v>399000</v>
      </c>
      <c r="O617" s="58">
        <v>407000</v>
      </c>
      <c r="P617" s="50">
        <v>8000</v>
      </c>
    </row>
    <row r="618">
      <c r="H618" s="59">
        <v>69</v>
      </c>
      <c r="I618" s="55" t="str">
        <v>312 LVS</v>
      </c>
      <c r="J618" s="56" t="str">
        <v>DV_Gội</v>
      </c>
      <c r="K618" s="56">
        <v>934</v>
      </c>
      <c r="L618" s="60" t="str">
        <f>K618-J618</f>
        <v>Gội combo 3 - Dưỡng sinh</v>
      </c>
      <c r="M618" s="57">
        <v>0.02061855670103085</v>
      </c>
      <c r="N618" s="58">
        <v>229000</v>
      </c>
      <c r="O618" s="58">
        <v>234000</v>
      </c>
      <c r="P618" s="50">
        <v>5000</v>
      </c>
    </row>
    <row r="619">
      <c r="H619" s="59">
        <v>69</v>
      </c>
      <c r="I619" s="55" t="str">
        <v>312 LVS</v>
      </c>
      <c r="J619" s="56" t="str">
        <v>DV_Gội</v>
      </c>
      <c r="K619" s="56">
        <v>940</v>
      </c>
      <c r="L619" s="60" t="str">
        <f>K619-J619</f>
        <v>[NEW] Gội dưỡng sinh</v>
      </c>
      <c r="M619" s="57">
        <v>0.02061855670103085</v>
      </c>
      <c r="N619" s="58">
        <v>59000</v>
      </c>
      <c r="O619" s="58">
        <v>60000</v>
      </c>
      <c r="P619" s="50">
        <v>1000</v>
      </c>
    </row>
    <row r="620">
      <c r="H620" s="59">
        <v>69</v>
      </c>
      <c r="I620" s="55" t="str">
        <v>312 LVS</v>
      </c>
      <c r="J620" s="56" t="str">
        <v>DV_Gội</v>
      </c>
      <c r="K620" s="56">
        <v>1058</v>
      </c>
      <c r="L620" s="60" t="str">
        <f>K620-J620</f>
        <v>Gội Combo 2</v>
      </c>
      <c r="M620" s="57">
        <v>0.02061855670103085</v>
      </c>
      <c r="N620" s="58">
        <v>159000</v>
      </c>
      <c r="O620" s="58">
        <v>162000</v>
      </c>
      <c r="P620" s="50">
        <v>3000</v>
      </c>
    </row>
    <row r="621">
      <c r="H621" s="59">
        <v>69</v>
      </c>
      <c r="I621" s="55" t="str">
        <v>312 LVS</v>
      </c>
      <c r="J621" s="56" t="str">
        <v>DV_Gội</v>
      </c>
      <c r="K621" s="56">
        <v>1059</v>
      </c>
      <c r="L621" s="60" t="str">
        <f>K621-J621</f>
        <v>Gội Combo 3 - Chăm da</v>
      </c>
      <c r="M621" s="57">
        <v>0.02061855670103085</v>
      </c>
      <c r="N621" s="58">
        <v>239000</v>
      </c>
      <c r="O621" s="58">
        <v>244000</v>
      </c>
      <c r="P621" s="50">
        <v>5000</v>
      </c>
    </row>
    <row r="622">
      <c r="H622" s="59">
        <v>69</v>
      </c>
      <c r="I622" s="55" t="str">
        <v>312 LVS</v>
      </c>
      <c r="J622" s="56" t="str">
        <v>DV_Gội</v>
      </c>
      <c r="K622" s="56">
        <v>1060</v>
      </c>
      <c r="L622" s="60" t="str">
        <f>K622-J622</f>
        <v>Gội Combo 4</v>
      </c>
      <c r="M622" s="57">
        <v>0.02061855670103085</v>
      </c>
      <c r="N622" s="58">
        <v>319000</v>
      </c>
      <c r="O622" s="58">
        <v>326000</v>
      </c>
      <c r="P622" s="50">
        <v>7000</v>
      </c>
    </row>
    <row r="623">
      <c r="H623" s="59">
        <v>69</v>
      </c>
      <c r="I623" s="55" t="str">
        <v>312 LVS</v>
      </c>
      <c r="J623" s="56" t="str">
        <v>DV_Gội</v>
      </c>
      <c r="K623" s="56">
        <v>1061</v>
      </c>
      <c r="L623" s="60" t="str">
        <f>K623-J623</f>
        <v>Gội Combo 5 - Chăm da</v>
      </c>
      <c r="M623" s="57">
        <v>0.02061855670103085</v>
      </c>
      <c r="N623" s="58">
        <v>359000</v>
      </c>
      <c r="O623" s="58">
        <v>366000</v>
      </c>
      <c r="P623" s="61">
        <v>7000</v>
      </c>
    </row>
    <row r="624">
      <c r="H624" s="59">
        <v>69</v>
      </c>
      <c r="I624" s="55" t="str">
        <v>312 LVS</v>
      </c>
      <c r="J624" s="56" t="str">
        <v>DV_Gội</v>
      </c>
      <c r="K624" s="56">
        <v>1066</v>
      </c>
      <c r="L624" s="60" t="str">
        <f>K624-J624</f>
        <v>Gội trải nghiệm 75p</v>
      </c>
      <c r="M624" s="57">
        <v>0.02061855670103085</v>
      </c>
      <c r="N624" s="58">
        <v>589000</v>
      </c>
      <c r="O624" s="58">
        <v>601000</v>
      </c>
      <c r="P624" s="61">
        <v>12000</v>
      </c>
    </row>
    <row r="625">
      <c r="H625" s="59">
        <v>69</v>
      </c>
      <c r="I625" s="55" t="str">
        <v>312 LVS</v>
      </c>
      <c r="J625" s="56" t="str">
        <v>DV_Gội</v>
      </c>
      <c r="K625" s="56">
        <v>1067</v>
      </c>
      <c r="L625" s="60" t="str">
        <f>K625-J625</f>
        <v>Gội trải nghiệm 90p</v>
      </c>
      <c r="M625" s="57">
        <v>0.02061855670103085</v>
      </c>
      <c r="N625" s="58">
        <v>789000</v>
      </c>
      <c r="O625" s="58">
        <v>805000</v>
      </c>
      <c r="P625" s="61">
        <v>16000</v>
      </c>
    </row>
    <row r="626">
      <c r="H626" s="59">
        <v>69</v>
      </c>
      <c r="I626" s="55" t="str">
        <v>312 LVS</v>
      </c>
      <c r="J626" s="56" t="str">
        <v>DV_Gội</v>
      </c>
      <c r="K626" s="56">
        <v>1068</v>
      </c>
      <c r="L626" s="60" t="str">
        <f>K626-J626</f>
        <v>Gội trải nghiệm 115p</v>
      </c>
      <c r="M626" s="57">
        <v>0.02061855670103085</v>
      </c>
      <c r="N626" s="58">
        <v>999000</v>
      </c>
      <c r="O626" s="58">
        <v>1020000</v>
      </c>
      <c r="P626" s="61">
        <v>21000</v>
      </c>
    </row>
    <row r="627">
      <c r="H627" s="59">
        <v>69</v>
      </c>
      <c r="I627" s="55" t="str">
        <v>312 LVS</v>
      </c>
      <c r="J627" s="56" t="str">
        <v>DV_Spa</v>
      </c>
      <c r="K627" s="56">
        <v>936</v>
      </c>
      <c r="L627" s="60" t="str">
        <f>K627-J627</f>
        <v>[NEW] Chăm sóc da Shine Spa 199k (có phân tích da)</v>
      </c>
      <c r="M627" s="57">
        <v>0.02061855670103085</v>
      </c>
      <c r="N627" s="58">
        <v>199000</v>
      </c>
      <c r="O627" s="58">
        <v>203000</v>
      </c>
      <c r="P627" s="61">
        <v>4000</v>
      </c>
    </row>
    <row r="628">
      <c r="H628" s="59">
        <v>274</v>
      </c>
      <c r="I628" s="55" t="str">
        <v>32 NAT</v>
      </c>
      <c r="J628" s="56" t="str">
        <v>DV_Cắt</v>
      </c>
      <c r="K628" s="56">
        <v>513</v>
      </c>
      <c r="L628" s="60" t="str">
        <f>K628-J628</f>
        <v>[DV] ShineCombo 10 bước Ultra Care 2023</v>
      </c>
      <c r="M628" s="57">
        <v>0.04854368932038833</v>
      </c>
      <c r="N628" s="58">
        <v>122000</v>
      </c>
      <c r="O628" s="58">
        <v>122000</v>
      </c>
      <c r="P628" s="61"/>
    </row>
    <row r="629">
      <c r="H629" s="59">
        <v>274</v>
      </c>
      <c r="I629" s="55" t="str">
        <v>32 NAT</v>
      </c>
      <c r="J629" s="56" t="str">
        <v>DV_Cắt</v>
      </c>
      <c r="K629" s="56">
        <v>891</v>
      </c>
      <c r="L629" s="60" t="str">
        <f>K629-J629</f>
        <v>Cắt xả tạo kiểu</v>
      </c>
      <c r="M629" s="57">
        <v>0.04854368932038833</v>
      </c>
      <c r="N629" s="58">
        <v>103000</v>
      </c>
      <c r="O629" s="58">
        <v>108000</v>
      </c>
      <c r="P629" s="61">
        <v>5000</v>
      </c>
    </row>
    <row r="630">
      <c r="H630" s="59">
        <v>274</v>
      </c>
      <c r="I630" s="55" t="str">
        <v>32 NAT</v>
      </c>
      <c r="J630" s="56" t="str">
        <v>DV_Cắt</v>
      </c>
      <c r="K630" s="56">
        <v>1002</v>
      </c>
      <c r="L630" s="60" t="str">
        <f>K630-J630</f>
        <v>Kid Cắt</v>
      </c>
      <c r="M630" s="57">
        <v>0.04854368932038833</v>
      </c>
      <c r="N630" s="58">
        <v>84000</v>
      </c>
      <c r="O630" s="58">
        <v>88000</v>
      </c>
      <c r="P630" s="61">
        <v>4000</v>
      </c>
    </row>
    <row r="631">
      <c r="H631" s="59">
        <v>274</v>
      </c>
      <c r="I631" s="55" t="str">
        <v>32 NAT</v>
      </c>
      <c r="J631" s="56" t="str">
        <v>DV_Cắt</v>
      </c>
      <c r="K631" s="56">
        <v>1070</v>
      </c>
      <c r="L631" s="60" t="str">
        <f>K631-J631</f>
        <v>Combo Cắt gội Kid</v>
      </c>
      <c r="M631" s="57">
        <v>0.04854368932038833</v>
      </c>
      <c r="N631" s="58">
        <v>100000</v>
      </c>
      <c r="O631" s="58">
        <v>105000</v>
      </c>
      <c r="P631" s="61">
        <v>5000</v>
      </c>
    </row>
    <row r="632">
      <c r="H632" s="59">
        <v>274</v>
      </c>
      <c r="I632" s="55" t="str">
        <v>32 NAT</v>
      </c>
      <c r="J632" s="56" t="str">
        <v>DV_Cắt_Vip</v>
      </c>
      <c r="K632" s="56">
        <v>1046</v>
      </c>
      <c r="L632" s="60" t="str">
        <f>K632-J632</f>
        <v>Shinecombo 2</v>
      </c>
      <c r="M632" s="57">
        <v>0.04854368932038833</v>
      </c>
      <c r="N632" s="58">
        <v>208000</v>
      </c>
      <c r="O632" s="58">
        <v>218000</v>
      </c>
      <c r="P632" s="61">
        <v>10000</v>
      </c>
    </row>
    <row r="633">
      <c r="H633" s="59">
        <v>274</v>
      </c>
      <c r="I633" s="55" t="str">
        <v>32 NAT</v>
      </c>
      <c r="J633" s="56" t="str">
        <v>DV_Cắt_Vip</v>
      </c>
      <c r="K633" s="56">
        <v>1047</v>
      </c>
      <c r="L633" s="60" t="str">
        <f>K633-J633</f>
        <v>Cắt Gội Combo 3 - Chăm da</v>
      </c>
      <c r="M633" s="57">
        <v>0.04854368932038833</v>
      </c>
      <c r="N633" s="58">
        <v>308000</v>
      </c>
      <c r="O633" s="58">
        <v>323000</v>
      </c>
      <c r="P633" s="61">
        <v>15000</v>
      </c>
    </row>
    <row r="634">
      <c r="H634" s="59">
        <v>274</v>
      </c>
      <c r="I634" s="55" t="str">
        <v>32 NAT</v>
      </c>
      <c r="J634" s="56" t="str">
        <v>DV_Cắt_Vip</v>
      </c>
      <c r="K634" s="56">
        <v>1048</v>
      </c>
      <c r="L634" s="60" t="str">
        <f>K634-J634</f>
        <v>Combo 4</v>
      </c>
      <c r="M634" s="57">
        <v>0.04854368932038833</v>
      </c>
      <c r="N634" s="58">
        <v>398000</v>
      </c>
      <c r="O634" s="58">
        <v>417000</v>
      </c>
      <c r="P634" s="61">
        <v>19000</v>
      </c>
    </row>
    <row r="635">
      <c r="H635" s="59">
        <v>274</v>
      </c>
      <c r="I635" s="55" t="str">
        <v>32 NAT</v>
      </c>
      <c r="J635" s="56" t="str">
        <v>DV_Cắt_Vip</v>
      </c>
      <c r="K635" s="56">
        <v>1064</v>
      </c>
      <c r="L635" s="60" t="str">
        <f>K635-J635</f>
        <v>Cắt Gội Combo 5 - Dưỡng sinh</v>
      </c>
      <c r="M635" s="57">
        <v>0.04854368932038833</v>
      </c>
      <c r="N635" s="58">
        <v>459000</v>
      </c>
      <c r="O635" s="58">
        <v>481000</v>
      </c>
      <c r="P635" s="61">
        <v>22000</v>
      </c>
    </row>
    <row r="636">
      <c r="H636" s="59">
        <v>274</v>
      </c>
      <c r="I636" s="55" t="str">
        <v>32 NAT</v>
      </c>
      <c r="J636" s="56" t="str">
        <v>DV_Cắt_Vip</v>
      </c>
      <c r="K636" s="56">
        <v>1065</v>
      </c>
      <c r="L636" s="60" t="str">
        <f>K636-J636</f>
        <v>Cắt Gội Combo 3 - Dưỡng sinh</v>
      </c>
      <c r="M636" s="57">
        <v>0.04854368932038833</v>
      </c>
      <c r="N636" s="58">
        <v>308000</v>
      </c>
      <c r="O636" s="58">
        <v>323000</v>
      </c>
      <c r="P636" s="61">
        <v>15000</v>
      </c>
    </row>
    <row r="637">
      <c r="H637" s="59">
        <v>274</v>
      </c>
      <c r="I637" s="55" t="str">
        <v>32 NAT</v>
      </c>
      <c r="J637" s="56" t="str">
        <v>DV_Gội</v>
      </c>
      <c r="K637" s="56">
        <v>867</v>
      </c>
      <c r="L637" s="60" t="str">
        <f>K637-J637</f>
        <v>Gội dưỡng sinh cổ vai gáy</v>
      </c>
      <c r="M637" s="57">
        <v>0.04854368932038833</v>
      </c>
      <c r="N637" s="58">
        <v>99000</v>
      </c>
      <c r="O637" s="58">
        <v>104000</v>
      </c>
      <c r="P637" s="61">
        <v>5000</v>
      </c>
    </row>
    <row r="638">
      <c r="H638" s="59">
        <v>274</v>
      </c>
      <c r="I638" s="55" t="str">
        <v>32 NAT</v>
      </c>
      <c r="J638" s="56" t="str">
        <v>DV_Gội</v>
      </c>
      <c r="K638" s="56">
        <v>930</v>
      </c>
      <c r="L638" s="60" t="str">
        <f>K638-J638</f>
        <v>[NEW] Gội dưỡng sinh cổ vai gáy và chăm sóc da</v>
      </c>
      <c r="M638" s="57">
        <v>0.04854368932038833</v>
      </c>
      <c r="N638" s="58">
        <v>139000</v>
      </c>
      <c r="O638" s="58">
        <v>146000</v>
      </c>
      <c r="P638" s="61">
        <v>7000</v>
      </c>
    </row>
    <row r="639">
      <c r="H639" s="59">
        <v>274</v>
      </c>
      <c r="I639" s="55" t="str">
        <v>32 NAT</v>
      </c>
      <c r="J639" s="56" t="str">
        <v>DV_Gội</v>
      </c>
      <c r="K639" s="56">
        <v>934</v>
      </c>
      <c r="L639" s="60" t="str">
        <f>K639-J639</f>
        <v>Gội combo 3 - Dưỡng sinh</v>
      </c>
      <c r="M639" s="57">
        <v>0.04854368932038833</v>
      </c>
      <c r="N639" s="58">
        <v>229000</v>
      </c>
      <c r="O639" s="58">
        <v>240000</v>
      </c>
      <c r="P639" s="61">
        <v>11000</v>
      </c>
    </row>
    <row r="640">
      <c r="H640" s="59">
        <v>274</v>
      </c>
      <c r="I640" s="55" t="str">
        <v>32 NAT</v>
      </c>
      <c r="J640" s="56" t="str">
        <v>DV_Gội</v>
      </c>
      <c r="K640" s="56">
        <v>940</v>
      </c>
      <c r="L640" s="60" t="str">
        <f>K640-J640</f>
        <v>[NEW] Gội dưỡng sinh</v>
      </c>
      <c r="M640" s="57">
        <v>0.04854368932038833</v>
      </c>
      <c r="N640" s="58">
        <v>59000</v>
      </c>
      <c r="O640" s="58">
        <v>62000</v>
      </c>
      <c r="P640" s="61">
        <v>3000</v>
      </c>
    </row>
    <row r="641">
      <c r="H641" s="59">
        <v>274</v>
      </c>
      <c r="I641" s="55" t="str">
        <v>32 NAT</v>
      </c>
      <c r="J641" s="56" t="str">
        <v>DV_Gội</v>
      </c>
      <c r="K641" s="56">
        <v>1058</v>
      </c>
      <c r="L641" s="60" t="str">
        <f>K641-J641</f>
        <v>Gội Combo 2</v>
      </c>
      <c r="M641" s="57">
        <v>0.04854368932038833</v>
      </c>
      <c r="N641" s="58">
        <v>159000</v>
      </c>
      <c r="O641" s="58">
        <v>167000</v>
      </c>
      <c r="P641" s="61">
        <v>8000</v>
      </c>
    </row>
    <row r="642">
      <c r="H642" s="59">
        <v>274</v>
      </c>
      <c r="I642" s="55" t="str">
        <v>32 NAT</v>
      </c>
      <c r="J642" s="56" t="str">
        <v>DV_Gội</v>
      </c>
      <c r="K642" s="56">
        <v>1059</v>
      </c>
      <c r="L642" s="60" t="str">
        <f>K642-J642</f>
        <v>Gội Combo 3 - Chăm da</v>
      </c>
      <c r="M642" s="57">
        <v>0.04854368932038833</v>
      </c>
      <c r="N642" s="58">
        <v>239000</v>
      </c>
      <c r="O642" s="58">
        <v>251000</v>
      </c>
      <c r="P642" s="61">
        <v>12000</v>
      </c>
    </row>
    <row r="643">
      <c r="H643" s="59">
        <v>274</v>
      </c>
      <c r="I643" s="55" t="str">
        <v>32 NAT</v>
      </c>
      <c r="J643" s="56" t="str">
        <v>DV_Gội</v>
      </c>
      <c r="K643" s="56">
        <v>1060</v>
      </c>
      <c r="L643" s="60" t="str">
        <f>K643-J643</f>
        <v>Gội Combo 4</v>
      </c>
      <c r="M643" s="57">
        <v>0.04854368932038833</v>
      </c>
      <c r="N643" s="58">
        <v>289000</v>
      </c>
      <c r="O643" s="58">
        <v>303000</v>
      </c>
      <c r="P643" s="61">
        <v>14000</v>
      </c>
    </row>
    <row r="644">
      <c r="H644" s="59">
        <v>274</v>
      </c>
      <c r="I644" s="55" t="str">
        <v>32 NAT</v>
      </c>
      <c r="J644" s="56" t="str">
        <v>DV_Gội</v>
      </c>
      <c r="K644" s="56">
        <v>1061</v>
      </c>
      <c r="L644" s="60" t="str">
        <f>K644-J644</f>
        <v>Gội Combo 5 - Chăm da</v>
      </c>
      <c r="M644" s="57">
        <v>0.04854368932038833</v>
      </c>
      <c r="N644" s="58">
        <v>359000</v>
      </c>
      <c r="O644" s="58">
        <v>376000</v>
      </c>
      <c r="P644" s="61">
        <v>17000</v>
      </c>
    </row>
    <row r="645">
      <c r="H645" s="59">
        <v>274</v>
      </c>
      <c r="I645" s="55" t="str">
        <v>32 NAT</v>
      </c>
      <c r="J645" s="56" t="str">
        <v>DV_Gội</v>
      </c>
      <c r="K645" s="56">
        <v>1066</v>
      </c>
      <c r="L645" s="60" t="str">
        <f>K645-J645</f>
        <v>Gội trải nghiệm 75p</v>
      </c>
      <c r="M645" s="57">
        <v>0.04854368932038833</v>
      </c>
      <c r="N645" s="58">
        <v>589000</v>
      </c>
      <c r="O645" s="58">
        <v>618000</v>
      </c>
      <c r="P645" s="61">
        <v>29000</v>
      </c>
    </row>
    <row r="646">
      <c r="H646" s="59">
        <v>274</v>
      </c>
      <c r="I646" s="55" t="str">
        <v>32 NAT</v>
      </c>
      <c r="J646" s="56" t="str">
        <v>DV_Gội</v>
      </c>
      <c r="K646" s="56">
        <v>1067</v>
      </c>
      <c r="L646" s="60" t="str">
        <f>K646-J646</f>
        <v>Gội trải nghiệm 90p</v>
      </c>
      <c r="M646" s="57">
        <v>0.04854368932038833</v>
      </c>
      <c r="N646" s="58">
        <v>789000</v>
      </c>
      <c r="O646" s="58">
        <v>827000</v>
      </c>
      <c r="P646" s="61">
        <v>38000</v>
      </c>
    </row>
    <row r="647">
      <c r="H647" s="59">
        <v>274</v>
      </c>
      <c r="I647" s="55" t="str">
        <v>32 NAT</v>
      </c>
      <c r="J647" s="56" t="str">
        <v>DV_Gội</v>
      </c>
      <c r="K647" s="56">
        <v>1068</v>
      </c>
      <c r="L647" s="60" t="str">
        <f>K647-J647</f>
        <v>Gội trải nghiệm 115p</v>
      </c>
      <c r="M647" s="57">
        <v>0.04854368932038833</v>
      </c>
      <c r="N647" s="58">
        <v>999000</v>
      </c>
      <c r="O647" s="58">
        <v>1047000</v>
      </c>
      <c r="P647" s="61">
        <v>48000</v>
      </c>
    </row>
    <row r="648">
      <c r="H648" s="59">
        <v>274</v>
      </c>
      <c r="I648" s="55" t="str">
        <v>32 NAT</v>
      </c>
      <c r="J648" s="56" t="str">
        <v>DV_Gội</v>
      </c>
      <c r="K648" s="56">
        <v>1104</v>
      </c>
      <c r="L648" s="60" t="str">
        <f>K648-J648</f>
        <v>Dual Vip Combo 60p</v>
      </c>
      <c r="M648" s="57">
        <v>0.04854368932038833</v>
      </c>
      <c r="N648" s="58">
        <v>349500</v>
      </c>
      <c r="O648" s="58">
        <v>366000</v>
      </c>
      <c r="P648" s="61">
        <v>16500</v>
      </c>
    </row>
    <row r="649">
      <c r="H649" s="59">
        <v>274</v>
      </c>
      <c r="I649" s="55" t="str">
        <v>32 NAT</v>
      </c>
      <c r="J649" s="56" t="str">
        <v>DV_Spa</v>
      </c>
      <c r="K649" s="56">
        <v>936</v>
      </c>
      <c r="L649" s="60" t="str">
        <f>K649-J649</f>
        <v>[NEW] Chăm sóc da Shine Spa 199k (có phân tích da)</v>
      </c>
      <c r="M649" s="57">
        <v>0.04854368932038833</v>
      </c>
      <c r="N649" s="58">
        <v>199000</v>
      </c>
      <c r="O649" s="58">
        <v>209000</v>
      </c>
      <c r="P649" s="61">
        <v>10000</v>
      </c>
    </row>
    <row r="650">
      <c r="H650" s="59">
        <v>205</v>
      </c>
      <c r="I650" s="55" t="str">
        <v>341 XVNT</v>
      </c>
      <c r="J650" s="56" t="str">
        <v>DV_Cắt</v>
      </c>
      <c r="K650" s="56">
        <v>513</v>
      </c>
      <c r="L650" s="60" t="str">
        <f>K650-J650</f>
        <v>[DV] ShineCombo 10 bước Ultra Care 2023</v>
      </c>
      <c r="M650" s="57">
        <v>0.02105263157894743</v>
      </c>
      <c r="N650" s="58">
        <v>122000</v>
      </c>
      <c r="O650" s="58">
        <v>122000</v>
      </c>
      <c r="P650" s="61"/>
    </row>
    <row r="651">
      <c r="H651" s="59">
        <v>205</v>
      </c>
      <c r="I651" s="55" t="str">
        <v>341 XVNT</v>
      </c>
      <c r="J651" s="56" t="str">
        <v>DV_Cắt</v>
      </c>
      <c r="K651" s="56">
        <v>891</v>
      </c>
      <c r="L651" s="60" t="str">
        <f>K651-J651</f>
        <v>Cắt xả tạo kiểu</v>
      </c>
      <c r="M651" s="57">
        <v>0.02105263157894743</v>
      </c>
      <c r="N651" s="58">
        <v>95000</v>
      </c>
      <c r="O651" s="58">
        <v>97000</v>
      </c>
      <c r="P651" s="61">
        <v>2000</v>
      </c>
    </row>
    <row r="652">
      <c r="H652" s="59">
        <v>205</v>
      </c>
      <c r="I652" s="55" t="str">
        <v>341 XVNT</v>
      </c>
      <c r="J652" s="56" t="str">
        <v>DV_Cắt</v>
      </c>
      <c r="K652" s="56">
        <v>1002</v>
      </c>
      <c r="L652" s="60" t="str">
        <f>K652-J652</f>
        <v>Kid Cắt</v>
      </c>
      <c r="M652" s="57">
        <v>0.02105263157894743</v>
      </c>
      <c r="N652" s="58">
        <v>76000</v>
      </c>
      <c r="O652" s="58">
        <v>78000</v>
      </c>
      <c r="P652" s="50">
        <v>2000</v>
      </c>
    </row>
    <row r="653">
      <c r="H653" s="59">
        <v>205</v>
      </c>
      <c r="I653" s="55" t="str">
        <v>341 XVNT</v>
      </c>
      <c r="J653" s="56" t="str">
        <v>DV_Cắt</v>
      </c>
      <c r="K653" s="56">
        <v>1070</v>
      </c>
      <c r="L653" s="60" t="str">
        <f>K653-J653</f>
        <v>Combo Cắt gội Kid</v>
      </c>
      <c r="M653" s="57">
        <v>0.02105263157894743</v>
      </c>
      <c r="N653" s="58">
        <v>100000</v>
      </c>
      <c r="O653" s="58">
        <v>102000</v>
      </c>
      <c r="P653" s="50">
        <v>2000</v>
      </c>
    </row>
    <row r="654">
      <c r="H654" s="59">
        <v>205</v>
      </c>
      <c r="I654" s="55" t="str">
        <v>341 XVNT</v>
      </c>
      <c r="J654" s="56" t="str">
        <v>DV_Cắt_Vip</v>
      </c>
      <c r="K654" s="56">
        <v>1046</v>
      </c>
      <c r="L654" s="60" t="str">
        <f>K654-J654</f>
        <v>Shinecombo 2</v>
      </c>
      <c r="M654" s="57">
        <v>0.02105263157894743</v>
      </c>
      <c r="N654" s="58">
        <v>200000</v>
      </c>
      <c r="O654" s="58">
        <v>204000</v>
      </c>
      <c r="P654" s="61">
        <v>4000</v>
      </c>
    </row>
    <row r="655">
      <c r="H655" s="59">
        <v>205</v>
      </c>
      <c r="I655" s="55" t="str">
        <v>341 XVNT</v>
      </c>
      <c r="J655" s="56" t="str">
        <v>DV_Cắt_Vip</v>
      </c>
      <c r="K655" s="56">
        <v>1047</v>
      </c>
      <c r="L655" s="60" t="str">
        <f>K655-J655</f>
        <v>Cắt Gội Combo 3 - Chăm da</v>
      </c>
      <c r="M655" s="57">
        <v>0.02105263157894743</v>
      </c>
      <c r="N655" s="58">
        <v>300000</v>
      </c>
      <c r="O655" s="58">
        <v>306000</v>
      </c>
      <c r="P655" s="50">
        <v>6000</v>
      </c>
    </row>
    <row r="656">
      <c r="H656" s="59">
        <v>205</v>
      </c>
      <c r="I656" s="55" t="str">
        <v>341 XVNT</v>
      </c>
      <c r="J656" s="56" t="str">
        <v>DV_Cắt_Vip</v>
      </c>
      <c r="K656" s="56">
        <v>1048</v>
      </c>
      <c r="L656" s="60" t="str">
        <f>K656-J656</f>
        <v>Combo 4</v>
      </c>
      <c r="M656" s="57">
        <v>0.02105263157894743</v>
      </c>
      <c r="N656" s="58">
        <v>390000</v>
      </c>
      <c r="O656" s="58">
        <v>398000</v>
      </c>
      <c r="P656" s="50">
        <v>8000</v>
      </c>
    </row>
    <row r="657">
      <c r="H657" s="59">
        <v>205</v>
      </c>
      <c r="I657" s="55" t="str">
        <v>341 XVNT</v>
      </c>
      <c r="J657" s="56" t="str">
        <v>DV_Cắt_Vip</v>
      </c>
      <c r="K657" s="56">
        <v>1064</v>
      </c>
      <c r="L657" s="60" t="str">
        <f>K657-J657</f>
        <v>Cắt Gội Combo 5 - Dưỡng sinh</v>
      </c>
      <c r="M657" s="57">
        <v>0.02105263157894743</v>
      </c>
      <c r="N657" s="58">
        <v>459000</v>
      </c>
      <c r="O657" s="58">
        <v>469000</v>
      </c>
      <c r="P657" s="50">
        <v>10000</v>
      </c>
    </row>
    <row r="658">
      <c r="H658" s="59">
        <v>205</v>
      </c>
      <c r="I658" s="55" t="str">
        <v>341 XVNT</v>
      </c>
      <c r="J658" s="56" t="str">
        <v>DV_Cắt_Vip</v>
      </c>
      <c r="K658" s="56">
        <v>1065</v>
      </c>
      <c r="L658" s="60" t="str">
        <f>K658-J658</f>
        <v>Cắt Gội Combo 3 - Dưỡng sinh</v>
      </c>
      <c r="M658" s="57">
        <v>0.02105263157894743</v>
      </c>
      <c r="N658" s="58">
        <v>299000</v>
      </c>
      <c r="O658" s="58">
        <v>305000</v>
      </c>
      <c r="P658" s="50">
        <v>6000</v>
      </c>
    </row>
    <row r="659">
      <c r="H659" s="59">
        <v>205</v>
      </c>
      <c r="I659" s="55" t="str">
        <v>341 XVNT</v>
      </c>
      <c r="J659" s="56" t="str">
        <v>DV_Gội</v>
      </c>
      <c r="K659" s="56">
        <v>867</v>
      </c>
      <c r="L659" s="60" t="str">
        <f>K659-J659</f>
        <v>Gội dưỡng sinh cổ vai gáy</v>
      </c>
      <c r="M659" s="57">
        <v>0.02105263157894743</v>
      </c>
      <c r="N659" s="58">
        <v>99000</v>
      </c>
      <c r="O659" s="58">
        <v>101000</v>
      </c>
      <c r="P659" s="50">
        <v>2000</v>
      </c>
    </row>
    <row r="660">
      <c r="H660" s="59">
        <v>205</v>
      </c>
      <c r="I660" s="55" t="str">
        <v>341 XVNT</v>
      </c>
      <c r="J660" s="56" t="str">
        <v>DV_Gội</v>
      </c>
      <c r="K660" s="56">
        <v>930</v>
      </c>
      <c r="L660" s="60" t="str">
        <f>K660-J660</f>
        <v>[NEW] Gội dưỡng sinh cổ vai gáy và chăm sóc da</v>
      </c>
      <c r="M660" s="57">
        <v>0.02105263157894743</v>
      </c>
      <c r="N660" s="58">
        <v>139000</v>
      </c>
      <c r="O660" s="58">
        <v>142000</v>
      </c>
      <c r="P660" s="50">
        <v>3000</v>
      </c>
    </row>
    <row r="661">
      <c r="H661" s="59">
        <v>205</v>
      </c>
      <c r="I661" s="55" t="str">
        <v>341 XVNT</v>
      </c>
      <c r="J661" s="56" t="str">
        <v>DV_Gội</v>
      </c>
      <c r="K661" s="56">
        <v>934</v>
      </c>
      <c r="L661" s="60" t="str">
        <f>K661-J661</f>
        <v>Gội combo 3 - Dưỡng sinh</v>
      </c>
      <c r="M661" s="57">
        <v>0.02105263157894743</v>
      </c>
      <c r="N661" s="58">
        <v>229000</v>
      </c>
      <c r="O661" s="58">
        <v>234000</v>
      </c>
      <c r="P661" s="50">
        <v>5000</v>
      </c>
    </row>
    <row r="662">
      <c r="H662" s="59">
        <v>205</v>
      </c>
      <c r="I662" s="55" t="str">
        <v>341 XVNT</v>
      </c>
      <c r="J662" s="56" t="str">
        <v>DV_Gội</v>
      </c>
      <c r="K662" s="56">
        <v>940</v>
      </c>
      <c r="L662" s="60" t="str">
        <f>K662-J662</f>
        <v>[NEW] Gội dưỡng sinh</v>
      </c>
      <c r="M662" s="57">
        <v>0.02105263157894743</v>
      </c>
      <c r="N662" s="58">
        <v>59000</v>
      </c>
      <c r="O662" s="58">
        <v>60000</v>
      </c>
      <c r="P662" s="50">
        <v>1000</v>
      </c>
    </row>
    <row r="663">
      <c r="H663" s="59">
        <v>205</v>
      </c>
      <c r="I663" s="55" t="str">
        <v>341 XVNT</v>
      </c>
      <c r="J663" s="56" t="str">
        <v>DV_Gội</v>
      </c>
      <c r="K663" s="56">
        <v>1058</v>
      </c>
      <c r="L663" s="60" t="str">
        <f>K663-J663</f>
        <v>Gội Combo 2</v>
      </c>
      <c r="M663" s="57">
        <v>0.02105263157894743</v>
      </c>
      <c r="N663" s="58">
        <v>159000</v>
      </c>
      <c r="O663" s="58">
        <v>162000</v>
      </c>
      <c r="P663" s="50">
        <v>3000</v>
      </c>
    </row>
    <row r="664">
      <c r="H664" s="59">
        <v>205</v>
      </c>
      <c r="I664" s="55" t="str">
        <v>341 XVNT</v>
      </c>
      <c r="J664" s="56" t="str">
        <v>DV_Gội</v>
      </c>
      <c r="K664" s="56">
        <v>1059</v>
      </c>
      <c r="L664" s="60" t="str">
        <f>K664-J664</f>
        <v>Gội Combo 3 - Chăm da</v>
      </c>
      <c r="M664" s="57">
        <v>0.02105263157894743</v>
      </c>
      <c r="N664" s="58">
        <v>239000</v>
      </c>
      <c r="O664" s="58">
        <v>244000</v>
      </c>
      <c r="P664" s="50">
        <v>5000</v>
      </c>
    </row>
    <row r="665">
      <c r="H665" s="59">
        <v>205</v>
      </c>
      <c r="I665" s="55" t="str">
        <v>341 XVNT</v>
      </c>
      <c r="J665" s="56" t="str">
        <v>DV_Gội</v>
      </c>
      <c r="K665" s="56">
        <v>1060</v>
      </c>
      <c r="L665" s="60" t="str">
        <f>K665-J665</f>
        <v>Gội Combo 4</v>
      </c>
      <c r="M665" s="57">
        <v>0.02105263157894743</v>
      </c>
      <c r="N665" s="58">
        <v>319000</v>
      </c>
      <c r="O665" s="58">
        <v>326000</v>
      </c>
      <c r="P665" s="50">
        <v>7000</v>
      </c>
    </row>
    <row r="666">
      <c r="H666" s="59">
        <v>205</v>
      </c>
      <c r="I666" s="55" t="str">
        <v>341 XVNT</v>
      </c>
      <c r="J666" s="56" t="str">
        <v>DV_Gội</v>
      </c>
      <c r="K666" s="56">
        <v>1066</v>
      </c>
      <c r="L666" s="60" t="str">
        <f>K666-J666</f>
        <v>Gội trải nghiệm 75p</v>
      </c>
      <c r="M666" s="57">
        <v>0.02105263157894743</v>
      </c>
      <c r="N666" s="58">
        <v>589000</v>
      </c>
      <c r="O666" s="58">
        <v>601000</v>
      </c>
      <c r="P666" s="61">
        <v>12000</v>
      </c>
    </row>
    <row r="667">
      <c r="H667" s="59">
        <v>205</v>
      </c>
      <c r="I667" s="55" t="str">
        <v>341 XVNT</v>
      </c>
      <c r="J667" s="56" t="str">
        <v>DV_Gội</v>
      </c>
      <c r="K667" s="56">
        <v>1067</v>
      </c>
      <c r="L667" s="60" t="str">
        <f>K667-J667</f>
        <v>Gội trải nghiệm 90p</v>
      </c>
      <c r="M667" s="57">
        <v>0.02105263157894743</v>
      </c>
      <c r="N667" s="58">
        <v>789000</v>
      </c>
      <c r="O667" s="58">
        <v>806000</v>
      </c>
      <c r="P667" s="50">
        <v>17000</v>
      </c>
    </row>
    <row r="668">
      <c r="H668" s="59">
        <v>205</v>
      </c>
      <c r="I668" s="55" t="str">
        <v>341 XVNT</v>
      </c>
      <c r="J668" s="56" t="str">
        <v>DV_Gội</v>
      </c>
      <c r="K668" s="56">
        <v>1068</v>
      </c>
      <c r="L668" s="60" t="str">
        <f>K668-J668</f>
        <v>Gội trải nghiệm 115p</v>
      </c>
      <c r="M668" s="57">
        <v>0.02105263157894743</v>
      </c>
      <c r="N668" s="58">
        <v>999000</v>
      </c>
      <c r="O668" s="58">
        <v>1020000</v>
      </c>
      <c r="P668" s="50">
        <v>21000</v>
      </c>
    </row>
    <row r="669">
      <c r="H669" s="59">
        <v>205</v>
      </c>
      <c r="I669" s="55" t="str">
        <v>341 XVNT</v>
      </c>
      <c r="J669" s="56" t="str">
        <v>DV_Spa</v>
      </c>
      <c r="K669" s="56">
        <v>936</v>
      </c>
      <c r="L669" s="60" t="str">
        <f>K669-J669</f>
        <v>[NEW] Chăm sóc da Shine Spa 199k (có phân tích da)</v>
      </c>
      <c r="M669" s="57">
        <v>0.02105263157894743</v>
      </c>
      <c r="N669" s="58">
        <v>199000</v>
      </c>
      <c r="O669" s="58">
        <v>203000</v>
      </c>
      <c r="P669" s="50">
        <v>4000</v>
      </c>
    </row>
    <row r="670">
      <c r="H670" s="59">
        <v>2</v>
      </c>
      <c r="I670" s="55" t="str">
        <v>346 KT</v>
      </c>
      <c r="J670" s="56" t="str">
        <v>DV_Cắt</v>
      </c>
      <c r="K670" s="56">
        <v>513</v>
      </c>
      <c r="L670" s="60" t="str">
        <f>K670-J670</f>
        <v>[DV] ShineCombo 10 bước Ultra Care 2023</v>
      </c>
      <c r="M670" s="57">
        <v>0.01000000000000001</v>
      </c>
      <c r="N670" s="58">
        <v>122000</v>
      </c>
      <c r="O670" s="58">
        <v>122000</v>
      </c>
      <c r="P670" s="50"/>
    </row>
    <row r="671">
      <c r="H671" s="59">
        <v>2</v>
      </c>
      <c r="I671" s="55" t="str">
        <v>346 KT</v>
      </c>
      <c r="J671" s="56" t="str">
        <v>DV_Cắt</v>
      </c>
      <c r="K671" s="56">
        <v>891</v>
      </c>
      <c r="L671" s="60" t="str">
        <f>K671-J671</f>
        <v>Cắt xả tạo kiểu</v>
      </c>
      <c r="M671" s="57">
        <v>0.01000000000000001</v>
      </c>
      <c r="N671" s="58">
        <v>100000</v>
      </c>
      <c r="O671" s="58">
        <v>101000</v>
      </c>
      <c r="P671" s="50">
        <v>1000</v>
      </c>
    </row>
    <row r="672">
      <c r="H672" s="59">
        <v>2</v>
      </c>
      <c r="I672" s="55" t="str">
        <v>346 KT</v>
      </c>
      <c r="J672" s="56" t="str">
        <v>DV_Cắt</v>
      </c>
      <c r="K672" s="56">
        <v>1002</v>
      </c>
      <c r="L672" s="60" t="str">
        <f>K672-J672</f>
        <v>Kid Cắt</v>
      </c>
      <c r="M672" s="57">
        <v>0.01000000000000001</v>
      </c>
      <c r="N672" s="58">
        <v>81000</v>
      </c>
      <c r="O672" s="58">
        <v>82000</v>
      </c>
      <c r="P672" s="50">
        <v>1000</v>
      </c>
    </row>
    <row r="673">
      <c r="H673" s="59">
        <v>2</v>
      </c>
      <c r="I673" s="55" t="str">
        <v>346 KT</v>
      </c>
      <c r="J673" s="56" t="str">
        <v>DV_Cắt</v>
      </c>
      <c r="K673" s="56">
        <v>1070</v>
      </c>
      <c r="L673" s="60" t="str">
        <f>K673-J673</f>
        <v>Combo Cắt gội Kid</v>
      </c>
      <c r="M673" s="57">
        <v>0.01000000000000001</v>
      </c>
      <c r="N673" s="58">
        <v>100000</v>
      </c>
      <c r="O673" s="58">
        <v>101000</v>
      </c>
      <c r="P673" s="50">
        <v>1000</v>
      </c>
    </row>
    <row r="674">
      <c r="H674" s="59">
        <v>2</v>
      </c>
      <c r="I674" s="55" t="str">
        <v>346 KT</v>
      </c>
      <c r="J674" s="56" t="str">
        <v>DV_Cắt_Vip</v>
      </c>
      <c r="K674" s="56">
        <v>1046</v>
      </c>
      <c r="L674" s="60" t="str">
        <f>K674-J674</f>
        <v>Shinecombo 2</v>
      </c>
      <c r="M674" s="57">
        <v>0.01000000000000001</v>
      </c>
      <c r="N674" s="58">
        <v>205000</v>
      </c>
      <c r="O674" s="58">
        <v>207000</v>
      </c>
      <c r="P674" s="50">
        <v>2000</v>
      </c>
    </row>
    <row r="675">
      <c r="H675" s="59">
        <v>2</v>
      </c>
      <c r="I675" s="55" t="str">
        <v>346 KT</v>
      </c>
      <c r="J675" s="56" t="str">
        <v>DV_Cắt_Vip</v>
      </c>
      <c r="K675" s="56">
        <v>1047</v>
      </c>
      <c r="L675" s="60" t="str">
        <f>K675-J675</f>
        <v>Cắt Gội Combo 3 - Chăm da</v>
      </c>
      <c r="M675" s="57">
        <v>0.01000000000000001</v>
      </c>
      <c r="N675" s="58">
        <v>305000</v>
      </c>
      <c r="O675" s="58">
        <v>308000</v>
      </c>
      <c r="P675" s="50">
        <v>3000</v>
      </c>
    </row>
    <row r="676">
      <c r="H676" s="59">
        <v>2</v>
      </c>
      <c r="I676" s="55" t="str">
        <v>346 KT</v>
      </c>
      <c r="J676" s="56" t="str">
        <v>DV_Cắt_Vip</v>
      </c>
      <c r="K676" s="56">
        <v>1048</v>
      </c>
      <c r="L676" s="60" t="str">
        <f>K676-J676</f>
        <v>Combo 4</v>
      </c>
      <c r="M676" s="57">
        <v>0.01000000000000001</v>
      </c>
      <c r="N676" s="58">
        <v>395000</v>
      </c>
      <c r="O676" s="58">
        <v>399000</v>
      </c>
      <c r="P676" s="50">
        <v>4000</v>
      </c>
    </row>
    <row r="677">
      <c r="H677" s="59">
        <v>2</v>
      </c>
      <c r="I677" s="55" t="str">
        <v>346 KT</v>
      </c>
      <c r="J677" s="56" t="str">
        <v>DV_Cắt_Vip</v>
      </c>
      <c r="K677" s="56">
        <v>1064</v>
      </c>
      <c r="L677" s="60" t="str">
        <f>K677-J677</f>
        <v>Cắt Gội Combo 5 - Dưỡng sinh</v>
      </c>
      <c r="M677" s="57">
        <v>0.01000000000000001</v>
      </c>
      <c r="N677" s="58">
        <v>465000</v>
      </c>
      <c r="O677" s="58">
        <v>470000</v>
      </c>
      <c r="P677" s="50">
        <v>5000</v>
      </c>
    </row>
    <row r="678">
      <c r="H678" s="59">
        <v>2</v>
      </c>
      <c r="I678" s="55" t="str">
        <v>346 KT</v>
      </c>
      <c r="J678" s="56" t="str">
        <v>DV_Cắt_Vip</v>
      </c>
      <c r="K678" s="56">
        <v>1065</v>
      </c>
      <c r="L678" s="60" t="str">
        <f>K678-J678</f>
        <v>Cắt Gội Combo 3 - Dưỡng sinh</v>
      </c>
      <c r="M678" s="57">
        <v>0.01000000000000001</v>
      </c>
      <c r="N678" s="58">
        <v>305000</v>
      </c>
      <c r="O678" s="58">
        <v>308000</v>
      </c>
      <c r="P678" s="50">
        <v>3000</v>
      </c>
    </row>
    <row r="679">
      <c r="H679" s="59">
        <v>2</v>
      </c>
      <c r="I679" s="55" t="str">
        <v>346 KT</v>
      </c>
      <c r="J679" s="56" t="str">
        <v>DV_Gội</v>
      </c>
      <c r="K679" s="56">
        <v>867</v>
      </c>
      <c r="L679" s="60" t="str">
        <f>K679-J679</f>
        <v>Gội dưỡng sinh cổ vai gáy</v>
      </c>
      <c r="M679" s="57">
        <v>0.01000000000000001</v>
      </c>
      <c r="N679" s="58">
        <v>99000</v>
      </c>
      <c r="O679" s="58">
        <v>100000</v>
      </c>
      <c r="P679" s="50">
        <v>1000</v>
      </c>
    </row>
    <row r="680">
      <c r="H680" s="59">
        <v>2</v>
      </c>
      <c r="I680" s="55" t="str">
        <v>346 KT</v>
      </c>
      <c r="J680" s="56" t="str">
        <v>DV_Gội</v>
      </c>
      <c r="K680" s="56">
        <v>930</v>
      </c>
      <c r="L680" s="60" t="str">
        <f>K680-J680</f>
        <v>[NEW] Gội dưỡng sinh cổ vai gáy và chăm sóc da</v>
      </c>
      <c r="M680" s="57">
        <v>0.01000000000000001</v>
      </c>
      <c r="N680" s="58">
        <v>139000</v>
      </c>
      <c r="O680" s="58">
        <v>140000</v>
      </c>
      <c r="P680" s="50">
        <v>1000</v>
      </c>
    </row>
    <row r="681">
      <c r="H681" s="59">
        <v>2</v>
      </c>
      <c r="I681" s="55" t="str">
        <v>346 KT</v>
      </c>
      <c r="J681" s="56" t="str">
        <v>DV_Gội</v>
      </c>
      <c r="K681" s="56">
        <v>934</v>
      </c>
      <c r="L681" s="60" t="str">
        <f>K681-J681</f>
        <v>Gội combo 3 - Dưỡng sinh</v>
      </c>
      <c r="M681" s="57">
        <v>0.01000000000000001</v>
      </c>
      <c r="N681" s="58">
        <v>229000</v>
      </c>
      <c r="O681" s="58">
        <v>231000</v>
      </c>
      <c r="P681" s="50">
        <v>2000</v>
      </c>
    </row>
    <row r="682">
      <c r="H682" s="59">
        <v>2</v>
      </c>
      <c r="I682" s="55" t="str">
        <v>346 KT</v>
      </c>
      <c r="J682" s="56" t="str">
        <v>DV_Gội</v>
      </c>
      <c r="K682" s="56">
        <v>940</v>
      </c>
      <c r="L682" s="60" t="str">
        <f>K682-J682</f>
        <v>[NEW] Gội dưỡng sinh</v>
      </c>
      <c r="M682" s="57">
        <v>0.01000000000000001</v>
      </c>
      <c r="N682" s="58">
        <v>59000</v>
      </c>
      <c r="O682" s="58">
        <v>60000</v>
      </c>
      <c r="P682" s="61">
        <v>1000</v>
      </c>
    </row>
    <row r="683">
      <c r="H683" s="59">
        <v>2</v>
      </c>
      <c r="I683" s="55" t="str">
        <v>346 KT</v>
      </c>
      <c r="J683" s="56" t="str">
        <v>DV_Gội</v>
      </c>
      <c r="K683" s="56">
        <v>1058</v>
      </c>
      <c r="L683" s="60" t="str">
        <f>K683-J683</f>
        <v>Gội Combo 2</v>
      </c>
      <c r="M683" s="57">
        <v>0.01000000000000001</v>
      </c>
      <c r="N683" s="58">
        <v>159000</v>
      </c>
      <c r="O683" s="58">
        <v>161000</v>
      </c>
      <c r="P683" s="50">
        <v>2000</v>
      </c>
    </row>
    <row r="684">
      <c r="H684" s="59">
        <v>2</v>
      </c>
      <c r="I684" s="55" t="str">
        <v>346 KT</v>
      </c>
      <c r="J684" s="56" t="str">
        <v>DV_Gội</v>
      </c>
      <c r="K684" s="56">
        <v>1059</v>
      </c>
      <c r="L684" s="60" t="str">
        <f>K684-J684</f>
        <v>Gội Combo 3 - Chăm da</v>
      </c>
      <c r="M684" s="57">
        <v>0.01000000000000001</v>
      </c>
      <c r="N684" s="58">
        <v>239000</v>
      </c>
      <c r="O684" s="58">
        <v>241000</v>
      </c>
      <c r="P684" s="50">
        <v>2000</v>
      </c>
    </row>
    <row r="685">
      <c r="H685" s="59">
        <v>2</v>
      </c>
      <c r="I685" s="55" t="str">
        <v>346 KT</v>
      </c>
      <c r="J685" s="56" t="str">
        <v>DV_Gội</v>
      </c>
      <c r="K685" s="56">
        <v>1060</v>
      </c>
      <c r="L685" s="60" t="str">
        <f>K685-J685</f>
        <v>Gội Combo 4</v>
      </c>
      <c r="M685" s="57">
        <v>0.01000000000000001</v>
      </c>
      <c r="N685" s="58">
        <v>319000</v>
      </c>
      <c r="O685" s="58">
        <v>322000</v>
      </c>
      <c r="P685" s="50">
        <v>3000</v>
      </c>
    </row>
    <row r="686">
      <c r="H686" s="59">
        <v>2</v>
      </c>
      <c r="I686" s="55" t="str">
        <v>346 KT</v>
      </c>
      <c r="J686" s="56" t="str">
        <v>DV_Gội</v>
      </c>
      <c r="K686" s="56">
        <v>1066</v>
      </c>
      <c r="L686" s="60" t="str">
        <f>K686-J686</f>
        <v>Gội trải nghiệm 75p</v>
      </c>
      <c r="M686" s="57">
        <v>0.01000000000000001</v>
      </c>
      <c r="N686" s="58">
        <v>589000</v>
      </c>
      <c r="O686" s="58">
        <v>595000</v>
      </c>
      <c r="P686" s="50">
        <v>6000</v>
      </c>
    </row>
    <row r="687">
      <c r="H687" s="59">
        <v>2</v>
      </c>
      <c r="I687" s="55" t="str">
        <v>346 KT</v>
      </c>
      <c r="J687" s="56" t="str">
        <v>DV_Gội</v>
      </c>
      <c r="K687" s="56">
        <v>1067</v>
      </c>
      <c r="L687" s="60" t="str">
        <f>K687-J687</f>
        <v>Gội trải nghiệm 90p</v>
      </c>
      <c r="M687" s="57">
        <v>0.01000000000000001</v>
      </c>
      <c r="N687" s="58">
        <v>789000</v>
      </c>
      <c r="O687" s="58">
        <v>797000</v>
      </c>
      <c r="P687" s="50">
        <v>8000</v>
      </c>
    </row>
    <row r="688">
      <c r="H688" s="59">
        <v>2</v>
      </c>
      <c r="I688" s="55" t="str">
        <v>346 KT</v>
      </c>
      <c r="J688" s="56" t="str">
        <v>DV_Gội</v>
      </c>
      <c r="K688" s="56">
        <v>1068</v>
      </c>
      <c r="L688" s="60" t="str">
        <f>K688-J688</f>
        <v>Gội trải nghiệm 115p</v>
      </c>
      <c r="M688" s="57">
        <v>0.01000000000000001</v>
      </c>
      <c r="N688" s="58">
        <v>999000</v>
      </c>
      <c r="O688" s="58">
        <v>1009000</v>
      </c>
      <c r="P688" s="50">
        <v>10000</v>
      </c>
    </row>
    <row r="689">
      <c r="H689" s="59">
        <v>2</v>
      </c>
      <c r="I689" s="55" t="str">
        <v>346 KT</v>
      </c>
      <c r="J689" s="56" t="str">
        <v>DV_Spa</v>
      </c>
      <c r="K689" s="56">
        <v>936</v>
      </c>
      <c r="L689" s="60" t="str">
        <f>K689-J689</f>
        <v>[NEW] Chăm sóc da Shine Spa 199k (có phân tích da)</v>
      </c>
      <c r="M689" s="57">
        <v>0.01000000000000001</v>
      </c>
      <c r="N689" s="58">
        <v>199000</v>
      </c>
      <c r="O689" s="58">
        <v>201000</v>
      </c>
      <c r="P689" s="50">
        <v>2000</v>
      </c>
    </row>
    <row r="690">
      <c r="H690" s="59">
        <v>184</v>
      </c>
      <c r="I690" s="55" t="str">
        <v>36 N1 BD</v>
      </c>
      <c r="J690" s="56" t="str">
        <v>DV_Cắt</v>
      </c>
      <c r="K690" s="56">
        <v>513</v>
      </c>
      <c r="L690" s="60" t="str">
        <f>K690-J690</f>
        <v>[DV] ShineCombo 10 bước Ultra Care 2023</v>
      </c>
      <c r="M690" s="57">
        <v>0.1170212765957446</v>
      </c>
      <c r="N690" s="58">
        <v>122000</v>
      </c>
      <c r="O690" s="58">
        <v>122000</v>
      </c>
      <c r="P690" s="50"/>
    </row>
    <row r="691">
      <c r="H691" s="59">
        <v>184</v>
      </c>
      <c r="I691" s="55" t="str">
        <v>36 N1 BD</v>
      </c>
      <c r="J691" s="56" t="str">
        <v>DV_Cắt</v>
      </c>
      <c r="K691" s="56">
        <v>891</v>
      </c>
      <c r="L691" s="60" t="str">
        <f>K691-J691</f>
        <v>Cắt xả tạo kiểu</v>
      </c>
      <c r="M691" s="57">
        <v>0.1170212765957446</v>
      </c>
      <c r="N691" s="58">
        <v>94000</v>
      </c>
      <c r="O691" s="58">
        <v>105000</v>
      </c>
      <c r="P691" s="50">
        <v>11000</v>
      </c>
    </row>
    <row r="692">
      <c r="H692" s="59">
        <v>184</v>
      </c>
      <c r="I692" s="55" t="str">
        <v>36 N1 BD</v>
      </c>
      <c r="J692" s="56" t="str">
        <v>DV_Cắt</v>
      </c>
      <c r="K692" s="56">
        <v>1002</v>
      </c>
      <c r="L692" s="60" t="str">
        <f>K692-J692</f>
        <v>Kid Cắt</v>
      </c>
      <c r="M692" s="57">
        <v>0.1170212765957446</v>
      </c>
      <c r="N692" s="58">
        <v>75000</v>
      </c>
      <c r="O692" s="58">
        <v>86000</v>
      </c>
      <c r="P692" s="50">
        <v>11000</v>
      </c>
    </row>
    <row r="693">
      <c r="H693" s="59">
        <v>184</v>
      </c>
      <c r="I693" s="55" t="str">
        <v>36 N1 BD</v>
      </c>
      <c r="J693" s="56" t="str">
        <v>DV_Cắt</v>
      </c>
      <c r="K693" s="56">
        <v>1070</v>
      </c>
      <c r="L693" s="60" t="str">
        <f>K693-J693</f>
        <v>Combo Cắt gội Kid</v>
      </c>
      <c r="M693" s="57">
        <v>0.1170212765957446</v>
      </c>
      <c r="N693" s="58">
        <v>100000</v>
      </c>
      <c r="O693" s="58">
        <v>111000</v>
      </c>
      <c r="P693" s="50">
        <v>11000</v>
      </c>
    </row>
    <row r="694">
      <c r="H694" s="59">
        <v>184</v>
      </c>
      <c r="I694" s="55" t="str">
        <v>36 N1 BD</v>
      </c>
      <c r="J694" s="56" t="str">
        <v>DV_Cắt_Vip</v>
      </c>
      <c r="K694" s="56">
        <v>1046</v>
      </c>
      <c r="L694" s="60" t="str">
        <f>K694-J694</f>
        <v>Shinecombo 2</v>
      </c>
      <c r="M694" s="57">
        <v>0.1170212765957446</v>
      </c>
      <c r="N694" s="58">
        <v>199000</v>
      </c>
      <c r="O694" s="58">
        <v>210000</v>
      </c>
      <c r="P694" s="50">
        <v>11000</v>
      </c>
    </row>
    <row r="695">
      <c r="H695" s="59">
        <v>184</v>
      </c>
      <c r="I695" s="55" t="str">
        <v>36 N1 BD</v>
      </c>
      <c r="J695" s="56" t="str">
        <v>DV_Cắt_Vip</v>
      </c>
      <c r="K695" s="56">
        <v>1047</v>
      </c>
      <c r="L695" s="60" t="str">
        <f>K695-J695</f>
        <v>Cắt Gội Combo 3 - Chăm da</v>
      </c>
      <c r="M695" s="57">
        <v>0.1170212765957446</v>
      </c>
      <c r="N695" s="58">
        <v>299000</v>
      </c>
      <c r="O695" s="58">
        <v>310000</v>
      </c>
      <c r="P695" s="50">
        <v>11000</v>
      </c>
    </row>
    <row r="696">
      <c r="H696" s="59">
        <v>184</v>
      </c>
      <c r="I696" s="55" t="str">
        <v>36 N1 BD</v>
      </c>
      <c r="J696" s="56" t="str">
        <v>DV_Cắt_Vip</v>
      </c>
      <c r="K696" s="56">
        <v>1048</v>
      </c>
      <c r="L696" s="60" t="str">
        <f>K696-J696</f>
        <v>Combo 4</v>
      </c>
      <c r="M696" s="57">
        <v>0.1170212765957446</v>
      </c>
      <c r="N696" s="58">
        <v>389000</v>
      </c>
      <c r="O696" s="58">
        <v>400000</v>
      </c>
      <c r="P696" s="50">
        <v>11000</v>
      </c>
    </row>
    <row r="697">
      <c r="H697" s="59">
        <v>184</v>
      </c>
      <c r="I697" s="55" t="str">
        <v>36 N1 BD</v>
      </c>
      <c r="J697" s="56" t="str">
        <v>DV_Cắt_Vip</v>
      </c>
      <c r="K697" s="56">
        <v>1064</v>
      </c>
      <c r="L697" s="60" t="str">
        <f>K697-J697</f>
        <v>Cắt Gội Combo 5 - Dưỡng sinh</v>
      </c>
      <c r="M697" s="57">
        <v>0.1170212765957446</v>
      </c>
      <c r="N697" s="58">
        <v>459000</v>
      </c>
      <c r="O697" s="58">
        <v>470000</v>
      </c>
      <c r="P697" s="50">
        <v>11000</v>
      </c>
    </row>
    <row r="698">
      <c r="H698" s="59">
        <v>184</v>
      </c>
      <c r="I698" s="55" t="str">
        <v>36 N1 BD</v>
      </c>
      <c r="J698" s="56" t="str">
        <v>DV_Cắt_Vip</v>
      </c>
      <c r="K698" s="56">
        <v>1065</v>
      </c>
      <c r="L698" s="60" t="str">
        <f>K698-J698</f>
        <v>Cắt Gội Combo 3 - Dưỡng sinh</v>
      </c>
      <c r="M698" s="57">
        <v>0.1170212765957446</v>
      </c>
      <c r="N698" s="58">
        <v>299000</v>
      </c>
      <c r="O698" s="58">
        <v>310000</v>
      </c>
      <c r="P698" s="50">
        <v>11000</v>
      </c>
    </row>
    <row r="699">
      <c r="H699" s="59">
        <v>184</v>
      </c>
      <c r="I699" s="55" t="str">
        <v>36 N1 BD</v>
      </c>
      <c r="J699" s="56" t="str">
        <v>DV_Cắt_Vip</v>
      </c>
      <c r="K699" s="56">
        <v>1150</v>
      </c>
      <c r="L699" s="60" t="str">
        <f>K699-J699</f>
        <v>Combo cắt gội đỉnh cao thư giãn vip</v>
      </c>
      <c r="M699" s="57">
        <v>0.1170212765957446</v>
      </c>
      <c r="N699" s="58">
        <v>500000</v>
      </c>
      <c r="O699" s="58">
        <v>511000</v>
      </c>
      <c r="P699" s="61">
        <v>11000</v>
      </c>
    </row>
    <row r="700">
      <c r="H700" s="59">
        <v>184</v>
      </c>
      <c r="I700" s="55" t="str">
        <v>36 N1 BD</v>
      </c>
      <c r="J700" s="56" t="str">
        <v>DV_Gội</v>
      </c>
      <c r="K700" s="56">
        <v>867</v>
      </c>
      <c r="L700" s="60" t="str">
        <f>K700-J700</f>
        <v>Gội dưỡng sinh cổ vai gáy</v>
      </c>
      <c r="M700" s="57">
        <v>0.1170212765957446</v>
      </c>
      <c r="N700" s="58">
        <v>79000</v>
      </c>
      <c r="O700" s="58">
        <v>90000</v>
      </c>
      <c r="P700" s="61">
        <v>11000</v>
      </c>
    </row>
    <row r="701">
      <c r="H701" s="59">
        <v>184</v>
      </c>
      <c r="I701" s="55" t="str">
        <v>36 N1 BD</v>
      </c>
      <c r="J701" s="56" t="str">
        <v>DV_Gội</v>
      </c>
      <c r="K701" s="56">
        <v>930</v>
      </c>
      <c r="L701" s="60" t="str">
        <f>K701-J701</f>
        <v>[NEW] Gội dưỡng sinh cổ vai gáy và chăm sóc da</v>
      </c>
      <c r="M701" s="57">
        <v>0.1170212765957446</v>
      </c>
      <c r="N701" s="58">
        <v>139000</v>
      </c>
      <c r="O701" s="58">
        <v>150000</v>
      </c>
      <c r="P701" s="61">
        <v>11000</v>
      </c>
    </row>
    <row r="702">
      <c r="H702" s="59">
        <v>184</v>
      </c>
      <c r="I702" s="55" t="str">
        <v>36 N1 BD</v>
      </c>
      <c r="J702" s="56" t="str">
        <v>DV_Gội</v>
      </c>
      <c r="K702" s="56">
        <v>934</v>
      </c>
      <c r="L702" s="60" t="str">
        <f>K702-J702</f>
        <v>Gội combo 3 - Dưỡng sinh</v>
      </c>
      <c r="M702" s="57">
        <v>0.1170212765957446</v>
      </c>
      <c r="N702" s="58">
        <v>229000</v>
      </c>
      <c r="O702" s="58">
        <v>240000</v>
      </c>
      <c r="P702" s="61">
        <v>11000</v>
      </c>
    </row>
    <row r="703">
      <c r="H703" s="59">
        <v>184</v>
      </c>
      <c r="I703" s="55" t="str">
        <v>36 N1 BD</v>
      </c>
      <c r="J703" s="56" t="str">
        <v>DV_Gội</v>
      </c>
      <c r="K703" s="56">
        <v>940</v>
      </c>
      <c r="L703" s="60" t="str">
        <f>K703-J703</f>
        <v>[NEW] Gội dưỡng sinh</v>
      </c>
      <c r="M703" s="57">
        <v>0.1170212765957446</v>
      </c>
      <c r="N703" s="58">
        <v>59000</v>
      </c>
      <c r="O703" s="58">
        <v>70000</v>
      </c>
      <c r="P703" s="61">
        <v>11000</v>
      </c>
    </row>
    <row r="704">
      <c r="H704" s="59">
        <v>184</v>
      </c>
      <c r="I704" s="55" t="str">
        <v>36 N1 BD</v>
      </c>
      <c r="J704" s="56" t="str">
        <v>DV_Gội</v>
      </c>
      <c r="K704" s="56">
        <v>1058</v>
      </c>
      <c r="L704" s="60" t="str">
        <f>K704-J704</f>
        <v>Gội Combo 2</v>
      </c>
      <c r="M704" s="57">
        <v>0.1170212765957446</v>
      </c>
      <c r="N704" s="58">
        <v>159000</v>
      </c>
      <c r="O704" s="58">
        <v>170000</v>
      </c>
      <c r="P704" s="61">
        <v>11000</v>
      </c>
    </row>
    <row r="705">
      <c r="H705" s="59">
        <v>184</v>
      </c>
      <c r="I705" s="55" t="str">
        <v>36 N1 BD</v>
      </c>
      <c r="J705" s="56" t="str">
        <v>DV_Gội</v>
      </c>
      <c r="K705" s="56">
        <v>1059</v>
      </c>
      <c r="L705" s="60" t="str">
        <f>K705-J705</f>
        <v>Gội Combo 3 - Chăm da</v>
      </c>
      <c r="M705" s="57">
        <v>0.1170212765957446</v>
      </c>
      <c r="N705" s="58">
        <v>239000</v>
      </c>
      <c r="O705" s="58">
        <v>250000</v>
      </c>
      <c r="P705" s="61">
        <v>11000</v>
      </c>
    </row>
    <row r="706">
      <c r="H706" s="59">
        <v>184</v>
      </c>
      <c r="I706" s="55" t="str">
        <v>36 N1 BD</v>
      </c>
      <c r="J706" s="56" t="str">
        <v>DV_Gội</v>
      </c>
      <c r="K706" s="56">
        <v>1060</v>
      </c>
      <c r="L706" s="60" t="str">
        <f>K706-J706</f>
        <v>Gội Combo 4</v>
      </c>
      <c r="M706" s="57">
        <v>0.1170212765957446</v>
      </c>
      <c r="N706" s="58">
        <v>319000</v>
      </c>
      <c r="O706" s="58">
        <v>330000</v>
      </c>
      <c r="P706" s="61">
        <v>11000</v>
      </c>
    </row>
    <row r="707">
      <c r="H707" s="59">
        <v>184</v>
      </c>
      <c r="I707" s="55" t="str">
        <v>36 N1 BD</v>
      </c>
      <c r="J707" s="56" t="str">
        <v>DV_Gội</v>
      </c>
      <c r="K707" s="56">
        <v>1066</v>
      </c>
      <c r="L707" s="60" t="str">
        <f>K707-J707</f>
        <v>Gội trải nghiệm 75p</v>
      </c>
      <c r="M707" s="57">
        <v>0.1170212765957446</v>
      </c>
      <c r="N707" s="58">
        <v>439000</v>
      </c>
      <c r="O707" s="58">
        <v>450000</v>
      </c>
      <c r="P707" s="61">
        <v>11000</v>
      </c>
    </row>
    <row r="708">
      <c r="H708" s="59">
        <v>184</v>
      </c>
      <c r="I708" s="55" t="str">
        <v>36 N1 BD</v>
      </c>
      <c r="J708" s="56" t="str">
        <v>DV_Gội</v>
      </c>
      <c r="K708" s="56">
        <v>1067</v>
      </c>
      <c r="L708" s="60" t="str">
        <f>K708-J708</f>
        <v>Gội trải nghiệm 90p</v>
      </c>
      <c r="M708" s="57">
        <v>0.1170212765957446</v>
      </c>
      <c r="N708" s="58">
        <v>789000</v>
      </c>
      <c r="O708" s="58">
        <v>800000</v>
      </c>
      <c r="P708" s="61">
        <v>11000</v>
      </c>
    </row>
    <row r="709">
      <c r="H709" s="59">
        <v>184</v>
      </c>
      <c r="I709" s="55" t="str">
        <v>36 N1 BD</v>
      </c>
      <c r="J709" s="56" t="str">
        <v>DV_Gội</v>
      </c>
      <c r="K709" s="56">
        <v>1068</v>
      </c>
      <c r="L709" s="60" t="str">
        <f>K709-J709</f>
        <v>Gội trải nghiệm 115p</v>
      </c>
      <c r="M709" s="57">
        <v>0.1170212765957446</v>
      </c>
      <c r="N709" s="58">
        <v>999000</v>
      </c>
      <c r="O709" s="58">
        <v>1010000</v>
      </c>
      <c r="P709" s="61">
        <v>11000</v>
      </c>
    </row>
    <row r="710">
      <c r="H710" s="59">
        <v>184</v>
      </c>
      <c r="I710" s="55" t="str">
        <v>36 N1 BD</v>
      </c>
      <c r="J710" s="56" t="str">
        <v>DV_Spa</v>
      </c>
      <c r="K710" s="56">
        <v>936</v>
      </c>
      <c r="L710" s="60" t="str">
        <f>K710-J710</f>
        <v>[NEW] Chăm sóc da Shine Spa 199k (có phân tích da)</v>
      </c>
      <c r="M710" s="57">
        <v>0.1170212765957446</v>
      </c>
      <c r="N710" s="58">
        <v>199000</v>
      </c>
      <c r="O710" s="58">
        <v>210000</v>
      </c>
      <c r="P710" s="61">
        <v>11000</v>
      </c>
    </row>
    <row r="711">
      <c r="H711" s="59">
        <v>302</v>
      </c>
      <c r="I711" s="55" t="str">
        <v>362 NGT BN</v>
      </c>
      <c r="J711" s="56" t="str">
        <v>DV_Cắt</v>
      </c>
      <c r="K711" s="56">
        <v>513</v>
      </c>
      <c r="L711" s="60" t="str">
        <f>K711-J711</f>
        <v>[DV] ShineCombo 10 bước Ultra Care 2023</v>
      </c>
      <c r="M711" s="57">
        <v>0.04255319148936176</v>
      </c>
      <c r="N711" s="58">
        <v>122000</v>
      </c>
      <c r="O711" s="58">
        <v>122000</v>
      </c>
      <c r="P711" s="61"/>
    </row>
    <row r="712">
      <c r="H712" s="59">
        <v>302</v>
      </c>
      <c r="I712" s="55" t="str">
        <v>362 NGT BN</v>
      </c>
      <c r="J712" s="56" t="str">
        <v>DV_Cắt</v>
      </c>
      <c r="K712" s="56">
        <v>891</v>
      </c>
      <c r="L712" s="60" t="str">
        <f>K712-J712</f>
        <v>Cắt xả tạo kiểu</v>
      </c>
      <c r="M712" s="57">
        <v>0.04255319148936176</v>
      </c>
      <c r="N712" s="58">
        <v>94000</v>
      </c>
      <c r="O712" s="58">
        <v>98000</v>
      </c>
      <c r="P712" s="61">
        <v>4000</v>
      </c>
    </row>
    <row r="713">
      <c r="H713" s="59">
        <v>302</v>
      </c>
      <c r="I713" s="55" t="str">
        <v>362 NGT BN</v>
      </c>
      <c r="J713" s="56" t="str">
        <v>DV_Cắt</v>
      </c>
      <c r="K713" s="56">
        <v>1002</v>
      </c>
      <c r="L713" s="60" t="str">
        <f>K713-J713</f>
        <v>Kid Cắt</v>
      </c>
      <c r="M713" s="57">
        <v>0.04255319148936176</v>
      </c>
      <c r="N713" s="58">
        <v>75000</v>
      </c>
      <c r="O713" s="58">
        <v>78000</v>
      </c>
      <c r="P713" s="61">
        <v>3000</v>
      </c>
    </row>
    <row r="714">
      <c r="H714" s="59">
        <v>302</v>
      </c>
      <c r="I714" s="55" t="str">
        <v>362 NGT BN</v>
      </c>
      <c r="J714" s="56" t="str">
        <v>DV_Cắt</v>
      </c>
      <c r="K714" s="56">
        <v>1070</v>
      </c>
      <c r="L714" s="60" t="str">
        <f>K714-J714</f>
        <v>Combo Cắt gội Kid</v>
      </c>
      <c r="M714" s="57">
        <v>0.04255319148936176</v>
      </c>
      <c r="N714" s="58">
        <v>100000</v>
      </c>
      <c r="O714" s="58">
        <v>104000</v>
      </c>
      <c r="P714" s="61">
        <v>4000</v>
      </c>
    </row>
    <row r="715">
      <c r="H715" s="59">
        <v>302</v>
      </c>
      <c r="I715" s="55" t="str">
        <v>362 NGT BN</v>
      </c>
      <c r="J715" s="56" t="str">
        <v>DV_Cắt_Vip</v>
      </c>
      <c r="K715" s="56">
        <v>1046</v>
      </c>
      <c r="L715" s="60" t="str">
        <f>K715-J715</f>
        <v>Shinecombo 2</v>
      </c>
      <c r="M715" s="57">
        <v>0.04255319148936176</v>
      </c>
      <c r="N715" s="58">
        <v>199000</v>
      </c>
      <c r="O715" s="58">
        <v>207000</v>
      </c>
      <c r="P715" s="61">
        <v>8000</v>
      </c>
    </row>
    <row r="716">
      <c r="H716" s="59">
        <v>302</v>
      </c>
      <c r="I716" s="55" t="str">
        <v>362 NGT BN</v>
      </c>
      <c r="J716" s="56" t="str">
        <v>DV_Cắt_Vip</v>
      </c>
      <c r="K716" s="56">
        <v>1047</v>
      </c>
      <c r="L716" s="60" t="str">
        <f>K716-J716</f>
        <v>Cắt Gội Combo 3 - Chăm da</v>
      </c>
      <c r="M716" s="57">
        <v>0.04255319148936176</v>
      </c>
      <c r="N716" s="58">
        <v>299000</v>
      </c>
      <c r="O716" s="58">
        <v>312000</v>
      </c>
      <c r="P716" s="61">
        <v>13000</v>
      </c>
    </row>
    <row r="717">
      <c r="H717" s="59">
        <v>302</v>
      </c>
      <c r="I717" s="55" t="str">
        <v>362 NGT BN</v>
      </c>
      <c r="J717" s="56" t="str">
        <v>DV_Cắt_Vip</v>
      </c>
      <c r="K717" s="56">
        <v>1048</v>
      </c>
      <c r="L717" s="60" t="str">
        <f>K717-J717</f>
        <v>Combo 4</v>
      </c>
      <c r="M717" s="57">
        <v>0.04255319148936176</v>
      </c>
      <c r="N717" s="58">
        <v>389000</v>
      </c>
      <c r="O717" s="58">
        <v>406000</v>
      </c>
      <c r="P717" s="61">
        <v>17000</v>
      </c>
    </row>
    <row r="718">
      <c r="H718" s="59">
        <v>302</v>
      </c>
      <c r="I718" s="55" t="str">
        <v>362 NGT BN</v>
      </c>
      <c r="J718" s="56" t="str">
        <v>DV_Cắt_Vip</v>
      </c>
      <c r="K718" s="56">
        <v>1064</v>
      </c>
      <c r="L718" s="60" t="str">
        <f>K718-J718</f>
        <v>Cắt Gội Combo 5 - Dưỡng sinh</v>
      </c>
      <c r="M718" s="57">
        <v>0.04255319148936176</v>
      </c>
      <c r="N718" s="58">
        <v>459000</v>
      </c>
      <c r="O718" s="58">
        <v>479000</v>
      </c>
      <c r="P718" s="50">
        <v>20000</v>
      </c>
    </row>
    <row r="719">
      <c r="H719" s="59">
        <v>302</v>
      </c>
      <c r="I719" s="55" t="str">
        <v>362 NGT BN</v>
      </c>
      <c r="J719" s="56" t="str">
        <v>DV_Gội</v>
      </c>
      <c r="K719" s="56">
        <v>867</v>
      </c>
      <c r="L719" s="60" t="str">
        <f>K719-J719</f>
        <v>Gội dưỡng sinh cổ vai gáy</v>
      </c>
      <c r="M719" s="57">
        <v>0.04255319148936176</v>
      </c>
      <c r="N719" s="58">
        <v>99000</v>
      </c>
      <c r="O719" s="58">
        <v>103000</v>
      </c>
      <c r="P719" s="50">
        <v>4000</v>
      </c>
    </row>
    <row r="720">
      <c r="H720" s="59">
        <v>302</v>
      </c>
      <c r="I720" s="55" t="str">
        <v>362 NGT BN</v>
      </c>
      <c r="J720" s="56" t="str">
        <v>DV_Gội</v>
      </c>
      <c r="K720" s="56">
        <v>930</v>
      </c>
      <c r="L720" s="60" t="str">
        <f>K720-J720</f>
        <v>[NEW] Gội dưỡng sinh cổ vai gáy và chăm sóc da</v>
      </c>
      <c r="M720" s="57">
        <v>0.04255319148936176</v>
      </c>
      <c r="N720" s="58">
        <v>139000</v>
      </c>
      <c r="O720" s="58">
        <v>145000</v>
      </c>
      <c r="P720" s="61">
        <v>6000</v>
      </c>
    </row>
    <row r="721">
      <c r="H721" s="59">
        <v>302</v>
      </c>
      <c r="I721" s="55" t="str">
        <v>362 NGT BN</v>
      </c>
      <c r="J721" s="56" t="str">
        <v>DV_Gội</v>
      </c>
      <c r="K721" s="56">
        <v>934</v>
      </c>
      <c r="L721" s="60" t="str">
        <f>K721-J721</f>
        <v>Gội combo 3 - Dưỡng sinh</v>
      </c>
      <c r="M721" s="57">
        <v>0.04255319148936176</v>
      </c>
      <c r="N721" s="58">
        <v>229000</v>
      </c>
      <c r="O721" s="58">
        <v>239000</v>
      </c>
      <c r="P721" s="50">
        <v>10000</v>
      </c>
    </row>
    <row r="722">
      <c r="H722" s="59">
        <v>302</v>
      </c>
      <c r="I722" s="55" t="str">
        <v>362 NGT BN</v>
      </c>
      <c r="J722" s="56" t="str">
        <v>DV_Gội</v>
      </c>
      <c r="K722" s="56">
        <v>940</v>
      </c>
      <c r="L722" s="60" t="str">
        <f>K722-J722</f>
        <v>[NEW] Gội dưỡng sinh</v>
      </c>
      <c r="M722" s="57">
        <v>0.04255319148936176</v>
      </c>
      <c r="N722" s="58">
        <v>59000</v>
      </c>
      <c r="O722" s="58">
        <v>62000</v>
      </c>
      <c r="P722" s="50">
        <v>3000</v>
      </c>
    </row>
    <row r="723">
      <c r="H723" s="59">
        <v>302</v>
      </c>
      <c r="I723" s="55" t="str">
        <v>362 NGT BN</v>
      </c>
      <c r="J723" s="56" t="str">
        <v>DV_Gội</v>
      </c>
      <c r="K723" s="56">
        <v>1058</v>
      </c>
      <c r="L723" s="60" t="str">
        <f>K723-J723</f>
        <v>Gội Combo 2</v>
      </c>
      <c r="M723" s="57">
        <v>0.04255319148936176</v>
      </c>
      <c r="N723" s="58">
        <v>159000</v>
      </c>
      <c r="O723" s="58">
        <v>166000</v>
      </c>
      <c r="P723" s="50">
        <v>7000</v>
      </c>
    </row>
    <row r="724">
      <c r="H724" s="59">
        <v>302</v>
      </c>
      <c r="I724" s="55" t="str">
        <v>362 NGT BN</v>
      </c>
      <c r="J724" s="56" t="str">
        <v>DV_Gội</v>
      </c>
      <c r="K724" s="56">
        <v>1059</v>
      </c>
      <c r="L724" s="60" t="str">
        <f>K724-J724</f>
        <v>Gội Combo 3 - Chăm da</v>
      </c>
      <c r="M724" s="57">
        <v>0.04255319148936176</v>
      </c>
      <c r="N724" s="58">
        <v>239000</v>
      </c>
      <c r="O724" s="58">
        <v>249000</v>
      </c>
      <c r="P724" s="50">
        <v>10000</v>
      </c>
    </row>
    <row r="725">
      <c r="H725" s="59">
        <v>302</v>
      </c>
      <c r="I725" s="55" t="str">
        <v>362 NGT BN</v>
      </c>
      <c r="J725" s="56" t="str">
        <v>DV_Gội</v>
      </c>
      <c r="K725" s="56">
        <v>1060</v>
      </c>
      <c r="L725" s="60" t="str">
        <f>K725-J725</f>
        <v>Gội Combo 4</v>
      </c>
      <c r="M725" s="57">
        <v>0.04255319148936176</v>
      </c>
      <c r="N725" s="58">
        <v>319000</v>
      </c>
      <c r="O725" s="58">
        <v>333000</v>
      </c>
      <c r="P725" s="50">
        <v>14000</v>
      </c>
    </row>
    <row r="726">
      <c r="H726" s="59">
        <v>302</v>
      </c>
      <c r="I726" s="55" t="str">
        <v>362 NGT BN</v>
      </c>
      <c r="J726" s="56" t="str">
        <v>DV_Gội</v>
      </c>
      <c r="K726" s="56">
        <v>1066</v>
      </c>
      <c r="L726" s="60" t="str">
        <f>K726-J726</f>
        <v>Gội trải nghiệm 75p</v>
      </c>
      <c r="M726" s="57">
        <v>0.04255319148936176</v>
      </c>
      <c r="N726" s="58">
        <v>589000</v>
      </c>
      <c r="O726" s="58">
        <v>614000</v>
      </c>
      <c r="P726" s="50">
        <v>25000</v>
      </c>
    </row>
    <row r="727">
      <c r="H727" s="59">
        <v>302</v>
      </c>
      <c r="I727" s="55" t="str">
        <v>362 NGT BN</v>
      </c>
      <c r="J727" s="56" t="str">
        <v>DV_Gội</v>
      </c>
      <c r="K727" s="56">
        <v>1067</v>
      </c>
      <c r="L727" s="60" t="str">
        <f>K727-J727</f>
        <v>Gội trải nghiệm 90p</v>
      </c>
      <c r="M727" s="57">
        <v>0.04255319148936176</v>
      </c>
      <c r="N727" s="58">
        <v>789000</v>
      </c>
      <c r="O727" s="58">
        <v>823000</v>
      </c>
      <c r="P727" s="50">
        <v>34000</v>
      </c>
    </row>
    <row r="728">
      <c r="H728" s="59">
        <v>302</v>
      </c>
      <c r="I728" s="55" t="str">
        <v>362 NGT BN</v>
      </c>
      <c r="J728" s="56" t="str">
        <v>DV_Gội</v>
      </c>
      <c r="K728" s="56">
        <v>1068</v>
      </c>
      <c r="L728" s="60" t="str">
        <f>K728-J728</f>
        <v>Gội trải nghiệm 115p</v>
      </c>
      <c r="M728" s="57">
        <v>0.04255319148936176</v>
      </c>
      <c r="N728" s="58">
        <v>999000</v>
      </c>
      <c r="O728" s="58">
        <v>1042000</v>
      </c>
      <c r="P728" s="50">
        <v>43000</v>
      </c>
    </row>
    <row r="729">
      <c r="H729" s="59">
        <v>302</v>
      </c>
      <c r="I729" s="55" t="str">
        <v>362 NGT BN</v>
      </c>
      <c r="J729" s="56" t="str">
        <v>DV_Spa</v>
      </c>
      <c r="K729" s="56">
        <v>936</v>
      </c>
      <c r="L729" s="60" t="str">
        <f>K729-J729</f>
        <v>[NEW] Chăm sóc da Shine Spa 199k (có phân tích da)</v>
      </c>
      <c r="M729" s="57">
        <v>0.04255319148936176</v>
      </c>
      <c r="N729" s="58">
        <v>199000</v>
      </c>
      <c r="O729" s="58">
        <v>207000</v>
      </c>
      <c r="P729" s="50">
        <v>8000</v>
      </c>
    </row>
    <row r="730">
      <c r="H730" s="59">
        <v>85</v>
      </c>
      <c r="I730" s="55" t="str">
        <v>363 LNQ TN</v>
      </c>
      <c r="J730" s="56" t="str">
        <v>DV_Cắt</v>
      </c>
      <c r="K730" s="56">
        <v>513</v>
      </c>
      <c r="L730" s="60" t="str">
        <f>K730-J730</f>
        <v>[DV] ShineCombo 10 bước Ultra Care 2023</v>
      </c>
      <c r="M730" s="57">
        <v>0.06796116504854366</v>
      </c>
      <c r="N730" s="58">
        <v>122000</v>
      </c>
      <c r="O730" s="58">
        <v>122000</v>
      </c>
      <c r="P730" s="50"/>
    </row>
    <row r="731">
      <c r="H731" s="59">
        <v>85</v>
      </c>
      <c r="I731" s="55" t="str">
        <v>363 LNQ TN</v>
      </c>
      <c r="J731" s="56" t="str">
        <v>DV_Cắt</v>
      </c>
      <c r="K731" s="56">
        <v>891</v>
      </c>
      <c r="L731" s="60" t="str">
        <f>K731-J731</f>
        <v>Cắt xả tạo kiểu</v>
      </c>
      <c r="M731" s="57">
        <v>0.06796116504854366</v>
      </c>
      <c r="N731" s="58">
        <v>103000</v>
      </c>
      <c r="O731" s="58">
        <v>110000</v>
      </c>
      <c r="P731" s="50">
        <v>7000</v>
      </c>
    </row>
    <row r="732">
      <c r="H732" s="59">
        <v>85</v>
      </c>
      <c r="I732" s="55" t="str">
        <v>363 LNQ TN</v>
      </c>
      <c r="J732" s="56" t="str">
        <v>DV_Cắt</v>
      </c>
      <c r="K732" s="56">
        <v>1002</v>
      </c>
      <c r="L732" s="60" t="str">
        <f>K732-J732</f>
        <v>Kid Cắt</v>
      </c>
      <c r="M732" s="57">
        <v>0.06796116504854366</v>
      </c>
      <c r="N732" s="58">
        <v>84000</v>
      </c>
      <c r="O732" s="58">
        <v>90000</v>
      </c>
      <c r="P732" s="50">
        <v>6000</v>
      </c>
    </row>
    <row r="733">
      <c r="H733" s="59">
        <v>85</v>
      </c>
      <c r="I733" s="55" t="str">
        <v>363 LNQ TN</v>
      </c>
      <c r="J733" s="56" t="str">
        <v>DV_Cắt</v>
      </c>
      <c r="K733" s="56">
        <v>1070</v>
      </c>
      <c r="L733" s="60" t="str">
        <f>K733-J733</f>
        <v>Combo Cắt gội Kid</v>
      </c>
      <c r="M733" s="57">
        <v>0.06796116504854366</v>
      </c>
      <c r="N733" s="58">
        <v>100000</v>
      </c>
      <c r="O733" s="58">
        <v>107000</v>
      </c>
      <c r="P733" s="61">
        <v>7000</v>
      </c>
    </row>
    <row r="734">
      <c r="H734" s="59">
        <v>85</v>
      </c>
      <c r="I734" s="55" t="str">
        <v>363 LNQ TN</v>
      </c>
      <c r="J734" s="56" t="str">
        <v>DV_Cắt</v>
      </c>
      <c r="K734" s="56">
        <v>1214</v>
      </c>
      <c r="L734" s="60" t="str">
        <f>K734-J734</f>
        <v>Shine cut Genz</v>
      </c>
      <c r="M734" s="57">
        <v>0.06796116504854366</v>
      </c>
      <c r="N734" s="58">
        <v>68000</v>
      </c>
      <c r="O734" s="58">
        <v>73000</v>
      </c>
      <c r="P734" s="50">
        <v>5000</v>
      </c>
    </row>
    <row r="735">
      <c r="H735" s="59">
        <v>85</v>
      </c>
      <c r="I735" s="55" t="str">
        <v>363 LNQ TN</v>
      </c>
      <c r="J735" s="56" t="str">
        <v>DV_Cắt_Vip</v>
      </c>
      <c r="K735" s="56">
        <v>1046</v>
      </c>
      <c r="L735" s="60" t="str">
        <f>K735-J735</f>
        <v>Shinecombo 2</v>
      </c>
      <c r="M735" s="57">
        <v>0.06796116504854366</v>
      </c>
      <c r="N735" s="58">
        <v>208000</v>
      </c>
      <c r="O735" s="58">
        <v>222000</v>
      </c>
      <c r="P735" s="50">
        <v>14000</v>
      </c>
    </row>
    <row r="736">
      <c r="H736" s="59">
        <v>85</v>
      </c>
      <c r="I736" s="55" t="str">
        <v>363 LNQ TN</v>
      </c>
      <c r="J736" s="56" t="str">
        <v>DV_Cắt_Vip</v>
      </c>
      <c r="K736" s="56">
        <v>1047</v>
      </c>
      <c r="L736" s="60" t="str">
        <f>K736-J736</f>
        <v>Cắt Gội Combo 3 - Chăm da</v>
      </c>
      <c r="M736" s="57">
        <v>0.06796116504854366</v>
      </c>
      <c r="N736" s="58">
        <v>308000</v>
      </c>
      <c r="O736" s="58">
        <v>329000</v>
      </c>
      <c r="P736" s="50">
        <v>21000</v>
      </c>
    </row>
    <row r="737">
      <c r="H737" s="59">
        <v>85</v>
      </c>
      <c r="I737" s="55" t="str">
        <v>363 LNQ TN</v>
      </c>
      <c r="J737" s="56" t="str">
        <v>DV_Cắt_Vip</v>
      </c>
      <c r="K737" s="56">
        <v>1048</v>
      </c>
      <c r="L737" s="60" t="str">
        <f>K737-J737</f>
        <v>Combo 4</v>
      </c>
      <c r="M737" s="57">
        <v>0.06796116504854366</v>
      </c>
      <c r="N737" s="58">
        <v>398000</v>
      </c>
      <c r="O737" s="58">
        <v>425000</v>
      </c>
      <c r="P737" s="50">
        <v>27000</v>
      </c>
    </row>
    <row r="738">
      <c r="H738" s="59">
        <v>85</v>
      </c>
      <c r="I738" s="55" t="str">
        <v>363 LNQ TN</v>
      </c>
      <c r="J738" s="56" t="str">
        <v>DV_Cắt_Vip</v>
      </c>
      <c r="K738" s="56">
        <v>1064</v>
      </c>
      <c r="L738" s="60" t="str">
        <f>K738-J738</f>
        <v>Cắt Gội Combo 5 - Dưỡng sinh</v>
      </c>
      <c r="M738" s="57">
        <v>0.06796116504854366</v>
      </c>
      <c r="N738" s="58">
        <v>459000</v>
      </c>
      <c r="O738" s="58">
        <v>490000</v>
      </c>
      <c r="P738" s="50">
        <v>31000</v>
      </c>
    </row>
    <row r="739">
      <c r="H739" s="59">
        <v>85</v>
      </c>
      <c r="I739" s="55" t="str">
        <v>363 LNQ TN</v>
      </c>
      <c r="J739" s="56" t="str">
        <v>DV_Gội</v>
      </c>
      <c r="K739" s="56">
        <v>867</v>
      </c>
      <c r="L739" s="60" t="str">
        <f>K739-J739</f>
        <v>Gội dưỡng sinh cổ vai gáy</v>
      </c>
      <c r="M739" s="57">
        <v>0.06796116504854366</v>
      </c>
      <c r="N739" s="58">
        <v>99000</v>
      </c>
      <c r="O739" s="58">
        <v>106000</v>
      </c>
      <c r="P739" s="50">
        <v>7000</v>
      </c>
    </row>
    <row r="740">
      <c r="H740" s="59">
        <v>85</v>
      </c>
      <c r="I740" s="55" t="str">
        <v>363 LNQ TN</v>
      </c>
      <c r="J740" s="56" t="str">
        <v>DV_Gội</v>
      </c>
      <c r="K740" s="56">
        <v>930</v>
      </c>
      <c r="L740" s="60" t="str">
        <f>K740-J740</f>
        <v>[NEW] Gội dưỡng sinh cổ vai gáy và chăm sóc da</v>
      </c>
      <c r="M740" s="57">
        <v>0.06796116504854366</v>
      </c>
      <c r="N740" s="58">
        <v>139000</v>
      </c>
      <c r="O740" s="58">
        <v>148000</v>
      </c>
      <c r="P740" s="50">
        <v>9000</v>
      </c>
    </row>
    <row r="741">
      <c r="H741" s="59">
        <v>85</v>
      </c>
      <c r="I741" s="55" t="str">
        <v>363 LNQ TN</v>
      </c>
      <c r="J741" s="56" t="str">
        <v>DV_Gội</v>
      </c>
      <c r="K741" s="56">
        <v>934</v>
      </c>
      <c r="L741" s="60" t="str">
        <f>K741-J741</f>
        <v>Gội combo 3 - Dưỡng sinh</v>
      </c>
      <c r="M741" s="57">
        <v>0.06796116504854366</v>
      </c>
      <c r="N741" s="58">
        <v>229000</v>
      </c>
      <c r="O741" s="58">
        <v>245000</v>
      </c>
      <c r="P741" s="50">
        <v>16000</v>
      </c>
    </row>
    <row r="742">
      <c r="H742" s="59">
        <v>85</v>
      </c>
      <c r="I742" s="55" t="str">
        <v>363 LNQ TN</v>
      </c>
      <c r="J742" s="56" t="str">
        <v>DV_Gội</v>
      </c>
      <c r="K742" s="56">
        <v>940</v>
      </c>
      <c r="L742" s="60" t="str">
        <f>K742-J742</f>
        <v>[NEW] Gội dưỡng sinh</v>
      </c>
      <c r="M742" s="57">
        <v>0.06796116504854366</v>
      </c>
      <c r="N742" s="58">
        <v>59000</v>
      </c>
      <c r="O742" s="58">
        <v>63000</v>
      </c>
      <c r="P742" s="50">
        <v>4000</v>
      </c>
    </row>
    <row r="743">
      <c r="H743" s="59">
        <v>85</v>
      </c>
      <c r="I743" s="55" t="str">
        <v>363 LNQ TN</v>
      </c>
      <c r="J743" s="56" t="str">
        <v>DV_Gội</v>
      </c>
      <c r="K743" s="56">
        <v>1058</v>
      </c>
      <c r="L743" s="60" t="str">
        <f>K743-J743</f>
        <v>Gội Combo 2</v>
      </c>
      <c r="M743" s="57">
        <v>0.06796116504854366</v>
      </c>
      <c r="N743" s="58">
        <v>159000</v>
      </c>
      <c r="O743" s="58">
        <v>170000</v>
      </c>
      <c r="P743" s="50">
        <v>11000</v>
      </c>
    </row>
    <row r="744">
      <c r="H744" s="59">
        <v>85</v>
      </c>
      <c r="I744" s="55" t="str">
        <v>363 LNQ TN</v>
      </c>
      <c r="J744" s="56" t="str">
        <v>DV_Gội</v>
      </c>
      <c r="K744" s="56">
        <v>1059</v>
      </c>
      <c r="L744" s="60" t="str">
        <f>K744-J744</f>
        <v>Gội Combo 3 - Chăm da</v>
      </c>
      <c r="M744" s="57">
        <v>0.06796116504854366</v>
      </c>
      <c r="N744" s="58">
        <v>239000</v>
      </c>
      <c r="O744" s="58">
        <v>255000</v>
      </c>
      <c r="P744" s="50">
        <v>16000</v>
      </c>
    </row>
    <row r="745">
      <c r="H745" s="59">
        <v>85</v>
      </c>
      <c r="I745" s="55" t="str">
        <v>363 LNQ TN</v>
      </c>
      <c r="J745" s="56" t="str">
        <v>DV_Gội</v>
      </c>
      <c r="K745" s="56">
        <v>1060</v>
      </c>
      <c r="L745" s="60" t="str">
        <f>K745-J745</f>
        <v>Gội Combo 4</v>
      </c>
      <c r="M745" s="57">
        <v>0.06796116504854366</v>
      </c>
      <c r="N745" s="58">
        <v>319000</v>
      </c>
      <c r="O745" s="58">
        <v>341000</v>
      </c>
      <c r="P745" s="50">
        <v>22000</v>
      </c>
    </row>
    <row r="746">
      <c r="H746" s="59">
        <v>85</v>
      </c>
      <c r="I746" s="55" t="str">
        <v>363 LNQ TN</v>
      </c>
      <c r="J746" s="56" t="str">
        <v>DV_Gội</v>
      </c>
      <c r="K746" s="56">
        <v>1066</v>
      </c>
      <c r="L746" s="60" t="str">
        <f>K746-J746</f>
        <v>Gội trải nghiệm 75p</v>
      </c>
      <c r="M746" s="57">
        <v>0.06796116504854366</v>
      </c>
      <c r="N746" s="58">
        <v>589000</v>
      </c>
      <c r="O746" s="58">
        <v>629000</v>
      </c>
      <c r="P746" s="50">
        <v>40000</v>
      </c>
    </row>
    <row r="747">
      <c r="H747" s="59">
        <v>85</v>
      </c>
      <c r="I747" s="55" t="str">
        <v>363 LNQ TN</v>
      </c>
      <c r="J747" s="56" t="str">
        <v>DV_Gội</v>
      </c>
      <c r="K747" s="56">
        <v>1067</v>
      </c>
      <c r="L747" s="60" t="str">
        <f>K747-J747</f>
        <v>Gội trải nghiệm 90p</v>
      </c>
      <c r="M747" s="57">
        <v>0.06796116504854366</v>
      </c>
      <c r="N747" s="58">
        <v>789000</v>
      </c>
      <c r="O747" s="58">
        <v>843000</v>
      </c>
      <c r="P747" s="50">
        <v>54000</v>
      </c>
    </row>
    <row r="748">
      <c r="H748" s="59">
        <v>85</v>
      </c>
      <c r="I748" s="55" t="str">
        <v>363 LNQ TN</v>
      </c>
      <c r="J748" s="56" t="str">
        <v>DV_Gội</v>
      </c>
      <c r="K748" s="56">
        <v>1068</v>
      </c>
      <c r="L748" s="60" t="str">
        <f>K748-J748</f>
        <v>Gội trải nghiệm 115p</v>
      </c>
      <c r="M748" s="57">
        <v>0.06796116504854366</v>
      </c>
      <c r="N748" s="58">
        <v>999000</v>
      </c>
      <c r="O748" s="58">
        <v>1067000</v>
      </c>
      <c r="P748" s="50">
        <v>68000</v>
      </c>
    </row>
    <row r="749">
      <c r="H749" s="59">
        <v>85</v>
      </c>
      <c r="I749" s="55" t="str">
        <v>363 LNQ TN</v>
      </c>
      <c r="J749" s="56" t="str">
        <v>DV_Spa</v>
      </c>
      <c r="K749" s="56">
        <v>936</v>
      </c>
      <c r="L749" s="60" t="str">
        <f>K749-J749</f>
        <v>[NEW] Chăm sóc da Shine Spa 199k (có phân tích da)</v>
      </c>
      <c r="M749" s="57">
        <v>0.06796116504854366</v>
      </c>
      <c r="N749" s="58">
        <v>199000</v>
      </c>
      <c r="O749" s="58">
        <v>213000</v>
      </c>
      <c r="P749" s="50">
        <v>14000</v>
      </c>
    </row>
    <row r="750">
      <c r="H750" s="59">
        <v>20</v>
      </c>
      <c r="I750" s="55" t="str">
        <v>382 NT</v>
      </c>
      <c r="J750" s="56" t="str">
        <v>DV_Cắt</v>
      </c>
      <c r="K750" s="56">
        <v>513</v>
      </c>
      <c r="L750" s="60" t="str">
        <f>K750-J750</f>
        <v>[DV] ShineCombo 10 bước Ultra Care 2023</v>
      </c>
      <c r="M750" s="57">
        <v>0.0980392156862746</v>
      </c>
      <c r="N750" s="58">
        <v>122000</v>
      </c>
      <c r="O750" s="58">
        <v>122000</v>
      </c>
      <c r="P750" s="50"/>
    </row>
    <row r="751">
      <c r="H751" s="59">
        <v>20</v>
      </c>
      <c r="I751" s="55" t="str">
        <v>382 NT</v>
      </c>
      <c r="J751" s="56" t="str">
        <v>DV_Cắt</v>
      </c>
      <c r="K751" s="56">
        <v>891</v>
      </c>
      <c r="L751" s="60" t="str">
        <f>K751-J751</f>
        <v>Cắt xả tạo kiểu</v>
      </c>
      <c r="M751" s="57">
        <v>0.0980392156862746</v>
      </c>
      <c r="N751" s="58">
        <v>102000</v>
      </c>
      <c r="O751" s="58">
        <v>112000</v>
      </c>
      <c r="P751" s="50">
        <v>10000</v>
      </c>
    </row>
    <row r="752">
      <c r="H752" s="59">
        <v>20</v>
      </c>
      <c r="I752" s="55" t="str">
        <v>382 NT</v>
      </c>
      <c r="J752" s="56" t="str">
        <v>DV_Cắt</v>
      </c>
      <c r="K752" s="56">
        <v>1002</v>
      </c>
      <c r="L752" s="60" t="str">
        <f>K752-J752</f>
        <v>Kid Cắt</v>
      </c>
      <c r="M752" s="57">
        <v>0.0980392156862746</v>
      </c>
      <c r="N752" s="58">
        <v>83000</v>
      </c>
      <c r="O752" s="58">
        <v>91000</v>
      </c>
      <c r="P752" s="50">
        <v>8000</v>
      </c>
    </row>
    <row r="753">
      <c r="H753" s="59">
        <v>20</v>
      </c>
      <c r="I753" s="55" t="str">
        <v>382 NT</v>
      </c>
      <c r="J753" s="56" t="str">
        <v>DV_Cắt</v>
      </c>
      <c r="K753" s="56">
        <v>1070</v>
      </c>
      <c r="L753" s="60" t="str">
        <f>K753-J753</f>
        <v>Combo Cắt gội Kid</v>
      </c>
      <c r="M753" s="57">
        <v>0.0980392156862746</v>
      </c>
      <c r="N753" s="58">
        <v>100000</v>
      </c>
      <c r="O753" s="58">
        <v>110000</v>
      </c>
      <c r="P753" s="50">
        <v>10000</v>
      </c>
    </row>
    <row r="754">
      <c r="H754" s="59">
        <v>20</v>
      </c>
      <c r="I754" s="55" t="str">
        <v>382 NT</v>
      </c>
      <c r="J754" s="56" t="str">
        <v>DV_Cắt_Vip</v>
      </c>
      <c r="K754" s="56">
        <v>1046</v>
      </c>
      <c r="L754" s="60" t="str">
        <f>K754-J754</f>
        <v>Shinecombo 2</v>
      </c>
      <c r="M754" s="57">
        <v>0.0980392156862746</v>
      </c>
      <c r="N754" s="58">
        <v>207000</v>
      </c>
      <c r="O754" s="58">
        <v>227000</v>
      </c>
      <c r="P754" s="50">
        <v>20000</v>
      </c>
    </row>
    <row r="755">
      <c r="H755" s="59">
        <v>20</v>
      </c>
      <c r="I755" s="55" t="str">
        <v>382 NT</v>
      </c>
      <c r="J755" s="56" t="str">
        <v>DV_Cắt_Vip</v>
      </c>
      <c r="K755" s="56">
        <v>1047</v>
      </c>
      <c r="L755" s="60" t="str">
        <f>K755-J755</f>
        <v>Cắt Gội Combo 3 - Chăm da</v>
      </c>
      <c r="M755" s="57">
        <v>0.0980392156862746</v>
      </c>
      <c r="N755" s="58">
        <v>307000</v>
      </c>
      <c r="O755" s="58">
        <v>337000</v>
      </c>
      <c r="P755" s="61">
        <v>30000</v>
      </c>
    </row>
    <row r="756">
      <c r="H756" s="59">
        <v>20</v>
      </c>
      <c r="I756" s="55" t="str">
        <v>382 NT</v>
      </c>
      <c r="J756" s="56" t="str">
        <v>DV_Cắt_Vip</v>
      </c>
      <c r="K756" s="56">
        <v>1048</v>
      </c>
      <c r="L756" s="60" t="str">
        <f>K756-J756</f>
        <v>Combo 4</v>
      </c>
      <c r="M756" s="57">
        <v>0.0980392156862746</v>
      </c>
      <c r="N756" s="58">
        <v>397000</v>
      </c>
      <c r="O756" s="58">
        <v>436000</v>
      </c>
      <c r="P756" s="61">
        <v>39000</v>
      </c>
    </row>
    <row r="757">
      <c r="H757" s="59">
        <v>20</v>
      </c>
      <c r="I757" s="55" t="str">
        <v>382 NT</v>
      </c>
      <c r="J757" s="56" t="str">
        <v>DV_Cắt_Vip</v>
      </c>
      <c r="K757" s="56">
        <v>1064</v>
      </c>
      <c r="L757" s="60" t="str">
        <f>K757-J757</f>
        <v>Cắt Gội Combo 5 - Dưỡng sinh</v>
      </c>
      <c r="M757" s="57">
        <v>0.0980392156862746</v>
      </c>
      <c r="N757" s="58">
        <v>467000</v>
      </c>
      <c r="O757" s="58">
        <v>513000</v>
      </c>
      <c r="P757" s="61">
        <v>46000</v>
      </c>
    </row>
    <row r="758">
      <c r="H758" s="59">
        <v>20</v>
      </c>
      <c r="I758" s="55" t="str">
        <v>382 NT</v>
      </c>
      <c r="J758" s="56" t="str">
        <v>DV_Gội</v>
      </c>
      <c r="K758" s="56">
        <v>867</v>
      </c>
      <c r="L758" s="60" t="str">
        <f>K758-J758</f>
        <v>Gội dưỡng sinh cổ vai gáy</v>
      </c>
      <c r="M758" s="57">
        <v>0.0980392156862746</v>
      </c>
      <c r="N758" s="58">
        <v>99000</v>
      </c>
      <c r="O758" s="58">
        <v>109000</v>
      </c>
      <c r="P758" s="61">
        <v>10000</v>
      </c>
    </row>
    <row r="759">
      <c r="H759" s="59">
        <v>20</v>
      </c>
      <c r="I759" s="55" t="str">
        <v>382 NT</v>
      </c>
      <c r="J759" s="56" t="str">
        <v>DV_Gội</v>
      </c>
      <c r="K759" s="56">
        <v>930</v>
      </c>
      <c r="L759" s="60" t="str">
        <f>K759-J759</f>
        <v>[NEW] Gội dưỡng sinh cổ vai gáy và chăm sóc da</v>
      </c>
      <c r="M759" s="57">
        <v>0.0980392156862746</v>
      </c>
      <c r="N759" s="58">
        <v>139000</v>
      </c>
      <c r="O759" s="58">
        <v>153000</v>
      </c>
      <c r="P759" s="61">
        <v>14000</v>
      </c>
    </row>
    <row r="760">
      <c r="H760" s="59">
        <v>20</v>
      </c>
      <c r="I760" s="55" t="str">
        <v>382 NT</v>
      </c>
      <c r="J760" s="56" t="str">
        <v>DV_Gội</v>
      </c>
      <c r="K760" s="56">
        <v>934</v>
      </c>
      <c r="L760" s="60" t="str">
        <f>K760-J760</f>
        <v>Gội combo 3 - Dưỡng sinh</v>
      </c>
      <c r="M760" s="57">
        <v>0.0980392156862746</v>
      </c>
      <c r="N760" s="58">
        <v>229000</v>
      </c>
      <c r="O760" s="58">
        <v>251000</v>
      </c>
      <c r="P760" s="61">
        <v>22000</v>
      </c>
    </row>
    <row r="761">
      <c r="H761" s="59">
        <v>20</v>
      </c>
      <c r="I761" s="55" t="str">
        <v>382 NT</v>
      </c>
      <c r="J761" s="56" t="str">
        <v>DV_Gội</v>
      </c>
      <c r="K761" s="56">
        <v>940</v>
      </c>
      <c r="L761" s="60" t="str">
        <f>K761-J761</f>
        <v>[NEW] Gội dưỡng sinh</v>
      </c>
      <c r="M761" s="57">
        <v>0.0980392156862746</v>
      </c>
      <c r="N761" s="58">
        <v>59000</v>
      </c>
      <c r="O761" s="58">
        <v>65000</v>
      </c>
      <c r="P761" s="61">
        <v>6000</v>
      </c>
    </row>
    <row r="762">
      <c r="H762" s="59">
        <v>20</v>
      </c>
      <c r="I762" s="55" t="str">
        <v>382 NT</v>
      </c>
      <c r="J762" s="56" t="str">
        <v>DV_Gội</v>
      </c>
      <c r="K762" s="56">
        <v>1058</v>
      </c>
      <c r="L762" s="60" t="str">
        <f>K762-J762</f>
        <v>Gội Combo 2</v>
      </c>
      <c r="M762" s="57">
        <v>0.0980392156862746</v>
      </c>
      <c r="N762" s="58">
        <v>159000</v>
      </c>
      <c r="O762" s="58">
        <v>175000</v>
      </c>
      <c r="P762" s="61">
        <v>16000</v>
      </c>
    </row>
    <row r="763">
      <c r="H763" s="59">
        <v>20</v>
      </c>
      <c r="I763" s="55" t="str">
        <v>382 NT</v>
      </c>
      <c r="J763" s="56" t="str">
        <v>DV_Gội</v>
      </c>
      <c r="K763" s="56">
        <v>1059</v>
      </c>
      <c r="L763" s="60" t="str">
        <f>K763-J763</f>
        <v>Gội Combo 3 - Chăm da</v>
      </c>
      <c r="M763" s="57">
        <v>0.0980392156862746</v>
      </c>
      <c r="N763" s="58">
        <v>239000</v>
      </c>
      <c r="O763" s="58">
        <v>262000</v>
      </c>
      <c r="P763" s="61">
        <v>23000</v>
      </c>
    </row>
    <row r="764">
      <c r="H764" s="59">
        <v>20</v>
      </c>
      <c r="I764" s="55" t="str">
        <v>382 NT</v>
      </c>
      <c r="J764" s="56" t="str">
        <v>DV_Gội</v>
      </c>
      <c r="K764" s="56">
        <v>1060</v>
      </c>
      <c r="L764" s="60" t="str">
        <f>K764-J764</f>
        <v>Gội Combo 4</v>
      </c>
      <c r="M764" s="57">
        <v>0.0980392156862746</v>
      </c>
      <c r="N764" s="58">
        <v>319000</v>
      </c>
      <c r="O764" s="58">
        <v>350000</v>
      </c>
      <c r="P764" s="61">
        <v>31000</v>
      </c>
    </row>
    <row r="765">
      <c r="H765" s="59">
        <v>20</v>
      </c>
      <c r="I765" s="55" t="str">
        <v>382 NT</v>
      </c>
      <c r="J765" s="56" t="str">
        <v>DV_Gội</v>
      </c>
      <c r="K765" s="56">
        <v>1061</v>
      </c>
      <c r="L765" s="60" t="str">
        <f>K765-J765</f>
        <v>Gội Combo 5 - Chăm da</v>
      </c>
      <c r="M765" s="57">
        <v>0.0980392156862746</v>
      </c>
      <c r="N765" s="58">
        <v>359000</v>
      </c>
      <c r="O765" s="58">
        <v>394000</v>
      </c>
      <c r="P765" s="61">
        <v>35000</v>
      </c>
    </row>
    <row r="766">
      <c r="H766" s="59">
        <v>20</v>
      </c>
      <c r="I766" s="55" t="str">
        <v>382 NT</v>
      </c>
      <c r="J766" s="56" t="str">
        <v>DV_Gội</v>
      </c>
      <c r="K766" s="56">
        <v>1066</v>
      </c>
      <c r="L766" s="60" t="str">
        <f>K766-J766</f>
        <v>Gội trải nghiệm 75p</v>
      </c>
      <c r="M766" s="57">
        <v>0.0980392156862746</v>
      </c>
      <c r="N766" s="58">
        <v>589000</v>
      </c>
      <c r="O766" s="58">
        <v>647000</v>
      </c>
      <c r="P766" s="61">
        <v>58000</v>
      </c>
    </row>
    <row r="767">
      <c r="H767" s="59">
        <v>20</v>
      </c>
      <c r="I767" s="55" t="str">
        <v>382 NT</v>
      </c>
      <c r="J767" s="56" t="str">
        <v>DV_Gội</v>
      </c>
      <c r="K767" s="56">
        <v>1067</v>
      </c>
      <c r="L767" s="60" t="str">
        <f>K767-J767</f>
        <v>Gội trải nghiệm 90p</v>
      </c>
      <c r="M767" s="57">
        <v>0.0980392156862746</v>
      </c>
      <c r="N767" s="58">
        <v>789000</v>
      </c>
      <c r="O767" s="58">
        <v>866000</v>
      </c>
      <c r="P767" s="61">
        <v>77000</v>
      </c>
    </row>
    <row r="768">
      <c r="H768" s="59">
        <v>20</v>
      </c>
      <c r="I768" s="55" t="str">
        <v>382 NT</v>
      </c>
      <c r="J768" s="56" t="str">
        <v>DV_Gội</v>
      </c>
      <c r="K768" s="56">
        <v>1068</v>
      </c>
      <c r="L768" s="60" t="str">
        <f>K768-J768</f>
        <v>Gội trải nghiệm 115p</v>
      </c>
      <c r="M768" s="57">
        <v>0.0980392156862746</v>
      </c>
      <c r="N768" s="58">
        <v>999000</v>
      </c>
      <c r="O768" s="58">
        <v>1097000</v>
      </c>
      <c r="P768" s="61">
        <v>98000</v>
      </c>
    </row>
    <row r="769">
      <c r="H769" s="59">
        <v>20</v>
      </c>
      <c r="I769" s="55" t="str">
        <v>382 NT</v>
      </c>
      <c r="J769" s="56" t="str">
        <v>DV_Gội</v>
      </c>
      <c r="K769" s="56">
        <v>1069</v>
      </c>
      <c r="L769" s="60" t="str">
        <f>K769-J769</f>
        <v>Gội trải nghiệm 140p</v>
      </c>
      <c r="M769" s="57">
        <v>0.0980392156862746</v>
      </c>
      <c r="N769" s="58">
        <v>1199000</v>
      </c>
      <c r="O769" s="58">
        <v>1317000</v>
      </c>
      <c r="P769" s="61">
        <v>118000</v>
      </c>
    </row>
    <row r="770">
      <c r="H770" s="59">
        <v>20</v>
      </c>
      <c r="I770" s="55" t="str">
        <v>382 NT</v>
      </c>
      <c r="J770" s="56" t="str">
        <v>DV_Spa</v>
      </c>
      <c r="K770" s="56">
        <v>936</v>
      </c>
      <c r="L770" s="60" t="str">
        <f>K770-J770</f>
        <v>[NEW] Chăm sóc da Shine Spa 199k (có phân tích da)</v>
      </c>
      <c r="M770" s="57">
        <v>0.0980392156862746</v>
      </c>
      <c r="N770" s="58">
        <v>199000</v>
      </c>
      <c r="O770" s="58">
        <v>219000</v>
      </c>
      <c r="P770" s="61">
        <v>20000</v>
      </c>
    </row>
    <row r="771">
      <c r="H771" s="59">
        <v>200</v>
      </c>
      <c r="I771" s="55" t="str">
        <v>39 HBT</v>
      </c>
      <c r="J771" s="56" t="str">
        <v>DV_Cắt</v>
      </c>
      <c r="K771" s="56">
        <v>513</v>
      </c>
      <c r="L771" s="60" t="str">
        <f>K771-J771</f>
        <v>[DV] ShineCombo 10 bước Ultra Care 2023</v>
      </c>
      <c r="M771" s="57">
        <v>0.04000000000000004</v>
      </c>
      <c r="N771" s="58">
        <v>122000</v>
      </c>
      <c r="O771" s="58">
        <v>122000</v>
      </c>
      <c r="P771" s="61"/>
    </row>
    <row r="772">
      <c r="H772" s="59">
        <v>200</v>
      </c>
      <c r="I772" s="55" t="str">
        <v>39 HBT</v>
      </c>
      <c r="J772" s="56" t="str">
        <v>DV_Cắt</v>
      </c>
      <c r="K772" s="56">
        <v>891</v>
      </c>
      <c r="L772" s="60" t="str">
        <f>K772-J772</f>
        <v>Cắt xả tạo kiểu</v>
      </c>
      <c r="M772" s="57">
        <v>0.04000000000000004</v>
      </c>
      <c r="N772" s="58">
        <v>100000</v>
      </c>
      <c r="O772" s="58">
        <v>104000</v>
      </c>
      <c r="P772" s="50">
        <v>4000</v>
      </c>
    </row>
    <row r="773">
      <c r="H773" s="59">
        <v>200</v>
      </c>
      <c r="I773" s="55" t="str">
        <v>39 HBT</v>
      </c>
      <c r="J773" s="56" t="str">
        <v>DV_Cắt</v>
      </c>
      <c r="K773" s="56">
        <v>1002</v>
      </c>
      <c r="L773" s="60" t="str">
        <f>K773-J773</f>
        <v>Kid Cắt</v>
      </c>
      <c r="M773" s="57">
        <v>0.04000000000000004</v>
      </c>
      <c r="N773" s="58">
        <v>81000</v>
      </c>
      <c r="O773" s="58">
        <v>84000</v>
      </c>
      <c r="P773" s="50">
        <v>3000</v>
      </c>
    </row>
    <row r="774">
      <c r="H774" s="59">
        <v>200</v>
      </c>
      <c r="I774" s="55" t="str">
        <v>39 HBT</v>
      </c>
      <c r="J774" s="56" t="str">
        <v>DV_Cắt</v>
      </c>
      <c r="K774" s="56">
        <v>1070</v>
      </c>
      <c r="L774" s="60" t="str">
        <f>K774-J774</f>
        <v>Combo Cắt gội Kid</v>
      </c>
      <c r="M774" s="57">
        <v>0.04000000000000004</v>
      </c>
      <c r="N774" s="58">
        <v>100000</v>
      </c>
      <c r="O774" s="58">
        <v>104000</v>
      </c>
      <c r="P774" s="50">
        <v>4000</v>
      </c>
    </row>
    <row r="775">
      <c r="H775" s="59">
        <v>200</v>
      </c>
      <c r="I775" s="55" t="str">
        <v>39 HBT</v>
      </c>
      <c r="J775" s="56" t="str">
        <v>DV_Cắt_Vip</v>
      </c>
      <c r="K775" s="56">
        <v>1046</v>
      </c>
      <c r="L775" s="60" t="str">
        <f>K775-J775</f>
        <v>Shinecombo 2</v>
      </c>
      <c r="M775" s="57">
        <v>0.04000000000000004</v>
      </c>
      <c r="N775" s="58">
        <v>205000</v>
      </c>
      <c r="O775" s="58">
        <v>213000</v>
      </c>
      <c r="P775" s="50">
        <v>8000</v>
      </c>
    </row>
    <row r="776">
      <c r="H776" s="59">
        <v>200</v>
      </c>
      <c r="I776" s="55" t="str">
        <v>39 HBT</v>
      </c>
      <c r="J776" s="56" t="str">
        <v>DV_Cắt_Vip</v>
      </c>
      <c r="K776" s="56">
        <v>1047</v>
      </c>
      <c r="L776" s="60" t="str">
        <f>K776-J776</f>
        <v>Cắt Gội Combo 3 - Chăm da</v>
      </c>
      <c r="M776" s="57">
        <v>0.04000000000000004</v>
      </c>
      <c r="N776" s="58">
        <v>305000</v>
      </c>
      <c r="O776" s="58">
        <v>317000</v>
      </c>
      <c r="P776" s="50">
        <v>12000</v>
      </c>
    </row>
    <row r="777">
      <c r="H777" s="59">
        <v>200</v>
      </c>
      <c r="I777" s="55" t="str">
        <v>39 HBT</v>
      </c>
      <c r="J777" s="56" t="str">
        <v>DV_Cắt_Vip</v>
      </c>
      <c r="K777" s="56">
        <v>1048</v>
      </c>
      <c r="L777" s="60" t="str">
        <f>K777-J777</f>
        <v>Combo 4</v>
      </c>
      <c r="M777" s="57">
        <v>0.04000000000000004</v>
      </c>
      <c r="N777" s="58">
        <v>395000</v>
      </c>
      <c r="O777" s="58">
        <v>411000</v>
      </c>
      <c r="P777" s="50">
        <v>16000</v>
      </c>
    </row>
    <row r="778">
      <c r="H778" s="59">
        <v>200</v>
      </c>
      <c r="I778" s="55" t="str">
        <v>39 HBT</v>
      </c>
      <c r="J778" s="56" t="str">
        <v>DV_Cắt_Vip</v>
      </c>
      <c r="K778" s="56">
        <v>1064</v>
      </c>
      <c r="L778" s="60" t="str">
        <f>K778-J778</f>
        <v>Cắt Gội Combo 5 - Dưỡng sinh</v>
      </c>
      <c r="M778" s="57">
        <v>0.04000000000000004</v>
      </c>
      <c r="N778" s="58">
        <v>459000</v>
      </c>
      <c r="O778" s="58">
        <v>477000</v>
      </c>
      <c r="P778" s="50">
        <v>18000</v>
      </c>
    </row>
    <row r="779">
      <c r="H779" s="59">
        <v>200</v>
      </c>
      <c r="I779" s="55" t="str">
        <v>39 HBT</v>
      </c>
      <c r="J779" s="56" t="str">
        <v>DV_Gội</v>
      </c>
      <c r="K779" s="56">
        <v>867</v>
      </c>
      <c r="L779" s="60" t="str">
        <f>K779-J779</f>
        <v>Gội dưỡng sinh cổ vai gáy</v>
      </c>
      <c r="M779" s="57">
        <v>0.04000000000000004</v>
      </c>
      <c r="N779" s="58">
        <v>99000</v>
      </c>
      <c r="O779" s="58">
        <v>103000</v>
      </c>
      <c r="P779" s="50">
        <v>4000</v>
      </c>
    </row>
    <row r="780">
      <c r="H780" s="59">
        <v>200</v>
      </c>
      <c r="I780" s="55" t="str">
        <v>39 HBT</v>
      </c>
      <c r="J780" s="56" t="str">
        <v>DV_Gội</v>
      </c>
      <c r="K780" s="56">
        <v>930</v>
      </c>
      <c r="L780" s="60" t="str">
        <f>K780-J780</f>
        <v>[NEW] Gội dưỡng sinh cổ vai gáy và chăm sóc da</v>
      </c>
      <c r="M780" s="57">
        <v>0.04000000000000004</v>
      </c>
      <c r="N780" s="58">
        <v>139000</v>
      </c>
      <c r="O780" s="58">
        <v>145000</v>
      </c>
      <c r="P780" s="50">
        <v>6000</v>
      </c>
    </row>
    <row r="781">
      <c r="H781" s="59">
        <v>200</v>
      </c>
      <c r="I781" s="55" t="str">
        <v>39 HBT</v>
      </c>
      <c r="J781" s="56" t="str">
        <v>DV_Gội</v>
      </c>
      <c r="K781" s="56">
        <v>934</v>
      </c>
      <c r="L781" s="60" t="str">
        <f>K781-J781</f>
        <v>Gội combo 3 - Dưỡng sinh</v>
      </c>
      <c r="M781" s="57">
        <v>0.04000000000000004</v>
      </c>
      <c r="N781" s="58">
        <v>229000</v>
      </c>
      <c r="O781" s="58">
        <v>238000</v>
      </c>
      <c r="P781" s="50">
        <v>9000</v>
      </c>
    </row>
    <row r="782">
      <c r="H782" s="59">
        <v>200</v>
      </c>
      <c r="I782" s="55" t="str">
        <v>39 HBT</v>
      </c>
      <c r="J782" s="56" t="str">
        <v>DV_Gội</v>
      </c>
      <c r="K782" s="56">
        <v>940</v>
      </c>
      <c r="L782" s="60" t="str">
        <f>K782-J782</f>
        <v>[NEW] Gội dưỡng sinh</v>
      </c>
      <c r="M782" s="57">
        <v>0.04000000000000004</v>
      </c>
      <c r="N782" s="58">
        <v>59000</v>
      </c>
      <c r="O782" s="58">
        <v>61000</v>
      </c>
      <c r="P782" s="50">
        <v>2000</v>
      </c>
    </row>
    <row r="783">
      <c r="H783" s="59">
        <v>200</v>
      </c>
      <c r="I783" s="55" t="str">
        <v>39 HBT</v>
      </c>
      <c r="J783" s="56" t="str">
        <v>DV_Gội</v>
      </c>
      <c r="K783" s="56">
        <v>1058</v>
      </c>
      <c r="L783" s="60" t="str">
        <f>K783-J783</f>
        <v>Gội Combo 2</v>
      </c>
      <c r="M783" s="57">
        <v>0.04000000000000004</v>
      </c>
      <c r="N783" s="58">
        <v>159000</v>
      </c>
      <c r="O783" s="58">
        <v>165000</v>
      </c>
      <c r="P783" s="50">
        <v>6000</v>
      </c>
    </row>
    <row r="784">
      <c r="H784" s="59">
        <v>200</v>
      </c>
      <c r="I784" s="55" t="str">
        <v>39 HBT</v>
      </c>
      <c r="J784" s="56" t="str">
        <v>DV_Gội</v>
      </c>
      <c r="K784" s="56">
        <v>1059</v>
      </c>
      <c r="L784" s="60" t="str">
        <f>K784-J784</f>
        <v>Gội Combo 3 - Chăm da</v>
      </c>
      <c r="M784" s="57">
        <v>0.04000000000000004</v>
      </c>
      <c r="N784" s="58">
        <v>239000</v>
      </c>
      <c r="O784" s="58">
        <v>249000</v>
      </c>
      <c r="P784" s="50">
        <v>10000</v>
      </c>
    </row>
    <row r="785">
      <c r="H785" s="59">
        <v>200</v>
      </c>
      <c r="I785" s="55" t="str">
        <v>39 HBT</v>
      </c>
      <c r="J785" s="56" t="str">
        <v>DV_Gội</v>
      </c>
      <c r="K785" s="56">
        <v>1060</v>
      </c>
      <c r="L785" s="60" t="str">
        <f>K785-J785</f>
        <v>Gội Combo 4</v>
      </c>
      <c r="M785" s="57">
        <v>0.04000000000000004</v>
      </c>
      <c r="N785" s="58">
        <v>319000</v>
      </c>
      <c r="O785" s="58">
        <v>332000</v>
      </c>
      <c r="P785" s="50">
        <v>13000</v>
      </c>
    </row>
    <row r="786">
      <c r="H786" s="59">
        <v>200</v>
      </c>
      <c r="I786" s="55" t="str">
        <v>39 HBT</v>
      </c>
      <c r="J786" s="56" t="str">
        <v>DV_Gội</v>
      </c>
      <c r="K786" s="56">
        <v>1066</v>
      </c>
      <c r="L786" s="60" t="str">
        <f>K786-J786</f>
        <v>Gội trải nghiệm 75p</v>
      </c>
      <c r="M786" s="57">
        <v>0.04000000000000004</v>
      </c>
      <c r="N786" s="58">
        <v>589000</v>
      </c>
      <c r="O786" s="58">
        <v>613000</v>
      </c>
      <c r="P786" s="50">
        <v>24000</v>
      </c>
    </row>
    <row r="787">
      <c r="H787" s="59">
        <v>200</v>
      </c>
      <c r="I787" s="55" t="str">
        <v>39 HBT</v>
      </c>
      <c r="J787" s="56" t="str">
        <v>DV_Gội</v>
      </c>
      <c r="K787" s="56">
        <v>1067</v>
      </c>
      <c r="L787" s="60" t="str">
        <f>K787-J787</f>
        <v>Gội trải nghiệm 90p</v>
      </c>
      <c r="M787" s="57">
        <v>0.04000000000000004</v>
      </c>
      <c r="N787" s="58">
        <v>789000</v>
      </c>
      <c r="O787" s="58">
        <v>821000</v>
      </c>
      <c r="P787" s="50">
        <v>32000</v>
      </c>
    </row>
    <row r="788">
      <c r="H788" s="59">
        <v>200</v>
      </c>
      <c r="I788" s="55" t="str">
        <v>39 HBT</v>
      </c>
      <c r="J788" s="56" t="str">
        <v>DV_Gội</v>
      </c>
      <c r="K788" s="56">
        <v>1068</v>
      </c>
      <c r="L788" s="60" t="str">
        <f>K788-J788</f>
        <v>Gội trải nghiệm 115p</v>
      </c>
      <c r="M788" s="57">
        <v>0.04000000000000004</v>
      </c>
      <c r="N788" s="58">
        <v>999000</v>
      </c>
      <c r="O788" s="58">
        <v>1039000</v>
      </c>
      <c r="P788" s="50">
        <v>40000</v>
      </c>
    </row>
    <row r="789">
      <c r="H789" s="59">
        <v>200</v>
      </c>
      <c r="I789" s="55" t="str">
        <v>39 HBT</v>
      </c>
      <c r="J789" s="56" t="str">
        <v>DV_Gội</v>
      </c>
      <c r="K789" s="56">
        <v>1069</v>
      </c>
      <c r="L789" s="60" t="str">
        <f>K789-J789</f>
        <v>Gội trải nghiệm 140p</v>
      </c>
      <c r="M789" s="57">
        <v>0.04000000000000004</v>
      </c>
      <c r="N789" s="58">
        <v>1199000</v>
      </c>
      <c r="O789" s="58">
        <v>1247000</v>
      </c>
      <c r="P789" s="61">
        <v>48000</v>
      </c>
    </row>
    <row r="790">
      <c r="H790" s="59">
        <v>200</v>
      </c>
      <c r="I790" s="55" t="str">
        <v>39 HBT</v>
      </c>
      <c r="J790" s="56" t="str">
        <v>DV_Spa</v>
      </c>
      <c r="K790" s="56">
        <v>936</v>
      </c>
      <c r="L790" s="60" t="str">
        <f>K790-J790</f>
        <v>[NEW] Chăm sóc da Shine Spa 199k (có phân tích da)</v>
      </c>
      <c r="M790" s="57">
        <v>0.04000000000000004</v>
      </c>
      <c r="N790" s="58">
        <v>199000</v>
      </c>
      <c r="O790" s="58">
        <v>207000</v>
      </c>
      <c r="P790" s="50">
        <v>8000</v>
      </c>
    </row>
    <row r="791">
      <c r="H791" s="59">
        <v>201</v>
      </c>
      <c r="I791" s="55" t="str">
        <v>4 LQD BN</v>
      </c>
      <c r="J791" s="56" t="str">
        <v>DV_Cắt</v>
      </c>
      <c r="K791" s="56">
        <v>513</v>
      </c>
      <c r="L791" s="60" t="str">
        <f>K791-J791</f>
        <v>[DV] ShineCombo 10 bước Ultra Care 2023</v>
      </c>
      <c r="M791" s="57">
        <v>0</v>
      </c>
      <c r="N791" s="58">
        <v>122000</v>
      </c>
      <c r="O791" s="58">
        <v>122000</v>
      </c>
      <c r="P791" s="50"/>
    </row>
    <row r="792">
      <c r="H792" s="59">
        <v>201</v>
      </c>
      <c r="I792" s="55" t="str">
        <v>4 LQD BN</v>
      </c>
      <c r="J792" s="56" t="str">
        <v>DV_Cắt</v>
      </c>
      <c r="K792" s="56">
        <v>891</v>
      </c>
      <c r="L792" s="60" t="str">
        <f>K792-J792</f>
        <v>Cắt xả tạo kiểu</v>
      </c>
      <c r="M792" s="57">
        <v>0</v>
      </c>
      <c r="N792" s="58">
        <v>94000</v>
      </c>
      <c r="O792" s="58">
        <v>94000</v>
      </c>
      <c r="P792" s="61"/>
    </row>
    <row r="793">
      <c r="H793" s="59">
        <v>201</v>
      </c>
      <c r="I793" s="55" t="str">
        <v>4 LQD BN</v>
      </c>
      <c r="J793" s="56" t="str">
        <v>DV_Cắt</v>
      </c>
      <c r="K793" s="56">
        <v>1002</v>
      </c>
      <c r="L793" s="60" t="str">
        <f>K793-J793</f>
        <v>Kid Cắt</v>
      </c>
      <c r="M793" s="57">
        <v>0</v>
      </c>
      <c r="N793" s="58">
        <v>75000</v>
      </c>
      <c r="O793" s="58">
        <v>75000</v>
      </c>
      <c r="P793" s="50"/>
    </row>
    <row r="794">
      <c r="H794" s="59">
        <v>201</v>
      </c>
      <c r="I794" s="55" t="str">
        <v>4 LQD BN</v>
      </c>
      <c r="J794" s="56" t="str">
        <v>DV_Cắt</v>
      </c>
      <c r="K794" s="56">
        <v>1070</v>
      </c>
      <c r="L794" s="60" t="str">
        <f>K794-J794</f>
        <v>Combo Cắt gội Kid</v>
      </c>
      <c r="M794" s="57">
        <v>0</v>
      </c>
      <c r="N794" s="58">
        <v>100000</v>
      </c>
      <c r="O794" s="58">
        <v>100000</v>
      </c>
      <c r="P794" s="50"/>
    </row>
    <row r="795">
      <c r="H795" s="59">
        <v>201</v>
      </c>
      <c r="I795" s="55" t="str">
        <v>4 LQD BN</v>
      </c>
      <c r="J795" s="56" t="str">
        <v>DV_Cắt_Vip</v>
      </c>
      <c r="K795" s="56">
        <v>1046</v>
      </c>
      <c r="L795" s="60" t="str">
        <f>K795-J795</f>
        <v>Shinecombo 2</v>
      </c>
      <c r="M795" s="57">
        <v>0</v>
      </c>
      <c r="N795" s="58">
        <v>199000</v>
      </c>
      <c r="O795" s="58">
        <v>199000</v>
      </c>
      <c r="P795" s="50"/>
    </row>
    <row r="796">
      <c r="H796" s="59">
        <v>201</v>
      </c>
      <c r="I796" s="55" t="str">
        <v>4 LQD BN</v>
      </c>
      <c r="J796" s="56" t="str">
        <v>DV_Cắt_Vip</v>
      </c>
      <c r="K796" s="56">
        <v>1047</v>
      </c>
      <c r="L796" s="60" t="str">
        <f>K796-J796</f>
        <v>Cắt Gội Combo 3 - Chăm da</v>
      </c>
      <c r="M796" s="57">
        <v>0</v>
      </c>
      <c r="N796" s="58">
        <v>299000</v>
      </c>
      <c r="O796" s="58">
        <v>299000</v>
      </c>
      <c r="P796" s="50"/>
    </row>
    <row r="797">
      <c r="H797" s="59">
        <v>201</v>
      </c>
      <c r="I797" s="55" t="str">
        <v>4 LQD BN</v>
      </c>
      <c r="J797" s="56" t="str">
        <v>DV_Cắt_Vip</v>
      </c>
      <c r="K797" s="56">
        <v>1048</v>
      </c>
      <c r="L797" s="60" t="str">
        <f>K797-J797</f>
        <v>Combo 4</v>
      </c>
      <c r="M797" s="57">
        <v>0</v>
      </c>
      <c r="N797" s="58">
        <v>389000</v>
      </c>
      <c r="O797" s="58">
        <v>389000</v>
      </c>
      <c r="P797" s="50"/>
    </row>
    <row r="798">
      <c r="H798" s="59">
        <v>201</v>
      </c>
      <c r="I798" s="55" t="str">
        <v>4 LQD BN</v>
      </c>
      <c r="J798" s="56" t="str">
        <v>DV_Cắt_Vip</v>
      </c>
      <c r="K798" s="56">
        <v>1064</v>
      </c>
      <c r="L798" s="60" t="str">
        <f>K798-J798</f>
        <v>Cắt Gội Combo 5 - Dưỡng sinh</v>
      </c>
      <c r="M798" s="57">
        <v>0</v>
      </c>
      <c r="N798" s="58">
        <v>459000</v>
      </c>
      <c r="O798" s="58">
        <v>459000</v>
      </c>
      <c r="P798" s="50"/>
    </row>
    <row r="799">
      <c r="H799" s="59">
        <v>201</v>
      </c>
      <c r="I799" s="55" t="str">
        <v>4 LQD BN</v>
      </c>
      <c r="J799" s="56" t="str">
        <v>DV_Cắt_Vip</v>
      </c>
      <c r="K799" s="56">
        <v>1065</v>
      </c>
      <c r="L799" s="60" t="str">
        <f>K799-J799</f>
        <v>Cắt Gội Combo 3 - Dưỡng sinh</v>
      </c>
      <c r="M799" s="57">
        <v>0</v>
      </c>
      <c r="N799" s="58">
        <v>299000</v>
      </c>
      <c r="O799" s="58">
        <v>299000</v>
      </c>
      <c r="P799" s="50"/>
    </row>
    <row r="800">
      <c r="H800" s="59">
        <v>201</v>
      </c>
      <c r="I800" s="55" t="str">
        <v>4 LQD BN</v>
      </c>
      <c r="J800" s="56" t="str">
        <v>DV_Gội</v>
      </c>
      <c r="K800" s="56">
        <v>867</v>
      </c>
      <c r="L800" s="60" t="str">
        <f>K800-J800</f>
        <v>Gội dưỡng sinh cổ vai gáy</v>
      </c>
      <c r="M800" s="57">
        <v>0</v>
      </c>
      <c r="N800" s="58">
        <v>99000</v>
      </c>
      <c r="O800" s="58">
        <v>99000</v>
      </c>
      <c r="P800" s="50"/>
    </row>
    <row r="801">
      <c r="H801" s="59">
        <v>201</v>
      </c>
      <c r="I801" s="55" t="str">
        <v>4 LQD BN</v>
      </c>
      <c r="J801" s="56" t="str">
        <v>DV_Gội</v>
      </c>
      <c r="K801" s="56">
        <v>930</v>
      </c>
      <c r="L801" s="60" t="str">
        <f>K801-J801</f>
        <v>[NEW] Gội dưỡng sinh cổ vai gáy và chăm sóc da</v>
      </c>
      <c r="M801" s="57">
        <v>0</v>
      </c>
      <c r="N801" s="58">
        <v>139000</v>
      </c>
      <c r="O801" s="58">
        <v>139000</v>
      </c>
      <c r="P801" s="50"/>
    </row>
    <row r="802">
      <c r="H802" s="59">
        <v>201</v>
      </c>
      <c r="I802" s="55" t="str">
        <v>4 LQD BN</v>
      </c>
      <c r="J802" s="56" t="str">
        <v>DV_Gội</v>
      </c>
      <c r="K802" s="56">
        <v>934</v>
      </c>
      <c r="L802" s="60" t="str">
        <f>K802-J802</f>
        <v>Gội combo 3 - Dưỡng sinh</v>
      </c>
      <c r="M802" s="57">
        <v>0</v>
      </c>
      <c r="N802" s="58">
        <v>219000</v>
      </c>
      <c r="O802" s="58">
        <v>219000</v>
      </c>
      <c r="P802" s="50"/>
    </row>
    <row r="803">
      <c r="H803" s="59">
        <v>201</v>
      </c>
      <c r="I803" s="55" t="str">
        <v>4 LQD BN</v>
      </c>
      <c r="J803" s="56" t="str">
        <v>DV_Gội</v>
      </c>
      <c r="K803" s="56">
        <v>940</v>
      </c>
      <c r="L803" s="60" t="str">
        <f>K803-J803</f>
        <v>[NEW] Gội dưỡng sinh</v>
      </c>
      <c r="M803" s="57">
        <v>0</v>
      </c>
      <c r="N803" s="58">
        <v>59000</v>
      </c>
      <c r="O803" s="58">
        <v>59000</v>
      </c>
      <c r="P803" s="50"/>
    </row>
    <row r="804">
      <c r="H804" s="59">
        <v>201</v>
      </c>
      <c r="I804" s="55" t="str">
        <v>4 LQD BN</v>
      </c>
      <c r="J804" s="56" t="str">
        <v>DV_Gội</v>
      </c>
      <c r="K804" s="56">
        <v>1058</v>
      </c>
      <c r="L804" s="60" t="str">
        <f>K804-J804</f>
        <v>Gội Combo 2</v>
      </c>
      <c r="M804" s="57">
        <v>0</v>
      </c>
      <c r="N804" s="58">
        <v>159000</v>
      </c>
      <c r="O804" s="58">
        <v>159000</v>
      </c>
      <c r="P804" s="50"/>
    </row>
    <row r="805">
      <c r="H805" s="59">
        <v>201</v>
      </c>
      <c r="I805" s="55" t="str">
        <v>4 LQD BN</v>
      </c>
      <c r="J805" s="56" t="str">
        <v>DV_Gội</v>
      </c>
      <c r="K805" s="56">
        <v>1059</v>
      </c>
      <c r="L805" s="60" t="str">
        <f>K805-J805</f>
        <v>Gội Combo 3 - Chăm da</v>
      </c>
      <c r="M805" s="57">
        <v>0</v>
      </c>
      <c r="N805" s="58">
        <v>239000</v>
      </c>
      <c r="O805" s="58">
        <v>239000</v>
      </c>
      <c r="P805" s="50"/>
    </row>
    <row r="806">
      <c r="H806" s="59">
        <v>201</v>
      </c>
      <c r="I806" s="55" t="str">
        <v>4 LQD BN</v>
      </c>
      <c r="J806" s="56" t="str">
        <v>DV_Gội</v>
      </c>
      <c r="K806" s="56">
        <v>1060</v>
      </c>
      <c r="L806" s="60" t="str">
        <f>K806-J806</f>
        <v>Gội Combo 4</v>
      </c>
      <c r="M806" s="57">
        <v>0</v>
      </c>
      <c r="N806" s="58">
        <v>289000</v>
      </c>
      <c r="O806" s="58">
        <v>289000</v>
      </c>
      <c r="P806" s="50"/>
    </row>
    <row r="807">
      <c r="H807" s="59">
        <v>201</v>
      </c>
      <c r="I807" s="55" t="str">
        <v>4 LQD BN</v>
      </c>
      <c r="J807" s="56" t="str">
        <v>DV_Gội</v>
      </c>
      <c r="K807" s="56">
        <v>1066</v>
      </c>
      <c r="L807" s="60" t="str">
        <f>K807-J807</f>
        <v>Gội trải nghiệm 75p</v>
      </c>
      <c r="M807" s="57">
        <v>0</v>
      </c>
      <c r="N807" s="58">
        <v>449000</v>
      </c>
      <c r="O807" s="58">
        <v>449000</v>
      </c>
      <c r="P807" s="50"/>
    </row>
    <row r="808">
      <c r="H808" s="59">
        <v>201</v>
      </c>
      <c r="I808" s="55" t="str">
        <v>4 LQD BN</v>
      </c>
      <c r="J808" s="56" t="str">
        <v>DV_Gội</v>
      </c>
      <c r="K808" s="56">
        <v>1067</v>
      </c>
      <c r="L808" s="60" t="str">
        <f>K808-J808</f>
        <v>Gội trải nghiệm 90p</v>
      </c>
      <c r="M808" s="57">
        <v>0</v>
      </c>
      <c r="N808" s="58">
        <v>789000</v>
      </c>
      <c r="O808" s="58">
        <v>789000</v>
      </c>
      <c r="P808" s="61"/>
    </row>
    <row r="809">
      <c r="H809" s="59">
        <v>201</v>
      </c>
      <c r="I809" s="55" t="str">
        <v>4 LQD BN</v>
      </c>
      <c r="J809" s="56" t="str">
        <v>DV_Gội</v>
      </c>
      <c r="K809" s="56">
        <v>1068</v>
      </c>
      <c r="L809" s="60" t="str">
        <f>K809-J809</f>
        <v>Gội trải nghiệm 115p</v>
      </c>
      <c r="M809" s="57">
        <v>0</v>
      </c>
      <c r="N809" s="58">
        <v>999000</v>
      </c>
      <c r="O809" s="58">
        <v>999000</v>
      </c>
      <c r="P809" s="50"/>
    </row>
    <row r="810">
      <c r="H810" s="59">
        <v>201</v>
      </c>
      <c r="I810" s="55" t="str">
        <v>4 LQD BN</v>
      </c>
      <c r="J810" s="56" t="str">
        <v>DV_Spa</v>
      </c>
      <c r="K810" s="56">
        <v>936</v>
      </c>
      <c r="L810" s="60" t="str">
        <f>K810-J810</f>
        <v>[NEW] Chăm sóc da Shine Spa 199k (có phân tích da)</v>
      </c>
      <c r="M810" s="57">
        <v>0</v>
      </c>
      <c r="N810" s="58">
        <v>199000</v>
      </c>
      <c r="O810" s="58">
        <v>199000</v>
      </c>
      <c r="P810" s="50"/>
    </row>
    <row r="811">
      <c r="H811" s="59">
        <v>204</v>
      </c>
      <c r="I811" s="55" t="str">
        <v>401/1 NDT</v>
      </c>
      <c r="J811" s="56" t="str">
        <v>DV_Cắt</v>
      </c>
      <c r="K811" s="56">
        <v>513</v>
      </c>
      <c r="L811" s="60" t="str">
        <f>K811-J811</f>
        <v>[DV] ShineCombo 10 bước Ultra Care 2023</v>
      </c>
      <c r="M811" s="57">
        <v>0</v>
      </c>
      <c r="N811" s="58">
        <v>122000</v>
      </c>
      <c r="O811" s="58">
        <v>122000</v>
      </c>
      <c r="P811" s="50"/>
    </row>
    <row r="812">
      <c r="H812" s="59">
        <v>204</v>
      </c>
      <c r="I812" s="55" t="str">
        <v>401/1 NDT</v>
      </c>
      <c r="J812" s="56" t="str">
        <v>DV_Cắt</v>
      </c>
      <c r="K812" s="56">
        <v>891</v>
      </c>
      <c r="L812" s="60" t="str">
        <f>K812-J812</f>
        <v>Cắt xả tạo kiểu</v>
      </c>
      <c r="M812" s="57">
        <v>0</v>
      </c>
      <c r="N812" s="58">
        <v>94000</v>
      </c>
      <c r="O812" s="58">
        <v>94000</v>
      </c>
      <c r="P812" s="50"/>
    </row>
    <row r="813">
      <c r="H813" s="59">
        <v>204</v>
      </c>
      <c r="I813" s="55" t="str">
        <v>401/1 NDT</v>
      </c>
      <c r="J813" s="56" t="str">
        <v>DV_Cắt</v>
      </c>
      <c r="K813" s="56">
        <v>1002</v>
      </c>
      <c r="L813" s="60" t="str">
        <f>K813-J813</f>
        <v>Kid Cắt</v>
      </c>
      <c r="M813" s="57">
        <v>0</v>
      </c>
      <c r="N813" s="58">
        <v>75000</v>
      </c>
      <c r="O813" s="58">
        <v>75000</v>
      </c>
      <c r="P813" s="50"/>
    </row>
    <row r="814">
      <c r="H814" s="59">
        <v>204</v>
      </c>
      <c r="I814" s="55" t="str">
        <v>401/1 NDT</v>
      </c>
      <c r="J814" s="56" t="str">
        <v>DV_Cắt</v>
      </c>
      <c r="K814" s="56">
        <v>1070</v>
      </c>
      <c r="L814" s="60" t="str">
        <f>K814-J814</f>
        <v>Combo Cắt gội Kid</v>
      </c>
      <c r="M814" s="57">
        <v>0</v>
      </c>
      <c r="N814" s="58">
        <v>100000</v>
      </c>
      <c r="O814" s="58">
        <v>100000</v>
      </c>
      <c r="P814" s="50"/>
    </row>
    <row r="815">
      <c r="H815" s="59">
        <v>204</v>
      </c>
      <c r="I815" s="55" t="str">
        <v>401/1 NDT</v>
      </c>
      <c r="J815" s="56" t="str">
        <v>DV_Cắt_Vip</v>
      </c>
      <c r="K815" s="56">
        <v>1046</v>
      </c>
      <c r="L815" s="60" t="str">
        <f>K815-J815</f>
        <v>Shinecombo 2</v>
      </c>
      <c r="M815" s="57">
        <v>0</v>
      </c>
      <c r="N815" s="58">
        <v>199000</v>
      </c>
      <c r="O815" s="58">
        <v>199000</v>
      </c>
      <c r="P815" s="50"/>
    </row>
    <row r="816">
      <c r="H816" s="59">
        <v>204</v>
      </c>
      <c r="I816" s="55" t="str">
        <v>401/1 NDT</v>
      </c>
      <c r="J816" s="56" t="str">
        <v>DV_Cắt_Vip</v>
      </c>
      <c r="K816" s="56">
        <v>1047</v>
      </c>
      <c r="L816" s="60" t="str">
        <f>K816-J816</f>
        <v>Cắt Gội Combo 3 - Chăm da</v>
      </c>
      <c r="M816" s="57">
        <v>0</v>
      </c>
      <c r="N816" s="58">
        <v>299000</v>
      </c>
      <c r="O816" s="58">
        <v>299000</v>
      </c>
      <c r="P816" s="50"/>
    </row>
    <row r="817">
      <c r="H817" s="59">
        <v>204</v>
      </c>
      <c r="I817" s="55" t="str">
        <v>401/1 NDT</v>
      </c>
      <c r="J817" s="56" t="str">
        <v>DV_Cắt_Vip</v>
      </c>
      <c r="K817" s="56">
        <v>1048</v>
      </c>
      <c r="L817" s="60" t="str">
        <f>K817-J817</f>
        <v>Combo 4</v>
      </c>
      <c r="M817" s="57">
        <v>0</v>
      </c>
      <c r="N817" s="58">
        <v>389000</v>
      </c>
      <c r="O817" s="58">
        <v>389000</v>
      </c>
      <c r="P817" s="50"/>
    </row>
    <row r="818">
      <c r="H818" s="59">
        <v>204</v>
      </c>
      <c r="I818" s="55" t="str">
        <v>401/1 NDT</v>
      </c>
      <c r="J818" s="56" t="str">
        <v>DV_Cắt_Vip</v>
      </c>
      <c r="K818" s="56">
        <v>1064</v>
      </c>
      <c r="L818" s="60" t="str">
        <f>K818-J818</f>
        <v>Cắt Gội Combo 5 - Dưỡng sinh</v>
      </c>
      <c r="M818" s="57">
        <v>0</v>
      </c>
      <c r="N818" s="58">
        <v>459000</v>
      </c>
      <c r="O818" s="58">
        <v>459000</v>
      </c>
      <c r="P818" s="50"/>
    </row>
    <row r="819">
      <c r="H819" s="59">
        <v>204</v>
      </c>
      <c r="I819" s="55" t="str">
        <v>401/1 NDT</v>
      </c>
      <c r="J819" s="56" t="str">
        <v>DV_Cắt_Vip</v>
      </c>
      <c r="K819" s="56">
        <v>1065</v>
      </c>
      <c r="L819" s="60" t="str">
        <f>K819-J819</f>
        <v>Cắt Gội Combo 3 - Dưỡng sinh</v>
      </c>
      <c r="M819" s="57">
        <v>0</v>
      </c>
      <c r="N819" s="58">
        <v>299000</v>
      </c>
      <c r="O819" s="58">
        <v>299000</v>
      </c>
      <c r="P819" s="50"/>
    </row>
    <row r="820">
      <c r="H820" s="59">
        <v>204</v>
      </c>
      <c r="I820" s="55" t="str">
        <v>401/1 NDT</v>
      </c>
      <c r="J820" s="56" t="str">
        <v>DV_Gội</v>
      </c>
      <c r="K820" s="56">
        <v>867</v>
      </c>
      <c r="L820" s="60" t="str">
        <f>K820-J820</f>
        <v>Gội dưỡng sinh cổ vai gáy</v>
      </c>
      <c r="M820" s="57">
        <v>0</v>
      </c>
      <c r="N820" s="58">
        <v>99000</v>
      </c>
      <c r="O820" s="58">
        <v>99000</v>
      </c>
      <c r="P820" s="50"/>
    </row>
    <row r="821">
      <c r="H821" s="59">
        <v>204</v>
      </c>
      <c r="I821" s="55" t="str">
        <v>401/1 NDT</v>
      </c>
      <c r="J821" s="56" t="str">
        <v>DV_Gội</v>
      </c>
      <c r="K821" s="56">
        <v>930</v>
      </c>
      <c r="L821" s="60" t="str">
        <f>K821-J821</f>
        <v>[NEW] Gội dưỡng sinh cổ vai gáy và chăm sóc da</v>
      </c>
      <c r="M821" s="57">
        <v>0</v>
      </c>
      <c r="N821" s="58">
        <v>139000</v>
      </c>
      <c r="O821" s="58">
        <v>139000</v>
      </c>
      <c r="P821" s="50"/>
    </row>
    <row r="822">
      <c r="H822" s="59">
        <v>204</v>
      </c>
      <c r="I822" s="55" t="str">
        <v>401/1 NDT</v>
      </c>
      <c r="J822" s="56" t="str">
        <v>DV_Gội</v>
      </c>
      <c r="K822" s="56">
        <v>934</v>
      </c>
      <c r="L822" s="60" t="str">
        <f>K822-J822</f>
        <v>Gội combo 3 - Dưỡng sinh</v>
      </c>
      <c r="M822" s="57">
        <v>0</v>
      </c>
      <c r="N822" s="58">
        <v>229000</v>
      </c>
      <c r="O822" s="58">
        <v>229000</v>
      </c>
      <c r="P822" s="50"/>
    </row>
    <row r="823">
      <c r="H823" s="59">
        <v>204</v>
      </c>
      <c r="I823" s="55" t="str">
        <v>401/1 NDT</v>
      </c>
      <c r="J823" s="56" t="str">
        <v>DV_Gội</v>
      </c>
      <c r="K823" s="56">
        <v>940</v>
      </c>
      <c r="L823" s="60" t="str">
        <f>K823-J823</f>
        <v>[NEW] Gội dưỡng sinh</v>
      </c>
      <c r="M823" s="57">
        <v>0</v>
      </c>
      <c r="N823" s="58">
        <v>59000</v>
      </c>
      <c r="O823" s="58">
        <v>59000</v>
      </c>
      <c r="P823" s="50"/>
    </row>
    <row r="824">
      <c r="H824" s="59">
        <v>204</v>
      </c>
      <c r="I824" s="55" t="str">
        <v>401/1 NDT</v>
      </c>
      <c r="J824" s="56" t="str">
        <v>DV_Gội</v>
      </c>
      <c r="K824" s="56">
        <v>1058</v>
      </c>
      <c r="L824" s="60" t="str">
        <f>K824-J824</f>
        <v>Gội Combo 2</v>
      </c>
      <c r="M824" s="57">
        <v>0</v>
      </c>
      <c r="N824" s="58">
        <v>159000</v>
      </c>
      <c r="O824" s="58">
        <v>159000</v>
      </c>
      <c r="P824" s="61"/>
    </row>
    <row r="825">
      <c r="H825" s="59">
        <v>204</v>
      </c>
      <c r="I825" s="55" t="str">
        <v>401/1 NDT</v>
      </c>
      <c r="J825" s="56" t="str">
        <v>DV_Gội</v>
      </c>
      <c r="K825" s="56">
        <v>1059</v>
      </c>
      <c r="L825" s="60" t="str">
        <f>K825-J825</f>
        <v>Gội Combo 3 - Chăm da</v>
      </c>
      <c r="M825" s="57">
        <v>0</v>
      </c>
      <c r="N825" s="58">
        <v>239000</v>
      </c>
      <c r="O825" s="58">
        <v>239000</v>
      </c>
      <c r="P825" s="50"/>
    </row>
    <row r="826">
      <c r="H826" s="59">
        <v>204</v>
      </c>
      <c r="I826" s="55" t="str">
        <v>401/1 NDT</v>
      </c>
      <c r="J826" s="56" t="str">
        <v>DV_Gội</v>
      </c>
      <c r="K826" s="56">
        <v>1060</v>
      </c>
      <c r="L826" s="60" t="str">
        <f>K826-J826</f>
        <v>Gội Combo 4</v>
      </c>
      <c r="M826" s="57">
        <v>0</v>
      </c>
      <c r="N826" s="58">
        <v>319000</v>
      </c>
      <c r="O826" s="58">
        <v>319000</v>
      </c>
      <c r="P826" s="50"/>
    </row>
    <row r="827">
      <c r="H827" s="59">
        <v>204</v>
      </c>
      <c r="I827" s="55" t="str">
        <v>401/1 NDT</v>
      </c>
      <c r="J827" s="56" t="str">
        <v>DV_Gội</v>
      </c>
      <c r="K827" s="56">
        <v>1066</v>
      </c>
      <c r="L827" s="60" t="str">
        <f>K827-J827</f>
        <v>Gội trải nghiệm 75p</v>
      </c>
      <c r="M827" s="57">
        <v>0</v>
      </c>
      <c r="N827" s="58">
        <v>589000</v>
      </c>
      <c r="O827" s="58">
        <v>589000</v>
      </c>
      <c r="P827" s="50"/>
    </row>
    <row r="828">
      <c r="H828" s="59">
        <v>204</v>
      </c>
      <c r="I828" s="55" t="str">
        <v>401/1 NDT</v>
      </c>
      <c r="J828" s="56" t="str">
        <v>DV_Gội</v>
      </c>
      <c r="K828" s="56">
        <v>1067</v>
      </c>
      <c r="L828" s="60" t="str">
        <f>K828-J828</f>
        <v>Gội trải nghiệm 90p</v>
      </c>
      <c r="M828" s="57">
        <v>0</v>
      </c>
      <c r="N828" s="58">
        <v>789000</v>
      </c>
      <c r="O828" s="58">
        <v>789000</v>
      </c>
      <c r="P828" s="50"/>
    </row>
    <row r="829">
      <c r="H829" s="59">
        <v>204</v>
      </c>
      <c r="I829" s="55" t="str">
        <v>401/1 NDT</v>
      </c>
      <c r="J829" s="56" t="str">
        <v>DV_Gội</v>
      </c>
      <c r="K829" s="56">
        <v>1068</v>
      </c>
      <c r="L829" s="60" t="str">
        <f>K829-J829</f>
        <v>Gội trải nghiệm 115p</v>
      </c>
      <c r="M829" s="57">
        <v>0</v>
      </c>
      <c r="N829" s="58">
        <v>999000</v>
      </c>
      <c r="O829" s="58">
        <v>999000</v>
      </c>
      <c r="P829" s="50"/>
    </row>
    <row r="830">
      <c r="H830" s="59">
        <v>204</v>
      </c>
      <c r="I830" s="55" t="str">
        <v>401/1 NDT</v>
      </c>
      <c r="J830" s="56" t="str">
        <v>DV_Gội</v>
      </c>
      <c r="K830" s="56">
        <v>1069</v>
      </c>
      <c r="L830" s="60" t="str">
        <f>K830-J830</f>
        <v>Gội trải nghiệm 140p</v>
      </c>
      <c r="M830" s="57">
        <v>0</v>
      </c>
      <c r="N830" s="58">
        <v>1199000</v>
      </c>
      <c r="O830" s="58">
        <v>1199000</v>
      </c>
      <c r="P830" s="50"/>
    </row>
    <row r="831">
      <c r="H831" s="59">
        <v>204</v>
      </c>
      <c r="I831" s="55" t="str">
        <v>401/1 NDT</v>
      </c>
      <c r="J831" s="56" t="str">
        <v>DV_Gội</v>
      </c>
      <c r="K831" s="56">
        <v>1243</v>
      </c>
      <c r="L831" s="60" t="str">
        <f>K831-J831</f>
        <v>Gội paradise LRT plus</v>
      </c>
      <c r="M831" s="57">
        <v>0</v>
      </c>
      <c r="N831" s="58">
        <v>329000</v>
      </c>
      <c r="O831" s="58">
        <v>329000</v>
      </c>
      <c r="P831" s="50"/>
    </row>
    <row r="832">
      <c r="H832" s="59">
        <v>204</v>
      </c>
      <c r="I832" s="55" t="str">
        <v>401/1 NDT</v>
      </c>
      <c r="J832" s="56" t="str">
        <v>DV_Spa</v>
      </c>
      <c r="K832" s="56">
        <v>936</v>
      </c>
      <c r="L832" s="60" t="str">
        <f>K832-J832</f>
        <v>[NEW] Chăm sóc da Shine Spa 199k (có phân tích da)</v>
      </c>
      <c r="M832" s="57">
        <v>0</v>
      </c>
      <c r="N832" s="58">
        <v>199000</v>
      </c>
      <c r="O832" s="58">
        <v>199000</v>
      </c>
      <c r="P832" s="50"/>
    </row>
    <row r="833">
      <c r="H833" s="59">
        <v>51</v>
      </c>
      <c r="I833" s="55" t="str">
        <v>420 HTP</v>
      </c>
      <c r="J833" s="56" t="str">
        <v>DV_Cắt</v>
      </c>
      <c r="K833" s="56">
        <v>513</v>
      </c>
      <c r="L833" s="60" t="str">
        <f>K833-J833</f>
        <v>[DV] ShineCombo 10 bước Ultra Care 2023</v>
      </c>
      <c r="M833" s="57">
        <v>0.03191489361702127</v>
      </c>
      <c r="N833" s="58">
        <v>122000</v>
      </c>
      <c r="O833" s="58">
        <v>122000</v>
      </c>
      <c r="P833" s="50"/>
    </row>
    <row r="834">
      <c r="H834" s="59">
        <v>51</v>
      </c>
      <c r="I834" s="55" t="str">
        <v>420 HTP</v>
      </c>
      <c r="J834" s="56" t="str">
        <v>DV_Cắt</v>
      </c>
      <c r="K834" s="56">
        <v>891</v>
      </c>
      <c r="L834" s="60" t="str">
        <f>K834-J834</f>
        <v>Cắt xả tạo kiểu</v>
      </c>
      <c r="M834" s="57">
        <v>0.03191489361702127</v>
      </c>
      <c r="N834" s="58">
        <v>94000</v>
      </c>
      <c r="O834" s="58">
        <v>97000</v>
      </c>
      <c r="P834" s="50">
        <v>3000</v>
      </c>
    </row>
    <row r="835">
      <c r="H835" s="59">
        <v>51</v>
      </c>
      <c r="I835" s="55" t="str">
        <v>420 HTP</v>
      </c>
      <c r="J835" s="56" t="str">
        <v>DV_Cắt</v>
      </c>
      <c r="K835" s="56">
        <v>1002</v>
      </c>
      <c r="L835" s="60" t="str">
        <f>K835-J835</f>
        <v>Kid Cắt</v>
      </c>
      <c r="M835" s="57">
        <v>0.03191489361702127</v>
      </c>
      <c r="N835" s="58">
        <v>75000</v>
      </c>
      <c r="O835" s="58">
        <v>77000</v>
      </c>
      <c r="P835" s="50">
        <v>2000</v>
      </c>
    </row>
    <row r="836">
      <c r="H836" s="59">
        <v>51</v>
      </c>
      <c r="I836" s="55" t="str">
        <v>420 HTP</v>
      </c>
      <c r="J836" s="56" t="str">
        <v>DV_Cắt</v>
      </c>
      <c r="K836" s="56">
        <v>1070</v>
      </c>
      <c r="L836" s="60" t="str">
        <f>K836-J836</f>
        <v>Combo Cắt gội Kid</v>
      </c>
      <c r="M836" s="57">
        <v>0.03191489361702127</v>
      </c>
      <c r="N836" s="58">
        <v>100000</v>
      </c>
      <c r="O836" s="58">
        <v>103000</v>
      </c>
      <c r="P836" s="50">
        <v>3000</v>
      </c>
    </row>
    <row r="837">
      <c r="H837" s="59">
        <v>51</v>
      </c>
      <c r="I837" s="55" t="str">
        <v>420 HTP</v>
      </c>
      <c r="J837" s="56" t="str">
        <v>DV_Cắt_Vip</v>
      </c>
      <c r="K837" s="56">
        <v>1046</v>
      </c>
      <c r="L837" s="60" t="str">
        <f>K837-J837</f>
        <v>Shinecombo 2</v>
      </c>
      <c r="M837" s="57">
        <v>0.03191489361702127</v>
      </c>
      <c r="N837" s="58">
        <v>199000</v>
      </c>
      <c r="O837" s="58">
        <v>205000</v>
      </c>
      <c r="P837" s="61">
        <v>6000</v>
      </c>
    </row>
    <row r="838">
      <c r="H838" s="59">
        <v>51</v>
      </c>
      <c r="I838" s="55" t="str">
        <v>420 HTP</v>
      </c>
      <c r="J838" s="56" t="str">
        <v>DV_Cắt_Vip</v>
      </c>
      <c r="K838" s="56">
        <v>1047</v>
      </c>
      <c r="L838" s="60" t="str">
        <f>K838-J838</f>
        <v>Cắt Gội Combo 3 - Chăm da</v>
      </c>
      <c r="M838" s="57">
        <v>0.03191489361702127</v>
      </c>
      <c r="N838" s="58">
        <v>299000</v>
      </c>
      <c r="O838" s="58">
        <v>309000</v>
      </c>
      <c r="P838" s="50">
        <v>10000</v>
      </c>
    </row>
    <row r="839">
      <c r="H839" s="59">
        <v>51</v>
      </c>
      <c r="I839" s="55" t="str">
        <v>420 HTP</v>
      </c>
      <c r="J839" s="56" t="str">
        <v>DV_Cắt_Vip</v>
      </c>
      <c r="K839" s="56">
        <v>1048</v>
      </c>
      <c r="L839" s="60" t="str">
        <f>K839-J839</f>
        <v>Combo 4</v>
      </c>
      <c r="M839" s="57">
        <v>0.03191489361702127</v>
      </c>
      <c r="N839" s="58">
        <v>389000</v>
      </c>
      <c r="O839" s="58">
        <v>401000</v>
      </c>
      <c r="P839" s="50">
        <v>12000</v>
      </c>
    </row>
    <row r="840">
      <c r="H840" s="59">
        <v>51</v>
      </c>
      <c r="I840" s="55" t="str">
        <v>420 HTP</v>
      </c>
      <c r="J840" s="56" t="str">
        <v>DV_Cắt_Vip</v>
      </c>
      <c r="K840" s="56">
        <v>1064</v>
      </c>
      <c r="L840" s="60" t="str">
        <f>K840-J840</f>
        <v>Cắt Gội Combo 5 - Dưỡng sinh</v>
      </c>
      <c r="M840" s="57">
        <v>0.03191489361702127</v>
      </c>
      <c r="N840" s="58">
        <v>459000</v>
      </c>
      <c r="O840" s="58">
        <v>474000</v>
      </c>
      <c r="P840" s="50">
        <v>15000</v>
      </c>
    </row>
    <row r="841">
      <c r="H841" s="59">
        <v>51</v>
      </c>
      <c r="I841" s="55" t="str">
        <v>420 HTP</v>
      </c>
      <c r="J841" s="56" t="str">
        <v>DV_Cắt_Vip</v>
      </c>
      <c r="K841" s="56">
        <v>1065</v>
      </c>
      <c r="L841" s="60" t="str">
        <f>K841-J841</f>
        <v>Cắt Gội Combo 3 - Dưỡng sinh</v>
      </c>
      <c r="M841" s="57">
        <v>0.03191489361702127</v>
      </c>
      <c r="N841" s="58">
        <v>299000</v>
      </c>
      <c r="O841" s="58">
        <v>309000</v>
      </c>
      <c r="P841" s="50">
        <v>10000</v>
      </c>
    </row>
    <row r="842">
      <c r="H842" s="59">
        <v>51</v>
      </c>
      <c r="I842" s="55" t="str">
        <v>420 HTP</v>
      </c>
      <c r="J842" s="56" t="str">
        <v>DV_Gội</v>
      </c>
      <c r="K842" s="56">
        <v>867</v>
      </c>
      <c r="L842" s="60" t="str">
        <f>K842-J842</f>
        <v>Gội dưỡng sinh cổ vai gáy</v>
      </c>
      <c r="M842" s="57">
        <v>0.03191489361702127</v>
      </c>
      <c r="N842" s="58">
        <v>129000</v>
      </c>
      <c r="O842" s="58">
        <v>133000</v>
      </c>
      <c r="P842" s="50">
        <v>4000</v>
      </c>
    </row>
    <row r="843">
      <c r="H843" s="59">
        <v>51</v>
      </c>
      <c r="I843" s="55" t="str">
        <v>420 HTP</v>
      </c>
      <c r="J843" s="56" t="str">
        <v>DV_Gội</v>
      </c>
      <c r="K843" s="56">
        <v>930</v>
      </c>
      <c r="L843" s="60" t="str">
        <f>K843-J843</f>
        <v>[NEW] Gội dưỡng sinh cổ vai gáy và chăm sóc da</v>
      </c>
      <c r="M843" s="57">
        <v>0.03191489361702127</v>
      </c>
      <c r="N843" s="58">
        <v>139000</v>
      </c>
      <c r="O843" s="58">
        <v>143000</v>
      </c>
      <c r="P843" s="50">
        <v>4000</v>
      </c>
    </row>
    <row r="844">
      <c r="H844" s="59">
        <v>51</v>
      </c>
      <c r="I844" s="55" t="str">
        <v>420 HTP</v>
      </c>
      <c r="J844" s="56" t="str">
        <v>DV_Gội</v>
      </c>
      <c r="K844" s="56">
        <v>932</v>
      </c>
      <c r="L844" s="60" t="str">
        <f>K844-J844</f>
        <v>Gội combo 5 dưỡng sinh</v>
      </c>
      <c r="M844" s="57">
        <v>0.03191489361702127</v>
      </c>
      <c r="N844" s="58">
        <v>399000</v>
      </c>
      <c r="O844" s="58">
        <v>412000</v>
      </c>
      <c r="P844" s="50">
        <v>13000</v>
      </c>
    </row>
    <row r="845">
      <c r="H845" s="59">
        <v>51</v>
      </c>
      <c r="I845" s="55" t="str">
        <v>420 HTP</v>
      </c>
      <c r="J845" s="56" t="str">
        <v>DV_Gội</v>
      </c>
      <c r="K845" s="56">
        <v>934</v>
      </c>
      <c r="L845" s="60" t="str">
        <f>K845-J845</f>
        <v>Gội combo 3 - Dưỡng sinh</v>
      </c>
      <c r="M845" s="57">
        <v>0.03191489361702127</v>
      </c>
      <c r="N845" s="58">
        <v>229000</v>
      </c>
      <c r="O845" s="58">
        <v>236000</v>
      </c>
      <c r="P845" s="50">
        <v>7000</v>
      </c>
    </row>
    <row r="846">
      <c r="H846" s="59">
        <v>51</v>
      </c>
      <c r="I846" s="55" t="str">
        <v>420 HTP</v>
      </c>
      <c r="J846" s="56" t="str">
        <v>DV_Gội</v>
      </c>
      <c r="K846" s="56">
        <v>940</v>
      </c>
      <c r="L846" s="60" t="str">
        <f>K846-J846</f>
        <v>[NEW] Gội dưỡng sinh</v>
      </c>
      <c r="M846" s="57">
        <v>0.03191489361702127</v>
      </c>
      <c r="N846" s="58">
        <v>59000</v>
      </c>
      <c r="O846" s="58">
        <v>61000</v>
      </c>
      <c r="P846" s="50">
        <v>2000</v>
      </c>
    </row>
    <row r="847">
      <c r="H847" s="59">
        <v>51</v>
      </c>
      <c r="I847" s="55" t="str">
        <v>420 HTP</v>
      </c>
      <c r="J847" s="56" t="str">
        <v>DV_Gội</v>
      </c>
      <c r="K847" s="56">
        <v>1058</v>
      </c>
      <c r="L847" s="60" t="str">
        <f>K847-J847</f>
        <v>Gội Combo 2</v>
      </c>
      <c r="M847" s="57">
        <v>0.03191489361702127</v>
      </c>
      <c r="N847" s="58">
        <v>159000</v>
      </c>
      <c r="O847" s="58">
        <v>164000</v>
      </c>
      <c r="P847" s="50">
        <v>5000</v>
      </c>
    </row>
    <row r="848">
      <c r="H848" s="59">
        <v>51</v>
      </c>
      <c r="I848" s="55" t="str">
        <v>420 HTP</v>
      </c>
      <c r="J848" s="56" t="str">
        <v>DV_Gội</v>
      </c>
      <c r="K848" s="56">
        <v>1059</v>
      </c>
      <c r="L848" s="60" t="str">
        <f>K848-J848</f>
        <v>Gội Combo 3 - Chăm da</v>
      </c>
      <c r="M848" s="57">
        <v>0.03191489361702127</v>
      </c>
      <c r="N848" s="58">
        <v>239000</v>
      </c>
      <c r="O848" s="58">
        <v>247000</v>
      </c>
      <c r="P848" s="50">
        <v>8000</v>
      </c>
    </row>
    <row r="849">
      <c r="H849" s="59">
        <v>51</v>
      </c>
      <c r="I849" s="55" t="str">
        <v>420 HTP</v>
      </c>
      <c r="J849" s="56" t="str">
        <v>DV_Gội</v>
      </c>
      <c r="K849" s="56">
        <v>1060</v>
      </c>
      <c r="L849" s="60" t="str">
        <f>K849-J849</f>
        <v>Gội Combo 4</v>
      </c>
      <c r="M849" s="57">
        <v>0.03191489361702127</v>
      </c>
      <c r="N849" s="58">
        <v>319000</v>
      </c>
      <c r="O849" s="58">
        <v>329000</v>
      </c>
      <c r="P849" s="50">
        <v>10000</v>
      </c>
    </row>
    <row r="850">
      <c r="H850" s="59">
        <v>51</v>
      </c>
      <c r="I850" s="55" t="str">
        <v>420 HTP</v>
      </c>
      <c r="J850" s="56" t="str">
        <v>DV_Gội</v>
      </c>
      <c r="K850" s="56">
        <v>1066</v>
      </c>
      <c r="L850" s="60" t="str">
        <f>K850-J850</f>
        <v>Gội trải nghiệm 75p</v>
      </c>
      <c r="M850" s="57">
        <v>0.03191489361702127</v>
      </c>
      <c r="N850" s="58">
        <v>589000</v>
      </c>
      <c r="O850" s="58">
        <v>608000</v>
      </c>
      <c r="P850" s="61">
        <v>19000</v>
      </c>
    </row>
    <row r="851">
      <c r="H851" s="59">
        <v>51</v>
      </c>
      <c r="I851" s="55" t="str">
        <v>420 HTP</v>
      </c>
      <c r="J851" s="56" t="str">
        <v>DV_Gội</v>
      </c>
      <c r="K851" s="56">
        <v>1067</v>
      </c>
      <c r="L851" s="60" t="str">
        <f>K851-J851</f>
        <v>Gội trải nghiệm 90p</v>
      </c>
      <c r="M851" s="57">
        <v>0.03191489361702127</v>
      </c>
      <c r="N851" s="58">
        <v>789000</v>
      </c>
      <c r="O851" s="58">
        <v>814000</v>
      </c>
      <c r="P851" s="50">
        <v>25000</v>
      </c>
    </row>
    <row r="852">
      <c r="H852" s="59">
        <v>51</v>
      </c>
      <c r="I852" s="55" t="str">
        <v>420 HTP</v>
      </c>
      <c r="J852" s="56" t="str">
        <v>DV_Gội</v>
      </c>
      <c r="K852" s="56">
        <v>1068</v>
      </c>
      <c r="L852" s="60" t="str">
        <f>K852-J852</f>
        <v>Gội trải nghiệm 115p</v>
      </c>
      <c r="M852" s="57">
        <v>0.03191489361702127</v>
      </c>
      <c r="N852" s="58">
        <v>999000</v>
      </c>
      <c r="O852" s="58">
        <v>1031000</v>
      </c>
      <c r="P852" s="50">
        <v>32000</v>
      </c>
    </row>
    <row r="853">
      <c r="H853" s="59">
        <v>51</v>
      </c>
      <c r="I853" s="55" t="str">
        <v>420 HTP</v>
      </c>
      <c r="J853" s="56" t="str">
        <v>DV_Spa</v>
      </c>
      <c r="K853" s="56">
        <v>936</v>
      </c>
      <c r="L853" s="60" t="str">
        <f>K853-J853</f>
        <v>[NEW] Chăm sóc da Shine Spa 199k (có phân tích da)</v>
      </c>
      <c r="M853" s="57">
        <v>0.03191489361702127</v>
      </c>
      <c r="N853" s="58">
        <v>199000</v>
      </c>
      <c r="O853" s="58">
        <v>205000</v>
      </c>
      <c r="P853" s="50">
        <v>6000</v>
      </c>
    </row>
    <row r="854">
      <c r="H854" s="59">
        <v>52</v>
      </c>
      <c r="I854" s="55" t="str">
        <v>451 PVT</v>
      </c>
      <c r="J854" s="56" t="str">
        <v>DV_Cắt</v>
      </c>
      <c r="K854" s="56">
        <v>513</v>
      </c>
      <c r="L854" s="60" t="str">
        <f>K854-J854</f>
        <v>[DV] ShineCombo 10 bước Ultra Care 2023</v>
      </c>
      <c r="M854" s="57">
        <v>0.0851063829787233</v>
      </c>
      <c r="N854" s="58">
        <v>122000</v>
      </c>
      <c r="O854" s="58">
        <v>122000</v>
      </c>
      <c r="P854" s="50"/>
    </row>
    <row r="855">
      <c r="H855" s="59">
        <v>52</v>
      </c>
      <c r="I855" s="55" t="str">
        <v>451 PVT</v>
      </c>
      <c r="J855" s="56" t="str">
        <v>DV_Cắt</v>
      </c>
      <c r="K855" s="56">
        <v>891</v>
      </c>
      <c r="L855" s="60" t="str">
        <f>K855-J855</f>
        <v>Cắt xả tạo kiểu</v>
      </c>
      <c r="M855" s="57">
        <v>0.0851063829787233</v>
      </c>
      <c r="N855" s="58">
        <v>94000</v>
      </c>
      <c r="O855" s="58">
        <v>102000</v>
      </c>
      <c r="P855" s="50">
        <v>8000</v>
      </c>
    </row>
    <row r="856">
      <c r="H856" s="59">
        <v>52</v>
      </c>
      <c r="I856" s="55" t="str">
        <v>451 PVT</v>
      </c>
      <c r="J856" s="56" t="str">
        <v>DV_Cắt</v>
      </c>
      <c r="K856" s="56">
        <v>1002</v>
      </c>
      <c r="L856" s="60" t="str">
        <f>K856-J856</f>
        <v>Kid Cắt</v>
      </c>
      <c r="M856" s="57">
        <v>0.0851063829787233</v>
      </c>
      <c r="N856" s="58">
        <v>75000</v>
      </c>
      <c r="O856" s="58">
        <v>81000</v>
      </c>
      <c r="P856" s="50">
        <v>6000</v>
      </c>
    </row>
    <row r="857">
      <c r="H857" s="59">
        <v>52</v>
      </c>
      <c r="I857" s="55" t="str">
        <v>451 PVT</v>
      </c>
      <c r="J857" s="56" t="str">
        <v>DV_Cắt</v>
      </c>
      <c r="K857" s="56">
        <v>1070</v>
      </c>
      <c r="L857" s="60" t="str">
        <f>K857-J857</f>
        <v>Combo Cắt gội Kid</v>
      </c>
      <c r="M857" s="57">
        <v>0.0851063829787233</v>
      </c>
      <c r="N857" s="58">
        <v>100000</v>
      </c>
      <c r="O857" s="58">
        <v>109000</v>
      </c>
      <c r="P857" s="50">
        <v>9000</v>
      </c>
    </row>
    <row r="858">
      <c r="H858" s="59">
        <v>52</v>
      </c>
      <c r="I858" s="55" t="str">
        <v>451 PVT</v>
      </c>
      <c r="J858" s="56" t="str">
        <v>DV_Cắt_Vip</v>
      </c>
      <c r="K858" s="56">
        <v>1046</v>
      </c>
      <c r="L858" s="60" t="str">
        <f>K858-J858</f>
        <v>Shinecombo 2</v>
      </c>
      <c r="M858" s="57">
        <v>0.0851063829787233</v>
      </c>
      <c r="N858" s="58">
        <v>169000</v>
      </c>
      <c r="O858" s="58">
        <v>183000</v>
      </c>
      <c r="P858" s="50">
        <v>14000</v>
      </c>
    </row>
    <row r="859">
      <c r="H859" s="59">
        <v>52</v>
      </c>
      <c r="I859" s="55" t="str">
        <v>451 PVT</v>
      </c>
      <c r="J859" s="56" t="str">
        <v>DV_Cắt_Vip</v>
      </c>
      <c r="K859" s="56">
        <v>1047</v>
      </c>
      <c r="L859" s="60" t="str">
        <f>K859-J859</f>
        <v>Cắt Gội Combo 3 - Chăm da</v>
      </c>
      <c r="M859" s="57">
        <v>0.0851063829787233</v>
      </c>
      <c r="N859" s="58">
        <v>279000</v>
      </c>
      <c r="O859" s="58">
        <v>303000</v>
      </c>
      <c r="P859" s="50">
        <v>24000</v>
      </c>
    </row>
    <row r="860">
      <c r="H860" s="59">
        <v>52</v>
      </c>
      <c r="I860" s="55" t="str">
        <v>451 PVT</v>
      </c>
      <c r="J860" s="56" t="str">
        <v>DV_Cắt_Vip</v>
      </c>
      <c r="K860" s="56">
        <v>1048</v>
      </c>
      <c r="L860" s="60" t="str">
        <f>K860-J860</f>
        <v>Combo 4</v>
      </c>
      <c r="M860" s="57">
        <v>0.0851063829787233</v>
      </c>
      <c r="N860" s="58">
        <v>389000</v>
      </c>
      <c r="O860" s="58">
        <v>422000</v>
      </c>
      <c r="P860" s="50">
        <v>33000</v>
      </c>
    </row>
    <row r="861">
      <c r="H861" s="59">
        <v>52</v>
      </c>
      <c r="I861" s="55" t="str">
        <v>451 PVT</v>
      </c>
      <c r="J861" s="56" t="str">
        <v>DV_Cắt_Vip</v>
      </c>
      <c r="K861" s="56">
        <v>1064</v>
      </c>
      <c r="L861" s="60" t="str">
        <f>K861-J861</f>
        <v>Cắt Gội Combo 5 - Dưỡng sinh</v>
      </c>
      <c r="M861" s="57">
        <v>0.0851063829787233</v>
      </c>
      <c r="N861" s="58">
        <v>459000</v>
      </c>
      <c r="O861" s="58">
        <v>498000</v>
      </c>
      <c r="P861" s="50">
        <v>39000</v>
      </c>
    </row>
    <row r="862">
      <c r="H862" s="59">
        <v>52</v>
      </c>
      <c r="I862" s="55" t="str">
        <v>451 PVT</v>
      </c>
      <c r="J862" s="56" t="str">
        <v>DV_Cắt_Vip</v>
      </c>
      <c r="K862" s="56">
        <v>1065</v>
      </c>
      <c r="L862" s="60" t="str">
        <f>K862-J862</f>
        <v>Cắt Gội Combo 3 - Dưỡng sinh</v>
      </c>
      <c r="M862" s="57">
        <v>0.0851063829787233</v>
      </c>
      <c r="N862" s="58">
        <v>299000</v>
      </c>
      <c r="O862" s="58">
        <v>324000</v>
      </c>
      <c r="P862" s="50">
        <v>25000</v>
      </c>
    </row>
    <row r="863">
      <c r="H863" s="59">
        <v>52</v>
      </c>
      <c r="I863" s="55" t="str">
        <v>451 PVT</v>
      </c>
      <c r="J863" s="56" t="str">
        <v>DV_Cắt_Vip</v>
      </c>
      <c r="K863" s="56">
        <v>1150</v>
      </c>
      <c r="L863" s="60" t="str">
        <f>K863-J863</f>
        <v>Combo cắt gội đỉnh cao thư giãn vip</v>
      </c>
      <c r="M863" s="57">
        <v>0.0851063829787233</v>
      </c>
      <c r="N863" s="58">
        <v>500000</v>
      </c>
      <c r="O863" s="58">
        <v>543000</v>
      </c>
      <c r="P863" s="50">
        <v>43000</v>
      </c>
    </row>
    <row r="864">
      <c r="H864" s="59">
        <v>52</v>
      </c>
      <c r="I864" s="55" t="str">
        <v>451 PVT</v>
      </c>
      <c r="J864" s="56" t="str">
        <v>DV_Gội</v>
      </c>
      <c r="K864" s="56">
        <v>867</v>
      </c>
      <c r="L864" s="60" t="str">
        <f>K864-J864</f>
        <v>Gội dưỡng sinh cổ vai gáy</v>
      </c>
      <c r="M864" s="57">
        <v>0.0851063829787233</v>
      </c>
      <c r="N864" s="58">
        <v>99000</v>
      </c>
      <c r="O864" s="58">
        <v>107000</v>
      </c>
      <c r="P864" s="50">
        <v>8000</v>
      </c>
    </row>
    <row r="865">
      <c r="H865" s="59">
        <v>52</v>
      </c>
      <c r="I865" s="55" t="str">
        <v>451 PVT</v>
      </c>
      <c r="J865" s="56" t="str">
        <v>DV_Gội</v>
      </c>
      <c r="K865" s="56">
        <v>930</v>
      </c>
      <c r="L865" s="60" t="str">
        <f>K865-J865</f>
        <v>[NEW] Gội dưỡng sinh cổ vai gáy và chăm sóc da</v>
      </c>
      <c r="M865" s="57">
        <v>0.0851063829787233</v>
      </c>
      <c r="N865" s="58">
        <v>139000</v>
      </c>
      <c r="O865" s="58">
        <v>151000</v>
      </c>
      <c r="P865" s="61">
        <v>12000</v>
      </c>
    </row>
    <row r="866">
      <c r="H866" s="59">
        <v>52</v>
      </c>
      <c r="I866" s="55" t="str">
        <v>451 PVT</v>
      </c>
      <c r="J866" s="56" t="str">
        <v>DV_Gội</v>
      </c>
      <c r="K866" s="56">
        <v>934</v>
      </c>
      <c r="L866" s="60" t="str">
        <f>K866-J866</f>
        <v>Gội combo 3 - Dưỡng sinh</v>
      </c>
      <c r="M866" s="57">
        <v>0.0851063829787233</v>
      </c>
      <c r="N866" s="58">
        <v>229000</v>
      </c>
      <c r="O866" s="58">
        <v>248000</v>
      </c>
      <c r="P866" s="61">
        <v>19000</v>
      </c>
    </row>
    <row r="867">
      <c r="H867" s="59">
        <v>52</v>
      </c>
      <c r="I867" s="55" t="str">
        <v>451 PVT</v>
      </c>
      <c r="J867" s="56" t="str">
        <v>DV_Gội</v>
      </c>
      <c r="K867" s="56">
        <v>940</v>
      </c>
      <c r="L867" s="60" t="str">
        <f>K867-J867</f>
        <v>[NEW] Gội dưỡng sinh</v>
      </c>
      <c r="M867" s="57">
        <v>0.0851063829787233</v>
      </c>
      <c r="N867" s="58">
        <v>59000</v>
      </c>
      <c r="O867" s="58">
        <v>64000</v>
      </c>
      <c r="P867" s="61">
        <v>5000</v>
      </c>
    </row>
    <row r="868">
      <c r="H868" s="59">
        <v>52</v>
      </c>
      <c r="I868" s="55" t="str">
        <v>451 PVT</v>
      </c>
      <c r="J868" s="56" t="str">
        <v>DV_Gội</v>
      </c>
      <c r="K868" s="56">
        <v>1058</v>
      </c>
      <c r="L868" s="60" t="str">
        <f>K868-J868</f>
        <v>Gội Combo 2</v>
      </c>
      <c r="M868" s="57">
        <v>0.0851063829787233</v>
      </c>
      <c r="N868" s="58">
        <v>139000</v>
      </c>
      <c r="O868" s="58">
        <v>151000</v>
      </c>
      <c r="P868" s="61">
        <v>12000</v>
      </c>
    </row>
    <row r="869">
      <c r="H869" s="59">
        <v>52</v>
      </c>
      <c r="I869" s="55" t="str">
        <v>451 PVT</v>
      </c>
      <c r="J869" s="56" t="str">
        <v>DV_Gội</v>
      </c>
      <c r="K869" s="56">
        <v>1059</v>
      </c>
      <c r="L869" s="60" t="str">
        <f>K869-J869</f>
        <v>Gội Combo 3 - Chăm da</v>
      </c>
      <c r="M869" s="57">
        <v>0.0851063829787233</v>
      </c>
      <c r="N869" s="58">
        <v>239000</v>
      </c>
      <c r="O869" s="58">
        <v>259000</v>
      </c>
      <c r="P869" s="61">
        <v>20000</v>
      </c>
    </row>
    <row r="870">
      <c r="H870" s="59">
        <v>52</v>
      </c>
      <c r="I870" s="55" t="str">
        <v>451 PVT</v>
      </c>
      <c r="J870" s="56" t="str">
        <v>DV_Gội</v>
      </c>
      <c r="K870" s="56">
        <v>1060</v>
      </c>
      <c r="L870" s="60" t="str">
        <f>K870-J870</f>
        <v>Gội Combo 4</v>
      </c>
      <c r="M870" s="57">
        <v>0.0851063829787233</v>
      </c>
      <c r="N870" s="58">
        <v>289000</v>
      </c>
      <c r="O870" s="58">
        <v>314000</v>
      </c>
      <c r="P870" s="61">
        <v>25000</v>
      </c>
    </row>
    <row r="871">
      <c r="H871" s="59">
        <v>52</v>
      </c>
      <c r="I871" s="55" t="str">
        <v>451 PVT</v>
      </c>
      <c r="J871" s="56" t="str">
        <v>DV_Gội</v>
      </c>
      <c r="K871" s="56">
        <v>1066</v>
      </c>
      <c r="L871" s="60" t="str">
        <f>K871-J871</f>
        <v>Gội trải nghiệm 75p</v>
      </c>
      <c r="M871" s="57">
        <v>0.0851063829787233</v>
      </c>
      <c r="N871" s="58">
        <v>449000</v>
      </c>
      <c r="O871" s="58">
        <v>487000</v>
      </c>
      <c r="P871" s="61">
        <v>38000</v>
      </c>
    </row>
    <row r="872">
      <c r="H872" s="59">
        <v>52</v>
      </c>
      <c r="I872" s="55" t="str">
        <v>451 PVT</v>
      </c>
      <c r="J872" s="56" t="str">
        <v>DV_Gội</v>
      </c>
      <c r="K872" s="56">
        <v>1067</v>
      </c>
      <c r="L872" s="60" t="str">
        <f>K872-J872</f>
        <v>Gội trải nghiệm 90p</v>
      </c>
      <c r="M872" s="57">
        <v>0.0851063829787233</v>
      </c>
      <c r="N872" s="58">
        <v>789000</v>
      </c>
      <c r="O872" s="58">
        <v>856000</v>
      </c>
      <c r="P872" s="61">
        <v>67000</v>
      </c>
    </row>
    <row r="873">
      <c r="H873" s="59">
        <v>52</v>
      </c>
      <c r="I873" s="55" t="str">
        <v>451 PVT</v>
      </c>
      <c r="J873" s="56" t="str">
        <v>DV_Gội</v>
      </c>
      <c r="K873" s="56">
        <v>1068</v>
      </c>
      <c r="L873" s="60" t="str">
        <f>K873-J873</f>
        <v>Gội trải nghiệm 115p</v>
      </c>
      <c r="M873" s="57">
        <v>0.0851063829787233</v>
      </c>
      <c r="N873" s="58">
        <v>999000</v>
      </c>
      <c r="O873" s="58">
        <v>1084000</v>
      </c>
      <c r="P873" s="61">
        <v>85000</v>
      </c>
    </row>
    <row r="874">
      <c r="H874" s="59">
        <v>52</v>
      </c>
      <c r="I874" s="55" t="str">
        <v>451 PVT</v>
      </c>
      <c r="J874" s="56" t="str">
        <v>DV_Gội</v>
      </c>
      <c r="K874" s="56">
        <v>1240</v>
      </c>
      <c r="L874" s="60" t="str">
        <f>K874-J874</f>
        <v>Gội Detox Scalp Pro</v>
      </c>
      <c r="M874" s="57">
        <v>0.0851063829787233</v>
      </c>
      <c r="N874" s="58">
        <v>179000</v>
      </c>
      <c r="O874" s="58">
        <v>194000</v>
      </c>
      <c r="P874" s="61">
        <v>15000</v>
      </c>
    </row>
    <row r="875">
      <c r="H875" s="59">
        <v>52</v>
      </c>
      <c r="I875" s="55" t="str">
        <v>451 PVT</v>
      </c>
      <c r="J875" s="56" t="str">
        <v>DV_Spa</v>
      </c>
      <c r="K875" s="56">
        <v>936</v>
      </c>
      <c r="L875" s="60" t="str">
        <f>K875-J875</f>
        <v>[NEW] Chăm sóc da Shine Spa 199k (có phân tích da)</v>
      </c>
      <c r="M875" s="57">
        <v>0.0851063829787233</v>
      </c>
      <c r="N875" s="58">
        <v>199000</v>
      </c>
      <c r="O875" s="58">
        <v>216000</v>
      </c>
      <c r="P875" s="61">
        <v>17000</v>
      </c>
    </row>
    <row r="876">
      <c r="H876" s="59">
        <v>46</v>
      </c>
      <c r="I876" s="55" t="str">
        <v>483 TN</v>
      </c>
      <c r="J876" s="56" t="str">
        <v>DV_Cắt</v>
      </c>
      <c r="K876" s="56">
        <v>513</v>
      </c>
      <c r="L876" s="60" t="str">
        <f>K876-J876</f>
        <v>[DV] ShineCombo 10 bước Ultra Care 2023</v>
      </c>
      <c r="M876" s="57">
        <v>0.0851063829787233</v>
      </c>
      <c r="N876" s="58">
        <v>122000</v>
      </c>
      <c r="O876" s="58">
        <v>122000</v>
      </c>
      <c r="P876" s="61"/>
    </row>
    <row r="877">
      <c r="H877" s="59">
        <v>46</v>
      </c>
      <c r="I877" s="55" t="str">
        <v>483 TN</v>
      </c>
      <c r="J877" s="56" t="str">
        <v>DV_Cắt</v>
      </c>
      <c r="K877" s="56">
        <v>891</v>
      </c>
      <c r="L877" s="60" t="str">
        <f>K877-J877</f>
        <v>Cắt xả tạo kiểu</v>
      </c>
      <c r="M877" s="57">
        <v>0.0851063829787233</v>
      </c>
      <c r="N877" s="58">
        <v>94000</v>
      </c>
      <c r="O877" s="58">
        <v>102000</v>
      </c>
      <c r="P877" s="61">
        <v>8000</v>
      </c>
    </row>
    <row r="878">
      <c r="H878" s="59">
        <v>46</v>
      </c>
      <c r="I878" s="55" t="str">
        <v>483 TN</v>
      </c>
      <c r="J878" s="56" t="str">
        <v>DV_Cắt</v>
      </c>
      <c r="K878" s="56">
        <v>1002</v>
      </c>
      <c r="L878" s="60" t="str">
        <f>K878-J878</f>
        <v>Kid Cắt</v>
      </c>
      <c r="M878" s="57">
        <v>0.0851063829787233</v>
      </c>
      <c r="N878" s="58">
        <v>75000</v>
      </c>
      <c r="O878" s="58">
        <v>81000</v>
      </c>
      <c r="P878" s="61">
        <v>6000</v>
      </c>
    </row>
    <row r="879">
      <c r="H879" s="59">
        <v>46</v>
      </c>
      <c r="I879" s="55" t="str">
        <v>483 TN</v>
      </c>
      <c r="J879" s="56" t="str">
        <v>DV_Cắt</v>
      </c>
      <c r="K879" s="56">
        <v>1070</v>
      </c>
      <c r="L879" s="60" t="str">
        <f>K879-J879</f>
        <v>Combo Cắt gội Kid</v>
      </c>
      <c r="M879" s="57">
        <v>0.0851063829787233</v>
      </c>
      <c r="N879" s="58">
        <v>100000</v>
      </c>
      <c r="O879" s="58">
        <v>109000</v>
      </c>
      <c r="P879" s="61">
        <v>9000</v>
      </c>
    </row>
    <row r="880">
      <c r="H880" s="59">
        <v>46</v>
      </c>
      <c r="I880" s="55" t="str">
        <v>483 TN</v>
      </c>
      <c r="J880" s="56" t="str">
        <v>DV_Cắt_Vip</v>
      </c>
      <c r="K880" s="56">
        <v>1046</v>
      </c>
      <c r="L880" s="60" t="str">
        <f>K880-J880</f>
        <v>Shinecombo 2</v>
      </c>
      <c r="M880" s="57">
        <v>0.0851063829787233</v>
      </c>
      <c r="N880" s="58">
        <v>199000</v>
      </c>
      <c r="O880" s="58">
        <v>216000</v>
      </c>
      <c r="P880" s="61">
        <v>17000</v>
      </c>
    </row>
    <row r="881">
      <c r="H881" s="59">
        <v>46</v>
      </c>
      <c r="I881" s="55" t="str">
        <v>483 TN</v>
      </c>
      <c r="J881" s="56" t="str">
        <v>DV_Cắt_Vip</v>
      </c>
      <c r="K881" s="56">
        <v>1047</v>
      </c>
      <c r="L881" s="60" t="str">
        <f>K881-J881</f>
        <v>Cắt Gội Combo 3 - Chăm da</v>
      </c>
      <c r="M881" s="57">
        <v>0.0851063829787233</v>
      </c>
      <c r="N881" s="58">
        <v>299000</v>
      </c>
      <c r="O881" s="58">
        <v>324000</v>
      </c>
      <c r="P881" s="61">
        <v>25000</v>
      </c>
    </row>
    <row r="882">
      <c r="H882" s="59">
        <v>46</v>
      </c>
      <c r="I882" s="55" t="str">
        <v>483 TN</v>
      </c>
      <c r="J882" s="56" t="str">
        <v>DV_Cắt_Vip</v>
      </c>
      <c r="K882" s="56">
        <v>1048</v>
      </c>
      <c r="L882" s="60" t="str">
        <f>K882-J882</f>
        <v>Combo 4</v>
      </c>
      <c r="M882" s="57">
        <v>0.0851063829787233</v>
      </c>
      <c r="N882" s="58">
        <v>389000</v>
      </c>
      <c r="O882" s="58">
        <v>422000</v>
      </c>
      <c r="P882" s="61">
        <v>33000</v>
      </c>
    </row>
    <row r="883">
      <c r="H883" s="59">
        <v>46</v>
      </c>
      <c r="I883" s="55" t="str">
        <v>483 TN</v>
      </c>
      <c r="J883" s="56" t="str">
        <v>DV_Cắt_Vip</v>
      </c>
      <c r="K883" s="56">
        <v>1064</v>
      </c>
      <c r="L883" s="60" t="str">
        <f>K883-J883</f>
        <v>Cắt Gội Combo 5 - Dưỡng sinh</v>
      </c>
      <c r="M883" s="57">
        <v>0.0851063829787233</v>
      </c>
      <c r="N883" s="58">
        <v>459000</v>
      </c>
      <c r="O883" s="58">
        <v>498000</v>
      </c>
      <c r="P883" s="61">
        <v>39000</v>
      </c>
    </row>
    <row r="884">
      <c r="H884" s="59">
        <v>46</v>
      </c>
      <c r="I884" s="55" t="str">
        <v>483 TN</v>
      </c>
      <c r="J884" s="56" t="str">
        <v>DV_Cắt_Vip</v>
      </c>
      <c r="K884" s="56">
        <v>1065</v>
      </c>
      <c r="L884" s="60" t="str">
        <f>K884-J884</f>
        <v>Cắt Gội Combo 3 - Dưỡng sinh</v>
      </c>
      <c r="M884" s="57">
        <v>0.0851063829787233</v>
      </c>
      <c r="N884" s="58">
        <v>299000</v>
      </c>
      <c r="O884" s="58">
        <v>324000</v>
      </c>
      <c r="P884" s="50">
        <v>25000</v>
      </c>
    </row>
    <row r="885">
      <c r="H885" s="59">
        <v>46</v>
      </c>
      <c r="I885" s="55" t="str">
        <v>483 TN</v>
      </c>
      <c r="J885" s="56" t="str">
        <v>DV_Gội</v>
      </c>
      <c r="K885" s="56">
        <v>867</v>
      </c>
      <c r="L885" s="60" t="str">
        <f>K885-J885</f>
        <v>Gội dưỡng sinh cổ vai gáy</v>
      </c>
      <c r="M885" s="57">
        <v>0.0851063829787233</v>
      </c>
      <c r="N885" s="58">
        <v>99000</v>
      </c>
      <c r="O885" s="58">
        <v>107000</v>
      </c>
      <c r="P885" s="50">
        <v>8000</v>
      </c>
    </row>
    <row r="886">
      <c r="H886" s="59">
        <v>46</v>
      </c>
      <c r="I886" s="55" t="str">
        <v>483 TN</v>
      </c>
      <c r="J886" s="56" t="str">
        <v>DV_Gội</v>
      </c>
      <c r="K886" s="56">
        <v>930</v>
      </c>
      <c r="L886" s="60" t="str">
        <f>K886-J886</f>
        <v>[NEW] Gội dưỡng sinh cổ vai gáy và chăm sóc da</v>
      </c>
      <c r="M886" s="57">
        <v>0.0851063829787233</v>
      </c>
      <c r="N886" s="58">
        <v>139000</v>
      </c>
      <c r="O886" s="58">
        <v>151000</v>
      </c>
      <c r="P886" s="50">
        <v>12000</v>
      </c>
    </row>
    <row r="887">
      <c r="H887" s="59">
        <v>46</v>
      </c>
      <c r="I887" s="55" t="str">
        <v>483 TN</v>
      </c>
      <c r="J887" s="56" t="str">
        <v>DV_Gội</v>
      </c>
      <c r="K887" s="56">
        <v>934</v>
      </c>
      <c r="L887" s="60" t="str">
        <f>K887-J887</f>
        <v>Gội combo 3 - Dưỡng sinh</v>
      </c>
      <c r="M887" s="57">
        <v>0.0851063829787233</v>
      </c>
      <c r="N887" s="58">
        <v>229000</v>
      </c>
      <c r="O887" s="58">
        <v>248000</v>
      </c>
      <c r="P887" s="50">
        <v>19000</v>
      </c>
    </row>
    <row r="888">
      <c r="H888" s="59">
        <v>46</v>
      </c>
      <c r="I888" s="55" t="str">
        <v>483 TN</v>
      </c>
      <c r="J888" s="56" t="str">
        <v>DV_Gội</v>
      </c>
      <c r="K888" s="56">
        <v>940</v>
      </c>
      <c r="L888" s="60" t="str">
        <f>K888-J888</f>
        <v>[NEW] Gội dưỡng sinh</v>
      </c>
      <c r="M888" s="57">
        <v>0.0851063829787233</v>
      </c>
      <c r="N888" s="58">
        <v>59000</v>
      </c>
      <c r="O888" s="58">
        <v>64000</v>
      </c>
      <c r="P888" s="50">
        <v>5000</v>
      </c>
    </row>
    <row r="889">
      <c r="H889" s="59">
        <v>46</v>
      </c>
      <c r="I889" s="55" t="str">
        <v>483 TN</v>
      </c>
      <c r="J889" s="56" t="str">
        <v>DV_Gội</v>
      </c>
      <c r="K889" s="56">
        <v>1058</v>
      </c>
      <c r="L889" s="60" t="str">
        <f>K889-J889</f>
        <v>Gội Combo 2</v>
      </c>
      <c r="M889" s="57">
        <v>0.0851063829787233</v>
      </c>
      <c r="N889" s="58">
        <v>159000</v>
      </c>
      <c r="O889" s="58">
        <v>173000</v>
      </c>
      <c r="P889" s="50">
        <v>14000</v>
      </c>
    </row>
    <row r="890">
      <c r="H890" s="59">
        <v>46</v>
      </c>
      <c r="I890" s="55" t="str">
        <v>483 TN</v>
      </c>
      <c r="J890" s="56" t="str">
        <v>DV_Gội</v>
      </c>
      <c r="K890" s="56">
        <v>1059</v>
      </c>
      <c r="L890" s="60" t="str">
        <f>K890-J890</f>
        <v>Gội Combo 3 - Chăm da</v>
      </c>
      <c r="M890" s="57">
        <v>0.0851063829787233</v>
      </c>
      <c r="N890" s="58">
        <v>239000</v>
      </c>
      <c r="O890" s="58">
        <v>259000</v>
      </c>
      <c r="P890" s="50">
        <v>20000</v>
      </c>
    </row>
    <row r="891">
      <c r="H891" s="59">
        <v>46</v>
      </c>
      <c r="I891" s="55" t="str">
        <v>483 TN</v>
      </c>
      <c r="J891" s="56" t="str">
        <v>DV_Gội</v>
      </c>
      <c r="K891" s="56">
        <v>1060</v>
      </c>
      <c r="L891" s="60" t="str">
        <f>K891-J891</f>
        <v>Gội Combo 4</v>
      </c>
      <c r="M891" s="57">
        <v>0.0851063829787233</v>
      </c>
      <c r="N891" s="58">
        <v>319000</v>
      </c>
      <c r="O891" s="58">
        <v>346000</v>
      </c>
      <c r="P891" s="50">
        <v>27000</v>
      </c>
    </row>
    <row r="892">
      <c r="H892" s="59">
        <v>46</v>
      </c>
      <c r="I892" s="55" t="str">
        <v>483 TN</v>
      </c>
      <c r="J892" s="56" t="str">
        <v>DV_Gội</v>
      </c>
      <c r="K892" s="56">
        <v>1061</v>
      </c>
      <c r="L892" s="60" t="str">
        <f>K892-J892</f>
        <v>Gội Combo 5 - Chăm da</v>
      </c>
      <c r="M892" s="57">
        <v>0.0851063829787233</v>
      </c>
      <c r="N892" s="58">
        <v>359000</v>
      </c>
      <c r="O892" s="58">
        <v>390000</v>
      </c>
      <c r="P892" s="50">
        <v>31000</v>
      </c>
    </row>
    <row r="893">
      <c r="H893" s="59">
        <v>46</v>
      </c>
      <c r="I893" s="55" t="str">
        <v>483 TN</v>
      </c>
      <c r="J893" s="56" t="str">
        <v>DV_Gội</v>
      </c>
      <c r="K893" s="56">
        <v>1066</v>
      </c>
      <c r="L893" s="60" t="str">
        <f>K893-J893</f>
        <v>Gội trải nghiệm 75p</v>
      </c>
      <c r="M893" s="57">
        <v>0.0851063829787233</v>
      </c>
      <c r="N893" s="58">
        <v>589000</v>
      </c>
      <c r="O893" s="58">
        <v>639000</v>
      </c>
      <c r="P893" s="50">
        <v>50000</v>
      </c>
    </row>
    <row r="894">
      <c r="H894" s="59">
        <v>46</v>
      </c>
      <c r="I894" s="55" t="str">
        <v>483 TN</v>
      </c>
      <c r="J894" s="56" t="str">
        <v>DV_Gội</v>
      </c>
      <c r="K894" s="56">
        <v>1067</v>
      </c>
      <c r="L894" s="60" t="str">
        <f>K894-J894</f>
        <v>Gội trải nghiệm 90p</v>
      </c>
      <c r="M894" s="57">
        <v>0.0851063829787233</v>
      </c>
      <c r="N894" s="58">
        <v>789000</v>
      </c>
      <c r="O894" s="58">
        <v>856000</v>
      </c>
      <c r="P894" s="50">
        <v>67000</v>
      </c>
    </row>
    <row r="895">
      <c r="H895" s="59">
        <v>46</v>
      </c>
      <c r="I895" s="55" t="str">
        <v>483 TN</v>
      </c>
      <c r="J895" s="56" t="str">
        <v>DV_Gội</v>
      </c>
      <c r="K895" s="56">
        <v>1068</v>
      </c>
      <c r="L895" s="60" t="str">
        <f>K895-J895</f>
        <v>Gội trải nghiệm 115p</v>
      </c>
      <c r="M895" s="57">
        <v>0.0851063829787233</v>
      </c>
      <c r="N895" s="58">
        <v>999000</v>
      </c>
      <c r="O895" s="58">
        <v>1084000</v>
      </c>
      <c r="P895" s="50">
        <v>85000</v>
      </c>
    </row>
    <row r="896">
      <c r="H896" s="59">
        <v>46</v>
      </c>
      <c r="I896" s="55" t="str">
        <v>483 TN</v>
      </c>
      <c r="J896" s="56" t="str">
        <v>DV_Spa</v>
      </c>
      <c r="K896" s="56">
        <v>936</v>
      </c>
      <c r="L896" s="60" t="str">
        <f>K896-J896</f>
        <v>[NEW] Chăm sóc da Shine Spa 199k (có phân tích da)</v>
      </c>
      <c r="M896" s="57">
        <v>0.0851063829787233</v>
      </c>
      <c r="N896" s="58">
        <v>199000</v>
      </c>
      <c r="O896" s="58">
        <v>216000</v>
      </c>
      <c r="P896" s="50">
        <v>17000</v>
      </c>
    </row>
    <row r="897">
      <c r="H897" s="59">
        <v>179</v>
      </c>
      <c r="I897" s="55" t="str">
        <v>50BT4 NPC LD</v>
      </c>
      <c r="J897" s="56" t="str">
        <v>DV_Cắt</v>
      </c>
      <c r="K897" s="56">
        <v>513</v>
      </c>
      <c r="L897" s="60" t="str">
        <f>K897-J897</f>
        <v>[DV] ShineCombo 10 bước Ultra Care 2023</v>
      </c>
      <c r="M897" s="57">
        <v>0</v>
      </c>
      <c r="N897" s="58">
        <v>122000</v>
      </c>
      <c r="O897" s="58">
        <v>122000</v>
      </c>
      <c r="P897" s="50"/>
    </row>
    <row r="898">
      <c r="H898" s="59">
        <v>179</v>
      </c>
      <c r="I898" s="55" t="str">
        <v>50BT4 NPC LD</v>
      </c>
      <c r="J898" s="56" t="str">
        <v>DV_Cắt</v>
      </c>
      <c r="K898" s="56">
        <v>891</v>
      </c>
      <c r="L898" s="60" t="str">
        <f>K898-J898</f>
        <v>Cắt xả tạo kiểu</v>
      </c>
      <c r="M898" s="57">
        <v>0</v>
      </c>
      <c r="N898" s="58">
        <v>94000</v>
      </c>
      <c r="O898" s="58">
        <v>94000</v>
      </c>
      <c r="P898" s="50"/>
    </row>
    <row r="899">
      <c r="H899" s="59">
        <v>179</v>
      </c>
      <c r="I899" s="55" t="str">
        <v>50BT4 NPC LD</v>
      </c>
      <c r="J899" s="56" t="str">
        <v>DV_Cắt</v>
      </c>
      <c r="K899" s="56">
        <v>1002</v>
      </c>
      <c r="L899" s="60" t="str">
        <f>K899-J899</f>
        <v>Kid Cắt</v>
      </c>
      <c r="M899" s="57">
        <v>0</v>
      </c>
      <c r="N899" s="58">
        <v>75000</v>
      </c>
      <c r="O899" s="58">
        <v>75000</v>
      </c>
      <c r="P899" s="50"/>
    </row>
    <row r="900">
      <c r="H900" s="59">
        <v>179</v>
      </c>
      <c r="I900" s="55" t="str">
        <v>50BT4 NPC LD</v>
      </c>
      <c r="J900" s="56" t="str">
        <v>DV_Cắt</v>
      </c>
      <c r="K900" s="56">
        <v>1070</v>
      </c>
      <c r="L900" s="60" t="str">
        <f>K900-J900</f>
        <v>Combo Cắt gội Kid</v>
      </c>
      <c r="M900" s="57">
        <v>0</v>
      </c>
      <c r="N900" s="58">
        <v>100000</v>
      </c>
      <c r="O900" s="58">
        <v>100000</v>
      </c>
      <c r="P900" s="50"/>
    </row>
    <row r="901">
      <c r="H901" s="59">
        <v>179</v>
      </c>
      <c r="I901" s="55" t="str">
        <v>50BT4 NPC LD</v>
      </c>
      <c r="J901" s="56" t="str">
        <v>DV_Cắt_Vip</v>
      </c>
      <c r="K901" s="56">
        <v>1046</v>
      </c>
      <c r="L901" s="60" t="str">
        <f>K901-J901</f>
        <v>Shinecombo 2</v>
      </c>
      <c r="M901" s="57">
        <v>0</v>
      </c>
      <c r="N901" s="58">
        <v>199000</v>
      </c>
      <c r="O901" s="58">
        <v>199000</v>
      </c>
      <c r="P901" s="61"/>
    </row>
    <row r="902">
      <c r="H902" s="59">
        <v>179</v>
      </c>
      <c r="I902" s="55" t="str">
        <v>50BT4 NPC LD</v>
      </c>
      <c r="J902" s="56" t="str">
        <v>DV_Cắt_Vip</v>
      </c>
      <c r="K902" s="56">
        <v>1047</v>
      </c>
      <c r="L902" s="60" t="str">
        <f>K902-J902</f>
        <v>Cắt Gội Combo 3 - Chăm da</v>
      </c>
      <c r="M902" s="57">
        <v>0</v>
      </c>
      <c r="N902" s="58">
        <v>299000</v>
      </c>
      <c r="O902" s="58">
        <v>299000</v>
      </c>
      <c r="P902" s="61"/>
    </row>
    <row r="903">
      <c r="H903" s="59">
        <v>179</v>
      </c>
      <c r="I903" s="55" t="str">
        <v>50BT4 NPC LD</v>
      </c>
      <c r="J903" s="56" t="str">
        <v>DV_Cắt_Vip</v>
      </c>
      <c r="K903" s="56">
        <v>1048</v>
      </c>
      <c r="L903" s="60" t="str">
        <f>K903-J903</f>
        <v>Combo 4</v>
      </c>
      <c r="M903" s="57">
        <v>0</v>
      </c>
      <c r="N903" s="58">
        <v>389000</v>
      </c>
      <c r="O903" s="58">
        <v>389000</v>
      </c>
      <c r="P903" s="61"/>
    </row>
    <row r="904">
      <c r="H904" s="59">
        <v>179</v>
      </c>
      <c r="I904" s="55" t="str">
        <v>50BT4 NPC LD</v>
      </c>
      <c r="J904" s="56" t="str">
        <v>DV_Cắt_Vip</v>
      </c>
      <c r="K904" s="56">
        <v>1064</v>
      </c>
      <c r="L904" s="60" t="str">
        <f>K904-J904</f>
        <v>Cắt Gội Combo 5 - Dưỡng sinh</v>
      </c>
      <c r="M904" s="57">
        <v>0</v>
      </c>
      <c r="N904" s="58">
        <v>459000</v>
      </c>
      <c r="O904" s="58">
        <v>459000</v>
      </c>
      <c r="P904" s="61"/>
    </row>
    <row r="905">
      <c r="H905" s="59">
        <v>179</v>
      </c>
      <c r="I905" s="55" t="str">
        <v>50BT4 NPC LD</v>
      </c>
      <c r="J905" s="56" t="str">
        <v>DV_Cắt_Vip</v>
      </c>
      <c r="K905" s="56">
        <v>1065</v>
      </c>
      <c r="L905" s="60" t="str">
        <f>K905-J905</f>
        <v>Cắt Gội Combo 3 - Dưỡng sinh</v>
      </c>
      <c r="M905" s="57">
        <v>0</v>
      </c>
      <c r="N905" s="58">
        <v>299000</v>
      </c>
      <c r="O905" s="58">
        <v>299000</v>
      </c>
      <c r="P905" s="61"/>
    </row>
    <row r="906">
      <c r="H906" s="59">
        <v>179</v>
      </c>
      <c r="I906" s="55" t="str">
        <v>50BT4 NPC LD</v>
      </c>
      <c r="J906" s="56" t="str">
        <v>DV_Gội</v>
      </c>
      <c r="K906" s="56">
        <v>867</v>
      </c>
      <c r="L906" s="60" t="str">
        <f>K906-J906</f>
        <v>Gội dưỡng sinh cổ vai gáy</v>
      </c>
      <c r="M906" s="57">
        <v>0</v>
      </c>
      <c r="N906" s="58">
        <v>99000</v>
      </c>
      <c r="O906" s="58">
        <v>99000</v>
      </c>
      <c r="P906" s="61"/>
    </row>
    <row r="907">
      <c r="H907" s="59">
        <v>179</v>
      </c>
      <c r="I907" s="55" t="str">
        <v>50BT4 NPC LD</v>
      </c>
      <c r="J907" s="56" t="str">
        <v>DV_Gội</v>
      </c>
      <c r="K907" s="56">
        <v>930</v>
      </c>
      <c r="L907" s="60" t="str">
        <f>K907-J907</f>
        <v>[NEW] Gội dưỡng sinh cổ vai gáy và chăm sóc da</v>
      </c>
      <c r="M907" s="57">
        <v>0</v>
      </c>
      <c r="N907" s="58">
        <v>139000</v>
      </c>
      <c r="O907" s="58">
        <v>139000</v>
      </c>
      <c r="P907" s="61"/>
    </row>
    <row r="908">
      <c r="H908" s="59">
        <v>179</v>
      </c>
      <c r="I908" s="55" t="str">
        <v>50BT4 NPC LD</v>
      </c>
      <c r="J908" s="56" t="str">
        <v>DV_Gội</v>
      </c>
      <c r="K908" s="56">
        <v>934</v>
      </c>
      <c r="L908" s="60" t="str">
        <f>K908-J908</f>
        <v>Gội combo 3 - Dưỡng sinh</v>
      </c>
      <c r="M908" s="57">
        <v>0</v>
      </c>
      <c r="N908" s="58">
        <v>229000</v>
      </c>
      <c r="O908" s="58">
        <v>229000</v>
      </c>
      <c r="P908" s="61"/>
    </row>
    <row r="909">
      <c r="H909" s="59">
        <v>179</v>
      </c>
      <c r="I909" s="55" t="str">
        <v>50BT4 NPC LD</v>
      </c>
      <c r="J909" s="56" t="str">
        <v>DV_Gội</v>
      </c>
      <c r="K909" s="56">
        <v>940</v>
      </c>
      <c r="L909" s="60" t="str">
        <f>K909-J909</f>
        <v>[NEW] Gội dưỡng sinh</v>
      </c>
      <c r="M909" s="57">
        <v>0</v>
      </c>
      <c r="N909" s="58">
        <v>59000</v>
      </c>
      <c r="O909" s="58">
        <v>59000</v>
      </c>
      <c r="P909" s="61"/>
    </row>
    <row r="910">
      <c r="H910" s="59">
        <v>179</v>
      </c>
      <c r="I910" s="55" t="str">
        <v>50BT4 NPC LD</v>
      </c>
      <c r="J910" s="56" t="str">
        <v>DV_Gội</v>
      </c>
      <c r="K910" s="56">
        <v>1058</v>
      </c>
      <c r="L910" s="60" t="str">
        <f>K910-J910</f>
        <v>Gội Combo 2</v>
      </c>
      <c r="M910" s="57">
        <v>0</v>
      </c>
      <c r="N910" s="58">
        <v>159000</v>
      </c>
      <c r="O910" s="58">
        <v>159000</v>
      </c>
      <c r="P910" s="61"/>
    </row>
    <row r="911">
      <c r="H911" s="59">
        <v>179</v>
      </c>
      <c r="I911" s="55" t="str">
        <v>50BT4 NPC LD</v>
      </c>
      <c r="J911" s="56" t="str">
        <v>DV_Gội</v>
      </c>
      <c r="K911" s="56">
        <v>1059</v>
      </c>
      <c r="L911" s="60" t="str">
        <f>K911-J911</f>
        <v>Gội Combo 3 - Chăm da</v>
      </c>
      <c r="M911" s="57">
        <v>0</v>
      </c>
      <c r="N911" s="58">
        <v>239000</v>
      </c>
      <c r="O911" s="58">
        <v>239000</v>
      </c>
      <c r="P911" s="61"/>
    </row>
    <row r="912">
      <c r="H912" s="59">
        <v>179</v>
      </c>
      <c r="I912" s="55" t="str">
        <v>50BT4 NPC LD</v>
      </c>
      <c r="J912" s="56" t="str">
        <v>DV_Gội</v>
      </c>
      <c r="K912" s="56">
        <v>1060</v>
      </c>
      <c r="L912" s="60" t="str">
        <f>K912-J912</f>
        <v>Gội Combo 4</v>
      </c>
      <c r="M912" s="57">
        <v>0</v>
      </c>
      <c r="N912" s="58">
        <v>319000</v>
      </c>
      <c r="O912" s="58">
        <v>319000</v>
      </c>
      <c r="P912" s="61"/>
    </row>
    <row r="913">
      <c r="H913" s="59">
        <v>179</v>
      </c>
      <c r="I913" s="55" t="str">
        <v>50BT4 NPC LD</v>
      </c>
      <c r="J913" s="56" t="str">
        <v>DV_Gội</v>
      </c>
      <c r="K913" s="56">
        <v>1066</v>
      </c>
      <c r="L913" s="60" t="str">
        <f>K913-J913</f>
        <v>Gội trải nghiệm 75p</v>
      </c>
      <c r="M913" s="57">
        <v>0</v>
      </c>
      <c r="N913" s="58">
        <v>589000</v>
      </c>
      <c r="O913" s="58">
        <v>589000</v>
      </c>
      <c r="P913" s="61"/>
    </row>
    <row r="914">
      <c r="H914" s="59">
        <v>179</v>
      </c>
      <c r="I914" s="55" t="str">
        <v>50BT4 NPC LD</v>
      </c>
      <c r="J914" s="56" t="str">
        <v>DV_Gội</v>
      </c>
      <c r="K914" s="56">
        <v>1067</v>
      </c>
      <c r="L914" s="60" t="str">
        <f>K914-J914</f>
        <v>Gội trải nghiệm 90p</v>
      </c>
      <c r="M914" s="57">
        <v>0</v>
      </c>
      <c r="N914" s="58">
        <v>789000</v>
      </c>
      <c r="O914" s="58">
        <v>789000</v>
      </c>
      <c r="P914" s="61"/>
    </row>
    <row r="915">
      <c r="H915" s="59">
        <v>179</v>
      </c>
      <c r="I915" s="55" t="str">
        <v>50BT4 NPC LD</v>
      </c>
      <c r="J915" s="56" t="str">
        <v>DV_Gội</v>
      </c>
      <c r="K915" s="56">
        <v>1068</v>
      </c>
      <c r="L915" s="60" t="str">
        <f>K915-J915</f>
        <v>Gội trải nghiệm 115p</v>
      </c>
      <c r="M915" s="57">
        <v>0</v>
      </c>
      <c r="N915" s="58">
        <v>999000</v>
      </c>
      <c r="O915" s="58">
        <v>999000</v>
      </c>
      <c r="P915" s="61"/>
    </row>
    <row r="916">
      <c r="H916" s="59">
        <v>179</v>
      </c>
      <c r="I916" s="55" t="str">
        <v>50BT4 NPC LD</v>
      </c>
      <c r="J916" s="56" t="str">
        <v>DV_Spa</v>
      </c>
      <c r="K916" s="56">
        <v>936</v>
      </c>
      <c r="L916" s="60" t="str">
        <f>K916-J916</f>
        <v>[NEW] Chăm sóc da Shine Spa 199k (có phân tích da)</v>
      </c>
      <c r="M916" s="57">
        <v>0</v>
      </c>
      <c r="N916" s="58">
        <v>199000</v>
      </c>
      <c r="O916" s="58">
        <v>199000</v>
      </c>
      <c r="P916" s="61"/>
    </row>
    <row r="917">
      <c r="H917" s="59">
        <v>245</v>
      </c>
      <c r="I917" s="55" t="str">
        <v>55A NVL</v>
      </c>
      <c r="J917" s="56" t="str">
        <v>DV_Cắt</v>
      </c>
      <c r="K917" s="56">
        <v>513</v>
      </c>
      <c r="L917" s="60" t="str">
        <f>K917-J917</f>
        <v>[DV] ShineCombo 10 bước Ultra Care 2023</v>
      </c>
      <c r="M917" s="57">
        <v>0.04210526315789465</v>
      </c>
      <c r="N917" s="58">
        <v>122000</v>
      </c>
      <c r="O917" s="58">
        <v>122000</v>
      </c>
      <c r="P917" s="61"/>
    </row>
    <row r="918">
      <c r="H918" s="59">
        <v>245</v>
      </c>
      <c r="I918" s="55" t="str">
        <v>55A NVL</v>
      </c>
      <c r="J918" s="56" t="str">
        <v>DV_Cắt</v>
      </c>
      <c r="K918" s="56">
        <v>891</v>
      </c>
      <c r="L918" s="60" t="str">
        <f>K918-J918</f>
        <v>Cắt xả tạo kiểu</v>
      </c>
      <c r="M918" s="57">
        <v>0.04210526315789465</v>
      </c>
      <c r="N918" s="58">
        <v>95000</v>
      </c>
      <c r="O918" s="58">
        <v>99000</v>
      </c>
      <c r="P918" s="61">
        <v>4000</v>
      </c>
    </row>
    <row r="919">
      <c r="H919" s="59">
        <v>245</v>
      </c>
      <c r="I919" s="55" t="str">
        <v>55A NVL</v>
      </c>
      <c r="J919" s="56" t="str">
        <v>DV_Cắt</v>
      </c>
      <c r="K919" s="56">
        <v>1002</v>
      </c>
      <c r="L919" s="60" t="str">
        <f>K919-J919</f>
        <v>Kid Cắt</v>
      </c>
      <c r="M919" s="57">
        <v>0.04210526315789465</v>
      </c>
      <c r="N919" s="58">
        <v>76000</v>
      </c>
      <c r="O919" s="58">
        <v>79000</v>
      </c>
      <c r="P919" s="61">
        <v>3000</v>
      </c>
    </row>
    <row r="920">
      <c r="H920" s="59">
        <v>245</v>
      </c>
      <c r="I920" s="55" t="str">
        <v>55A NVL</v>
      </c>
      <c r="J920" s="56" t="str">
        <v>DV_Cắt</v>
      </c>
      <c r="K920" s="56">
        <v>1070</v>
      </c>
      <c r="L920" s="60" t="str">
        <f>K920-J920</f>
        <v>Combo Cắt gội Kid</v>
      </c>
      <c r="M920" s="57">
        <v>0.04210526315789465</v>
      </c>
      <c r="N920" s="58">
        <v>100000</v>
      </c>
      <c r="O920" s="58">
        <v>104000</v>
      </c>
      <c r="P920" s="61">
        <v>4000</v>
      </c>
    </row>
    <row r="921">
      <c r="H921" s="59">
        <v>245</v>
      </c>
      <c r="I921" s="55" t="str">
        <v>55A NVL</v>
      </c>
      <c r="J921" s="56" t="str">
        <v>DV_Cắt_Vip</v>
      </c>
      <c r="K921" s="56">
        <v>1046</v>
      </c>
      <c r="L921" s="60" t="str">
        <f>K921-J921</f>
        <v>Shinecombo 2</v>
      </c>
      <c r="M921" s="57">
        <v>0.04210526315789465</v>
      </c>
      <c r="N921" s="58">
        <v>200000</v>
      </c>
      <c r="O921" s="58">
        <v>208000</v>
      </c>
      <c r="P921" s="50">
        <v>8000</v>
      </c>
    </row>
    <row r="922">
      <c r="H922" s="59">
        <v>245</v>
      </c>
      <c r="I922" s="55" t="str">
        <v>55A NVL</v>
      </c>
      <c r="J922" s="56" t="str">
        <v>DV_Cắt_Vip</v>
      </c>
      <c r="K922" s="56">
        <v>1047</v>
      </c>
      <c r="L922" s="60" t="str">
        <f>K922-J922</f>
        <v>Cắt Gội Combo 3 - Chăm da</v>
      </c>
      <c r="M922" s="57">
        <v>0.04210526315789465</v>
      </c>
      <c r="N922" s="58">
        <v>300000</v>
      </c>
      <c r="O922" s="58">
        <v>313000</v>
      </c>
      <c r="P922" s="50">
        <v>13000</v>
      </c>
    </row>
    <row r="923">
      <c r="H923" s="59">
        <v>245</v>
      </c>
      <c r="I923" s="55" t="str">
        <v>55A NVL</v>
      </c>
      <c r="J923" s="56" t="str">
        <v>DV_Cắt_Vip</v>
      </c>
      <c r="K923" s="56">
        <v>1048</v>
      </c>
      <c r="L923" s="60" t="str">
        <f>K923-J923</f>
        <v>Combo 4</v>
      </c>
      <c r="M923" s="57">
        <v>0.04210526315789465</v>
      </c>
      <c r="N923" s="58">
        <v>390000</v>
      </c>
      <c r="O923" s="58">
        <v>406000</v>
      </c>
      <c r="P923" s="61">
        <v>16000</v>
      </c>
    </row>
    <row r="924">
      <c r="H924" s="59">
        <v>245</v>
      </c>
      <c r="I924" s="55" t="str">
        <v>55A NVL</v>
      </c>
      <c r="J924" s="56" t="str">
        <v>DV_Cắt_Vip</v>
      </c>
      <c r="K924" s="56">
        <v>1064</v>
      </c>
      <c r="L924" s="60" t="str">
        <f>K924-J924</f>
        <v>Cắt Gội Combo 5 - Dưỡng sinh</v>
      </c>
      <c r="M924" s="57">
        <v>0.04210526315789465</v>
      </c>
      <c r="N924" s="58">
        <v>459000</v>
      </c>
      <c r="O924" s="58">
        <v>478000</v>
      </c>
      <c r="P924" s="50">
        <v>19000</v>
      </c>
    </row>
    <row r="925">
      <c r="H925" s="59">
        <v>245</v>
      </c>
      <c r="I925" s="55" t="str">
        <v>55A NVL</v>
      </c>
      <c r="J925" s="56" t="str">
        <v>DV_Gội</v>
      </c>
      <c r="K925" s="56">
        <v>867</v>
      </c>
      <c r="L925" s="60" t="str">
        <f>K925-J925</f>
        <v>Gội dưỡng sinh cổ vai gáy</v>
      </c>
      <c r="M925" s="57">
        <v>0.04210526315789465</v>
      </c>
      <c r="N925" s="58">
        <v>99000</v>
      </c>
      <c r="O925" s="58">
        <v>103000</v>
      </c>
      <c r="P925" s="50">
        <v>4000</v>
      </c>
    </row>
    <row r="926">
      <c r="H926" s="59">
        <v>245</v>
      </c>
      <c r="I926" s="55" t="str">
        <v>55A NVL</v>
      </c>
      <c r="J926" s="56" t="str">
        <v>DV_Gội</v>
      </c>
      <c r="K926" s="56">
        <v>930</v>
      </c>
      <c r="L926" s="60" t="str">
        <f>K926-J926</f>
        <v>[NEW] Gội dưỡng sinh cổ vai gáy và chăm sóc da</v>
      </c>
      <c r="M926" s="57">
        <v>0.04210526315789465</v>
      </c>
      <c r="N926" s="58">
        <v>139000</v>
      </c>
      <c r="O926" s="58">
        <v>145000</v>
      </c>
      <c r="P926" s="50">
        <v>6000</v>
      </c>
    </row>
    <row r="927">
      <c r="H927" s="59">
        <v>245</v>
      </c>
      <c r="I927" s="55" t="str">
        <v>55A NVL</v>
      </c>
      <c r="J927" s="56" t="str">
        <v>DV_Gội</v>
      </c>
      <c r="K927" s="56">
        <v>934</v>
      </c>
      <c r="L927" s="60" t="str">
        <f>K927-J927</f>
        <v>Gội combo 3 - Dưỡng sinh</v>
      </c>
      <c r="M927" s="57">
        <v>0.04210526315789465</v>
      </c>
      <c r="N927" s="58">
        <v>229000</v>
      </c>
      <c r="O927" s="58">
        <v>239000</v>
      </c>
      <c r="P927" s="50">
        <v>10000</v>
      </c>
    </row>
    <row r="928">
      <c r="H928" s="59">
        <v>245</v>
      </c>
      <c r="I928" s="55" t="str">
        <v>55A NVL</v>
      </c>
      <c r="J928" s="56" t="str">
        <v>DV_Gội</v>
      </c>
      <c r="K928" s="56">
        <v>940</v>
      </c>
      <c r="L928" s="60" t="str">
        <f>K928-J928</f>
        <v>[NEW] Gội dưỡng sinh</v>
      </c>
      <c r="M928" s="57">
        <v>0.04210526315789465</v>
      </c>
      <c r="N928" s="58">
        <v>59000</v>
      </c>
      <c r="O928" s="58">
        <v>61000</v>
      </c>
      <c r="P928" s="50">
        <v>2000</v>
      </c>
    </row>
    <row r="929">
      <c r="H929" s="59">
        <v>245</v>
      </c>
      <c r="I929" s="55" t="str">
        <v>55A NVL</v>
      </c>
      <c r="J929" s="56" t="str">
        <v>DV_Gội</v>
      </c>
      <c r="K929" s="56">
        <v>1058</v>
      </c>
      <c r="L929" s="60" t="str">
        <f>K929-J929</f>
        <v>Gội Combo 2</v>
      </c>
      <c r="M929" s="57">
        <v>0.04210526315789465</v>
      </c>
      <c r="N929" s="58">
        <v>159000</v>
      </c>
      <c r="O929" s="58">
        <v>166000</v>
      </c>
      <c r="P929" s="50">
        <v>7000</v>
      </c>
    </row>
    <row r="930">
      <c r="H930" s="59">
        <v>245</v>
      </c>
      <c r="I930" s="55" t="str">
        <v>55A NVL</v>
      </c>
      <c r="J930" s="56" t="str">
        <v>DV_Gội</v>
      </c>
      <c r="K930" s="56">
        <v>1059</v>
      </c>
      <c r="L930" s="60" t="str">
        <f>K930-J930</f>
        <v>Gội Combo 3 - Chăm da</v>
      </c>
      <c r="M930" s="57">
        <v>0.04210526315789465</v>
      </c>
      <c r="N930" s="58">
        <v>239000</v>
      </c>
      <c r="O930" s="58">
        <v>249000</v>
      </c>
      <c r="P930" s="50">
        <v>10000</v>
      </c>
    </row>
    <row r="931">
      <c r="H931" s="59">
        <v>245</v>
      </c>
      <c r="I931" s="55" t="str">
        <v>55A NVL</v>
      </c>
      <c r="J931" s="56" t="str">
        <v>DV_Gội</v>
      </c>
      <c r="K931" s="56">
        <v>1060</v>
      </c>
      <c r="L931" s="60" t="str">
        <f>K931-J931</f>
        <v>Gội Combo 4</v>
      </c>
      <c r="M931" s="57">
        <v>0.04210526315789465</v>
      </c>
      <c r="N931" s="58">
        <v>319000</v>
      </c>
      <c r="O931" s="58">
        <v>332000</v>
      </c>
      <c r="P931" s="50">
        <v>13000</v>
      </c>
    </row>
    <row r="932">
      <c r="H932" s="59">
        <v>245</v>
      </c>
      <c r="I932" s="55" t="str">
        <v>55A NVL</v>
      </c>
      <c r="J932" s="56" t="str">
        <v>DV_Gội</v>
      </c>
      <c r="K932" s="56">
        <v>1066</v>
      </c>
      <c r="L932" s="60" t="str">
        <f>K932-J932</f>
        <v>Gội trải nghiệm 75p</v>
      </c>
      <c r="M932" s="57">
        <v>0.04210526315789465</v>
      </c>
      <c r="N932" s="58">
        <v>589000</v>
      </c>
      <c r="O932" s="58">
        <v>614000</v>
      </c>
      <c r="P932" s="50">
        <v>25000</v>
      </c>
    </row>
    <row r="933">
      <c r="H933" s="59">
        <v>245</v>
      </c>
      <c r="I933" s="55" t="str">
        <v>55A NVL</v>
      </c>
      <c r="J933" s="56" t="str">
        <v>DV_Gội</v>
      </c>
      <c r="K933" s="56">
        <v>1067</v>
      </c>
      <c r="L933" s="60" t="str">
        <f>K933-J933</f>
        <v>Gội trải nghiệm 90p</v>
      </c>
      <c r="M933" s="57">
        <v>0.04210526315789465</v>
      </c>
      <c r="N933" s="58">
        <v>789000</v>
      </c>
      <c r="O933" s="58">
        <v>822000</v>
      </c>
      <c r="P933" s="50">
        <v>33000</v>
      </c>
    </row>
    <row r="934">
      <c r="H934" s="59">
        <v>245</v>
      </c>
      <c r="I934" s="55" t="str">
        <v>55A NVL</v>
      </c>
      <c r="J934" s="56" t="str">
        <v>DV_Gội</v>
      </c>
      <c r="K934" s="56">
        <v>1068</v>
      </c>
      <c r="L934" s="60" t="str">
        <f>K934-J934</f>
        <v>Gội trải nghiệm 115p</v>
      </c>
      <c r="M934" s="57">
        <v>0.04210526315789465</v>
      </c>
      <c r="N934" s="58">
        <v>999000</v>
      </c>
      <c r="O934" s="58">
        <v>1041000</v>
      </c>
      <c r="P934" s="50">
        <v>42000</v>
      </c>
    </row>
    <row r="935">
      <c r="H935" s="59">
        <v>245</v>
      </c>
      <c r="I935" s="55" t="str">
        <v>55A NVL</v>
      </c>
      <c r="J935" s="56" t="str">
        <v>DV_Spa</v>
      </c>
      <c r="K935" s="56">
        <v>936</v>
      </c>
      <c r="L935" s="60" t="str">
        <f>K935-J935</f>
        <v>[NEW] Chăm sóc da Shine Spa 199k (có phân tích da)</v>
      </c>
      <c r="M935" s="57">
        <v>0.04210526315789465</v>
      </c>
      <c r="N935" s="58">
        <v>199000</v>
      </c>
      <c r="O935" s="58">
        <v>207000</v>
      </c>
      <c r="P935" s="50">
        <v>8000</v>
      </c>
    </row>
    <row r="936">
      <c r="H936" s="59">
        <v>245</v>
      </c>
      <c r="I936" s="55" t="str">
        <v>55A NVL</v>
      </c>
      <c r="J936" s="56" t="str">
        <v>DV_Spa</v>
      </c>
      <c r="K936" s="56">
        <v>939</v>
      </c>
      <c r="L936" s="60" t="str">
        <f>K936-J936</f>
        <v>[NEW] Trắng đều màu da &amp; Spa da chuyên sâu NANO TECH 449k</v>
      </c>
      <c r="M936" s="57">
        <v>0.04210526315789465</v>
      </c>
      <c r="N936" s="58">
        <v>449000</v>
      </c>
      <c r="O936" s="58">
        <v>468000</v>
      </c>
      <c r="P936" s="61">
        <v>19000</v>
      </c>
    </row>
    <row r="937">
      <c r="H937" s="59">
        <v>21</v>
      </c>
      <c r="I937" s="55" t="str">
        <v>575 AC</v>
      </c>
      <c r="J937" s="56" t="str">
        <v>DV_Cắt</v>
      </c>
      <c r="K937" s="56">
        <v>513</v>
      </c>
      <c r="L937" s="60" t="str">
        <f>K937-J937</f>
        <v>[DV] ShineCombo 10 bước Ultra Care 2023</v>
      </c>
      <c r="M937" s="57">
        <v>0.04000000000000004</v>
      </c>
      <c r="N937" s="58">
        <v>122000</v>
      </c>
      <c r="O937" s="58">
        <v>122000</v>
      </c>
      <c r="P937" s="50"/>
    </row>
    <row r="938">
      <c r="H938" s="59">
        <v>21</v>
      </c>
      <c r="I938" s="55" t="str">
        <v>575 AC</v>
      </c>
      <c r="J938" s="56" t="str">
        <v>DV_Cắt</v>
      </c>
      <c r="K938" s="56">
        <v>891</v>
      </c>
      <c r="L938" s="60" t="str">
        <f>K938-J938</f>
        <v>Cắt xả tạo kiểu</v>
      </c>
      <c r="M938" s="57">
        <v>0.04000000000000004</v>
      </c>
      <c r="N938" s="58">
        <v>100000</v>
      </c>
      <c r="O938" s="58">
        <v>104000</v>
      </c>
      <c r="P938" s="50">
        <v>4000</v>
      </c>
    </row>
    <row r="939">
      <c r="H939" s="59">
        <v>21</v>
      </c>
      <c r="I939" s="55" t="str">
        <v>575 AC</v>
      </c>
      <c r="J939" s="56" t="str">
        <v>DV_Cắt</v>
      </c>
      <c r="K939" s="56">
        <v>1002</v>
      </c>
      <c r="L939" s="60" t="str">
        <f>K939-J939</f>
        <v>Kid Cắt</v>
      </c>
      <c r="M939" s="57">
        <v>0.04000000000000004</v>
      </c>
      <c r="N939" s="58">
        <v>81000</v>
      </c>
      <c r="O939" s="58">
        <v>84000</v>
      </c>
      <c r="P939" s="50">
        <v>3000</v>
      </c>
    </row>
    <row r="940">
      <c r="H940" s="59">
        <v>21</v>
      </c>
      <c r="I940" s="55" t="str">
        <v>575 AC</v>
      </c>
      <c r="J940" s="56" t="str">
        <v>DV_Cắt</v>
      </c>
      <c r="K940" s="56">
        <v>1070</v>
      </c>
      <c r="L940" s="60" t="str">
        <f>K940-J940</f>
        <v>Combo Cắt gội Kid</v>
      </c>
      <c r="M940" s="57">
        <v>0.04000000000000004</v>
      </c>
      <c r="N940" s="58">
        <v>100000</v>
      </c>
      <c r="O940" s="58">
        <v>104000</v>
      </c>
      <c r="P940" s="50">
        <v>4000</v>
      </c>
    </row>
    <row r="941">
      <c r="H941" s="59">
        <v>21</v>
      </c>
      <c r="I941" s="55" t="str">
        <v>575 AC</v>
      </c>
      <c r="J941" s="56" t="str">
        <v>DV_Cắt_Vip</v>
      </c>
      <c r="K941" s="56">
        <v>1046</v>
      </c>
      <c r="L941" s="60" t="str">
        <f>K941-J941</f>
        <v>Shinecombo 2</v>
      </c>
      <c r="M941" s="57">
        <v>0.04000000000000004</v>
      </c>
      <c r="N941" s="58">
        <v>205000</v>
      </c>
      <c r="O941" s="58">
        <v>213000</v>
      </c>
      <c r="P941" s="50">
        <v>8000</v>
      </c>
    </row>
    <row r="942">
      <c r="H942" s="59">
        <v>21</v>
      </c>
      <c r="I942" s="55" t="str">
        <v>575 AC</v>
      </c>
      <c r="J942" s="56" t="str">
        <v>DV_Cắt_Vip</v>
      </c>
      <c r="K942" s="56">
        <v>1047</v>
      </c>
      <c r="L942" s="60" t="str">
        <f>K942-J942</f>
        <v>Cắt Gội Combo 3 - Chăm da</v>
      </c>
      <c r="M942" s="57">
        <v>0.04000000000000004</v>
      </c>
      <c r="N942" s="58">
        <v>305000</v>
      </c>
      <c r="O942" s="58">
        <v>317000</v>
      </c>
      <c r="P942" s="50">
        <v>12000</v>
      </c>
    </row>
    <row r="943">
      <c r="H943" s="59">
        <v>21</v>
      </c>
      <c r="I943" s="55" t="str">
        <v>575 AC</v>
      </c>
      <c r="J943" s="56" t="str">
        <v>DV_Cắt_Vip</v>
      </c>
      <c r="K943" s="56">
        <v>1048</v>
      </c>
      <c r="L943" s="60" t="str">
        <f>K943-J943</f>
        <v>Combo 4</v>
      </c>
      <c r="M943" s="57">
        <v>0.04000000000000004</v>
      </c>
      <c r="N943" s="58">
        <v>395000</v>
      </c>
      <c r="O943" s="58">
        <v>411000</v>
      </c>
      <c r="P943" s="50">
        <v>16000</v>
      </c>
    </row>
    <row r="944">
      <c r="H944" s="59">
        <v>21</v>
      </c>
      <c r="I944" s="55" t="str">
        <v>575 AC</v>
      </c>
      <c r="J944" s="56" t="str">
        <v>DV_Cắt_Vip</v>
      </c>
      <c r="K944" s="56">
        <v>1049</v>
      </c>
      <c r="L944" s="60" t="str">
        <f>K944-J944</f>
        <v>Cắt Gội Combo 5 - Chăm da</v>
      </c>
      <c r="M944" s="57">
        <v>0.04000000000000004</v>
      </c>
      <c r="N944" s="58">
        <v>399000</v>
      </c>
      <c r="O944" s="58">
        <v>415000</v>
      </c>
      <c r="P944" s="50">
        <v>16000</v>
      </c>
    </row>
    <row r="945">
      <c r="H945" s="59">
        <v>21</v>
      </c>
      <c r="I945" s="55" t="str">
        <v>575 AC</v>
      </c>
      <c r="J945" s="56" t="str">
        <v>DV_Cắt_Vip</v>
      </c>
      <c r="K945" s="56">
        <v>1064</v>
      </c>
      <c r="L945" s="60" t="str">
        <f>K945-J945</f>
        <v>Cắt Gội Combo 5 - Dưỡng sinh</v>
      </c>
      <c r="M945" s="57">
        <v>0.04000000000000004</v>
      </c>
      <c r="N945" s="58">
        <v>465000</v>
      </c>
      <c r="O945" s="58">
        <v>484000</v>
      </c>
      <c r="P945" s="50">
        <v>19000</v>
      </c>
    </row>
    <row r="946">
      <c r="H946" s="59">
        <v>21</v>
      </c>
      <c r="I946" s="55" t="str">
        <v>575 AC</v>
      </c>
      <c r="J946" s="56" t="str">
        <v>DV_Cắt_Vip</v>
      </c>
      <c r="K946" s="56">
        <v>1065</v>
      </c>
      <c r="L946" s="60" t="str">
        <f>K946-J946</f>
        <v>Cắt Gội Combo 3 - Dưỡng sinh</v>
      </c>
      <c r="M946" s="57">
        <v>0.04000000000000004</v>
      </c>
      <c r="N946" s="58">
        <v>305000</v>
      </c>
      <c r="O946" s="58">
        <v>317000</v>
      </c>
      <c r="P946" s="50">
        <v>12000</v>
      </c>
    </row>
    <row r="947">
      <c r="H947" s="59">
        <v>21</v>
      </c>
      <c r="I947" s="55" t="str">
        <v>575 AC</v>
      </c>
      <c r="J947" s="56" t="str">
        <v>DV_Cắt_Vip</v>
      </c>
      <c r="K947" s="56">
        <v>1194</v>
      </c>
      <c r="L947" s="60" t="str">
        <f>K947-J947</f>
        <v>Combo Best choice</v>
      </c>
      <c r="M947" s="57">
        <v>0.04000000000000004</v>
      </c>
      <c r="N947" s="58">
        <v>305000</v>
      </c>
      <c r="O947" s="58">
        <v>317000</v>
      </c>
      <c r="P947" s="50">
        <v>12000</v>
      </c>
    </row>
    <row r="948">
      <c r="H948" s="59">
        <v>21</v>
      </c>
      <c r="I948" s="55" t="str">
        <v>575 AC</v>
      </c>
      <c r="J948" s="56" t="str">
        <v>DV_Gội</v>
      </c>
      <c r="K948" s="56">
        <v>867</v>
      </c>
      <c r="L948" s="60" t="str">
        <f>K948-J948</f>
        <v>Gội dưỡng sinh cổ vai gáy</v>
      </c>
      <c r="M948" s="57">
        <v>0.04000000000000004</v>
      </c>
      <c r="N948" s="58">
        <v>100000</v>
      </c>
      <c r="O948" s="58">
        <v>104000</v>
      </c>
      <c r="P948" s="50">
        <v>4000</v>
      </c>
    </row>
    <row r="949">
      <c r="H949" s="59">
        <v>21</v>
      </c>
      <c r="I949" s="55" t="str">
        <v>575 AC</v>
      </c>
      <c r="J949" s="56" t="str">
        <v>DV_Gội</v>
      </c>
      <c r="K949" s="56">
        <v>930</v>
      </c>
      <c r="L949" s="60" t="str">
        <f>K949-J949</f>
        <v>[NEW] Gội dưỡng sinh cổ vai gáy và chăm sóc da</v>
      </c>
      <c r="M949" s="57">
        <v>0.04000000000000004</v>
      </c>
      <c r="N949" s="58">
        <v>139000</v>
      </c>
      <c r="O949" s="58">
        <v>145000</v>
      </c>
      <c r="P949" s="50">
        <v>6000</v>
      </c>
    </row>
    <row r="950">
      <c r="H950" s="59">
        <v>21</v>
      </c>
      <c r="I950" s="55" t="str">
        <v>575 AC</v>
      </c>
      <c r="J950" s="56" t="str">
        <v>DV_Gội</v>
      </c>
      <c r="K950" s="56">
        <v>932</v>
      </c>
      <c r="L950" s="60" t="str">
        <f>K950-J950</f>
        <v>Gội combo 5 dưỡng sinh</v>
      </c>
      <c r="M950" s="57">
        <v>0.04000000000000004</v>
      </c>
      <c r="N950" s="58">
        <v>389000</v>
      </c>
      <c r="O950" s="58">
        <v>405000</v>
      </c>
      <c r="P950" s="50">
        <v>16000</v>
      </c>
    </row>
    <row r="951">
      <c r="H951" s="59">
        <v>21</v>
      </c>
      <c r="I951" s="55" t="str">
        <v>575 AC</v>
      </c>
      <c r="J951" s="56" t="str">
        <v>DV_Gội</v>
      </c>
      <c r="K951" s="56">
        <v>934</v>
      </c>
      <c r="L951" s="60" t="str">
        <f>K951-J951</f>
        <v>Gội combo 3 - Dưỡng sinh</v>
      </c>
      <c r="M951" s="57">
        <v>0.04000000000000004</v>
      </c>
      <c r="N951" s="58">
        <v>229000</v>
      </c>
      <c r="O951" s="58">
        <v>238000</v>
      </c>
      <c r="P951" s="50">
        <v>9000</v>
      </c>
    </row>
    <row r="952">
      <c r="H952" s="59">
        <v>21</v>
      </c>
      <c r="I952" s="55" t="str">
        <v>575 AC</v>
      </c>
      <c r="J952" s="56" t="str">
        <v>DV_Gội</v>
      </c>
      <c r="K952" s="56">
        <v>940</v>
      </c>
      <c r="L952" s="60" t="str">
        <f>K952-J952</f>
        <v>[NEW] Gội dưỡng sinh</v>
      </c>
      <c r="M952" s="57">
        <v>0.04000000000000004</v>
      </c>
      <c r="N952" s="58">
        <v>59000</v>
      </c>
      <c r="O952" s="58">
        <v>61000</v>
      </c>
      <c r="P952" s="50">
        <v>2000</v>
      </c>
    </row>
    <row r="953">
      <c r="H953" s="59">
        <v>21</v>
      </c>
      <c r="I953" s="55" t="str">
        <v>575 AC</v>
      </c>
      <c r="J953" s="56" t="str">
        <v>DV_Gội</v>
      </c>
      <c r="K953" s="56">
        <v>1058</v>
      </c>
      <c r="L953" s="60" t="str">
        <f>K953-J953</f>
        <v>Gội Combo 2</v>
      </c>
      <c r="M953" s="57">
        <v>0.04000000000000004</v>
      </c>
      <c r="N953" s="58">
        <v>159000</v>
      </c>
      <c r="O953" s="58">
        <v>165000</v>
      </c>
      <c r="P953" s="50">
        <v>6000</v>
      </c>
    </row>
    <row r="954">
      <c r="H954" s="59">
        <v>21</v>
      </c>
      <c r="I954" s="55" t="str">
        <v>575 AC</v>
      </c>
      <c r="J954" s="56" t="str">
        <v>DV_Gội</v>
      </c>
      <c r="K954" s="56">
        <v>1059</v>
      </c>
      <c r="L954" s="60" t="str">
        <f>K954-J954</f>
        <v>Gội Combo 3 - Chăm da</v>
      </c>
      <c r="M954" s="57">
        <v>0.04000000000000004</v>
      </c>
      <c r="N954" s="58">
        <v>239000</v>
      </c>
      <c r="O954" s="58">
        <v>249000</v>
      </c>
      <c r="P954" s="50">
        <v>10000</v>
      </c>
    </row>
    <row r="955">
      <c r="H955" s="59">
        <v>21</v>
      </c>
      <c r="I955" s="55" t="str">
        <v>575 AC</v>
      </c>
      <c r="J955" s="56" t="str">
        <v>DV_Gội</v>
      </c>
      <c r="K955" s="56">
        <v>1060</v>
      </c>
      <c r="L955" s="60" t="str">
        <f>K955-J955</f>
        <v>Gội Combo 4</v>
      </c>
      <c r="M955" s="57">
        <v>0.04000000000000004</v>
      </c>
      <c r="N955" s="58">
        <v>319000</v>
      </c>
      <c r="O955" s="58">
        <v>332000</v>
      </c>
      <c r="P955" s="50">
        <v>13000</v>
      </c>
    </row>
    <row r="956">
      <c r="H956" s="59">
        <v>21</v>
      </c>
      <c r="I956" s="55" t="str">
        <v>575 AC</v>
      </c>
      <c r="J956" s="56" t="str">
        <v>DV_Gội</v>
      </c>
      <c r="K956" s="56">
        <v>1061</v>
      </c>
      <c r="L956" s="60" t="str">
        <f>K956-J956</f>
        <v>Gội Combo 5 - Chăm da</v>
      </c>
      <c r="M956" s="57">
        <v>0.04000000000000004</v>
      </c>
      <c r="N956" s="58">
        <v>359000</v>
      </c>
      <c r="O956" s="58">
        <v>373000</v>
      </c>
      <c r="P956" s="50">
        <v>14000</v>
      </c>
    </row>
    <row r="957">
      <c r="H957" s="59">
        <v>21</v>
      </c>
      <c r="I957" s="55" t="str">
        <v>575 AC</v>
      </c>
      <c r="J957" s="56" t="str">
        <v>DV_Gội</v>
      </c>
      <c r="K957" s="56">
        <v>1066</v>
      </c>
      <c r="L957" s="60" t="str">
        <f>K957-J957</f>
        <v>Gội trải nghiệm 75p</v>
      </c>
      <c r="M957" s="57">
        <v>0.04000000000000004</v>
      </c>
      <c r="N957" s="58">
        <v>459000</v>
      </c>
      <c r="O957" s="58">
        <v>477000</v>
      </c>
      <c r="P957" s="61">
        <v>18000</v>
      </c>
    </row>
    <row r="958">
      <c r="H958" s="59">
        <v>21</v>
      </c>
      <c r="I958" s="55" t="str">
        <v>575 AC</v>
      </c>
      <c r="J958" s="56" t="str">
        <v>DV_Gội</v>
      </c>
      <c r="K958" s="56">
        <v>1067</v>
      </c>
      <c r="L958" s="60" t="str">
        <f>K958-J958</f>
        <v>Gội trải nghiệm 90p</v>
      </c>
      <c r="M958" s="57">
        <v>0.04000000000000004</v>
      </c>
      <c r="N958" s="58">
        <v>789000</v>
      </c>
      <c r="O958" s="58">
        <v>821000</v>
      </c>
      <c r="P958" s="50">
        <v>32000</v>
      </c>
    </row>
    <row r="959">
      <c r="H959" s="59">
        <v>21</v>
      </c>
      <c r="I959" s="55" t="str">
        <v>575 AC</v>
      </c>
      <c r="J959" s="56" t="str">
        <v>DV_Gội</v>
      </c>
      <c r="K959" s="56">
        <v>1068</v>
      </c>
      <c r="L959" s="60" t="str">
        <f>K959-J959</f>
        <v>Gội trải nghiệm 115p</v>
      </c>
      <c r="M959" s="57">
        <v>0.04000000000000004</v>
      </c>
      <c r="N959" s="58">
        <v>999000</v>
      </c>
      <c r="O959" s="58">
        <v>1039000</v>
      </c>
      <c r="P959" s="50">
        <v>40000</v>
      </c>
    </row>
    <row r="960">
      <c r="H960" s="59">
        <v>21</v>
      </c>
      <c r="I960" s="55" t="str">
        <v>575 AC</v>
      </c>
      <c r="J960" s="56" t="str">
        <v>DV_Spa</v>
      </c>
      <c r="K960" s="56">
        <v>936</v>
      </c>
      <c r="L960" s="60" t="str">
        <f>K960-J960</f>
        <v>[NEW] Chăm sóc da Shine Spa 199k (có phân tích da)</v>
      </c>
      <c r="M960" s="57">
        <v>0.04000000000000004</v>
      </c>
      <c r="N960" s="58">
        <v>199000</v>
      </c>
      <c r="O960" s="58">
        <v>207000</v>
      </c>
      <c r="P960" s="50">
        <v>8000</v>
      </c>
    </row>
    <row r="961">
      <c r="H961" s="59">
        <v>212</v>
      </c>
      <c r="I961" s="55" t="str">
        <v>58 NVC NA</v>
      </c>
      <c r="J961" s="56" t="str">
        <v>DV_Cắt</v>
      </c>
      <c r="K961" s="56">
        <v>513</v>
      </c>
      <c r="L961" s="60" t="str">
        <f>K961-J961</f>
        <v>[DV] ShineCombo 10 bước Ultra Care 2023</v>
      </c>
      <c r="M961" s="57">
        <v>0</v>
      </c>
      <c r="N961" s="58">
        <v>122000</v>
      </c>
      <c r="O961" s="58">
        <v>122000</v>
      </c>
      <c r="P961" s="50"/>
    </row>
    <row r="962">
      <c r="H962" s="59">
        <v>212</v>
      </c>
      <c r="I962" s="55" t="str">
        <v>58 NVC NA</v>
      </c>
      <c r="J962" s="56" t="str">
        <v>DV_Cắt</v>
      </c>
      <c r="K962" s="56">
        <v>891</v>
      </c>
      <c r="L962" s="60" t="str">
        <f>K962-J962</f>
        <v>Cắt xả tạo kiểu</v>
      </c>
      <c r="M962" s="57">
        <v>0</v>
      </c>
      <c r="N962" s="58">
        <v>94000</v>
      </c>
      <c r="O962" s="58">
        <v>94000</v>
      </c>
      <c r="P962" s="50"/>
    </row>
    <row r="963">
      <c r="H963" s="59">
        <v>212</v>
      </c>
      <c r="I963" s="55" t="str">
        <v>58 NVC NA</v>
      </c>
      <c r="J963" s="56" t="str">
        <v>DV_Cắt</v>
      </c>
      <c r="K963" s="56">
        <v>1002</v>
      </c>
      <c r="L963" s="60" t="str">
        <f>K963-J963</f>
        <v>Kid Cắt</v>
      </c>
      <c r="M963" s="57">
        <v>0</v>
      </c>
      <c r="N963" s="58">
        <v>75000</v>
      </c>
      <c r="O963" s="58">
        <v>75000</v>
      </c>
      <c r="P963" s="50"/>
    </row>
    <row r="964">
      <c r="H964" s="59">
        <v>212</v>
      </c>
      <c r="I964" s="55" t="str">
        <v>58 NVC NA</v>
      </c>
      <c r="J964" s="56" t="str">
        <v>DV_Cắt</v>
      </c>
      <c r="K964" s="56">
        <v>1070</v>
      </c>
      <c r="L964" s="60" t="str">
        <f>K964-J964</f>
        <v>Combo Cắt gội Kid</v>
      </c>
      <c r="M964" s="57">
        <v>0</v>
      </c>
      <c r="N964" s="58">
        <v>100000</v>
      </c>
      <c r="O964" s="58">
        <v>100000</v>
      </c>
      <c r="P964" s="50"/>
    </row>
    <row r="965">
      <c r="H965" s="59">
        <v>212</v>
      </c>
      <c r="I965" s="55" t="str">
        <v>58 NVC NA</v>
      </c>
      <c r="J965" s="56" t="str">
        <v>DV_Cắt_Vip</v>
      </c>
      <c r="K965" s="56">
        <v>1046</v>
      </c>
      <c r="L965" s="60" t="str">
        <f>K965-J965</f>
        <v>Shinecombo 2</v>
      </c>
      <c r="M965" s="57">
        <v>0</v>
      </c>
      <c r="N965" s="58">
        <v>199000</v>
      </c>
      <c r="O965" s="58">
        <v>199000</v>
      </c>
      <c r="P965" s="50"/>
    </row>
    <row r="966">
      <c r="H966" s="59">
        <v>212</v>
      </c>
      <c r="I966" s="55" t="str">
        <v>58 NVC NA</v>
      </c>
      <c r="J966" s="56" t="str">
        <v>DV_Cắt_Vip</v>
      </c>
      <c r="K966" s="56">
        <v>1047</v>
      </c>
      <c r="L966" s="60" t="str">
        <f>K966-J966</f>
        <v>Cắt Gội Combo 3 - Chăm da</v>
      </c>
      <c r="M966" s="57">
        <v>0</v>
      </c>
      <c r="N966" s="58">
        <v>299000</v>
      </c>
      <c r="O966" s="58">
        <v>299000</v>
      </c>
      <c r="P966" s="50"/>
    </row>
    <row r="967">
      <c r="H967" s="59">
        <v>212</v>
      </c>
      <c r="I967" s="55" t="str">
        <v>58 NVC NA</v>
      </c>
      <c r="J967" s="56" t="str">
        <v>DV_Cắt_Vip</v>
      </c>
      <c r="K967" s="56">
        <v>1048</v>
      </c>
      <c r="L967" s="60" t="str">
        <f>K967-J967</f>
        <v>Combo 4</v>
      </c>
      <c r="M967" s="57">
        <v>0</v>
      </c>
      <c r="N967" s="58">
        <v>389000</v>
      </c>
      <c r="O967" s="58">
        <v>389000</v>
      </c>
      <c r="P967" s="50"/>
    </row>
    <row r="968">
      <c r="H968" s="59">
        <v>212</v>
      </c>
      <c r="I968" s="55" t="str">
        <v>58 NVC NA</v>
      </c>
      <c r="J968" s="56" t="str">
        <v>DV_Cắt_Vip</v>
      </c>
      <c r="K968" s="56">
        <v>1064</v>
      </c>
      <c r="L968" s="60" t="str">
        <f>K968-J968</f>
        <v>Cắt Gội Combo 5 - Dưỡng sinh</v>
      </c>
      <c r="M968" s="57">
        <v>0</v>
      </c>
      <c r="N968" s="58">
        <v>459000</v>
      </c>
      <c r="O968" s="58">
        <v>459000</v>
      </c>
      <c r="P968" s="50"/>
    </row>
    <row r="969">
      <c r="H969" s="59">
        <v>212</v>
      </c>
      <c r="I969" s="55" t="str">
        <v>58 NVC NA</v>
      </c>
      <c r="J969" s="56" t="str">
        <v>DV_Cắt_Vip</v>
      </c>
      <c r="K969" s="56">
        <v>1065</v>
      </c>
      <c r="L969" s="60" t="str">
        <f>K969-J969</f>
        <v>Cắt Gội Combo 3 - Dưỡng sinh</v>
      </c>
      <c r="M969" s="57">
        <v>0</v>
      </c>
      <c r="N969" s="58">
        <v>299000</v>
      </c>
      <c r="O969" s="58">
        <v>299000</v>
      </c>
      <c r="P969" s="50"/>
    </row>
    <row r="970">
      <c r="H970" s="59">
        <v>212</v>
      </c>
      <c r="I970" s="55" t="str">
        <v>58 NVC NA</v>
      </c>
      <c r="J970" s="56" t="str">
        <v>DV_Gội</v>
      </c>
      <c r="K970" s="56">
        <v>867</v>
      </c>
      <c r="L970" s="60" t="str">
        <f>K970-J970</f>
        <v>Gội dưỡng sinh cổ vai gáy</v>
      </c>
      <c r="M970" s="57">
        <v>0</v>
      </c>
      <c r="N970" s="58">
        <v>99000</v>
      </c>
      <c r="O970" s="58">
        <v>99000</v>
      </c>
      <c r="P970" s="50"/>
    </row>
    <row r="971">
      <c r="H971" s="59">
        <v>212</v>
      </c>
      <c r="I971" s="55" t="str">
        <v>58 NVC NA</v>
      </c>
      <c r="J971" s="56" t="str">
        <v>DV_Gội</v>
      </c>
      <c r="K971" s="56">
        <v>930</v>
      </c>
      <c r="L971" s="60" t="str">
        <f>K971-J971</f>
        <v>[NEW] Gội dưỡng sinh cổ vai gáy và chăm sóc da</v>
      </c>
      <c r="M971" s="57">
        <v>0</v>
      </c>
      <c r="N971" s="58">
        <v>139000</v>
      </c>
      <c r="O971" s="58">
        <v>139000</v>
      </c>
      <c r="P971" s="50"/>
    </row>
    <row r="972">
      <c r="H972" s="59">
        <v>212</v>
      </c>
      <c r="I972" s="55" t="str">
        <v>58 NVC NA</v>
      </c>
      <c r="J972" s="56" t="str">
        <v>DV_Gội</v>
      </c>
      <c r="K972" s="56">
        <v>934</v>
      </c>
      <c r="L972" s="60" t="str">
        <f>K972-J972</f>
        <v>Gội combo 3 - Dưỡng sinh</v>
      </c>
      <c r="M972" s="57">
        <v>0</v>
      </c>
      <c r="N972" s="58">
        <v>229000</v>
      </c>
      <c r="O972" s="58">
        <v>229000</v>
      </c>
      <c r="P972" s="50"/>
    </row>
    <row r="973">
      <c r="H973" s="59">
        <v>212</v>
      </c>
      <c r="I973" s="55" t="str">
        <v>58 NVC NA</v>
      </c>
      <c r="J973" s="56" t="str">
        <v>DV_Gội</v>
      </c>
      <c r="K973" s="56">
        <v>940</v>
      </c>
      <c r="L973" s="60" t="str">
        <f>K973-J973</f>
        <v>[NEW] Gội dưỡng sinh</v>
      </c>
      <c r="M973" s="57">
        <v>0</v>
      </c>
      <c r="N973" s="58">
        <v>59000</v>
      </c>
      <c r="O973" s="58">
        <v>59000</v>
      </c>
      <c r="P973" s="50"/>
    </row>
    <row r="974">
      <c r="H974" s="59">
        <v>212</v>
      </c>
      <c r="I974" s="55" t="str">
        <v>58 NVC NA</v>
      </c>
      <c r="J974" s="56" t="str">
        <v>DV_Gội</v>
      </c>
      <c r="K974" s="56">
        <v>1058</v>
      </c>
      <c r="L974" s="60" t="str">
        <f>K974-J974</f>
        <v>Gội Combo 2</v>
      </c>
      <c r="M974" s="57">
        <v>0</v>
      </c>
      <c r="N974" s="58">
        <v>159000</v>
      </c>
      <c r="O974" s="58">
        <v>159000</v>
      </c>
      <c r="P974" s="50"/>
    </row>
    <row r="975">
      <c r="H975" s="59">
        <v>212</v>
      </c>
      <c r="I975" s="55" t="str">
        <v>58 NVC NA</v>
      </c>
      <c r="J975" s="56" t="str">
        <v>DV_Gội</v>
      </c>
      <c r="K975" s="56">
        <v>1059</v>
      </c>
      <c r="L975" s="60" t="str">
        <f>K975-J975</f>
        <v>Gội Combo 3 - Chăm da</v>
      </c>
      <c r="M975" s="57">
        <v>0</v>
      </c>
      <c r="N975" s="58">
        <v>219000</v>
      </c>
      <c r="O975" s="58">
        <v>219000</v>
      </c>
      <c r="P975" s="61"/>
    </row>
    <row r="976">
      <c r="H976" s="59">
        <v>212</v>
      </c>
      <c r="I976" s="55" t="str">
        <v>58 NVC NA</v>
      </c>
      <c r="J976" s="56" t="str">
        <v>DV_Gội</v>
      </c>
      <c r="K976" s="56">
        <v>1060</v>
      </c>
      <c r="L976" s="60" t="str">
        <f>K976-J976</f>
        <v>Gội Combo 4</v>
      </c>
      <c r="M976" s="57">
        <v>0</v>
      </c>
      <c r="N976" s="58">
        <v>289000</v>
      </c>
      <c r="O976" s="58">
        <v>289000</v>
      </c>
      <c r="P976" s="61"/>
    </row>
    <row r="977">
      <c r="H977" s="59">
        <v>212</v>
      </c>
      <c r="I977" s="55" t="str">
        <v>58 NVC NA</v>
      </c>
      <c r="J977" s="56" t="str">
        <v>DV_Gội</v>
      </c>
      <c r="K977" s="56">
        <v>1066</v>
      </c>
      <c r="L977" s="60" t="str">
        <f>K977-J977</f>
        <v>Gội trải nghiệm 75p</v>
      </c>
      <c r="M977" s="57">
        <v>0</v>
      </c>
      <c r="N977" s="58">
        <v>589000</v>
      </c>
      <c r="O977" s="58">
        <v>589000</v>
      </c>
      <c r="P977" s="61"/>
    </row>
    <row r="978">
      <c r="H978" s="59">
        <v>212</v>
      </c>
      <c r="I978" s="55" t="str">
        <v>58 NVC NA</v>
      </c>
      <c r="J978" s="56" t="str">
        <v>DV_Gội</v>
      </c>
      <c r="K978" s="56">
        <v>1067</v>
      </c>
      <c r="L978" s="60" t="str">
        <f>K978-J978</f>
        <v>Gội trải nghiệm 90p</v>
      </c>
      <c r="M978" s="57">
        <v>0</v>
      </c>
      <c r="N978" s="58">
        <v>789000</v>
      </c>
      <c r="O978" s="58">
        <v>789000</v>
      </c>
      <c r="P978" s="61"/>
    </row>
    <row r="979">
      <c r="H979" s="59">
        <v>212</v>
      </c>
      <c r="I979" s="55" t="str">
        <v>58 NVC NA</v>
      </c>
      <c r="J979" s="56" t="str">
        <v>DV_Gội</v>
      </c>
      <c r="K979" s="56">
        <v>1068</v>
      </c>
      <c r="L979" s="60" t="str">
        <f>K979-J979</f>
        <v>Gội trải nghiệm 115p</v>
      </c>
      <c r="M979" s="57">
        <v>0</v>
      </c>
      <c r="N979" s="58">
        <v>999000</v>
      </c>
      <c r="O979" s="58">
        <v>999000</v>
      </c>
      <c r="P979" s="61"/>
    </row>
    <row r="980">
      <c r="H980" s="59">
        <v>212</v>
      </c>
      <c r="I980" s="55" t="str">
        <v>58 NVC NA</v>
      </c>
      <c r="J980" s="56" t="str">
        <v>DV_Gội</v>
      </c>
      <c r="K980" s="56">
        <v>1255</v>
      </c>
      <c r="L980" s="60" t="str">
        <f>K980-J980</f>
        <v>VH Cắt gội dưỡng sinh Vip</v>
      </c>
      <c r="M980" s="57">
        <v>0</v>
      </c>
      <c r="N980" s="58">
        <v>249000</v>
      </c>
      <c r="O980" s="58">
        <v>249000</v>
      </c>
      <c r="P980" s="61"/>
    </row>
    <row r="981">
      <c r="H981" s="59">
        <v>212</v>
      </c>
      <c r="I981" s="55" t="str">
        <v>58 NVC NA</v>
      </c>
      <c r="J981" s="56" t="str">
        <v>DV_Gội</v>
      </c>
      <c r="K981" s="56">
        <v>1256</v>
      </c>
      <c r="L981" s="60" t="str">
        <f>K981-J981</f>
        <v>VH Cắt gội dưỡng sinh Vip LRT</v>
      </c>
      <c r="M981" s="57">
        <v>0</v>
      </c>
      <c r="N981" s="58">
        <v>299000</v>
      </c>
      <c r="O981" s="58">
        <v>299000</v>
      </c>
      <c r="P981" s="61"/>
    </row>
    <row r="982">
      <c r="H982" s="59">
        <v>212</v>
      </c>
      <c r="I982" s="55" t="str">
        <v>58 NVC NA</v>
      </c>
      <c r="J982" s="56" t="str">
        <v>DV_Spa</v>
      </c>
      <c r="K982" s="56">
        <v>936</v>
      </c>
      <c r="L982" s="60" t="str">
        <f>K982-J982</f>
        <v>[NEW] Chăm sóc da Shine Spa 199k (có phân tích da)</v>
      </c>
      <c r="M982" s="57">
        <v>0</v>
      </c>
      <c r="N982" s="58">
        <v>199000</v>
      </c>
      <c r="O982" s="58">
        <v>199000</v>
      </c>
      <c r="P982" s="61"/>
    </row>
    <row r="983">
      <c r="H983" s="59">
        <v>233</v>
      </c>
      <c r="I983" s="55" t="str">
        <v>595 BT TH</v>
      </c>
      <c r="J983" s="56" t="str">
        <v>DV_Cắt</v>
      </c>
      <c r="K983" s="56">
        <v>513</v>
      </c>
      <c r="L983" s="60" t="str">
        <f>K983-J983</f>
        <v>[DV] ShineCombo 10 bước Ultra Care 2023</v>
      </c>
      <c r="M983" s="57">
        <v>0.08737864077669899</v>
      </c>
      <c r="N983" s="58">
        <v>122000</v>
      </c>
      <c r="O983" s="58">
        <v>122000</v>
      </c>
      <c r="P983" s="61"/>
    </row>
    <row r="984">
      <c r="H984" s="59">
        <v>233</v>
      </c>
      <c r="I984" s="55" t="str">
        <v>595 BT TH</v>
      </c>
      <c r="J984" s="56" t="str">
        <v>DV_Cắt</v>
      </c>
      <c r="K984" s="56">
        <v>891</v>
      </c>
      <c r="L984" s="60" t="str">
        <f>K984-J984</f>
        <v>Cắt xả tạo kiểu</v>
      </c>
      <c r="M984" s="57">
        <v>0.08737864077669899</v>
      </c>
      <c r="N984" s="58">
        <v>103000</v>
      </c>
      <c r="O984" s="58">
        <v>112000</v>
      </c>
      <c r="P984" s="61">
        <v>9000</v>
      </c>
    </row>
    <row r="985">
      <c r="H985" s="59">
        <v>233</v>
      </c>
      <c r="I985" s="55" t="str">
        <v>595 BT TH</v>
      </c>
      <c r="J985" s="56" t="str">
        <v>DV_Cắt</v>
      </c>
      <c r="K985" s="56">
        <v>1002</v>
      </c>
      <c r="L985" s="60" t="str">
        <f>K985-J985</f>
        <v>Kid Cắt</v>
      </c>
      <c r="M985" s="57">
        <v>0.08737864077669899</v>
      </c>
      <c r="N985" s="58">
        <v>84000</v>
      </c>
      <c r="O985" s="58">
        <v>91000</v>
      </c>
      <c r="P985" s="61">
        <v>7000</v>
      </c>
    </row>
    <row r="986">
      <c r="H986" s="59">
        <v>233</v>
      </c>
      <c r="I986" s="55" t="str">
        <v>595 BT TH</v>
      </c>
      <c r="J986" s="56" t="str">
        <v>DV_Cắt</v>
      </c>
      <c r="K986" s="56">
        <v>1070</v>
      </c>
      <c r="L986" s="60" t="str">
        <f>K986-J986</f>
        <v>Combo Cắt gội Kid</v>
      </c>
      <c r="M986" s="57">
        <v>0.08737864077669899</v>
      </c>
      <c r="N986" s="58">
        <v>100000</v>
      </c>
      <c r="O986" s="58">
        <v>109000</v>
      </c>
      <c r="P986" s="61">
        <v>9000</v>
      </c>
    </row>
    <row r="987">
      <c r="H987" s="59">
        <v>233</v>
      </c>
      <c r="I987" s="55" t="str">
        <v>595 BT TH</v>
      </c>
      <c r="J987" s="56" t="str">
        <v>DV_Cắt</v>
      </c>
      <c r="K987" s="56">
        <v>1255</v>
      </c>
      <c r="L987" s="60" t="str">
        <f>K987-J987</f>
        <v>VH Cắt gội dưỡng sinh Vip</v>
      </c>
      <c r="M987" s="57">
        <v>0.08737864077669899</v>
      </c>
      <c r="N987" s="58">
        <v>258000</v>
      </c>
      <c r="O987" s="58">
        <v>281000</v>
      </c>
      <c r="P987" s="61">
        <v>23000</v>
      </c>
    </row>
    <row r="988">
      <c r="H988" s="59">
        <v>233</v>
      </c>
      <c r="I988" s="55" t="str">
        <v>595 BT TH</v>
      </c>
      <c r="J988" s="56" t="str">
        <v>DV_Cắt_Vip</v>
      </c>
      <c r="K988" s="56">
        <v>1046</v>
      </c>
      <c r="L988" s="60" t="str">
        <f>K988-J988</f>
        <v>Shinecombo 2</v>
      </c>
      <c r="M988" s="57">
        <v>0.08737864077669899</v>
      </c>
      <c r="N988" s="58">
        <v>208000</v>
      </c>
      <c r="O988" s="58">
        <v>226000</v>
      </c>
      <c r="P988" s="61">
        <v>18000</v>
      </c>
    </row>
    <row r="989">
      <c r="H989" s="59">
        <v>233</v>
      </c>
      <c r="I989" s="55" t="str">
        <v>595 BT TH</v>
      </c>
      <c r="J989" s="56" t="str">
        <v>DV_Cắt_Vip</v>
      </c>
      <c r="K989" s="56">
        <v>1047</v>
      </c>
      <c r="L989" s="60" t="str">
        <f>K989-J989</f>
        <v>Cắt Gội Combo 3 - Chăm da</v>
      </c>
      <c r="M989" s="57">
        <v>0.08737864077669899</v>
      </c>
      <c r="N989" s="58">
        <v>308000</v>
      </c>
      <c r="O989" s="58">
        <v>335000</v>
      </c>
      <c r="P989" s="61">
        <v>27000</v>
      </c>
    </row>
    <row r="990">
      <c r="H990" s="59">
        <v>233</v>
      </c>
      <c r="I990" s="55" t="str">
        <v>595 BT TH</v>
      </c>
      <c r="J990" s="56" t="str">
        <v>DV_Cắt_Vip</v>
      </c>
      <c r="K990" s="56">
        <v>1048</v>
      </c>
      <c r="L990" s="60" t="str">
        <f>K990-J990</f>
        <v>Combo 4</v>
      </c>
      <c r="M990" s="57">
        <v>0.08737864077669899</v>
      </c>
      <c r="N990" s="58">
        <v>398000</v>
      </c>
      <c r="O990" s="58">
        <v>433000</v>
      </c>
      <c r="P990" s="61">
        <v>35000</v>
      </c>
    </row>
    <row r="991">
      <c r="H991" s="59">
        <v>233</v>
      </c>
      <c r="I991" s="55" t="str">
        <v>595 BT TH</v>
      </c>
      <c r="J991" s="56" t="str">
        <v>DV_Cắt_Vip</v>
      </c>
      <c r="K991" s="56">
        <v>1064</v>
      </c>
      <c r="L991" s="60" t="str">
        <f>K991-J991</f>
        <v>Cắt Gội Combo 5 - Dưỡng sinh</v>
      </c>
      <c r="M991" s="57">
        <v>0.08737864077669899</v>
      </c>
      <c r="N991" s="58">
        <v>459000</v>
      </c>
      <c r="O991" s="58">
        <v>499000</v>
      </c>
      <c r="P991" s="61">
        <v>40000</v>
      </c>
    </row>
    <row r="992">
      <c r="H992" s="59">
        <v>233</v>
      </c>
      <c r="I992" s="55" t="str">
        <v>595 BT TH</v>
      </c>
      <c r="J992" s="56" t="str">
        <v>DV_Cắt_Vip</v>
      </c>
      <c r="K992" s="56">
        <v>1256</v>
      </c>
      <c r="L992" s="60" t="str">
        <f>K992-J992</f>
        <v>VH Cắt gội dưỡng sinh Vip LRT</v>
      </c>
      <c r="M992" s="57">
        <v>0.08737864077669899</v>
      </c>
      <c r="N992" s="58">
        <v>308000</v>
      </c>
      <c r="O992" s="58">
        <v>335000</v>
      </c>
      <c r="P992" s="61">
        <v>27000</v>
      </c>
    </row>
    <row r="993">
      <c r="H993" s="59">
        <v>233</v>
      </c>
      <c r="I993" s="55" t="str">
        <v>595 BT TH</v>
      </c>
      <c r="J993" s="56" t="str">
        <v>DV_Cắt_Vip</v>
      </c>
      <c r="K993" s="56">
        <v>1257</v>
      </c>
      <c r="L993" s="60" t="str">
        <f>K993-J993</f>
        <v>VH Cắt gội thư giãn phục hồi</v>
      </c>
      <c r="M993" s="57">
        <v>0.08737864077669899</v>
      </c>
      <c r="N993" s="58">
        <v>458000</v>
      </c>
      <c r="O993" s="58">
        <v>498000</v>
      </c>
      <c r="P993" s="61">
        <v>40000</v>
      </c>
    </row>
    <row r="994">
      <c r="H994" s="59">
        <v>233</v>
      </c>
      <c r="I994" s="55" t="str">
        <v>595 BT TH</v>
      </c>
      <c r="J994" s="56" t="str">
        <v>DV_Gội</v>
      </c>
      <c r="K994" s="56">
        <v>867</v>
      </c>
      <c r="L994" s="60" t="str">
        <f>K994-J994</f>
        <v>Gội dưỡng sinh cổ vai gáy</v>
      </c>
      <c r="M994" s="57">
        <v>0.08737864077669899</v>
      </c>
      <c r="N994" s="58">
        <v>99000</v>
      </c>
      <c r="O994" s="58">
        <v>108000</v>
      </c>
      <c r="P994" s="61">
        <v>9000</v>
      </c>
    </row>
    <row r="995">
      <c r="H995" s="59">
        <v>233</v>
      </c>
      <c r="I995" s="55" t="str">
        <v>595 BT TH</v>
      </c>
      <c r="J995" s="56" t="str">
        <v>DV_Gội</v>
      </c>
      <c r="K995" s="56">
        <v>930</v>
      </c>
      <c r="L995" s="60" t="str">
        <f>K995-J995</f>
        <v>[NEW] Gội dưỡng sinh cổ vai gáy và chăm sóc da</v>
      </c>
      <c r="M995" s="57">
        <v>0.08737864077669899</v>
      </c>
      <c r="N995" s="58">
        <v>139000</v>
      </c>
      <c r="O995" s="58">
        <v>151000</v>
      </c>
      <c r="P995" s="61">
        <v>12000</v>
      </c>
    </row>
    <row r="996">
      <c r="H996" s="59">
        <v>233</v>
      </c>
      <c r="I996" s="55" t="str">
        <v>595 BT TH</v>
      </c>
      <c r="J996" s="56" t="str">
        <v>DV_Gội</v>
      </c>
      <c r="K996" s="56">
        <v>934</v>
      </c>
      <c r="L996" s="60" t="str">
        <f>K996-J996</f>
        <v>Gội combo 3 - Dưỡng sinh</v>
      </c>
      <c r="M996" s="57">
        <v>0.08737864077669899</v>
      </c>
      <c r="N996" s="58">
        <v>229000</v>
      </c>
      <c r="O996" s="58">
        <v>249000</v>
      </c>
      <c r="P996" s="61">
        <v>20000</v>
      </c>
    </row>
    <row r="997">
      <c r="H997" s="59">
        <v>233</v>
      </c>
      <c r="I997" s="55" t="str">
        <v>595 BT TH</v>
      </c>
      <c r="J997" s="56" t="str">
        <v>DV_Gội</v>
      </c>
      <c r="K997" s="56">
        <v>940</v>
      </c>
      <c r="L997" s="60" t="str">
        <f>K997-J997</f>
        <v>[NEW] Gội dưỡng sinh</v>
      </c>
      <c r="M997" s="57">
        <v>0.08737864077669899</v>
      </c>
      <c r="N997" s="58">
        <v>59000</v>
      </c>
      <c r="O997" s="58">
        <v>64000</v>
      </c>
      <c r="P997" s="61">
        <v>5000</v>
      </c>
    </row>
    <row r="998">
      <c r="H998" s="59">
        <v>233</v>
      </c>
      <c r="I998" s="55" t="str">
        <v>595 BT TH</v>
      </c>
      <c r="J998" s="56" t="str">
        <v>DV_Gội</v>
      </c>
      <c r="K998" s="56">
        <v>1058</v>
      </c>
      <c r="L998" s="60" t="str">
        <f>K998-J998</f>
        <v>Gội Combo 2</v>
      </c>
      <c r="M998" s="57">
        <v>0.08737864077669899</v>
      </c>
      <c r="N998" s="58">
        <v>159000</v>
      </c>
      <c r="O998" s="58">
        <v>173000</v>
      </c>
      <c r="P998" s="50">
        <v>14000</v>
      </c>
    </row>
    <row r="999">
      <c r="H999" s="59">
        <v>233</v>
      </c>
      <c r="I999" s="55" t="str">
        <v>595 BT TH</v>
      </c>
      <c r="J999" s="56" t="str">
        <v>DV_Gội</v>
      </c>
      <c r="K999" s="56">
        <v>1059</v>
      </c>
      <c r="L999" s="60" t="str">
        <f>K999-J999</f>
        <v>Gội Combo 3 - Chăm da</v>
      </c>
      <c r="M999" s="57">
        <v>0.08737864077669899</v>
      </c>
      <c r="N999" s="58">
        <v>219000</v>
      </c>
      <c r="O999" s="58">
        <v>238000</v>
      </c>
      <c r="P999" s="50">
        <v>19000</v>
      </c>
    </row>
    <row r="1000">
      <c r="H1000" s="59">
        <v>233</v>
      </c>
      <c r="I1000" s="55" t="str">
        <v>595 BT TH</v>
      </c>
      <c r="J1000" s="56" t="str">
        <v>DV_Gội</v>
      </c>
      <c r="K1000" s="56">
        <v>1060</v>
      </c>
      <c r="L1000" s="60" t="str">
        <f>K1000-J1000</f>
        <v>Gội Combo 4</v>
      </c>
      <c r="M1000" s="57">
        <v>0.08737864077669899</v>
      </c>
      <c r="N1000" s="58">
        <v>289000</v>
      </c>
      <c r="O1000" s="58">
        <v>314000</v>
      </c>
      <c r="P1000" s="50">
        <v>25000</v>
      </c>
    </row>
    <row r="1001">
      <c r="H1001" s="59">
        <v>233</v>
      </c>
      <c r="I1001" s="55" t="str">
        <v>595 BT TH</v>
      </c>
      <c r="J1001" s="56" t="str">
        <v>DV_Gội</v>
      </c>
      <c r="K1001" s="56">
        <v>1066</v>
      </c>
      <c r="L1001" s="60" t="str">
        <f>K1001-J1001</f>
        <v>Gội trải nghiệm 75p</v>
      </c>
      <c r="M1001" s="57">
        <v>0.08737864077669899</v>
      </c>
      <c r="N1001" s="58">
        <v>589000</v>
      </c>
      <c r="O1001" s="58">
        <v>640000</v>
      </c>
      <c r="P1001" s="50">
        <v>51000</v>
      </c>
    </row>
    <row r="1002">
      <c r="H1002" s="59">
        <v>233</v>
      </c>
      <c r="I1002" s="55" t="str">
        <v>595 BT TH</v>
      </c>
      <c r="J1002" s="56" t="str">
        <v>DV_Gội</v>
      </c>
      <c r="K1002" s="56">
        <v>1067</v>
      </c>
      <c r="L1002" s="60" t="str">
        <f>K1002-J1002</f>
        <v>Gội trải nghiệm 90p</v>
      </c>
      <c r="M1002" s="57">
        <v>0.08737864077669899</v>
      </c>
      <c r="N1002" s="58">
        <v>789000</v>
      </c>
      <c r="O1002" s="58">
        <v>858000</v>
      </c>
      <c r="P1002" s="50">
        <v>69000</v>
      </c>
    </row>
    <row r="1003">
      <c r="H1003" s="59">
        <v>233</v>
      </c>
      <c r="I1003" s="55" t="str">
        <v>595 BT TH</v>
      </c>
      <c r="J1003" s="56" t="str">
        <v>DV_Gội</v>
      </c>
      <c r="K1003" s="56">
        <v>1068</v>
      </c>
      <c r="L1003" s="60" t="str">
        <f>K1003-J1003</f>
        <v>Gội trải nghiệm 115p</v>
      </c>
      <c r="M1003" s="57">
        <v>0.08737864077669899</v>
      </c>
      <c r="N1003" s="58">
        <v>999000</v>
      </c>
      <c r="O1003" s="58">
        <v>1086000</v>
      </c>
      <c r="P1003" s="50">
        <v>87000</v>
      </c>
    </row>
    <row r="1004">
      <c r="H1004" s="59">
        <v>233</v>
      </c>
      <c r="I1004" s="55" t="str">
        <v>595 BT TH</v>
      </c>
      <c r="J1004" s="56" t="str">
        <v>DV_Gội</v>
      </c>
      <c r="K1004" s="56">
        <v>1259</v>
      </c>
      <c r="L1004" s="60" t="str">
        <f>K1004-J1004</f>
        <v>VH Gội Vip Dưỡng Sinh LRT</v>
      </c>
      <c r="M1004" s="57">
        <v>0.08737864077669899</v>
      </c>
      <c r="N1004" s="58">
        <v>259000</v>
      </c>
      <c r="O1004" s="58">
        <v>282000</v>
      </c>
      <c r="P1004" s="50">
        <v>23000</v>
      </c>
    </row>
    <row r="1005">
      <c r="H1005" s="59">
        <v>233</v>
      </c>
      <c r="I1005" s="55" t="str">
        <v>595 BT TH</v>
      </c>
      <c r="J1005" s="56" t="str">
        <v>DV_Gội</v>
      </c>
      <c r="K1005" s="56">
        <v>1260</v>
      </c>
      <c r="L1005" s="60" t="str">
        <f>K1005-J1005</f>
        <v>VH Combo Gội Dưỡng Sinh Phục Hồi</v>
      </c>
      <c r="M1005" s="57">
        <v>0.08737864077669899</v>
      </c>
      <c r="N1005" s="58">
        <v>399000</v>
      </c>
      <c r="O1005" s="58">
        <v>434000</v>
      </c>
      <c r="P1005" s="50">
        <v>35000</v>
      </c>
    </row>
    <row r="1006">
      <c r="H1006" s="59">
        <v>233</v>
      </c>
      <c r="I1006" s="55" t="str">
        <v>595 BT TH</v>
      </c>
      <c r="J1006" s="56" t="str">
        <v>DV_Spa</v>
      </c>
      <c r="K1006" s="56">
        <v>936</v>
      </c>
      <c r="L1006" s="60" t="str">
        <f>K1006-J1006</f>
        <v>[NEW] Chăm sóc da Shine Spa 199k (có phân tích da)</v>
      </c>
      <c r="M1006" s="57">
        <v>0.08737864077669899</v>
      </c>
      <c r="N1006" s="58">
        <v>199000</v>
      </c>
      <c r="O1006" s="58">
        <v>216000</v>
      </c>
      <c r="P1006" s="50">
        <v>17000</v>
      </c>
    </row>
    <row r="1007">
      <c r="H1007" s="59">
        <v>228</v>
      </c>
      <c r="I1007" s="55" t="str">
        <v>62 LH</v>
      </c>
      <c r="J1007" s="56" t="str">
        <v>DV_Cắt</v>
      </c>
      <c r="K1007" s="56">
        <v>513</v>
      </c>
      <c r="L1007" s="60" t="str">
        <f>K1007-J1007</f>
        <v>[DV] ShineCombo 10 bước Ultra Care 2023</v>
      </c>
      <c r="M1007" s="57">
        <v>0.04255319148936176</v>
      </c>
      <c r="N1007" s="58">
        <v>122000</v>
      </c>
      <c r="O1007" s="58">
        <v>122000</v>
      </c>
      <c r="P1007" s="50"/>
    </row>
    <row r="1008">
      <c r="H1008" s="59">
        <v>228</v>
      </c>
      <c r="I1008" s="55" t="str">
        <v>62 LH</v>
      </c>
      <c r="J1008" s="56" t="str">
        <v>DV_Cắt</v>
      </c>
      <c r="K1008" s="56">
        <v>891</v>
      </c>
      <c r="L1008" s="60" t="str">
        <f>K1008-J1008</f>
        <v>Cắt xả tạo kiểu</v>
      </c>
      <c r="M1008" s="57">
        <v>0.04255319148936176</v>
      </c>
      <c r="N1008" s="58">
        <v>94000</v>
      </c>
      <c r="O1008" s="58">
        <v>98000</v>
      </c>
      <c r="P1008" s="50">
        <v>4000</v>
      </c>
    </row>
    <row r="1009">
      <c r="H1009" s="59">
        <v>228</v>
      </c>
      <c r="I1009" s="55" t="str">
        <v>62 LH</v>
      </c>
      <c r="J1009" s="56" t="str">
        <v>DV_Cắt</v>
      </c>
      <c r="K1009" s="56">
        <v>1002</v>
      </c>
      <c r="L1009" s="60" t="str">
        <f>K1009-J1009</f>
        <v>Kid Cắt</v>
      </c>
      <c r="M1009" s="57">
        <v>0.04255319148936176</v>
      </c>
      <c r="N1009" s="58">
        <v>75000</v>
      </c>
      <c r="O1009" s="58">
        <v>78000</v>
      </c>
      <c r="P1009" s="50">
        <v>3000</v>
      </c>
    </row>
    <row r="1010">
      <c r="H1010" s="59">
        <v>228</v>
      </c>
      <c r="I1010" s="55" t="str">
        <v>62 LH</v>
      </c>
      <c r="J1010" s="56" t="str">
        <v>DV_Cắt</v>
      </c>
      <c r="K1010" s="56">
        <v>1070</v>
      </c>
      <c r="L1010" s="60" t="str">
        <f>K1010-J1010</f>
        <v>Combo Cắt gội Kid</v>
      </c>
      <c r="M1010" s="57">
        <v>0.04255319148936176</v>
      </c>
      <c r="N1010" s="58">
        <v>100000</v>
      </c>
      <c r="O1010" s="58">
        <v>104000</v>
      </c>
      <c r="P1010" s="50">
        <v>4000</v>
      </c>
    </row>
    <row r="1011">
      <c r="H1011" s="59">
        <v>228</v>
      </c>
      <c r="I1011" s="55" t="str">
        <v>62 LH</v>
      </c>
      <c r="J1011" s="56" t="str">
        <v>DV_Cắt_Vip</v>
      </c>
      <c r="K1011" s="56">
        <v>1046</v>
      </c>
      <c r="L1011" s="60" t="str">
        <f>K1011-J1011</f>
        <v>Shinecombo 2</v>
      </c>
      <c r="M1011" s="57">
        <v>0.04255319148936176</v>
      </c>
      <c r="N1011" s="58">
        <v>199000</v>
      </c>
      <c r="O1011" s="58">
        <v>207000</v>
      </c>
      <c r="P1011" s="50">
        <v>8000</v>
      </c>
    </row>
    <row r="1012">
      <c r="H1012" s="59">
        <v>228</v>
      </c>
      <c r="I1012" s="55" t="str">
        <v>62 LH</v>
      </c>
      <c r="J1012" s="56" t="str">
        <v>DV_Cắt_Vip</v>
      </c>
      <c r="K1012" s="56">
        <v>1047</v>
      </c>
      <c r="L1012" s="60" t="str">
        <f>K1012-J1012</f>
        <v>Cắt Gội Combo 3 - Chăm da</v>
      </c>
      <c r="M1012" s="57">
        <v>0.04255319148936176</v>
      </c>
      <c r="N1012" s="58">
        <v>299000</v>
      </c>
      <c r="O1012" s="58">
        <v>312000</v>
      </c>
      <c r="P1012" s="50">
        <v>13000</v>
      </c>
    </row>
    <row r="1013">
      <c r="H1013" s="59">
        <v>228</v>
      </c>
      <c r="I1013" s="55" t="str">
        <v>62 LH</v>
      </c>
      <c r="J1013" s="56" t="str">
        <v>DV_Cắt_Vip</v>
      </c>
      <c r="K1013" s="56">
        <v>1048</v>
      </c>
      <c r="L1013" s="60" t="str">
        <f>K1013-J1013</f>
        <v>Combo 4</v>
      </c>
      <c r="M1013" s="57">
        <v>0.04255319148936176</v>
      </c>
      <c r="N1013" s="58">
        <v>389000</v>
      </c>
      <c r="O1013" s="58">
        <v>406000</v>
      </c>
      <c r="P1013" s="50">
        <v>17000</v>
      </c>
    </row>
    <row r="1014">
      <c r="H1014" s="59">
        <v>228</v>
      </c>
      <c r="I1014" s="55" t="str">
        <v>62 LH</v>
      </c>
      <c r="J1014" s="56" t="str">
        <v>DV_Cắt_Vip</v>
      </c>
      <c r="K1014" s="56">
        <v>1064</v>
      </c>
      <c r="L1014" s="60" t="str">
        <f>K1014-J1014</f>
        <v>Cắt Gội Combo 5 - Dưỡng sinh</v>
      </c>
      <c r="M1014" s="57">
        <v>0.04255319148936176</v>
      </c>
      <c r="N1014" s="58">
        <v>459000</v>
      </c>
      <c r="O1014" s="58">
        <v>479000</v>
      </c>
      <c r="P1014" s="50">
        <v>20000</v>
      </c>
    </row>
    <row r="1015">
      <c r="H1015" s="59">
        <v>228</v>
      </c>
      <c r="I1015" s="55" t="str">
        <v>62 LH</v>
      </c>
      <c r="J1015" s="56" t="str">
        <v>DV_Gội</v>
      </c>
      <c r="K1015" s="56">
        <v>867</v>
      </c>
      <c r="L1015" s="60" t="str">
        <f>K1015-J1015</f>
        <v>Gội dưỡng sinh cổ vai gáy</v>
      </c>
      <c r="M1015" s="57">
        <v>0.04255319148936176</v>
      </c>
      <c r="N1015" s="58">
        <v>99000</v>
      </c>
      <c r="O1015" s="58">
        <v>103000</v>
      </c>
      <c r="P1015" s="50">
        <v>4000</v>
      </c>
    </row>
    <row r="1016">
      <c r="H1016" s="59">
        <v>228</v>
      </c>
      <c r="I1016" s="55" t="str">
        <v>62 LH</v>
      </c>
      <c r="J1016" s="56" t="str">
        <v>DV_Gội</v>
      </c>
      <c r="K1016" s="56">
        <v>930</v>
      </c>
      <c r="L1016" s="60" t="str">
        <f>K1016-J1016</f>
        <v>[NEW] Gội dưỡng sinh cổ vai gáy và chăm sóc da</v>
      </c>
      <c r="M1016" s="57">
        <v>0.04255319148936176</v>
      </c>
      <c r="N1016" s="58">
        <v>139000</v>
      </c>
      <c r="O1016" s="58">
        <v>145000</v>
      </c>
      <c r="P1016" s="61">
        <v>6000</v>
      </c>
    </row>
    <row r="1017">
      <c r="H1017" s="59">
        <v>228</v>
      </c>
      <c r="I1017" s="55" t="str">
        <v>62 LH</v>
      </c>
      <c r="J1017" s="56" t="str">
        <v>DV_Gội</v>
      </c>
      <c r="K1017" s="56">
        <v>934</v>
      </c>
      <c r="L1017" s="60" t="str">
        <f>K1017-J1017</f>
        <v>Gội combo 3 - Dưỡng sinh</v>
      </c>
      <c r="M1017" s="57">
        <v>0.04255319148936176</v>
      </c>
      <c r="N1017" s="58">
        <v>229000</v>
      </c>
      <c r="O1017" s="58">
        <v>239000</v>
      </c>
      <c r="P1017" s="61">
        <v>10000</v>
      </c>
    </row>
    <row r="1018">
      <c r="H1018" s="59">
        <v>228</v>
      </c>
      <c r="I1018" s="55" t="str">
        <v>62 LH</v>
      </c>
      <c r="J1018" s="56" t="str">
        <v>DV_Gội</v>
      </c>
      <c r="K1018" s="56">
        <v>940</v>
      </c>
      <c r="L1018" s="60" t="str">
        <f>K1018-J1018</f>
        <v>[NEW] Gội dưỡng sinh</v>
      </c>
      <c r="M1018" s="57">
        <v>0.04255319148936176</v>
      </c>
      <c r="N1018" s="58">
        <v>59000</v>
      </c>
      <c r="O1018" s="58">
        <v>62000</v>
      </c>
      <c r="P1018" s="61">
        <v>3000</v>
      </c>
    </row>
    <row r="1019">
      <c r="H1019" s="59">
        <v>228</v>
      </c>
      <c r="I1019" s="55" t="str">
        <v>62 LH</v>
      </c>
      <c r="J1019" s="56" t="str">
        <v>DV_Gội</v>
      </c>
      <c r="K1019" s="56">
        <v>1058</v>
      </c>
      <c r="L1019" s="60" t="str">
        <f>K1019-J1019</f>
        <v>Gội Combo 2</v>
      </c>
      <c r="M1019" s="57">
        <v>0.04255319148936176</v>
      </c>
      <c r="N1019" s="58">
        <v>159000</v>
      </c>
      <c r="O1019" s="58">
        <v>166000</v>
      </c>
      <c r="P1019" s="61">
        <v>7000</v>
      </c>
    </row>
    <row r="1020">
      <c r="H1020" s="59">
        <v>228</v>
      </c>
      <c r="I1020" s="55" t="str">
        <v>62 LH</v>
      </c>
      <c r="J1020" s="56" t="str">
        <v>DV_Gội</v>
      </c>
      <c r="K1020" s="56">
        <v>1059</v>
      </c>
      <c r="L1020" s="60" t="str">
        <f>K1020-J1020</f>
        <v>Gội Combo 3 - Chăm da</v>
      </c>
      <c r="M1020" s="57">
        <v>0.04255319148936176</v>
      </c>
      <c r="N1020" s="58">
        <v>239000</v>
      </c>
      <c r="O1020" s="58">
        <v>249000</v>
      </c>
      <c r="P1020" s="61">
        <v>10000</v>
      </c>
    </row>
    <row r="1021">
      <c r="H1021" s="59">
        <v>228</v>
      </c>
      <c r="I1021" s="55" t="str">
        <v>62 LH</v>
      </c>
      <c r="J1021" s="56" t="str">
        <v>DV_Gội</v>
      </c>
      <c r="K1021" s="56">
        <v>1060</v>
      </c>
      <c r="L1021" s="60" t="str">
        <f>K1021-J1021</f>
        <v>Gội Combo 4</v>
      </c>
      <c r="M1021" s="57">
        <v>0.04255319148936176</v>
      </c>
      <c r="N1021" s="58">
        <v>319000</v>
      </c>
      <c r="O1021" s="58">
        <v>333000</v>
      </c>
      <c r="P1021" s="61">
        <v>14000</v>
      </c>
    </row>
    <row r="1022">
      <c r="H1022" s="59">
        <v>228</v>
      </c>
      <c r="I1022" s="55" t="str">
        <v>62 LH</v>
      </c>
      <c r="J1022" s="56" t="str">
        <v>DV_Gội</v>
      </c>
      <c r="K1022" s="56">
        <v>1066</v>
      </c>
      <c r="L1022" s="60" t="str">
        <f>K1022-J1022</f>
        <v>Gội trải nghiệm 75p</v>
      </c>
      <c r="M1022" s="57">
        <v>0.04255319148936176</v>
      </c>
      <c r="N1022" s="58">
        <v>589000</v>
      </c>
      <c r="O1022" s="58">
        <v>614000</v>
      </c>
      <c r="P1022" s="61">
        <v>25000</v>
      </c>
    </row>
    <row r="1023">
      <c r="H1023" s="59">
        <v>228</v>
      </c>
      <c r="I1023" s="55" t="str">
        <v>62 LH</v>
      </c>
      <c r="J1023" s="56" t="str">
        <v>DV_Gội</v>
      </c>
      <c r="K1023" s="56">
        <v>1067</v>
      </c>
      <c r="L1023" s="60" t="str">
        <f>K1023-J1023</f>
        <v>Gội trải nghiệm 90p</v>
      </c>
      <c r="M1023" s="57">
        <v>0.04255319148936176</v>
      </c>
      <c r="N1023" s="58">
        <v>789000</v>
      </c>
      <c r="O1023" s="58">
        <v>823000</v>
      </c>
      <c r="P1023" s="61">
        <v>34000</v>
      </c>
    </row>
    <row r="1024">
      <c r="H1024" s="59">
        <v>228</v>
      </c>
      <c r="I1024" s="55" t="str">
        <v>62 LH</v>
      </c>
      <c r="J1024" s="56" t="str">
        <v>DV_Gội</v>
      </c>
      <c r="K1024" s="56">
        <v>1068</v>
      </c>
      <c r="L1024" s="60" t="str">
        <f>K1024-J1024</f>
        <v>Gội trải nghiệm 115p</v>
      </c>
      <c r="M1024" s="57">
        <v>0.04255319148936176</v>
      </c>
      <c r="N1024" s="58">
        <v>999000</v>
      </c>
      <c r="O1024" s="58">
        <v>1042000</v>
      </c>
      <c r="P1024" s="61">
        <v>43000</v>
      </c>
    </row>
    <row r="1025">
      <c r="H1025" s="59">
        <v>228</v>
      </c>
      <c r="I1025" s="55" t="str">
        <v>62 LH</v>
      </c>
      <c r="J1025" s="56" t="str">
        <v>DV_Spa</v>
      </c>
      <c r="K1025" s="56">
        <v>936</v>
      </c>
      <c r="L1025" s="60" t="str">
        <f>K1025-J1025</f>
        <v>[NEW] Chăm sóc da Shine Spa 199k (có phân tích da)</v>
      </c>
      <c r="M1025" s="57">
        <v>0.04255319148936176</v>
      </c>
      <c r="N1025" s="58">
        <v>199000</v>
      </c>
      <c r="O1025" s="58">
        <v>207000</v>
      </c>
      <c r="P1025" s="61">
        <v>8000</v>
      </c>
    </row>
    <row r="1026">
      <c r="H1026" s="59">
        <v>197</v>
      </c>
      <c r="I1026" s="55" t="str">
        <v>65 CD</v>
      </c>
      <c r="J1026" s="56" t="str">
        <v>DV_Cắt</v>
      </c>
      <c r="K1026" s="56">
        <v>513</v>
      </c>
      <c r="L1026" s="60" t="str">
        <f>K1026-J1026</f>
        <v>[DV] ShineCombo 10 bước Ultra Care 2023</v>
      </c>
      <c r="M1026" s="57">
        <v>0.01010101010101017</v>
      </c>
      <c r="N1026" s="58">
        <v>122000</v>
      </c>
      <c r="O1026" s="58">
        <v>122000</v>
      </c>
      <c r="P1026" s="61"/>
    </row>
    <row r="1027">
      <c r="H1027" s="59">
        <v>197</v>
      </c>
      <c r="I1027" s="55" t="str">
        <v>65 CD</v>
      </c>
      <c r="J1027" s="56" t="str">
        <v>DV_Cắt</v>
      </c>
      <c r="K1027" s="56">
        <v>891</v>
      </c>
      <c r="L1027" s="60" t="str">
        <f>K1027-J1027</f>
        <v>Cắt xả tạo kiểu</v>
      </c>
      <c r="M1027" s="57">
        <v>0.01010101010101017</v>
      </c>
      <c r="N1027" s="58">
        <v>99000</v>
      </c>
      <c r="O1027" s="58">
        <v>100000</v>
      </c>
      <c r="P1027" s="61">
        <v>1000</v>
      </c>
    </row>
    <row r="1028">
      <c r="H1028" s="59">
        <v>197</v>
      </c>
      <c r="I1028" s="55" t="str">
        <v>65 CD</v>
      </c>
      <c r="J1028" s="56" t="str">
        <v>DV_Cắt</v>
      </c>
      <c r="K1028" s="56">
        <v>1002</v>
      </c>
      <c r="L1028" s="60" t="str">
        <f>K1028-J1028</f>
        <v>Kid Cắt</v>
      </c>
      <c r="M1028" s="57">
        <v>0.01010101010101017</v>
      </c>
      <c r="N1028" s="58">
        <v>80000</v>
      </c>
      <c r="O1028" s="58">
        <v>81000</v>
      </c>
      <c r="P1028" s="61">
        <v>1000</v>
      </c>
    </row>
    <row r="1029">
      <c r="H1029">
        <v>197</v>
      </c>
      <c r="I1029" t="str">
        <v>65 CD</v>
      </c>
      <c r="J1029" s="36" t="str">
        <v>DV_Cắt</v>
      </c>
      <c r="K1029" s="36">
        <v>1070</v>
      </c>
      <c r="L1029" s="36" t="str">
        <f>K1029-J1029</f>
        <v>Combo Cắt gội Kid</v>
      </c>
      <c r="M1029">
        <v>0.01010101010101017</v>
      </c>
      <c r="N1029">
        <v>100000</v>
      </c>
      <c r="O1029">
        <v>101000</v>
      </c>
      <c r="P1029">
        <v>1000</v>
      </c>
    </row>
    <row r="1030">
      <c r="H1030">
        <v>197</v>
      </c>
      <c r="I1030" t="str">
        <v>65 CD</v>
      </c>
      <c r="J1030" s="36" t="str">
        <v>DV_Cắt_Vip</v>
      </c>
      <c r="K1030" s="36">
        <v>1046</v>
      </c>
      <c r="L1030" s="36" t="str">
        <f>K1030-J1030</f>
        <v>Shinecombo 2</v>
      </c>
      <c r="M1030">
        <v>0.01010101010101017</v>
      </c>
      <c r="N1030">
        <v>204000</v>
      </c>
      <c r="O1030">
        <v>206000</v>
      </c>
      <c r="P1030">
        <v>2000</v>
      </c>
    </row>
    <row r="1031">
      <c r="H1031">
        <v>197</v>
      </c>
      <c r="I1031" t="str">
        <v>65 CD</v>
      </c>
      <c r="J1031" s="36" t="str">
        <v>DV_Cắt_Vip</v>
      </c>
      <c r="K1031" s="36">
        <v>1047</v>
      </c>
      <c r="L1031" s="36" t="str">
        <f>K1031-J1031</f>
        <v>Cắt Gội Combo 3 - Chăm da</v>
      </c>
      <c r="M1031">
        <v>0.01010101010101017</v>
      </c>
      <c r="N1031">
        <v>304000</v>
      </c>
      <c r="O1031">
        <v>307000</v>
      </c>
      <c r="P1031">
        <v>3000</v>
      </c>
    </row>
    <row r="1032">
      <c r="H1032">
        <v>197</v>
      </c>
      <c r="I1032" t="str">
        <v>65 CD</v>
      </c>
      <c r="J1032" s="36" t="str">
        <v>DV_Cắt_Vip</v>
      </c>
      <c r="K1032" s="36">
        <v>1048</v>
      </c>
      <c r="L1032" s="36" t="str">
        <f>K1032-J1032</f>
        <v>Combo 4</v>
      </c>
      <c r="M1032">
        <v>0.01010101010101017</v>
      </c>
      <c r="N1032">
        <v>394000</v>
      </c>
      <c r="O1032">
        <v>398000</v>
      </c>
      <c r="P1032">
        <v>4000</v>
      </c>
    </row>
    <row r="1033">
      <c r="H1033">
        <v>197</v>
      </c>
      <c r="I1033" t="str">
        <v>65 CD</v>
      </c>
      <c r="J1033" s="36" t="str">
        <v>DV_Cắt_Vip</v>
      </c>
      <c r="K1033" s="36">
        <v>1064</v>
      </c>
      <c r="L1033" s="36" t="str">
        <f>K1033-J1033</f>
        <v>Cắt Gội Combo 5 - Dưỡng sinh</v>
      </c>
      <c r="M1033">
        <v>0.01010101010101017</v>
      </c>
      <c r="N1033">
        <v>459000</v>
      </c>
      <c r="O1033">
        <v>464000</v>
      </c>
      <c r="P1033">
        <v>5000</v>
      </c>
    </row>
    <row r="1034">
      <c r="H1034">
        <v>197</v>
      </c>
      <c r="I1034" t="str">
        <v>65 CD</v>
      </c>
      <c r="J1034" s="36" t="str">
        <v>DV_Gội</v>
      </c>
      <c r="K1034" s="36">
        <v>867</v>
      </c>
      <c r="L1034" s="36" t="str">
        <f>K1034-J1034</f>
        <v>Gội dưỡng sinh cổ vai gáy</v>
      </c>
      <c r="M1034">
        <v>0.01010101010101017</v>
      </c>
      <c r="N1034">
        <v>99000</v>
      </c>
      <c r="O1034">
        <v>100000</v>
      </c>
      <c r="P1034">
        <v>1000</v>
      </c>
    </row>
    <row r="1035">
      <c r="H1035">
        <v>197</v>
      </c>
      <c r="I1035" t="str">
        <v>65 CD</v>
      </c>
      <c r="J1035" s="36" t="str">
        <v>DV_Gội</v>
      </c>
      <c r="K1035" s="36">
        <v>930</v>
      </c>
      <c r="L1035" s="36" t="str">
        <f>K1035-J1035</f>
        <v>[NEW] Gội dưỡng sinh cổ vai gáy và chăm sóc da</v>
      </c>
      <c r="M1035">
        <v>0.01010101010101017</v>
      </c>
      <c r="N1035">
        <v>139000</v>
      </c>
      <c r="O1035">
        <v>140000</v>
      </c>
      <c r="P1035">
        <v>1000</v>
      </c>
    </row>
    <row r="1036">
      <c r="H1036">
        <v>197</v>
      </c>
      <c r="I1036" t="str">
        <v>65 CD</v>
      </c>
      <c r="J1036" s="36" t="str">
        <v>DV_Gội</v>
      </c>
      <c r="K1036" s="36">
        <v>934</v>
      </c>
      <c r="L1036" s="36" t="str">
        <f>K1036-J1036</f>
        <v>Gội combo 3 - Dưỡng sinh</v>
      </c>
      <c r="M1036">
        <v>0.01010101010101017</v>
      </c>
      <c r="N1036">
        <v>229000</v>
      </c>
      <c r="O1036">
        <v>231000</v>
      </c>
      <c r="P1036">
        <v>2000</v>
      </c>
    </row>
    <row r="1037">
      <c r="H1037">
        <v>197</v>
      </c>
      <c r="I1037" t="str">
        <v>65 CD</v>
      </c>
      <c r="J1037" s="36" t="str">
        <v>DV_Gội</v>
      </c>
      <c r="K1037" s="36">
        <v>940</v>
      </c>
      <c r="L1037" s="36" t="str">
        <f>K1037-J1037</f>
        <v>[NEW] Gội dưỡng sinh</v>
      </c>
      <c r="M1037">
        <v>0.01010101010101017</v>
      </c>
      <c r="N1037">
        <v>59000</v>
      </c>
      <c r="O1037">
        <v>60000</v>
      </c>
      <c r="P1037">
        <v>1000</v>
      </c>
    </row>
    <row r="1038">
      <c r="H1038">
        <v>197</v>
      </c>
      <c r="I1038" t="str">
        <v>65 CD</v>
      </c>
      <c r="J1038" s="36" t="str">
        <v>DV_Gội</v>
      </c>
      <c r="K1038" s="36">
        <v>1058</v>
      </c>
      <c r="L1038" s="36" t="str">
        <f>K1038-J1038</f>
        <v>Gội Combo 2</v>
      </c>
      <c r="M1038">
        <v>0.01010101010101017</v>
      </c>
      <c r="N1038">
        <v>159000</v>
      </c>
      <c r="O1038">
        <v>161000</v>
      </c>
      <c r="P1038">
        <v>2000</v>
      </c>
    </row>
    <row r="1039">
      <c r="H1039">
        <v>197</v>
      </c>
      <c r="I1039" t="str">
        <v>65 CD</v>
      </c>
      <c r="J1039" s="36" t="str">
        <v>DV_Gội</v>
      </c>
      <c r="K1039" s="36">
        <v>1059</v>
      </c>
      <c r="L1039" s="36" t="str">
        <f>K1039-J1039</f>
        <v>Gội Combo 3 - Chăm da</v>
      </c>
      <c r="M1039">
        <v>0.01010101010101017</v>
      </c>
      <c r="N1039">
        <v>239000</v>
      </c>
      <c r="O1039">
        <v>241000</v>
      </c>
      <c r="P1039">
        <v>2000</v>
      </c>
    </row>
    <row r="1040">
      <c r="H1040">
        <v>197</v>
      </c>
      <c r="I1040" t="str">
        <v>65 CD</v>
      </c>
      <c r="J1040" s="36" t="str">
        <v>DV_Gội</v>
      </c>
      <c r="K1040" s="36">
        <v>1060</v>
      </c>
      <c r="L1040" s="36" t="str">
        <f>K1040-J1040</f>
        <v>Gội Combo 4</v>
      </c>
      <c r="M1040">
        <v>0.01010101010101017</v>
      </c>
      <c r="N1040">
        <v>319000</v>
      </c>
      <c r="O1040">
        <v>322000</v>
      </c>
      <c r="P1040">
        <v>3000</v>
      </c>
    </row>
    <row r="1041">
      <c r="H1041">
        <v>197</v>
      </c>
      <c r="I1041" t="str">
        <v>65 CD</v>
      </c>
      <c r="J1041" s="36" t="str">
        <v>DV_Gội</v>
      </c>
      <c r="K1041" s="36">
        <v>1066</v>
      </c>
      <c r="L1041" s="36" t="str">
        <f>K1041-J1041</f>
        <v>Gội trải nghiệm 75p</v>
      </c>
      <c r="M1041">
        <v>0.01010101010101017</v>
      </c>
      <c r="N1041">
        <v>589000</v>
      </c>
      <c r="O1041">
        <v>595000</v>
      </c>
      <c r="P1041">
        <v>6000</v>
      </c>
    </row>
    <row r="1042">
      <c r="H1042">
        <v>197</v>
      </c>
      <c r="I1042" t="str">
        <v>65 CD</v>
      </c>
      <c r="J1042" s="36" t="str">
        <v>DV_Gội</v>
      </c>
      <c r="K1042" s="36">
        <v>1067</v>
      </c>
      <c r="L1042" s="36" t="str">
        <f>K1042-J1042</f>
        <v>Gội trải nghiệm 90p</v>
      </c>
      <c r="M1042">
        <v>0.01010101010101017</v>
      </c>
      <c r="N1042">
        <v>789000</v>
      </c>
      <c r="O1042">
        <v>797000</v>
      </c>
      <c r="P1042">
        <v>8000</v>
      </c>
    </row>
    <row r="1043">
      <c r="H1043">
        <v>197</v>
      </c>
      <c r="I1043" t="str">
        <v>65 CD</v>
      </c>
      <c r="J1043" s="36" t="str">
        <v>DV_Gội</v>
      </c>
      <c r="K1043" s="36">
        <v>1068</v>
      </c>
      <c r="L1043" s="36" t="str">
        <f>K1043-J1043</f>
        <v>Gội trải nghiệm 115p</v>
      </c>
      <c r="M1043">
        <v>0.01010101010101017</v>
      </c>
      <c r="N1043">
        <v>999000</v>
      </c>
      <c r="O1043">
        <v>1009000</v>
      </c>
      <c r="P1043">
        <v>10000</v>
      </c>
    </row>
    <row r="1044">
      <c r="H1044">
        <v>197</v>
      </c>
      <c r="I1044" t="str">
        <v>65 CD</v>
      </c>
      <c r="J1044" s="36" t="str">
        <v>DV_Gội</v>
      </c>
      <c r="K1044" s="36">
        <v>1069</v>
      </c>
      <c r="L1044" s="36" t="str">
        <f>K1044-J1044</f>
        <v>Gội trải nghiệm 140p</v>
      </c>
      <c r="M1044">
        <v>0.01010101010101017</v>
      </c>
      <c r="N1044">
        <v>1199000</v>
      </c>
      <c r="O1044">
        <v>1211000</v>
      </c>
      <c r="P1044">
        <v>12000</v>
      </c>
    </row>
    <row r="1045">
      <c r="H1045">
        <v>197</v>
      </c>
      <c r="I1045" t="str">
        <v>65 CD</v>
      </c>
      <c r="J1045" s="36" t="str">
        <v>DV_Spa</v>
      </c>
      <c r="K1045" s="36">
        <v>936</v>
      </c>
      <c r="L1045" s="36" t="str">
        <f>K1045-J1045</f>
        <v>[NEW] Chăm sóc da Shine Spa 199k (có phân tích da)</v>
      </c>
      <c r="M1045">
        <v>0.01010101010101017</v>
      </c>
      <c r="N1045">
        <v>199000</v>
      </c>
      <c r="O1045">
        <v>201000</v>
      </c>
      <c r="P1045">
        <v>2000</v>
      </c>
    </row>
    <row r="1046">
      <c r="H1046">
        <v>240</v>
      </c>
      <c r="I1046" t="str">
        <v>68 LN NA</v>
      </c>
      <c r="J1046" s="36" t="str">
        <v>DV_Cắt</v>
      </c>
      <c r="K1046" s="36">
        <v>513</v>
      </c>
      <c r="L1046" s="36" t="str">
        <f>K1046-J1046</f>
        <v>[DV] ShineCombo 10 bước Ultra Care 2023</v>
      </c>
      <c r="M1046">
        <v>0.029126213592233</v>
      </c>
      <c r="N1046">
        <v>122000</v>
      </c>
      <c r="O1046">
        <v>122000</v>
      </c>
    </row>
    <row r="1047">
      <c r="H1047">
        <v>240</v>
      </c>
      <c r="I1047" t="str">
        <v>68 LN NA</v>
      </c>
      <c r="J1047" s="36" t="str">
        <v>DV_Cắt</v>
      </c>
      <c r="K1047" s="36">
        <v>891</v>
      </c>
      <c r="L1047" s="36" t="str">
        <f>K1047-J1047</f>
        <v>Cắt xả tạo kiểu</v>
      </c>
      <c r="M1047">
        <v>0.029126213592233</v>
      </c>
      <c r="N1047">
        <v>103000</v>
      </c>
      <c r="O1047">
        <v>106000</v>
      </c>
      <c r="P1047">
        <v>3000</v>
      </c>
    </row>
    <row r="1048">
      <c r="H1048">
        <v>240</v>
      </c>
      <c r="I1048" t="str">
        <v>68 LN NA</v>
      </c>
      <c r="J1048" s="36" t="str">
        <v>DV_Cắt</v>
      </c>
      <c r="K1048" s="36">
        <v>1002</v>
      </c>
      <c r="L1048" s="36" t="str">
        <f>K1048-J1048</f>
        <v>Kid Cắt</v>
      </c>
      <c r="M1048">
        <v>0.029126213592233</v>
      </c>
      <c r="N1048">
        <v>84000</v>
      </c>
      <c r="O1048">
        <v>86000</v>
      </c>
      <c r="P1048">
        <v>2000</v>
      </c>
    </row>
    <row r="1049">
      <c r="H1049">
        <v>240</v>
      </c>
      <c r="I1049" t="str">
        <v>68 LN NA</v>
      </c>
      <c r="J1049" s="36" t="str">
        <v>DV_Cắt</v>
      </c>
      <c r="K1049" s="36">
        <v>1070</v>
      </c>
      <c r="L1049" s="36" t="str">
        <f>K1049-J1049</f>
        <v>Combo Cắt gội Kid</v>
      </c>
      <c r="M1049">
        <v>0.029126213592233</v>
      </c>
      <c r="N1049">
        <v>100000</v>
      </c>
      <c r="O1049">
        <v>103000</v>
      </c>
      <c r="P1049">
        <v>3000</v>
      </c>
    </row>
    <row r="1050">
      <c r="H1050">
        <v>240</v>
      </c>
      <c r="I1050" t="str">
        <v>68 LN NA</v>
      </c>
      <c r="J1050" s="36" t="str">
        <v>DV_Cắt</v>
      </c>
      <c r="K1050" s="36">
        <v>1255</v>
      </c>
      <c r="L1050" s="36" t="str">
        <f>K1050-J1050</f>
        <v>VH Cắt gội dưỡng sinh Vip</v>
      </c>
      <c r="M1050">
        <v>0.029126213592233</v>
      </c>
      <c r="N1050">
        <v>258000</v>
      </c>
      <c r="O1050">
        <v>266000</v>
      </c>
      <c r="P1050">
        <v>8000</v>
      </c>
    </row>
    <row r="1051">
      <c r="H1051">
        <v>240</v>
      </c>
      <c r="I1051" t="str">
        <v>68 LN NA</v>
      </c>
      <c r="J1051" s="36" t="str">
        <v>DV_Cắt_Vip</v>
      </c>
      <c r="K1051" s="36">
        <v>1046</v>
      </c>
      <c r="L1051" s="36" t="str">
        <f>K1051-J1051</f>
        <v>Shinecombo 2</v>
      </c>
      <c r="M1051">
        <v>0.029126213592233</v>
      </c>
      <c r="N1051">
        <v>208000</v>
      </c>
      <c r="O1051">
        <v>214000</v>
      </c>
      <c r="P1051">
        <v>6000</v>
      </c>
    </row>
    <row r="1052">
      <c r="H1052">
        <v>240</v>
      </c>
      <c r="I1052" t="str">
        <v>68 LN NA</v>
      </c>
      <c r="J1052" s="36" t="str">
        <v>DV_Cắt_Vip</v>
      </c>
      <c r="K1052" s="36">
        <v>1047</v>
      </c>
      <c r="L1052" s="36" t="str">
        <f>K1052-J1052</f>
        <v>Cắt Gội Combo 3 - Chăm da</v>
      </c>
      <c r="M1052">
        <v>0.029126213592233</v>
      </c>
      <c r="N1052">
        <v>308000</v>
      </c>
      <c r="O1052">
        <v>317000</v>
      </c>
      <c r="P1052">
        <v>9000</v>
      </c>
    </row>
    <row r="1053">
      <c r="H1053">
        <v>240</v>
      </c>
      <c r="I1053" t="str">
        <v>68 LN NA</v>
      </c>
      <c r="J1053" s="36" t="str">
        <v>DV_Cắt_Vip</v>
      </c>
      <c r="K1053" s="36">
        <v>1048</v>
      </c>
      <c r="L1053" s="36" t="str">
        <f>K1053-J1053</f>
        <v>Combo 4</v>
      </c>
      <c r="M1053">
        <v>0.029126213592233</v>
      </c>
      <c r="N1053">
        <v>398000</v>
      </c>
      <c r="O1053">
        <v>410000</v>
      </c>
      <c r="P1053">
        <v>12000</v>
      </c>
    </row>
    <row r="1054">
      <c r="H1054">
        <v>240</v>
      </c>
      <c r="I1054" t="str">
        <v>68 LN NA</v>
      </c>
      <c r="J1054" s="36" t="str">
        <v>DV_Cắt_Vip</v>
      </c>
      <c r="K1054" s="36">
        <v>1064</v>
      </c>
      <c r="L1054" s="36" t="str">
        <f>K1054-J1054</f>
        <v>Cắt Gội Combo 5 - Dưỡng sinh</v>
      </c>
      <c r="M1054">
        <v>0.029126213592233</v>
      </c>
      <c r="N1054">
        <v>459000</v>
      </c>
      <c r="O1054">
        <v>472000</v>
      </c>
      <c r="P1054">
        <v>13000</v>
      </c>
    </row>
    <row r="1055">
      <c r="H1055">
        <v>240</v>
      </c>
      <c r="I1055" t="str">
        <v>68 LN NA</v>
      </c>
      <c r="J1055" s="36" t="str">
        <v>DV_Cắt_Vip</v>
      </c>
      <c r="K1055" s="36">
        <v>1065</v>
      </c>
      <c r="L1055" s="36" t="str">
        <f>K1055-J1055</f>
        <v>Cắt Gội Combo 3 - Dưỡng sinh</v>
      </c>
      <c r="M1055">
        <v>0.029126213592233</v>
      </c>
      <c r="N1055">
        <v>308000</v>
      </c>
      <c r="O1055">
        <v>317000</v>
      </c>
      <c r="P1055">
        <v>9000</v>
      </c>
    </row>
    <row r="1056">
      <c r="H1056">
        <v>240</v>
      </c>
      <c r="I1056" t="str">
        <v>68 LN NA</v>
      </c>
      <c r="J1056" s="36" t="str">
        <v>DV_Gội</v>
      </c>
      <c r="K1056" s="36">
        <v>867</v>
      </c>
      <c r="L1056" s="36" t="str">
        <f>K1056-J1056</f>
        <v>Gội dưỡng sinh cổ vai gáy</v>
      </c>
      <c r="M1056">
        <v>0.029126213592233</v>
      </c>
      <c r="N1056">
        <v>99000</v>
      </c>
      <c r="O1056">
        <v>102000</v>
      </c>
      <c r="P1056">
        <v>3000</v>
      </c>
    </row>
    <row r="1057">
      <c r="H1057">
        <v>240</v>
      </c>
      <c r="I1057" t="str">
        <v>68 LN NA</v>
      </c>
      <c r="J1057" s="36" t="str">
        <v>DV_Gội</v>
      </c>
      <c r="K1057" s="36">
        <v>930</v>
      </c>
      <c r="L1057" s="36" t="str">
        <f>K1057-J1057</f>
        <v>[NEW] Gội dưỡng sinh cổ vai gáy và chăm sóc da</v>
      </c>
      <c r="M1057">
        <v>0.029126213592233</v>
      </c>
      <c r="N1057">
        <v>139000</v>
      </c>
      <c r="O1057">
        <v>143000</v>
      </c>
      <c r="P1057">
        <v>4000</v>
      </c>
    </row>
    <row r="1058">
      <c r="H1058">
        <v>240</v>
      </c>
      <c r="I1058" t="str">
        <v>68 LN NA</v>
      </c>
      <c r="J1058" s="36" t="str">
        <v>DV_Gội</v>
      </c>
      <c r="K1058" s="36">
        <v>934</v>
      </c>
      <c r="L1058" s="36" t="str">
        <f>K1058-J1058</f>
        <v>Gội combo 3 - Dưỡng sinh</v>
      </c>
      <c r="M1058">
        <v>0.029126213592233</v>
      </c>
      <c r="N1058">
        <v>229000</v>
      </c>
      <c r="O1058">
        <v>236000</v>
      </c>
      <c r="P1058">
        <v>7000</v>
      </c>
    </row>
    <row r="1059">
      <c r="H1059">
        <v>240</v>
      </c>
      <c r="I1059" t="str">
        <v>68 LN NA</v>
      </c>
      <c r="J1059" s="36" t="str">
        <v>DV_Gội</v>
      </c>
      <c r="K1059" s="36">
        <v>940</v>
      </c>
      <c r="L1059" s="36" t="str">
        <f>K1059-J1059</f>
        <v>[NEW] Gội dưỡng sinh</v>
      </c>
      <c r="M1059">
        <v>0.029126213592233</v>
      </c>
      <c r="N1059">
        <v>59000</v>
      </c>
      <c r="O1059">
        <v>61000</v>
      </c>
      <c r="P1059">
        <v>2000</v>
      </c>
    </row>
    <row r="1060">
      <c r="H1060">
        <v>240</v>
      </c>
      <c r="I1060" t="str">
        <v>68 LN NA</v>
      </c>
      <c r="J1060" s="36" t="str">
        <v>DV_Gội</v>
      </c>
      <c r="K1060" s="36">
        <v>1058</v>
      </c>
      <c r="L1060" s="36" t="str">
        <f>K1060-J1060</f>
        <v>Gội Combo 2</v>
      </c>
      <c r="M1060">
        <v>0.029126213592233</v>
      </c>
      <c r="N1060">
        <v>159000</v>
      </c>
      <c r="O1060">
        <v>164000</v>
      </c>
      <c r="P1060">
        <v>5000</v>
      </c>
    </row>
    <row r="1061">
      <c r="H1061">
        <v>240</v>
      </c>
      <c r="I1061" t="str">
        <v>68 LN NA</v>
      </c>
      <c r="J1061" s="36" t="str">
        <v>DV_Gội</v>
      </c>
      <c r="K1061" s="36">
        <v>1059</v>
      </c>
      <c r="L1061" s="36" t="str">
        <f>K1061-J1061</f>
        <v>Gội Combo 3 - Chăm da</v>
      </c>
      <c r="M1061">
        <v>0.029126213592233</v>
      </c>
      <c r="N1061">
        <v>219000</v>
      </c>
      <c r="O1061">
        <v>225000</v>
      </c>
      <c r="P1061">
        <v>6000</v>
      </c>
    </row>
    <row r="1062">
      <c r="H1062">
        <v>240</v>
      </c>
      <c r="I1062" t="str">
        <v>68 LN NA</v>
      </c>
      <c r="J1062" s="36" t="str">
        <v>DV_Gội</v>
      </c>
      <c r="K1062" s="36">
        <v>1060</v>
      </c>
      <c r="L1062" s="36" t="str">
        <f>K1062-J1062</f>
        <v>Gội Combo 4</v>
      </c>
      <c r="M1062">
        <v>0.029126213592233</v>
      </c>
      <c r="N1062">
        <v>289000</v>
      </c>
      <c r="O1062">
        <v>297000</v>
      </c>
      <c r="P1062">
        <v>8000</v>
      </c>
    </row>
    <row r="1063">
      <c r="H1063">
        <v>240</v>
      </c>
      <c r="I1063" t="str">
        <v>68 LN NA</v>
      </c>
      <c r="J1063" s="36" t="str">
        <v>DV_Gội</v>
      </c>
      <c r="K1063" s="36">
        <v>1066</v>
      </c>
      <c r="L1063" s="36" t="str">
        <f>K1063-J1063</f>
        <v>Gội trải nghiệm 75p</v>
      </c>
      <c r="M1063">
        <v>0.029126213592233</v>
      </c>
      <c r="N1063">
        <v>589000</v>
      </c>
      <c r="O1063">
        <v>606000</v>
      </c>
      <c r="P1063">
        <v>17000</v>
      </c>
    </row>
    <row r="1064">
      <c r="H1064">
        <v>240</v>
      </c>
      <c r="I1064" t="str">
        <v>68 LN NA</v>
      </c>
      <c r="J1064" s="36" t="str">
        <v>DV_Gội</v>
      </c>
      <c r="K1064" s="36">
        <v>1067</v>
      </c>
      <c r="L1064" s="36" t="str">
        <f>K1064-J1064</f>
        <v>Gội trải nghiệm 90p</v>
      </c>
      <c r="M1064">
        <v>0.029126213592233</v>
      </c>
      <c r="N1064">
        <v>789000</v>
      </c>
      <c r="O1064">
        <v>812000</v>
      </c>
      <c r="P1064">
        <v>23000</v>
      </c>
    </row>
    <row r="1065">
      <c r="H1065">
        <v>240</v>
      </c>
      <c r="I1065" t="str">
        <v>68 LN NA</v>
      </c>
      <c r="J1065" s="36" t="str">
        <v>DV_Gội</v>
      </c>
      <c r="K1065" s="36">
        <v>1068</v>
      </c>
      <c r="L1065" s="36" t="str">
        <f>K1065-J1065</f>
        <v>Gội trải nghiệm 115p</v>
      </c>
      <c r="M1065">
        <v>0.029126213592233</v>
      </c>
      <c r="N1065">
        <v>999000</v>
      </c>
      <c r="O1065">
        <v>1028000</v>
      </c>
      <c r="P1065">
        <v>29000</v>
      </c>
    </row>
    <row r="1066">
      <c r="H1066">
        <v>240</v>
      </c>
      <c r="I1066" t="str">
        <v>68 LN NA</v>
      </c>
      <c r="J1066" s="36" t="str">
        <v>DV_Spa</v>
      </c>
      <c r="K1066" s="36">
        <v>936</v>
      </c>
      <c r="L1066" s="36" t="str">
        <f>K1066-J1066</f>
        <v>[NEW] Chăm sóc da Shine Spa 199k (có phân tích da)</v>
      </c>
      <c r="M1066">
        <v>0.029126213592233</v>
      </c>
      <c r="N1066">
        <v>199000</v>
      </c>
      <c r="O1066">
        <v>205000</v>
      </c>
      <c r="P1066">
        <v>6000</v>
      </c>
    </row>
    <row r="1067">
      <c r="H1067">
        <v>199</v>
      </c>
      <c r="I1067" t="str">
        <v>7 DTP LA</v>
      </c>
      <c r="J1067" s="36" t="str">
        <v>DV_Cắt</v>
      </c>
      <c r="K1067" s="36">
        <v>513</v>
      </c>
      <c r="L1067" s="36" t="str">
        <f>K1067-J1067</f>
        <v>[DV] ShineCombo 10 bước Ultra Care 2023</v>
      </c>
      <c r="M1067">
        <v>0.06796116504854366</v>
      </c>
      <c r="N1067">
        <v>122000</v>
      </c>
      <c r="O1067">
        <v>122000</v>
      </c>
    </row>
    <row r="1068">
      <c r="H1068">
        <v>199</v>
      </c>
      <c r="I1068" t="str">
        <v>7 DTP LA</v>
      </c>
      <c r="J1068" s="36" t="str">
        <v>DV_Cắt</v>
      </c>
      <c r="K1068" s="36">
        <v>891</v>
      </c>
      <c r="L1068" s="36" t="str">
        <f>K1068-J1068</f>
        <v>Cắt xả tạo kiểu</v>
      </c>
      <c r="M1068">
        <v>0.06796116504854366</v>
      </c>
      <c r="N1068">
        <v>103000</v>
      </c>
      <c r="O1068">
        <v>110000</v>
      </c>
      <c r="P1068">
        <v>7000</v>
      </c>
    </row>
    <row r="1069">
      <c r="H1069">
        <v>199</v>
      </c>
      <c r="I1069" t="str">
        <v>7 DTP LA</v>
      </c>
      <c r="J1069" s="36" t="str">
        <v>DV_Cắt</v>
      </c>
      <c r="K1069" s="36">
        <v>1002</v>
      </c>
      <c r="L1069" s="36" t="str">
        <f>K1069-J1069</f>
        <v>Kid Cắt</v>
      </c>
      <c r="M1069">
        <v>0.06796116504854366</v>
      </c>
      <c r="N1069">
        <v>84000</v>
      </c>
      <c r="O1069">
        <v>90000</v>
      </c>
      <c r="P1069">
        <v>6000</v>
      </c>
    </row>
    <row r="1070">
      <c r="H1070">
        <v>199</v>
      </c>
      <c r="I1070" t="str">
        <v>7 DTP LA</v>
      </c>
      <c r="J1070" s="36" t="str">
        <v>DV_Cắt</v>
      </c>
      <c r="K1070" s="36">
        <v>1070</v>
      </c>
      <c r="L1070" s="36" t="str">
        <f>K1070-J1070</f>
        <v>Combo Cắt gội Kid</v>
      </c>
      <c r="M1070">
        <v>0.06796116504854366</v>
      </c>
      <c r="N1070">
        <v>100000</v>
      </c>
      <c r="O1070">
        <v>107000</v>
      </c>
      <c r="P1070">
        <v>7000</v>
      </c>
    </row>
    <row r="1071">
      <c r="H1071">
        <v>199</v>
      </c>
      <c r="I1071" t="str">
        <v>7 DTP LA</v>
      </c>
      <c r="J1071" s="36" t="str">
        <v>DV_Cắt_Vip</v>
      </c>
      <c r="K1071" s="36">
        <v>1046</v>
      </c>
      <c r="L1071" s="36" t="str">
        <f>K1071-J1071</f>
        <v>Shinecombo 2</v>
      </c>
      <c r="M1071">
        <v>0.06796116504854366</v>
      </c>
      <c r="N1071">
        <v>208000</v>
      </c>
      <c r="O1071">
        <v>222000</v>
      </c>
      <c r="P1071">
        <v>14000</v>
      </c>
    </row>
    <row r="1072">
      <c r="H1072">
        <v>199</v>
      </c>
      <c r="I1072" t="str">
        <v>7 DTP LA</v>
      </c>
      <c r="J1072" s="36" t="str">
        <v>DV_Cắt_Vip</v>
      </c>
      <c r="K1072" s="36">
        <v>1047</v>
      </c>
      <c r="L1072" s="36" t="str">
        <f>K1072-J1072</f>
        <v>Cắt Gội Combo 3 - Chăm da</v>
      </c>
      <c r="M1072">
        <v>0.06796116504854366</v>
      </c>
      <c r="N1072">
        <v>308000</v>
      </c>
      <c r="O1072">
        <v>329000</v>
      </c>
      <c r="P1072">
        <v>21000</v>
      </c>
    </row>
    <row r="1073">
      <c r="H1073">
        <v>199</v>
      </c>
      <c r="I1073" t="str">
        <v>7 DTP LA</v>
      </c>
      <c r="J1073" s="36" t="str">
        <v>DV_Cắt_Vip</v>
      </c>
      <c r="K1073" s="36">
        <v>1048</v>
      </c>
      <c r="L1073" s="36" t="str">
        <f>K1073-J1073</f>
        <v>Combo 4</v>
      </c>
      <c r="M1073">
        <v>0.06796116504854366</v>
      </c>
      <c r="N1073">
        <v>398000</v>
      </c>
      <c r="O1073">
        <v>425000</v>
      </c>
      <c r="P1073">
        <v>27000</v>
      </c>
    </row>
    <row r="1074">
      <c r="H1074">
        <v>199</v>
      </c>
      <c r="I1074" t="str">
        <v>7 DTP LA</v>
      </c>
      <c r="J1074" s="36" t="str">
        <v>DV_Cắt_Vip</v>
      </c>
      <c r="K1074" s="36">
        <v>1064</v>
      </c>
      <c r="L1074" s="36" t="str">
        <f>K1074-J1074</f>
        <v>Cắt Gội Combo 5 - Dưỡng sinh</v>
      </c>
      <c r="M1074">
        <v>0.06796116504854366</v>
      </c>
      <c r="N1074">
        <v>459000</v>
      </c>
      <c r="O1074">
        <v>490000</v>
      </c>
      <c r="P1074">
        <v>31000</v>
      </c>
    </row>
    <row r="1075">
      <c r="H1075">
        <v>199</v>
      </c>
      <c r="I1075" t="str">
        <v>7 DTP LA</v>
      </c>
      <c r="J1075" s="36" t="str">
        <v>DV_Gội</v>
      </c>
      <c r="K1075" s="36">
        <v>867</v>
      </c>
      <c r="L1075" s="36" t="str">
        <f>K1075-J1075</f>
        <v>Gội dưỡng sinh cổ vai gáy</v>
      </c>
      <c r="M1075">
        <v>0.06796116504854366</v>
      </c>
      <c r="N1075">
        <v>99000</v>
      </c>
      <c r="O1075">
        <v>106000</v>
      </c>
      <c r="P1075">
        <v>7000</v>
      </c>
    </row>
    <row r="1076">
      <c r="H1076">
        <v>199</v>
      </c>
      <c r="I1076" t="str">
        <v>7 DTP LA</v>
      </c>
      <c r="J1076" s="36" t="str">
        <v>DV_Gội</v>
      </c>
      <c r="K1076" s="36">
        <v>930</v>
      </c>
      <c r="L1076" s="36" t="str">
        <f>K1076-J1076</f>
        <v>[NEW] Gội dưỡng sinh cổ vai gáy và chăm sóc da</v>
      </c>
      <c r="M1076">
        <v>0.06796116504854366</v>
      </c>
      <c r="N1076">
        <v>139000</v>
      </c>
      <c r="O1076">
        <v>148000</v>
      </c>
      <c r="P1076">
        <v>9000</v>
      </c>
    </row>
    <row r="1077">
      <c r="H1077">
        <v>199</v>
      </c>
      <c r="I1077" t="str">
        <v>7 DTP LA</v>
      </c>
      <c r="J1077" s="36" t="str">
        <v>DV_Gội</v>
      </c>
      <c r="K1077" s="36">
        <v>932</v>
      </c>
      <c r="L1077" s="36" t="str">
        <f>K1077-J1077</f>
        <v>Gội combo 5 dưỡng sinh</v>
      </c>
      <c r="M1077">
        <v>0.06796116504854366</v>
      </c>
      <c r="N1077">
        <v>399000</v>
      </c>
      <c r="O1077">
        <v>426000</v>
      </c>
      <c r="P1077">
        <v>27000</v>
      </c>
    </row>
    <row r="1078">
      <c r="H1078">
        <v>199</v>
      </c>
      <c r="I1078" t="str">
        <v>7 DTP LA</v>
      </c>
      <c r="J1078" s="36" t="str">
        <v>DV_Gội</v>
      </c>
      <c r="K1078" s="36">
        <v>934</v>
      </c>
      <c r="L1078" s="36" t="str">
        <f>K1078-J1078</f>
        <v>Gội combo 3 - Dưỡng sinh</v>
      </c>
      <c r="M1078">
        <v>0.06796116504854366</v>
      </c>
      <c r="N1078">
        <v>229000</v>
      </c>
      <c r="O1078">
        <v>245000</v>
      </c>
      <c r="P1078">
        <v>16000</v>
      </c>
    </row>
    <row r="1079">
      <c r="H1079">
        <v>199</v>
      </c>
      <c r="I1079" t="str">
        <v>7 DTP LA</v>
      </c>
      <c r="J1079" s="36" t="str">
        <v>DV_Gội</v>
      </c>
      <c r="K1079" s="36">
        <v>940</v>
      </c>
      <c r="L1079" s="36" t="str">
        <f>K1079-J1079</f>
        <v>[NEW] Gội dưỡng sinh</v>
      </c>
      <c r="M1079">
        <v>0.06796116504854366</v>
      </c>
      <c r="N1079">
        <v>59000</v>
      </c>
      <c r="O1079">
        <v>63000</v>
      </c>
      <c r="P1079">
        <v>4000</v>
      </c>
    </row>
    <row r="1080">
      <c r="H1080">
        <v>199</v>
      </c>
      <c r="I1080" t="str">
        <v>7 DTP LA</v>
      </c>
      <c r="J1080" s="36" t="str">
        <v>DV_Gội</v>
      </c>
      <c r="K1080" s="36">
        <v>1058</v>
      </c>
      <c r="L1080" s="36" t="str">
        <f>K1080-J1080</f>
        <v>Gội Combo 2</v>
      </c>
      <c r="M1080">
        <v>0.06796116504854366</v>
      </c>
      <c r="N1080">
        <v>159000</v>
      </c>
      <c r="O1080">
        <v>170000</v>
      </c>
      <c r="P1080">
        <v>11000</v>
      </c>
    </row>
    <row r="1081">
      <c r="H1081">
        <v>199</v>
      </c>
      <c r="I1081" t="str">
        <v>7 DTP LA</v>
      </c>
      <c r="J1081" s="36" t="str">
        <v>DV_Gội</v>
      </c>
      <c r="K1081" s="36">
        <v>1059</v>
      </c>
      <c r="L1081" s="36" t="str">
        <f>K1081-J1081</f>
        <v>Gội Combo 3 - Chăm da</v>
      </c>
      <c r="M1081">
        <v>0.06796116504854366</v>
      </c>
      <c r="N1081">
        <v>239000</v>
      </c>
      <c r="O1081">
        <v>255000</v>
      </c>
      <c r="P1081">
        <v>16000</v>
      </c>
    </row>
    <row r="1082">
      <c r="H1082">
        <v>199</v>
      </c>
      <c r="I1082" t="str">
        <v>7 DTP LA</v>
      </c>
      <c r="J1082" s="36" t="str">
        <v>DV_Gội</v>
      </c>
      <c r="K1082" s="36">
        <v>1060</v>
      </c>
      <c r="L1082" s="36" t="str">
        <f>K1082-J1082</f>
        <v>Gội Combo 4</v>
      </c>
      <c r="M1082">
        <v>0.06796116504854366</v>
      </c>
      <c r="N1082">
        <v>289000</v>
      </c>
      <c r="O1082">
        <v>309000</v>
      </c>
      <c r="P1082">
        <v>20000</v>
      </c>
    </row>
    <row r="1083">
      <c r="H1083">
        <v>199</v>
      </c>
      <c r="I1083" t="str">
        <v>7 DTP LA</v>
      </c>
      <c r="J1083" s="36" t="str">
        <v>DV_Gội</v>
      </c>
      <c r="K1083" s="36">
        <v>1066</v>
      </c>
      <c r="L1083" s="36" t="str">
        <f>K1083-J1083</f>
        <v>Gội trải nghiệm 75p</v>
      </c>
      <c r="M1083">
        <v>0.06796116504854366</v>
      </c>
      <c r="N1083">
        <v>589000</v>
      </c>
      <c r="O1083">
        <v>629000</v>
      </c>
      <c r="P1083">
        <v>40000</v>
      </c>
    </row>
    <row r="1084">
      <c r="H1084">
        <v>199</v>
      </c>
      <c r="I1084" t="str">
        <v>7 DTP LA</v>
      </c>
      <c r="J1084" s="36" t="str">
        <v>DV_Gội</v>
      </c>
      <c r="K1084" s="36">
        <v>1067</v>
      </c>
      <c r="L1084" s="36" t="str">
        <f>K1084-J1084</f>
        <v>Gội trải nghiệm 90p</v>
      </c>
      <c r="M1084">
        <v>0.06796116504854366</v>
      </c>
      <c r="N1084">
        <v>789000</v>
      </c>
      <c r="O1084">
        <v>843000</v>
      </c>
      <c r="P1084">
        <v>54000</v>
      </c>
    </row>
    <row r="1085">
      <c r="H1085">
        <v>199</v>
      </c>
      <c r="I1085" t="str">
        <v>7 DTP LA</v>
      </c>
      <c r="J1085" s="36" t="str">
        <v>DV_Gội</v>
      </c>
      <c r="K1085" s="36">
        <v>1068</v>
      </c>
      <c r="L1085" s="36" t="str">
        <f>K1085-J1085</f>
        <v>Gội trải nghiệm 115p</v>
      </c>
      <c r="M1085">
        <v>0.06796116504854366</v>
      </c>
      <c r="N1085">
        <v>999000</v>
      </c>
      <c r="O1085">
        <v>1067000</v>
      </c>
      <c r="P1085">
        <v>68000</v>
      </c>
    </row>
    <row r="1086">
      <c r="H1086">
        <v>199</v>
      </c>
      <c r="I1086" t="str">
        <v>7 DTP LA</v>
      </c>
      <c r="J1086" s="36" t="str">
        <v>DV_Spa</v>
      </c>
      <c r="K1086" s="36">
        <v>936</v>
      </c>
      <c r="L1086" s="36" t="str">
        <f>K1086-J1086</f>
        <v>[NEW] Chăm sóc da Shine Spa 199k (có phân tích da)</v>
      </c>
      <c r="M1086">
        <v>0.06796116504854366</v>
      </c>
      <c r="N1086">
        <v>199000</v>
      </c>
      <c r="O1086">
        <v>213000</v>
      </c>
      <c r="P1086">
        <v>14000</v>
      </c>
    </row>
    <row r="1087">
      <c r="H1087">
        <v>47</v>
      </c>
      <c r="I1087" t="str">
        <v>708 LTT</v>
      </c>
      <c r="J1087" s="36" t="str">
        <v>DV_Cắt</v>
      </c>
      <c r="K1087" s="36">
        <v>513</v>
      </c>
      <c r="L1087" s="36" t="str">
        <f>K1087-J1087</f>
        <v>[DV] ShineCombo 10 bước Ultra Care 2023</v>
      </c>
      <c r="M1087">
        <v>0.06796116504854366</v>
      </c>
      <c r="N1087">
        <v>122000</v>
      </c>
      <c r="O1087">
        <v>122000</v>
      </c>
    </row>
    <row r="1088">
      <c r="H1088">
        <v>47</v>
      </c>
      <c r="I1088" t="str">
        <v>708 LTT</v>
      </c>
      <c r="J1088" s="36" t="str">
        <v>DV_Cắt</v>
      </c>
      <c r="K1088" s="36">
        <v>891</v>
      </c>
      <c r="L1088" s="36" t="str">
        <f>K1088-J1088</f>
        <v>Cắt xả tạo kiểu</v>
      </c>
      <c r="M1088">
        <v>0.06796116504854366</v>
      </c>
      <c r="N1088">
        <v>103000</v>
      </c>
      <c r="O1088">
        <v>110000</v>
      </c>
      <c r="P1088">
        <v>7000</v>
      </c>
    </row>
    <row r="1089">
      <c r="H1089">
        <v>47</v>
      </c>
      <c r="I1089" t="str">
        <v>708 LTT</v>
      </c>
      <c r="J1089" s="36" t="str">
        <v>DV_Cắt</v>
      </c>
      <c r="K1089" s="36">
        <v>1002</v>
      </c>
      <c r="L1089" s="36" t="str">
        <f>K1089-J1089</f>
        <v>Kid Cắt</v>
      </c>
      <c r="M1089">
        <v>0.06796116504854366</v>
      </c>
      <c r="N1089">
        <v>84000</v>
      </c>
      <c r="O1089">
        <v>90000</v>
      </c>
      <c r="P1089">
        <v>6000</v>
      </c>
    </row>
    <row r="1090">
      <c r="H1090">
        <v>47</v>
      </c>
      <c r="I1090" t="str">
        <v>708 LTT</v>
      </c>
      <c r="J1090" s="36" t="str">
        <v>DV_Cắt</v>
      </c>
      <c r="K1090" s="36">
        <v>1070</v>
      </c>
      <c r="L1090" s="36" t="str">
        <f>K1090-J1090</f>
        <v>Combo Cắt gội Kid</v>
      </c>
      <c r="M1090">
        <v>0.06796116504854366</v>
      </c>
      <c r="N1090">
        <v>100000</v>
      </c>
      <c r="O1090">
        <v>107000</v>
      </c>
      <c r="P1090">
        <v>7000</v>
      </c>
    </row>
    <row r="1091">
      <c r="H1091">
        <v>47</v>
      </c>
      <c r="I1091" t="str">
        <v>708 LTT</v>
      </c>
      <c r="J1091" s="36" t="str">
        <v>DV_Cắt_Vip</v>
      </c>
      <c r="K1091" s="36">
        <v>1046</v>
      </c>
      <c r="L1091" s="36" t="str">
        <f>K1091-J1091</f>
        <v>Shinecombo 2</v>
      </c>
      <c r="M1091">
        <v>0.06796116504854366</v>
      </c>
      <c r="N1091">
        <v>208000</v>
      </c>
      <c r="O1091">
        <v>222000</v>
      </c>
      <c r="P1091">
        <v>14000</v>
      </c>
    </row>
    <row r="1092">
      <c r="H1092">
        <v>47</v>
      </c>
      <c r="I1092" t="str">
        <v>708 LTT</v>
      </c>
      <c r="J1092" s="36" t="str">
        <v>DV_Cắt_Vip</v>
      </c>
      <c r="K1092" s="36">
        <v>1047</v>
      </c>
      <c r="L1092" s="36" t="str">
        <f>K1092-J1092</f>
        <v>Cắt Gội Combo 3 - Chăm da</v>
      </c>
      <c r="M1092">
        <v>0.06796116504854366</v>
      </c>
      <c r="N1092">
        <v>308000</v>
      </c>
      <c r="O1092">
        <v>329000</v>
      </c>
      <c r="P1092">
        <v>21000</v>
      </c>
    </row>
    <row r="1093">
      <c r="H1093">
        <v>47</v>
      </c>
      <c r="I1093" t="str">
        <v>708 LTT</v>
      </c>
      <c r="J1093" s="36" t="str">
        <v>DV_Cắt_Vip</v>
      </c>
      <c r="K1093" s="36">
        <v>1048</v>
      </c>
      <c r="L1093" s="36" t="str">
        <f>K1093-J1093</f>
        <v>Combo 4</v>
      </c>
      <c r="M1093">
        <v>0.06796116504854366</v>
      </c>
      <c r="N1093">
        <v>398000</v>
      </c>
      <c r="O1093">
        <v>425000</v>
      </c>
      <c r="P1093">
        <v>27000</v>
      </c>
    </row>
    <row r="1094">
      <c r="H1094">
        <v>47</v>
      </c>
      <c r="I1094" t="str">
        <v>708 LTT</v>
      </c>
      <c r="J1094" s="36" t="str">
        <v>DV_Cắt_Vip</v>
      </c>
      <c r="K1094" s="36">
        <v>1049</v>
      </c>
      <c r="L1094" s="36" t="str">
        <f>K1094-J1094</f>
        <v>Cắt Gội Combo 5 - Chăm da</v>
      </c>
      <c r="M1094">
        <v>0.06796116504854366</v>
      </c>
      <c r="N1094">
        <v>399000</v>
      </c>
      <c r="O1094">
        <v>426000</v>
      </c>
      <c r="P1094">
        <v>27000</v>
      </c>
    </row>
    <row r="1095">
      <c r="H1095">
        <v>47</v>
      </c>
      <c r="I1095" t="str">
        <v>708 LTT</v>
      </c>
      <c r="J1095" s="36" t="str">
        <v>DV_Cắt_Vip</v>
      </c>
      <c r="K1095" s="36">
        <v>1064</v>
      </c>
      <c r="L1095" s="36" t="str">
        <f>K1095-J1095</f>
        <v>Cắt Gội Combo 5 - Dưỡng sinh</v>
      </c>
      <c r="M1095">
        <v>0.06796116504854366</v>
      </c>
      <c r="N1095">
        <v>459000</v>
      </c>
      <c r="O1095">
        <v>490000</v>
      </c>
      <c r="P1095">
        <v>31000</v>
      </c>
    </row>
    <row r="1096">
      <c r="H1096">
        <v>47</v>
      </c>
      <c r="I1096" t="str">
        <v>708 LTT</v>
      </c>
      <c r="J1096" s="36" t="str">
        <v>DV_Cắt_Vip</v>
      </c>
      <c r="K1096" s="36">
        <v>1065</v>
      </c>
      <c r="L1096" s="36" t="str">
        <f>K1096-J1096</f>
        <v>Cắt Gội Combo 3 - Dưỡng sinh</v>
      </c>
      <c r="M1096">
        <v>0.06796116504854366</v>
      </c>
      <c r="N1096">
        <v>308000</v>
      </c>
      <c r="O1096">
        <v>329000</v>
      </c>
      <c r="P1096">
        <v>21000</v>
      </c>
    </row>
    <row r="1097">
      <c r="H1097">
        <v>47</v>
      </c>
      <c r="I1097" t="str">
        <v>708 LTT</v>
      </c>
      <c r="J1097" s="36" t="str">
        <v>DV_Cắt_Vip</v>
      </c>
      <c r="K1097" s="36">
        <v>1194</v>
      </c>
      <c r="L1097" s="36" t="str">
        <f>K1097-J1097</f>
        <v>Combo Best choice</v>
      </c>
      <c r="M1097">
        <v>0.06796116504854366</v>
      </c>
      <c r="N1097">
        <v>308000</v>
      </c>
      <c r="O1097">
        <v>329000</v>
      </c>
      <c r="P1097">
        <v>21000</v>
      </c>
    </row>
    <row r="1098">
      <c r="H1098">
        <v>47</v>
      </c>
      <c r="I1098" t="str">
        <v>708 LTT</v>
      </c>
      <c r="J1098" s="36" t="str">
        <v>DV_Gội</v>
      </c>
      <c r="K1098" s="36">
        <v>867</v>
      </c>
      <c r="L1098" s="36" t="str">
        <f>K1098-J1098</f>
        <v>Gội dưỡng sinh cổ vai gáy</v>
      </c>
      <c r="M1098">
        <v>0.06796116504854366</v>
      </c>
      <c r="N1098">
        <v>100000</v>
      </c>
      <c r="O1098">
        <v>107000</v>
      </c>
      <c r="P1098">
        <v>7000</v>
      </c>
    </row>
    <row r="1099">
      <c r="H1099">
        <v>47</v>
      </c>
      <c r="I1099" t="str">
        <v>708 LTT</v>
      </c>
      <c r="J1099" s="36" t="str">
        <v>DV_Gội</v>
      </c>
      <c r="K1099" s="36">
        <v>930</v>
      </c>
      <c r="L1099" s="36" t="str">
        <f>K1099-J1099</f>
        <v>[NEW] Gội dưỡng sinh cổ vai gáy và chăm sóc da</v>
      </c>
      <c r="M1099">
        <v>0.06796116504854366</v>
      </c>
      <c r="N1099">
        <v>139000</v>
      </c>
      <c r="O1099">
        <v>148000</v>
      </c>
      <c r="P1099">
        <v>9000</v>
      </c>
    </row>
    <row r="1100">
      <c r="H1100">
        <v>47</v>
      </c>
      <c r="I1100" t="str">
        <v>708 LTT</v>
      </c>
      <c r="J1100" s="36" t="str">
        <v>DV_Gội</v>
      </c>
      <c r="K1100" s="36">
        <v>932</v>
      </c>
      <c r="L1100" s="36" t="str">
        <f>K1100-J1100</f>
        <v>Gội combo 5 dưỡng sinh</v>
      </c>
      <c r="M1100">
        <v>0.06796116504854366</v>
      </c>
      <c r="N1100">
        <v>389000</v>
      </c>
      <c r="O1100">
        <v>415000</v>
      </c>
      <c r="P1100">
        <v>26000</v>
      </c>
    </row>
    <row r="1101">
      <c r="H1101">
        <v>47</v>
      </c>
      <c r="I1101" t="str">
        <v>708 LTT</v>
      </c>
      <c r="J1101" s="36" t="str">
        <v>DV_Gội</v>
      </c>
      <c r="K1101" s="36">
        <v>934</v>
      </c>
      <c r="L1101" s="36" t="str">
        <f>K1101-J1101</f>
        <v>Gội combo 3 - Dưỡng sinh</v>
      </c>
      <c r="M1101">
        <v>0.06796116504854366</v>
      </c>
      <c r="N1101">
        <v>229000</v>
      </c>
      <c r="O1101">
        <v>245000</v>
      </c>
      <c r="P1101">
        <v>16000</v>
      </c>
    </row>
    <row r="1102">
      <c r="H1102">
        <v>47</v>
      </c>
      <c r="I1102" t="str">
        <v>708 LTT</v>
      </c>
      <c r="J1102" s="36" t="str">
        <v>DV_Gội</v>
      </c>
      <c r="K1102" s="36">
        <v>940</v>
      </c>
      <c r="L1102" s="36" t="str">
        <f>K1102-J1102</f>
        <v>[NEW] Gội dưỡng sinh</v>
      </c>
      <c r="M1102">
        <v>0.06796116504854366</v>
      </c>
      <c r="N1102">
        <v>59000</v>
      </c>
      <c r="O1102">
        <v>63000</v>
      </c>
      <c r="P1102">
        <v>4000</v>
      </c>
    </row>
    <row r="1103">
      <c r="H1103">
        <v>47</v>
      </c>
      <c r="I1103" t="str">
        <v>708 LTT</v>
      </c>
      <c r="J1103" s="36" t="str">
        <v>DV_Gội</v>
      </c>
      <c r="K1103" s="36">
        <v>1058</v>
      </c>
      <c r="L1103" s="36" t="str">
        <f>K1103-J1103</f>
        <v>Gội Combo 2</v>
      </c>
      <c r="M1103">
        <v>0.06796116504854366</v>
      </c>
      <c r="N1103">
        <v>159000</v>
      </c>
      <c r="O1103">
        <v>170000</v>
      </c>
      <c r="P1103">
        <v>11000</v>
      </c>
    </row>
    <row r="1104">
      <c r="H1104">
        <v>47</v>
      </c>
      <c r="I1104" t="str">
        <v>708 LTT</v>
      </c>
      <c r="J1104" s="36" t="str">
        <v>DV_Gội</v>
      </c>
      <c r="K1104" s="36">
        <v>1059</v>
      </c>
      <c r="L1104" s="36" t="str">
        <f>K1104-J1104</f>
        <v>Gội Combo 3 - Chăm da</v>
      </c>
      <c r="M1104">
        <v>0.06796116504854366</v>
      </c>
      <c r="N1104">
        <v>239000</v>
      </c>
      <c r="O1104">
        <v>255000</v>
      </c>
      <c r="P1104">
        <v>16000</v>
      </c>
    </row>
    <row r="1105">
      <c r="H1105">
        <v>47</v>
      </c>
      <c r="I1105" t="str">
        <v>708 LTT</v>
      </c>
      <c r="J1105" s="36" t="str">
        <v>DV_Gội</v>
      </c>
      <c r="K1105" s="36">
        <v>1060</v>
      </c>
      <c r="L1105" s="36" t="str">
        <f>K1105-J1105</f>
        <v>Gội Combo 4</v>
      </c>
      <c r="M1105">
        <v>0.06796116504854366</v>
      </c>
      <c r="N1105">
        <v>319000</v>
      </c>
      <c r="O1105">
        <v>341000</v>
      </c>
      <c r="P1105">
        <v>22000</v>
      </c>
    </row>
    <row r="1106">
      <c r="H1106">
        <v>47</v>
      </c>
      <c r="I1106" t="str">
        <v>708 LTT</v>
      </c>
      <c r="J1106" s="36" t="str">
        <v>DV_Gội</v>
      </c>
      <c r="K1106" s="36">
        <v>1061</v>
      </c>
      <c r="L1106" s="36" t="str">
        <f>K1106-J1106</f>
        <v>Gội Combo 5 - Chăm da</v>
      </c>
      <c r="M1106">
        <v>0.06796116504854366</v>
      </c>
      <c r="N1106">
        <v>359000</v>
      </c>
      <c r="O1106">
        <v>383000</v>
      </c>
      <c r="P1106">
        <v>24000</v>
      </c>
    </row>
    <row r="1107">
      <c r="H1107">
        <v>47</v>
      </c>
      <c r="I1107" t="str">
        <v>708 LTT</v>
      </c>
      <c r="J1107" s="36" t="str">
        <v>DV_Gội</v>
      </c>
      <c r="K1107" s="36">
        <v>1066</v>
      </c>
      <c r="L1107" s="36" t="str">
        <f>K1107-J1107</f>
        <v>Gội trải nghiệm 75p</v>
      </c>
      <c r="M1107">
        <v>0.06796116504854366</v>
      </c>
      <c r="N1107">
        <v>459000</v>
      </c>
      <c r="O1107">
        <v>490000</v>
      </c>
      <c r="P1107">
        <v>31000</v>
      </c>
    </row>
    <row r="1108">
      <c r="H1108">
        <v>47</v>
      </c>
      <c r="I1108" t="str">
        <v>708 LTT</v>
      </c>
      <c r="J1108" s="36" t="str">
        <v>DV_Gội</v>
      </c>
      <c r="K1108" s="36">
        <v>1067</v>
      </c>
      <c r="L1108" s="36" t="str">
        <f>K1108-J1108</f>
        <v>Gội trải nghiệm 90p</v>
      </c>
      <c r="M1108">
        <v>0.06796116504854366</v>
      </c>
      <c r="N1108">
        <v>789000</v>
      </c>
      <c r="O1108">
        <v>843000</v>
      </c>
      <c r="P1108">
        <v>54000</v>
      </c>
    </row>
    <row r="1109">
      <c r="H1109">
        <v>47</v>
      </c>
      <c r="I1109" t="str">
        <v>708 LTT</v>
      </c>
      <c r="J1109" s="36" t="str">
        <v>DV_Gội</v>
      </c>
      <c r="K1109" s="36">
        <v>1068</v>
      </c>
      <c r="L1109" s="36" t="str">
        <f>K1109-J1109</f>
        <v>Gội trải nghiệm 115p</v>
      </c>
      <c r="M1109">
        <v>0.06796116504854366</v>
      </c>
      <c r="N1109">
        <v>999000</v>
      </c>
      <c r="O1109">
        <v>1067000</v>
      </c>
      <c r="P1109">
        <v>68000</v>
      </c>
    </row>
    <row r="1110">
      <c r="H1110">
        <v>47</v>
      </c>
      <c r="I1110" t="str">
        <v>708 LTT</v>
      </c>
      <c r="J1110" s="36" t="str">
        <v>DV_Spa</v>
      </c>
      <c r="K1110" s="36">
        <v>936</v>
      </c>
      <c r="L1110" s="36" t="str">
        <f>K1110-J1110</f>
        <v>[NEW] Chăm sóc da Shine Spa 199k (có phân tích da)</v>
      </c>
      <c r="M1110">
        <v>0.06796116504854366</v>
      </c>
      <c r="N1110">
        <v>199000</v>
      </c>
      <c r="O1110">
        <v>213000</v>
      </c>
      <c r="P1110">
        <v>14000</v>
      </c>
    </row>
    <row r="1111">
      <c r="H1111">
        <v>58</v>
      </c>
      <c r="I1111" t="str">
        <v>730 TL10</v>
      </c>
      <c r="J1111" s="36" t="str">
        <v>DV_Cắt</v>
      </c>
      <c r="K1111" s="36">
        <v>513</v>
      </c>
      <c r="L1111" s="36" t="str">
        <f>K1111-J1111</f>
        <v>[DV] ShineCombo 10 bước Ultra Care 2023</v>
      </c>
      <c r="M1111">
        <v>0</v>
      </c>
      <c r="N1111">
        <v>122000</v>
      </c>
      <c r="O1111">
        <v>122000</v>
      </c>
    </row>
    <row r="1112">
      <c r="H1112">
        <v>58</v>
      </c>
      <c r="I1112" t="str">
        <v>730 TL10</v>
      </c>
      <c r="J1112" s="36" t="str">
        <v>DV_Cắt</v>
      </c>
      <c r="K1112" s="36">
        <v>891</v>
      </c>
      <c r="L1112" s="36" t="str">
        <f>K1112-J1112</f>
        <v>Cắt xả tạo kiểu</v>
      </c>
      <c r="M1112">
        <v>0</v>
      </c>
      <c r="N1112">
        <v>100000</v>
      </c>
      <c r="O1112">
        <v>100000</v>
      </c>
    </row>
    <row r="1113">
      <c r="H1113">
        <v>58</v>
      </c>
      <c r="I1113" t="str">
        <v>730 TL10</v>
      </c>
      <c r="J1113" s="36" t="str">
        <v>DV_Cắt</v>
      </c>
      <c r="K1113" s="36">
        <v>1002</v>
      </c>
      <c r="L1113" s="36" t="str">
        <f>K1113-J1113</f>
        <v>Kid Cắt</v>
      </c>
      <c r="M1113">
        <v>0</v>
      </c>
      <c r="N1113">
        <v>81000</v>
      </c>
      <c r="O1113">
        <v>81000</v>
      </c>
    </row>
    <row r="1114">
      <c r="H1114">
        <v>58</v>
      </c>
      <c r="I1114" t="str">
        <v>730 TL10</v>
      </c>
      <c r="J1114" s="36" t="str">
        <v>DV_Cắt</v>
      </c>
      <c r="K1114" s="36">
        <v>1070</v>
      </c>
      <c r="L1114" s="36" t="str">
        <f>K1114-J1114</f>
        <v>Combo Cắt gội Kid</v>
      </c>
      <c r="M1114">
        <v>0</v>
      </c>
      <c r="N1114">
        <v>100000</v>
      </c>
      <c r="O1114">
        <v>100000</v>
      </c>
    </row>
    <row r="1115">
      <c r="H1115">
        <v>58</v>
      </c>
      <c r="I1115" t="str">
        <v>730 TL10</v>
      </c>
      <c r="J1115" s="36" t="str">
        <v>DV_Cắt_Vip</v>
      </c>
      <c r="K1115" s="36">
        <v>1046</v>
      </c>
      <c r="L1115" s="36" t="str">
        <f>K1115-J1115</f>
        <v>Shinecombo 2</v>
      </c>
      <c r="M1115">
        <v>0</v>
      </c>
      <c r="N1115">
        <v>205000</v>
      </c>
      <c r="O1115">
        <v>205000</v>
      </c>
    </row>
    <row r="1116">
      <c r="H1116">
        <v>58</v>
      </c>
      <c r="I1116" t="str">
        <v>730 TL10</v>
      </c>
      <c r="J1116" s="36" t="str">
        <v>DV_Cắt_Vip</v>
      </c>
      <c r="K1116" s="36">
        <v>1047</v>
      </c>
      <c r="L1116" s="36" t="str">
        <f>K1116-J1116</f>
        <v>Cắt Gội Combo 3 - Chăm da</v>
      </c>
      <c r="M1116">
        <v>0</v>
      </c>
      <c r="N1116">
        <v>305000</v>
      </c>
      <c r="O1116">
        <v>305000</v>
      </c>
    </row>
    <row r="1117">
      <c r="H1117">
        <v>58</v>
      </c>
      <c r="I1117" t="str">
        <v>730 TL10</v>
      </c>
      <c r="J1117" s="36" t="str">
        <v>DV_Cắt_Vip</v>
      </c>
      <c r="K1117" s="36">
        <v>1048</v>
      </c>
      <c r="L1117" s="36" t="str">
        <f>K1117-J1117</f>
        <v>Combo 4</v>
      </c>
      <c r="M1117">
        <v>0</v>
      </c>
      <c r="N1117">
        <v>395000</v>
      </c>
      <c r="O1117">
        <v>395000</v>
      </c>
    </row>
    <row r="1118">
      <c r="H1118">
        <v>58</v>
      </c>
      <c r="I1118" t="str">
        <v>730 TL10</v>
      </c>
      <c r="J1118" s="36" t="str">
        <v>DV_Cắt_Vip</v>
      </c>
      <c r="K1118" s="36">
        <v>1049</v>
      </c>
      <c r="L1118" s="36" t="str">
        <f>K1118-J1118</f>
        <v>Cắt Gội Combo 5 - Chăm da</v>
      </c>
      <c r="M1118">
        <v>0</v>
      </c>
      <c r="N1118">
        <v>399000</v>
      </c>
      <c r="O1118">
        <v>399000</v>
      </c>
    </row>
    <row r="1119">
      <c r="H1119">
        <v>58</v>
      </c>
      <c r="I1119" t="str">
        <v>730 TL10</v>
      </c>
      <c r="J1119" s="36" t="str">
        <v>DV_Cắt_Vip</v>
      </c>
      <c r="K1119" s="36">
        <v>1064</v>
      </c>
      <c r="L1119" s="36" t="str">
        <f>K1119-J1119</f>
        <v>Cắt Gội Combo 5 - Dưỡng sinh</v>
      </c>
      <c r="M1119">
        <v>0</v>
      </c>
      <c r="N1119">
        <v>465000</v>
      </c>
      <c r="O1119">
        <v>465000</v>
      </c>
    </row>
    <row r="1120">
      <c r="H1120">
        <v>58</v>
      </c>
      <c r="I1120" t="str">
        <v>730 TL10</v>
      </c>
      <c r="J1120" s="36" t="str">
        <v>DV_Cắt_Vip</v>
      </c>
      <c r="K1120" s="36">
        <v>1065</v>
      </c>
      <c r="L1120" s="36" t="str">
        <f>K1120-J1120</f>
        <v>Cắt Gội Combo 3 - Dưỡng sinh</v>
      </c>
      <c r="M1120">
        <v>0</v>
      </c>
      <c r="N1120">
        <v>305000</v>
      </c>
      <c r="O1120">
        <v>305000</v>
      </c>
    </row>
    <row r="1121">
      <c r="H1121">
        <v>58</v>
      </c>
      <c r="I1121" t="str">
        <v>730 TL10</v>
      </c>
      <c r="J1121" s="36" t="str">
        <v>DV_Cắt_Vip</v>
      </c>
      <c r="K1121" s="36">
        <v>1194</v>
      </c>
      <c r="L1121" s="36" t="str">
        <f>K1121-J1121</f>
        <v>Combo Best choice</v>
      </c>
      <c r="M1121">
        <v>0</v>
      </c>
      <c r="N1121">
        <v>305000</v>
      </c>
      <c r="O1121">
        <v>305000</v>
      </c>
    </row>
    <row r="1122">
      <c r="H1122">
        <v>58</v>
      </c>
      <c r="I1122" t="str">
        <v>730 TL10</v>
      </c>
      <c r="J1122" s="36" t="str">
        <v>DV_Gội</v>
      </c>
      <c r="K1122" s="36">
        <v>867</v>
      </c>
      <c r="L1122" s="36" t="str">
        <f>K1122-J1122</f>
        <v>Gội dưỡng sinh cổ vai gáy</v>
      </c>
      <c r="M1122">
        <v>0</v>
      </c>
      <c r="N1122">
        <v>99000</v>
      </c>
      <c r="O1122">
        <v>99000</v>
      </c>
    </row>
    <row r="1123">
      <c r="H1123">
        <v>58</v>
      </c>
      <c r="I1123" t="str">
        <v>730 TL10</v>
      </c>
      <c r="J1123" s="36" t="str">
        <v>DV_Gội</v>
      </c>
      <c r="K1123" s="36">
        <v>930</v>
      </c>
      <c r="L1123" s="36" t="str">
        <f>K1123-J1123</f>
        <v>[NEW] Gội dưỡng sinh cổ vai gáy và chăm sóc da</v>
      </c>
      <c r="M1123">
        <v>0</v>
      </c>
      <c r="N1123">
        <v>139000</v>
      </c>
      <c r="O1123">
        <v>139000</v>
      </c>
    </row>
    <row r="1124">
      <c r="H1124">
        <v>58</v>
      </c>
      <c r="I1124" t="str">
        <v>730 TL10</v>
      </c>
      <c r="J1124" s="36" t="str">
        <v>DV_Gội</v>
      </c>
      <c r="K1124" s="36">
        <v>932</v>
      </c>
      <c r="L1124" s="36" t="str">
        <f>K1124-J1124</f>
        <v>Gội combo 5 dưỡng sinh</v>
      </c>
      <c r="M1124">
        <v>0</v>
      </c>
      <c r="N1124">
        <v>399000</v>
      </c>
      <c r="O1124">
        <v>399000</v>
      </c>
    </row>
    <row r="1125">
      <c r="H1125">
        <v>58</v>
      </c>
      <c r="I1125" t="str">
        <v>730 TL10</v>
      </c>
      <c r="J1125" s="36" t="str">
        <v>DV_Gội</v>
      </c>
      <c r="K1125" s="36">
        <v>934</v>
      </c>
      <c r="L1125" s="36" t="str">
        <f>K1125-J1125</f>
        <v>Gội combo 3 - Dưỡng sinh</v>
      </c>
      <c r="M1125">
        <v>0</v>
      </c>
      <c r="N1125">
        <v>229000</v>
      </c>
      <c r="O1125">
        <v>229000</v>
      </c>
    </row>
    <row r="1126">
      <c r="H1126">
        <v>58</v>
      </c>
      <c r="I1126" t="str">
        <v>730 TL10</v>
      </c>
      <c r="J1126" s="36" t="str">
        <v>DV_Gội</v>
      </c>
      <c r="K1126" s="36">
        <v>940</v>
      </c>
      <c r="L1126" s="36" t="str">
        <f>K1126-J1126</f>
        <v>[NEW] Gội dưỡng sinh</v>
      </c>
      <c r="M1126">
        <v>0</v>
      </c>
      <c r="N1126">
        <v>59000</v>
      </c>
      <c r="O1126">
        <v>59000</v>
      </c>
    </row>
    <row r="1127">
      <c r="H1127">
        <v>58</v>
      </c>
      <c r="I1127" t="str">
        <v>730 TL10</v>
      </c>
      <c r="J1127" s="36" t="str">
        <v>DV_Gội</v>
      </c>
      <c r="K1127" s="36">
        <v>1058</v>
      </c>
      <c r="L1127" s="36" t="str">
        <f>K1127-J1127</f>
        <v>Gội Combo 2</v>
      </c>
      <c r="M1127">
        <v>0</v>
      </c>
      <c r="N1127">
        <v>159000</v>
      </c>
      <c r="O1127">
        <v>159000</v>
      </c>
    </row>
    <row r="1128">
      <c r="H1128">
        <v>58</v>
      </c>
      <c r="I1128" t="str">
        <v>730 TL10</v>
      </c>
      <c r="J1128" s="36" t="str">
        <v>DV_Gội</v>
      </c>
      <c r="K1128" s="36">
        <v>1059</v>
      </c>
      <c r="L1128" s="36" t="str">
        <f>K1128-J1128</f>
        <v>Gội Combo 3 - Chăm da</v>
      </c>
      <c r="M1128">
        <v>0</v>
      </c>
      <c r="N1128">
        <v>239000</v>
      </c>
      <c r="O1128">
        <v>239000</v>
      </c>
    </row>
    <row r="1129">
      <c r="H1129">
        <v>58</v>
      </c>
      <c r="I1129" t="str">
        <v>730 TL10</v>
      </c>
      <c r="J1129" s="36" t="str">
        <v>DV_Gội</v>
      </c>
      <c r="K1129" s="36">
        <v>1060</v>
      </c>
      <c r="L1129" s="36" t="str">
        <f>K1129-J1129</f>
        <v>Gội Combo 4</v>
      </c>
      <c r="M1129">
        <v>0</v>
      </c>
      <c r="N1129">
        <v>319000</v>
      </c>
      <c r="O1129">
        <v>319000</v>
      </c>
    </row>
    <row r="1130">
      <c r="H1130">
        <v>58</v>
      </c>
      <c r="I1130" t="str">
        <v>730 TL10</v>
      </c>
      <c r="J1130" s="36" t="str">
        <v>DV_Gội</v>
      </c>
      <c r="K1130" s="36">
        <v>1061</v>
      </c>
      <c r="L1130" s="36" t="str">
        <f>K1130-J1130</f>
        <v>Gội Combo 5 - Chăm da</v>
      </c>
      <c r="M1130">
        <v>0</v>
      </c>
      <c r="N1130">
        <v>359000</v>
      </c>
      <c r="O1130">
        <v>359000</v>
      </c>
    </row>
    <row r="1131">
      <c r="H1131">
        <v>58</v>
      </c>
      <c r="I1131" t="str">
        <v>730 TL10</v>
      </c>
      <c r="J1131" s="36" t="str">
        <v>DV_Gội</v>
      </c>
      <c r="K1131" s="36">
        <v>1066</v>
      </c>
      <c r="L1131" s="36" t="str">
        <f>K1131-J1131</f>
        <v>Gội trải nghiệm 75p</v>
      </c>
      <c r="M1131">
        <v>0</v>
      </c>
      <c r="N1131">
        <v>589000</v>
      </c>
      <c r="O1131">
        <v>589000</v>
      </c>
    </row>
    <row r="1132">
      <c r="H1132">
        <v>58</v>
      </c>
      <c r="I1132" t="str">
        <v>730 TL10</v>
      </c>
      <c r="J1132" s="36" t="str">
        <v>DV_Gội</v>
      </c>
      <c r="K1132" s="36">
        <v>1067</v>
      </c>
      <c r="L1132" s="36" t="str">
        <f>K1132-J1132</f>
        <v>Gội trải nghiệm 90p</v>
      </c>
      <c r="M1132">
        <v>0</v>
      </c>
      <c r="N1132">
        <v>789000</v>
      </c>
      <c r="O1132">
        <v>789000</v>
      </c>
    </row>
    <row r="1133">
      <c r="H1133">
        <v>58</v>
      </c>
      <c r="I1133" t="str">
        <v>730 TL10</v>
      </c>
      <c r="J1133" s="36" t="str">
        <v>DV_Gội</v>
      </c>
      <c r="K1133" s="36">
        <v>1068</v>
      </c>
      <c r="L1133" s="36" t="str">
        <f>K1133-J1133</f>
        <v>Gội trải nghiệm 115p</v>
      </c>
      <c r="M1133">
        <v>0</v>
      </c>
      <c r="N1133">
        <v>999000</v>
      </c>
      <c r="O1133">
        <v>999000</v>
      </c>
    </row>
    <row r="1134">
      <c r="H1134">
        <v>58</v>
      </c>
      <c r="I1134" t="str">
        <v>730 TL10</v>
      </c>
      <c r="J1134" s="36" t="str">
        <v>DV_Spa</v>
      </c>
      <c r="K1134" s="36">
        <v>936</v>
      </c>
      <c r="L1134" s="36" t="str">
        <f>K1134-J1134</f>
        <v>[NEW] Chăm sóc da Shine Spa 199k (có phân tích da)</v>
      </c>
      <c r="M1134">
        <v>0</v>
      </c>
      <c r="N1134">
        <v>199000</v>
      </c>
      <c r="O1134">
        <v>199000</v>
      </c>
    </row>
    <row r="1135">
      <c r="H1135">
        <v>106</v>
      </c>
      <c r="I1135" t="str">
        <v>76 PVH</v>
      </c>
      <c r="J1135" s="36" t="str">
        <v>DV_Cắt</v>
      </c>
      <c r="K1135" s="36">
        <v>513</v>
      </c>
      <c r="L1135" s="36" t="str">
        <f>K1135-J1135</f>
        <v>[DV] ShineCombo 10 bước Ultra Care 2023</v>
      </c>
      <c r="M1135">
        <v>0.06382978723404253</v>
      </c>
      <c r="N1135">
        <v>122000</v>
      </c>
      <c r="O1135">
        <v>122000</v>
      </c>
    </row>
    <row r="1136">
      <c r="H1136">
        <v>106</v>
      </c>
      <c r="I1136" t="str">
        <v>76 PVH</v>
      </c>
      <c r="J1136" s="36" t="str">
        <v>DV_Cắt</v>
      </c>
      <c r="K1136" s="36">
        <v>891</v>
      </c>
      <c r="L1136" s="36" t="str">
        <f>K1136-J1136</f>
        <v>Cắt xả tạo kiểu</v>
      </c>
      <c r="M1136">
        <v>0.06382978723404253</v>
      </c>
      <c r="N1136">
        <v>94000</v>
      </c>
      <c r="O1136">
        <v>100000</v>
      </c>
      <c r="P1136">
        <v>6000</v>
      </c>
    </row>
    <row r="1137">
      <c r="H1137">
        <v>106</v>
      </c>
      <c r="I1137" t="str">
        <v>76 PVH</v>
      </c>
      <c r="J1137" s="36" t="str">
        <v>DV_Cắt</v>
      </c>
      <c r="K1137" s="36">
        <v>1002</v>
      </c>
      <c r="L1137" s="36" t="str">
        <f>K1137-J1137</f>
        <v>Kid Cắt</v>
      </c>
      <c r="M1137">
        <v>0.06382978723404253</v>
      </c>
      <c r="N1137">
        <v>75000</v>
      </c>
      <c r="O1137">
        <v>80000</v>
      </c>
      <c r="P1137">
        <v>5000</v>
      </c>
    </row>
    <row r="1138">
      <c r="H1138">
        <v>106</v>
      </c>
      <c r="I1138" t="str">
        <v>76 PVH</v>
      </c>
      <c r="J1138" s="36" t="str">
        <v>DV_Cắt</v>
      </c>
      <c r="K1138" s="36">
        <v>1070</v>
      </c>
      <c r="L1138" s="36" t="str">
        <f>K1138-J1138</f>
        <v>Combo Cắt gội Kid</v>
      </c>
      <c r="M1138">
        <v>0.06382978723404253</v>
      </c>
      <c r="N1138">
        <v>100000</v>
      </c>
      <c r="O1138">
        <v>106000</v>
      </c>
      <c r="P1138">
        <v>6000</v>
      </c>
    </row>
    <row r="1139">
      <c r="H1139">
        <v>106</v>
      </c>
      <c r="I1139" t="str">
        <v>76 PVH</v>
      </c>
      <c r="J1139" s="36" t="str">
        <v>DV_Cắt_Vip</v>
      </c>
      <c r="K1139" s="36">
        <v>1046</v>
      </c>
      <c r="L1139" s="36" t="str">
        <f>K1139-J1139</f>
        <v>Shinecombo 2</v>
      </c>
      <c r="M1139">
        <v>0.06382978723404253</v>
      </c>
      <c r="N1139">
        <v>199000</v>
      </c>
      <c r="O1139">
        <v>212000</v>
      </c>
      <c r="P1139">
        <v>13000</v>
      </c>
    </row>
    <row r="1140">
      <c r="H1140">
        <v>106</v>
      </c>
      <c r="I1140" t="str">
        <v>76 PVH</v>
      </c>
      <c r="J1140" s="36" t="str">
        <v>DV_Cắt_Vip</v>
      </c>
      <c r="K1140" s="36">
        <v>1047</v>
      </c>
      <c r="L1140" s="36" t="str">
        <f>K1140-J1140</f>
        <v>Cắt Gội Combo 3 - Chăm da</v>
      </c>
      <c r="M1140">
        <v>0.06382978723404253</v>
      </c>
      <c r="N1140">
        <v>299000</v>
      </c>
      <c r="O1140">
        <v>318000</v>
      </c>
      <c r="P1140">
        <v>19000</v>
      </c>
    </row>
    <row r="1141">
      <c r="H1141">
        <v>106</v>
      </c>
      <c r="I1141" t="str">
        <v>76 PVH</v>
      </c>
      <c r="J1141" s="36" t="str">
        <v>DV_Cắt_Vip</v>
      </c>
      <c r="K1141" s="36">
        <v>1048</v>
      </c>
      <c r="L1141" s="36" t="str">
        <f>K1141-J1141</f>
        <v>Combo 4</v>
      </c>
      <c r="M1141">
        <v>0.06382978723404253</v>
      </c>
      <c r="N1141">
        <v>389000</v>
      </c>
      <c r="O1141">
        <v>414000</v>
      </c>
      <c r="P1141">
        <v>25000</v>
      </c>
    </row>
    <row r="1142">
      <c r="H1142">
        <v>106</v>
      </c>
      <c r="I1142" t="str">
        <v>76 PVH</v>
      </c>
      <c r="J1142" s="36" t="str">
        <v>DV_Cắt_Vip</v>
      </c>
      <c r="K1142" s="36">
        <v>1064</v>
      </c>
      <c r="L1142" s="36" t="str">
        <f>K1142-J1142</f>
        <v>Cắt Gội Combo 5 - Dưỡng sinh</v>
      </c>
      <c r="M1142">
        <v>0.06382978723404253</v>
      </c>
      <c r="N1142">
        <v>459000</v>
      </c>
      <c r="O1142">
        <v>488000</v>
      </c>
      <c r="P1142">
        <v>29000</v>
      </c>
    </row>
    <row r="1143">
      <c r="H1143">
        <v>106</v>
      </c>
      <c r="I1143" t="str">
        <v>76 PVH</v>
      </c>
      <c r="J1143" s="36" t="str">
        <v>DV_Cắt_Vip</v>
      </c>
      <c r="K1143" s="36">
        <v>1065</v>
      </c>
      <c r="L1143" s="36" t="str">
        <f>K1143-J1143</f>
        <v>Cắt Gội Combo 3 - Dưỡng sinh</v>
      </c>
      <c r="M1143">
        <v>0.06382978723404253</v>
      </c>
      <c r="N1143">
        <v>299000</v>
      </c>
      <c r="O1143">
        <v>318000</v>
      </c>
      <c r="P1143">
        <v>19000</v>
      </c>
    </row>
    <row r="1144">
      <c r="H1144">
        <v>106</v>
      </c>
      <c r="I1144" t="str">
        <v>76 PVH</v>
      </c>
      <c r="J1144" s="36" t="str">
        <v>DV_Cắt_Vip</v>
      </c>
      <c r="K1144" s="36">
        <v>1194</v>
      </c>
      <c r="L1144" s="36" t="str">
        <f>K1144-J1144</f>
        <v>Combo Best choice</v>
      </c>
      <c r="M1144">
        <v>0.06382978723404253</v>
      </c>
      <c r="N1144">
        <v>299000</v>
      </c>
      <c r="O1144">
        <v>318000</v>
      </c>
      <c r="P1144">
        <v>19000</v>
      </c>
    </row>
    <row r="1145">
      <c r="H1145">
        <v>106</v>
      </c>
      <c r="I1145" t="str">
        <v>76 PVH</v>
      </c>
      <c r="J1145" s="36" t="str">
        <v>DV_Gội</v>
      </c>
      <c r="K1145" s="36">
        <v>867</v>
      </c>
      <c r="L1145" s="36" t="str">
        <f>K1145-J1145</f>
        <v>Gội dưỡng sinh cổ vai gáy</v>
      </c>
      <c r="M1145">
        <v>0.06382978723404253</v>
      </c>
      <c r="N1145">
        <v>99000</v>
      </c>
      <c r="O1145">
        <v>105000</v>
      </c>
      <c r="P1145">
        <v>6000</v>
      </c>
    </row>
    <row r="1146">
      <c r="H1146">
        <v>106</v>
      </c>
      <c r="I1146" t="str">
        <v>76 PVH</v>
      </c>
      <c r="J1146" s="36" t="str">
        <v>DV_Gội</v>
      </c>
      <c r="K1146" s="36">
        <v>930</v>
      </c>
      <c r="L1146" s="36" t="str">
        <f>K1146-J1146</f>
        <v>[NEW] Gội dưỡng sinh cổ vai gáy và chăm sóc da</v>
      </c>
      <c r="M1146">
        <v>0.06382978723404253</v>
      </c>
      <c r="N1146">
        <v>139000</v>
      </c>
      <c r="O1146">
        <v>148000</v>
      </c>
      <c r="P1146">
        <v>9000</v>
      </c>
    </row>
    <row r="1147">
      <c r="H1147">
        <v>106</v>
      </c>
      <c r="I1147" t="str">
        <v>76 PVH</v>
      </c>
      <c r="J1147" s="36" t="str">
        <v>DV_Gội</v>
      </c>
      <c r="K1147" s="36">
        <v>934</v>
      </c>
      <c r="L1147" s="36" t="str">
        <f>K1147-J1147</f>
        <v>Gội combo 3 - Dưỡng sinh</v>
      </c>
      <c r="M1147">
        <v>0.06382978723404253</v>
      </c>
      <c r="N1147">
        <v>229000</v>
      </c>
      <c r="O1147">
        <v>244000</v>
      </c>
      <c r="P1147">
        <v>15000</v>
      </c>
    </row>
    <row r="1148">
      <c r="H1148">
        <v>106</v>
      </c>
      <c r="I1148" t="str">
        <v>76 PVH</v>
      </c>
      <c r="J1148" s="36" t="str">
        <v>DV_Gội</v>
      </c>
      <c r="K1148" s="36">
        <v>940</v>
      </c>
      <c r="L1148" s="36" t="str">
        <f>K1148-J1148</f>
        <v>[NEW] Gội dưỡng sinh</v>
      </c>
      <c r="M1148">
        <v>0.06382978723404253</v>
      </c>
      <c r="N1148">
        <v>59000</v>
      </c>
      <c r="O1148">
        <v>63000</v>
      </c>
      <c r="P1148">
        <v>4000</v>
      </c>
    </row>
    <row r="1149">
      <c r="H1149">
        <v>106</v>
      </c>
      <c r="I1149" t="str">
        <v>76 PVH</v>
      </c>
      <c r="J1149" s="36" t="str">
        <v>DV_Gội</v>
      </c>
      <c r="K1149" s="36">
        <v>1058</v>
      </c>
      <c r="L1149" s="36" t="str">
        <f>K1149-J1149</f>
        <v>Gội Combo 2</v>
      </c>
      <c r="M1149">
        <v>0.06382978723404253</v>
      </c>
      <c r="N1149">
        <v>159000</v>
      </c>
      <c r="O1149">
        <v>169000</v>
      </c>
      <c r="P1149">
        <v>10000</v>
      </c>
    </row>
    <row r="1150">
      <c r="H1150">
        <v>106</v>
      </c>
      <c r="I1150" t="str">
        <v>76 PVH</v>
      </c>
      <c r="J1150" s="36" t="str">
        <v>DV_Gội</v>
      </c>
      <c r="K1150" s="36">
        <v>1059</v>
      </c>
      <c r="L1150" s="36" t="str">
        <f>K1150-J1150</f>
        <v>Gội Combo 3 - Chăm da</v>
      </c>
      <c r="M1150">
        <v>0.06382978723404253</v>
      </c>
      <c r="N1150">
        <v>239000</v>
      </c>
      <c r="O1150">
        <v>254000</v>
      </c>
      <c r="P1150">
        <v>15000</v>
      </c>
    </row>
    <row r="1151">
      <c r="H1151">
        <v>106</v>
      </c>
      <c r="I1151" t="str">
        <v>76 PVH</v>
      </c>
      <c r="J1151" s="36" t="str">
        <v>DV_Gội</v>
      </c>
      <c r="K1151" s="36">
        <v>1060</v>
      </c>
      <c r="L1151" s="36" t="str">
        <f>K1151-J1151</f>
        <v>Gội Combo 4</v>
      </c>
      <c r="M1151">
        <v>0.06382978723404253</v>
      </c>
      <c r="N1151">
        <v>319000</v>
      </c>
      <c r="O1151">
        <v>339000</v>
      </c>
      <c r="P1151">
        <v>20000</v>
      </c>
    </row>
    <row r="1152">
      <c r="H1152">
        <v>106</v>
      </c>
      <c r="I1152" t="str">
        <v>76 PVH</v>
      </c>
      <c r="J1152" s="36" t="str">
        <v>DV_Gội</v>
      </c>
      <c r="K1152" s="36">
        <v>1061</v>
      </c>
      <c r="L1152" s="36" t="str">
        <f>K1152-J1152</f>
        <v>Gội Combo 5 - Chăm da</v>
      </c>
      <c r="M1152">
        <v>0.06382978723404253</v>
      </c>
      <c r="N1152">
        <v>359000</v>
      </c>
      <c r="O1152">
        <v>382000</v>
      </c>
      <c r="P1152">
        <v>23000</v>
      </c>
    </row>
    <row r="1153">
      <c r="H1153">
        <v>106</v>
      </c>
      <c r="I1153" t="str">
        <v>76 PVH</v>
      </c>
      <c r="J1153" s="36" t="str">
        <v>DV_Gội</v>
      </c>
      <c r="K1153" s="36">
        <v>1066</v>
      </c>
      <c r="L1153" s="36" t="str">
        <f>K1153-J1153</f>
        <v>Gội trải nghiệm 75p</v>
      </c>
      <c r="M1153">
        <v>0.06382978723404253</v>
      </c>
      <c r="N1153">
        <v>589000</v>
      </c>
      <c r="O1153">
        <v>627000</v>
      </c>
      <c r="P1153">
        <v>38000</v>
      </c>
    </row>
    <row r="1154">
      <c r="H1154">
        <v>106</v>
      </c>
      <c r="I1154" t="str">
        <v>76 PVH</v>
      </c>
      <c r="J1154" s="36" t="str">
        <v>DV_Gội</v>
      </c>
      <c r="K1154" s="36">
        <v>1067</v>
      </c>
      <c r="L1154" s="36" t="str">
        <f>K1154-J1154</f>
        <v>Gội trải nghiệm 90p</v>
      </c>
      <c r="M1154">
        <v>0.06382978723404253</v>
      </c>
      <c r="N1154">
        <v>789000</v>
      </c>
      <c r="O1154">
        <v>839000</v>
      </c>
      <c r="P1154">
        <v>50000</v>
      </c>
    </row>
    <row r="1155">
      <c r="H1155">
        <v>106</v>
      </c>
      <c r="I1155" t="str">
        <v>76 PVH</v>
      </c>
      <c r="J1155" s="36" t="str">
        <v>DV_Gội</v>
      </c>
      <c r="K1155" s="36">
        <v>1068</v>
      </c>
      <c r="L1155" s="36" t="str">
        <f>K1155-J1155</f>
        <v>Gội trải nghiệm 115p</v>
      </c>
      <c r="M1155">
        <v>0.06382978723404253</v>
      </c>
      <c r="N1155">
        <v>999000</v>
      </c>
      <c r="O1155">
        <v>1063000</v>
      </c>
      <c r="P1155">
        <v>64000</v>
      </c>
    </row>
    <row r="1156">
      <c r="H1156">
        <v>106</v>
      </c>
      <c r="I1156" t="str">
        <v>76 PVH</v>
      </c>
      <c r="J1156" s="36" t="str">
        <v>DV_Spa</v>
      </c>
      <c r="K1156" s="36">
        <v>936</v>
      </c>
      <c r="L1156" s="36" t="str">
        <f>K1156-J1156</f>
        <v>[NEW] Chăm sóc da Shine Spa 199k (có phân tích da)</v>
      </c>
      <c r="M1156">
        <v>0.06382978723404253</v>
      </c>
      <c r="N1156">
        <v>199000</v>
      </c>
      <c r="O1156">
        <v>212000</v>
      </c>
      <c r="P1156">
        <v>13000</v>
      </c>
    </row>
    <row r="1157">
      <c r="H1157">
        <v>11</v>
      </c>
      <c r="I1157" t="str">
        <v>8 CVL</v>
      </c>
      <c r="J1157" s="36" t="str">
        <v>DV_Cắt</v>
      </c>
      <c r="K1157" s="36">
        <v>513</v>
      </c>
      <c r="L1157" s="36" t="str">
        <f>K1157-J1157</f>
        <v>[DV] ShineCombo 10 bước Ultra Care 2023</v>
      </c>
      <c r="M1157">
        <v>0</v>
      </c>
      <c r="N1157">
        <v>122000</v>
      </c>
      <c r="O1157">
        <v>122000</v>
      </c>
    </row>
    <row r="1158">
      <c r="H1158">
        <v>11</v>
      </c>
      <c r="I1158" t="str">
        <v>8 CVL</v>
      </c>
      <c r="J1158" s="36" t="str">
        <v>DV_Cắt</v>
      </c>
      <c r="K1158" s="36">
        <v>891</v>
      </c>
      <c r="L1158" s="36" t="str">
        <f>K1158-J1158</f>
        <v>Cắt xả tạo kiểu</v>
      </c>
      <c r="M1158">
        <v>0</v>
      </c>
      <c r="N1158">
        <v>100000</v>
      </c>
      <c r="O1158">
        <v>100000</v>
      </c>
    </row>
    <row r="1159">
      <c r="H1159">
        <v>11</v>
      </c>
      <c r="I1159" t="str">
        <v>8 CVL</v>
      </c>
      <c r="J1159" s="36" t="str">
        <v>DV_Cắt</v>
      </c>
      <c r="K1159" s="36">
        <v>1002</v>
      </c>
      <c r="L1159" s="36" t="str">
        <f>K1159-J1159</f>
        <v>Kid Cắt</v>
      </c>
      <c r="M1159">
        <v>0</v>
      </c>
      <c r="N1159">
        <v>81000</v>
      </c>
      <c r="O1159">
        <v>81000</v>
      </c>
    </row>
    <row r="1160">
      <c r="H1160">
        <v>11</v>
      </c>
      <c r="I1160" t="str">
        <v>8 CVL</v>
      </c>
      <c r="J1160" s="36" t="str">
        <v>DV_Cắt</v>
      </c>
      <c r="K1160" s="36">
        <v>1070</v>
      </c>
      <c r="L1160" s="36" t="str">
        <f>K1160-J1160</f>
        <v>Combo Cắt gội Kid</v>
      </c>
      <c r="M1160">
        <v>0</v>
      </c>
      <c r="N1160">
        <v>100000</v>
      </c>
      <c r="O1160">
        <v>100000</v>
      </c>
    </row>
    <row r="1161">
      <c r="H1161">
        <v>11</v>
      </c>
      <c r="I1161" t="str">
        <v>8 CVL</v>
      </c>
      <c r="J1161" s="36" t="str">
        <v>DV_Cắt_Vip</v>
      </c>
      <c r="K1161" s="36">
        <v>1046</v>
      </c>
      <c r="L1161" s="36" t="str">
        <f>K1161-J1161</f>
        <v>Shinecombo 2</v>
      </c>
      <c r="M1161">
        <v>0</v>
      </c>
      <c r="N1161">
        <v>205000</v>
      </c>
      <c r="O1161">
        <v>205000</v>
      </c>
    </row>
    <row r="1162">
      <c r="H1162">
        <v>11</v>
      </c>
      <c r="I1162" t="str">
        <v>8 CVL</v>
      </c>
      <c r="J1162" s="36" t="str">
        <v>DV_Cắt_Vip</v>
      </c>
      <c r="K1162" s="36">
        <v>1047</v>
      </c>
      <c r="L1162" s="36" t="str">
        <f>K1162-J1162</f>
        <v>Cắt Gội Combo 3 - Chăm da</v>
      </c>
      <c r="M1162">
        <v>0</v>
      </c>
      <c r="N1162">
        <v>293000</v>
      </c>
      <c r="O1162">
        <v>293000</v>
      </c>
    </row>
    <row r="1163">
      <c r="H1163">
        <v>11</v>
      </c>
      <c r="I1163" t="str">
        <v>8 CVL</v>
      </c>
      <c r="J1163" s="36" t="str">
        <v>DV_Cắt_Vip</v>
      </c>
      <c r="K1163" s="36">
        <v>1048</v>
      </c>
      <c r="L1163" s="36" t="str">
        <f>K1163-J1163</f>
        <v>Combo 4</v>
      </c>
      <c r="M1163">
        <v>0</v>
      </c>
      <c r="N1163">
        <v>395000</v>
      </c>
      <c r="O1163">
        <v>395000</v>
      </c>
    </row>
    <row r="1164">
      <c r="H1164">
        <v>11</v>
      </c>
      <c r="I1164" t="str">
        <v>8 CVL</v>
      </c>
      <c r="J1164" s="36" t="str">
        <v>DV_Cắt_Vip</v>
      </c>
      <c r="K1164" s="36">
        <v>1049</v>
      </c>
      <c r="L1164" s="36" t="str">
        <f>K1164-J1164</f>
        <v>Cắt Gội Combo 5 - Chăm da</v>
      </c>
      <c r="M1164">
        <v>0</v>
      </c>
      <c r="N1164">
        <v>399000</v>
      </c>
      <c r="O1164">
        <v>399000</v>
      </c>
    </row>
    <row r="1165">
      <c r="H1165">
        <v>11</v>
      </c>
      <c r="I1165" t="str">
        <v>8 CVL</v>
      </c>
      <c r="J1165" s="36" t="str">
        <v>DV_Cắt_Vip</v>
      </c>
      <c r="K1165" s="36">
        <v>1064</v>
      </c>
      <c r="L1165" s="36" t="str">
        <f>K1165-J1165</f>
        <v>Cắt Gội Combo 5 - Dưỡng sinh</v>
      </c>
      <c r="M1165">
        <v>0</v>
      </c>
      <c r="N1165">
        <v>465000</v>
      </c>
      <c r="O1165">
        <v>465000</v>
      </c>
    </row>
    <row r="1166">
      <c r="H1166">
        <v>11</v>
      </c>
      <c r="I1166" t="str">
        <v>8 CVL</v>
      </c>
      <c r="J1166" s="36" t="str">
        <v>DV_Cắt_Vip</v>
      </c>
      <c r="K1166" s="36">
        <v>1065</v>
      </c>
      <c r="L1166" s="36" t="str">
        <f>K1166-J1166</f>
        <v>Cắt Gội Combo 3 - Dưỡng sinh</v>
      </c>
      <c r="M1166">
        <v>0</v>
      </c>
      <c r="N1166">
        <v>305000</v>
      </c>
      <c r="O1166">
        <v>305000</v>
      </c>
    </row>
    <row r="1167">
      <c r="H1167">
        <v>11</v>
      </c>
      <c r="I1167" t="str">
        <v>8 CVL</v>
      </c>
      <c r="J1167" s="36" t="str">
        <v>DV_Cắt_Vip</v>
      </c>
      <c r="K1167" s="36">
        <v>1194</v>
      </c>
      <c r="L1167" s="36" t="str">
        <f>K1167-J1167</f>
        <v>Combo Best choice</v>
      </c>
      <c r="M1167">
        <v>0</v>
      </c>
      <c r="N1167">
        <v>305000</v>
      </c>
      <c r="O1167">
        <v>305000</v>
      </c>
    </row>
    <row r="1168">
      <c r="H1168">
        <v>11</v>
      </c>
      <c r="I1168" t="str">
        <v>8 CVL</v>
      </c>
      <c r="J1168" s="36" t="str">
        <v>DV_Gội</v>
      </c>
      <c r="K1168" s="36">
        <v>867</v>
      </c>
      <c r="L1168" s="36" t="str">
        <f>K1168-J1168</f>
        <v>Gội dưỡng sinh cổ vai gáy</v>
      </c>
      <c r="M1168">
        <v>0</v>
      </c>
      <c r="N1168">
        <v>99000</v>
      </c>
      <c r="O1168">
        <v>99000</v>
      </c>
    </row>
    <row r="1169">
      <c r="H1169">
        <v>11</v>
      </c>
      <c r="I1169" t="str">
        <v>8 CVL</v>
      </c>
      <c r="J1169" s="36" t="str">
        <v>DV_Gội</v>
      </c>
      <c r="K1169" s="36">
        <v>930</v>
      </c>
      <c r="L1169" s="36" t="str">
        <f>K1169-J1169</f>
        <v>[NEW] Gội dưỡng sinh cổ vai gáy và chăm sóc da</v>
      </c>
      <c r="M1169">
        <v>0</v>
      </c>
      <c r="N1169">
        <v>139000</v>
      </c>
      <c r="O1169">
        <v>139000</v>
      </c>
    </row>
    <row r="1170">
      <c r="H1170">
        <v>11</v>
      </c>
      <c r="I1170" t="str">
        <v>8 CVL</v>
      </c>
      <c r="J1170" s="36" t="str">
        <v>DV_Gội</v>
      </c>
      <c r="K1170" s="36">
        <v>932</v>
      </c>
      <c r="L1170" s="36" t="str">
        <f>K1170-J1170</f>
        <v>Gội combo 5 dưỡng sinh</v>
      </c>
      <c r="M1170">
        <v>0</v>
      </c>
      <c r="N1170">
        <v>389000</v>
      </c>
      <c r="O1170">
        <v>389000</v>
      </c>
    </row>
    <row r="1171">
      <c r="H1171">
        <v>11</v>
      </c>
      <c r="I1171" t="str">
        <v>8 CVL</v>
      </c>
      <c r="J1171" s="36" t="str">
        <v>DV_Gội</v>
      </c>
      <c r="K1171" s="36">
        <v>934</v>
      </c>
      <c r="L1171" s="36" t="str">
        <f>K1171-J1171</f>
        <v>Gội combo 3 - Dưỡng sinh</v>
      </c>
      <c r="M1171">
        <v>0</v>
      </c>
      <c r="N1171">
        <v>229000</v>
      </c>
      <c r="O1171">
        <v>229000</v>
      </c>
    </row>
    <row r="1172">
      <c r="H1172">
        <v>11</v>
      </c>
      <c r="I1172" t="str">
        <v>8 CVL</v>
      </c>
      <c r="J1172" s="36" t="str">
        <v>DV_Gội</v>
      </c>
      <c r="K1172" s="36">
        <v>940</v>
      </c>
      <c r="L1172" s="36" t="str">
        <f>K1172-J1172</f>
        <v>[NEW] Gội dưỡng sinh</v>
      </c>
      <c r="M1172">
        <v>0</v>
      </c>
      <c r="N1172">
        <v>59000</v>
      </c>
      <c r="O1172">
        <v>59000</v>
      </c>
    </row>
    <row r="1173">
      <c r="H1173">
        <v>11</v>
      </c>
      <c r="I1173" t="str">
        <v>8 CVL</v>
      </c>
      <c r="J1173" s="36" t="str">
        <v>DV_Gội</v>
      </c>
      <c r="K1173" s="36">
        <v>1058</v>
      </c>
      <c r="L1173" s="36" t="str">
        <f>K1173-J1173</f>
        <v>Gội Combo 2</v>
      </c>
      <c r="M1173">
        <v>0</v>
      </c>
      <c r="N1173">
        <v>159000</v>
      </c>
      <c r="O1173">
        <v>159000</v>
      </c>
    </row>
    <row r="1174">
      <c r="H1174">
        <v>11</v>
      </c>
      <c r="I1174" t="str">
        <v>8 CVL</v>
      </c>
      <c r="J1174" s="36" t="str">
        <v>DV_Gội</v>
      </c>
      <c r="K1174" s="36">
        <v>1059</v>
      </c>
      <c r="L1174" s="36" t="str">
        <f>K1174-J1174</f>
        <v>Gội Combo 3 - Chăm da</v>
      </c>
      <c r="M1174">
        <v>0</v>
      </c>
      <c r="N1174">
        <v>219000</v>
      </c>
      <c r="O1174">
        <v>219000</v>
      </c>
    </row>
    <row r="1175">
      <c r="H1175">
        <v>11</v>
      </c>
      <c r="I1175" t="str">
        <v>8 CVL</v>
      </c>
      <c r="J1175" s="36" t="str">
        <v>DV_Gội</v>
      </c>
      <c r="K1175" s="36">
        <v>1060</v>
      </c>
      <c r="L1175" s="36" t="str">
        <f>K1175-J1175</f>
        <v>Gội Combo 4</v>
      </c>
      <c r="M1175">
        <v>0</v>
      </c>
      <c r="N1175">
        <v>319000</v>
      </c>
      <c r="O1175">
        <v>319000</v>
      </c>
    </row>
    <row r="1176">
      <c r="H1176">
        <v>11</v>
      </c>
      <c r="I1176" t="str">
        <v>8 CVL</v>
      </c>
      <c r="J1176" s="36" t="str">
        <v>DV_Gội</v>
      </c>
      <c r="K1176" s="36">
        <v>1061</v>
      </c>
      <c r="L1176" s="36" t="str">
        <f>K1176-J1176</f>
        <v>Gội Combo 5 - Chăm da</v>
      </c>
      <c r="M1176">
        <v>0</v>
      </c>
      <c r="N1176">
        <v>359000</v>
      </c>
      <c r="O1176">
        <v>359000</v>
      </c>
    </row>
    <row r="1177">
      <c r="H1177">
        <v>11</v>
      </c>
      <c r="I1177" t="str">
        <v>8 CVL</v>
      </c>
      <c r="J1177" s="36" t="str">
        <v>DV_Gội</v>
      </c>
      <c r="K1177" s="36">
        <v>1066</v>
      </c>
      <c r="L1177" s="36" t="str">
        <f>K1177-J1177</f>
        <v>Gội trải nghiệm 75p</v>
      </c>
      <c r="M1177">
        <v>0</v>
      </c>
      <c r="N1177">
        <v>459000</v>
      </c>
      <c r="O1177">
        <v>459000</v>
      </c>
    </row>
    <row r="1178">
      <c r="H1178">
        <v>11</v>
      </c>
      <c r="I1178" t="str">
        <v>8 CVL</v>
      </c>
      <c r="J1178" s="36" t="str">
        <v>DV_Gội</v>
      </c>
      <c r="K1178" s="36">
        <v>1067</v>
      </c>
      <c r="L1178" s="36" t="str">
        <f>K1178-J1178</f>
        <v>Gội trải nghiệm 90p</v>
      </c>
      <c r="M1178">
        <v>0</v>
      </c>
      <c r="N1178">
        <v>789000</v>
      </c>
      <c r="O1178">
        <v>789000</v>
      </c>
    </row>
    <row r="1179">
      <c r="H1179">
        <v>11</v>
      </c>
      <c r="I1179" t="str">
        <v>8 CVL</v>
      </c>
      <c r="J1179" s="36" t="str">
        <v>DV_Gội</v>
      </c>
      <c r="K1179" s="36">
        <v>1068</v>
      </c>
      <c r="L1179" s="36" t="str">
        <f>K1179-J1179</f>
        <v>Gội trải nghiệm 115p</v>
      </c>
      <c r="M1179">
        <v>0</v>
      </c>
      <c r="N1179">
        <v>999000</v>
      </c>
      <c r="O1179">
        <v>999000</v>
      </c>
    </row>
    <row r="1180">
      <c r="H1180">
        <v>11</v>
      </c>
      <c r="I1180" t="str">
        <v>8 CVL</v>
      </c>
      <c r="J1180" s="36" t="str">
        <v>DV_Spa</v>
      </c>
      <c r="K1180" s="36">
        <v>936</v>
      </c>
      <c r="L1180" s="36" t="str">
        <f>K1180-J1180</f>
        <v>[NEW] Chăm sóc da Shine Spa 199k (có phân tích da)</v>
      </c>
      <c r="M1180">
        <v>0</v>
      </c>
      <c r="N1180">
        <v>199000</v>
      </c>
      <c r="O1180">
        <v>199000</v>
      </c>
    </row>
    <row r="1181">
      <c r="H1181">
        <v>60</v>
      </c>
      <c r="I1181" t="str">
        <v>80 PL BD</v>
      </c>
      <c r="J1181" s="36" t="str">
        <v>DV_Cắt</v>
      </c>
      <c r="K1181" s="36">
        <v>513</v>
      </c>
      <c r="L1181" s="36" t="str">
        <f>K1181-J1181</f>
        <v>[DV] ShineCombo 10 bước Ultra Care 2023</v>
      </c>
      <c r="M1181">
        <v>0.02127659574468077</v>
      </c>
      <c r="N1181">
        <v>122000</v>
      </c>
      <c r="O1181">
        <v>122000</v>
      </c>
    </row>
    <row r="1182">
      <c r="H1182">
        <v>60</v>
      </c>
      <c r="I1182" t="str">
        <v>80 PL BD</v>
      </c>
      <c r="J1182" s="36" t="str">
        <v>DV_Cắt</v>
      </c>
      <c r="K1182" s="36">
        <v>891</v>
      </c>
      <c r="L1182" s="36" t="str">
        <f>K1182-J1182</f>
        <v>Cắt xả tạo kiểu</v>
      </c>
      <c r="M1182">
        <v>0.02127659574468077</v>
      </c>
      <c r="N1182">
        <v>94000</v>
      </c>
      <c r="O1182">
        <v>96000</v>
      </c>
      <c r="P1182">
        <v>2000</v>
      </c>
    </row>
    <row r="1183">
      <c r="H1183">
        <v>60</v>
      </c>
      <c r="I1183" t="str">
        <v>80 PL BD</v>
      </c>
      <c r="J1183" s="36" t="str">
        <v>DV_Cắt</v>
      </c>
      <c r="K1183" s="36">
        <v>1002</v>
      </c>
      <c r="L1183" s="36" t="str">
        <f>K1183-J1183</f>
        <v>Kid Cắt</v>
      </c>
      <c r="M1183">
        <v>0.02127659574468077</v>
      </c>
      <c r="N1183">
        <v>75000</v>
      </c>
      <c r="O1183">
        <v>77000</v>
      </c>
      <c r="P1183">
        <v>2000</v>
      </c>
    </row>
    <row r="1184">
      <c r="H1184">
        <v>60</v>
      </c>
      <c r="I1184" t="str">
        <v>80 PL BD</v>
      </c>
      <c r="J1184" s="36" t="str">
        <v>DV_Cắt</v>
      </c>
      <c r="K1184" s="36">
        <v>1070</v>
      </c>
      <c r="L1184" s="36" t="str">
        <f>K1184-J1184</f>
        <v>Combo Cắt gội Kid</v>
      </c>
      <c r="M1184">
        <v>0.02127659574468077</v>
      </c>
      <c r="N1184">
        <v>100000</v>
      </c>
      <c r="O1184">
        <v>102000</v>
      </c>
      <c r="P1184">
        <v>2000</v>
      </c>
    </row>
    <row r="1185">
      <c r="H1185">
        <v>60</v>
      </c>
      <c r="I1185" t="str">
        <v>80 PL BD</v>
      </c>
      <c r="J1185" s="36" t="str">
        <v>DV_Cắt_Vip</v>
      </c>
      <c r="K1185" s="36">
        <v>1046</v>
      </c>
      <c r="L1185" s="36" t="str">
        <f>K1185-J1185</f>
        <v>Shinecombo 2</v>
      </c>
      <c r="M1185">
        <v>0.02127659574468077</v>
      </c>
      <c r="N1185">
        <v>199000</v>
      </c>
      <c r="O1185">
        <v>203000</v>
      </c>
      <c r="P1185">
        <v>4000</v>
      </c>
    </row>
    <row r="1186">
      <c r="H1186">
        <v>60</v>
      </c>
      <c r="I1186" t="str">
        <v>80 PL BD</v>
      </c>
      <c r="J1186" s="36" t="str">
        <v>DV_Cắt_Vip</v>
      </c>
      <c r="K1186" s="36">
        <v>1047</v>
      </c>
      <c r="L1186" s="36" t="str">
        <f>K1186-J1186</f>
        <v>Cắt Gội Combo 3 - Chăm da</v>
      </c>
      <c r="M1186">
        <v>0.02127659574468077</v>
      </c>
      <c r="N1186">
        <v>299000</v>
      </c>
      <c r="O1186">
        <v>305000</v>
      </c>
      <c r="P1186">
        <v>6000</v>
      </c>
    </row>
    <row r="1187">
      <c r="H1187">
        <v>60</v>
      </c>
      <c r="I1187" t="str">
        <v>80 PL BD</v>
      </c>
      <c r="J1187" s="36" t="str">
        <v>DV_Cắt_Vip</v>
      </c>
      <c r="K1187" s="36">
        <v>1048</v>
      </c>
      <c r="L1187" s="36" t="str">
        <f>K1187-J1187</f>
        <v>Combo 4</v>
      </c>
      <c r="M1187">
        <v>0.02127659574468077</v>
      </c>
      <c r="N1187">
        <v>389000</v>
      </c>
      <c r="O1187">
        <v>397000</v>
      </c>
      <c r="P1187">
        <v>8000</v>
      </c>
    </row>
    <row r="1188">
      <c r="H1188">
        <v>60</v>
      </c>
      <c r="I1188" t="str">
        <v>80 PL BD</v>
      </c>
      <c r="J1188" s="36" t="str">
        <v>DV_Cắt_Vip</v>
      </c>
      <c r="K1188" s="36">
        <v>1064</v>
      </c>
      <c r="L1188" s="36" t="str">
        <f>K1188-J1188</f>
        <v>Cắt Gội Combo 5 - Dưỡng sinh</v>
      </c>
      <c r="M1188">
        <v>0.02127659574468077</v>
      </c>
      <c r="N1188">
        <v>459000</v>
      </c>
      <c r="O1188">
        <v>469000</v>
      </c>
      <c r="P1188">
        <v>10000</v>
      </c>
    </row>
    <row r="1189">
      <c r="H1189">
        <v>60</v>
      </c>
      <c r="I1189" t="str">
        <v>80 PL BD</v>
      </c>
      <c r="J1189" s="36" t="str">
        <v>DV_Cắt_Vip</v>
      </c>
      <c r="K1189" s="36">
        <v>1065</v>
      </c>
      <c r="L1189" s="36" t="str">
        <f>K1189-J1189</f>
        <v>Cắt Gội Combo 3 - Dưỡng sinh</v>
      </c>
      <c r="M1189">
        <v>0.02127659574468077</v>
      </c>
      <c r="N1189">
        <v>299000</v>
      </c>
      <c r="O1189">
        <v>305000</v>
      </c>
      <c r="P1189">
        <v>6000</v>
      </c>
    </row>
    <row r="1190">
      <c r="H1190">
        <v>60</v>
      </c>
      <c r="I1190" t="str">
        <v>80 PL BD</v>
      </c>
      <c r="J1190" s="36" t="str">
        <v>DV_Cắt_Vip</v>
      </c>
      <c r="K1190" s="36">
        <v>1150</v>
      </c>
      <c r="L1190" s="36" t="str">
        <f>K1190-J1190</f>
        <v>Combo cắt gội đỉnh cao thư giãn vip</v>
      </c>
      <c r="M1190">
        <v>0.02127659574468077</v>
      </c>
      <c r="N1190">
        <v>500000</v>
      </c>
      <c r="O1190">
        <v>511000</v>
      </c>
      <c r="P1190">
        <v>11000</v>
      </c>
    </row>
    <row r="1191">
      <c r="H1191">
        <v>60</v>
      </c>
      <c r="I1191" t="str">
        <v>80 PL BD</v>
      </c>
      <c r="J1191" s="36" t="str">
        <v>DV_Gội</v>
      </c>
      <c r="K1191" s="36">
        <v>867</v>
      </c>
      <c r="L1191" s="36" t="str">
        <f>K1191-J1191</f>
        <v>Gội dưỡng sinh cổ vai gáy</v>
      </c>
      <c r="M1191">
        <v>0.02127659574468077</v>
      </c>
      <c r="N1191">
        <v>95000</v>
      </c>
      <c r="O1191">
        <v>97000</v>
      </c>
      <c r="P1191">
        <v>2000</v>
      </c>
    </row>
    <row r="1192">
      <c r="H1192">
        <v>60</v>
      </c>
      <c r="I1192" t="str">
        <v>80 PL BD</v>
      </c>
      <c r="J1192" t="str">
        <v>DV_Gội</v>
      </c>
      <c r="K1192">
        <v>930</v>
      </c>
      <c r="L1192" t="str">
        <v>[NEW] Gội dưỡng sinh cổ vai gáy và chăm sóc da</v>
      </c>
      <c r="M1192">
        <v>0.02127659574468077</v>
      </c>
      <c r="N1192">
        <v>139000</v>
      </c>
      <c r="O1192">
        <v>142000</v>
      </c>
      <c r="P1192">
        <v>3000</v>
      </c>
    </row>
    <row r="1193">
      <c r="H1193">
        <v>60</v>
      </c>
      <c r="I1193" t="str">
        <v>80 PL BD</v>
      </c>
      <c r="J1193" t="str">
        <v>DV_Gội</v>
      </c>
      <c r="K1193">
        <v>934</v>
      </c>
      <c r="L1193" t="str">
        <v>Gội combo 3 - Dưỡng sinh</v>
      </c>
      <c r="M1193">
        <v>0.02127659574468077</v>
      </c>
      <c r="N1193">
        <v>229000</v>
      </c>
      <c r="O1193">
        <v>234000</v>
      </c>
      <c r="P1193">
        <v>5000</v>
      </c>
    </row>
    <row r="1194">
      <c r="H1194">
        <v>60</v>
      </c>
      <c r="I1194" t="str">
        <v>80 PL BD</v>
      </c>
      <c r="J1194" t="str">
        <v>DV_Gội</v>
      </c>
      <c r="K1194">
        <v>940</v>
      </c>
      <c r="L1194" t="str">
        <v>[NEW] Gội dưỡng sinh</v>
      </c>
      <c r="M1194">
        <v>0.02127659574468077</v>
      </c>
      <c r="N1194">
        <v>59000</v>
      </c>
      <c r="O1194">
        <v>60000</v>
      </c>
      <c r="P1194">
        <v>1000</v>
      </c>
    </row>
    <row r="1195">
      <c r="H1195">
        <v>60</v>
      </c>
      <c r="I1195" t="str">
        <v>80 PL BD</v>
      </c>
      <c r="J1195" t="str">
        <v>DV_Gội</v>
      </c>
      <c r="K1195">
        <v>1058</v>
      </c>
      <c r="L1195" t="str">
        <v>Gội Combo 2</v>
      </c>
      <c r="M1195">
        <v>0.02127659574468077</v>
      </c>
      <c r="N1195">
        <v>159000</v>
      </c>
      <c r="O1195">
        <v>162000</v>
      </c>
      <c r="P1195">
        <v>3000</v>
      </c>
    </row>
    <row r="1196">
      <c r="H1196">
        <v>60</v>
      </c>
      <c r="I1196" t="str">
        <v>80 PL BD</v>
      </c>
      <c r="J1196" t="str">
        <v>DV_Gội</v>
      </c>
      <c r="K1196">
        <v>1059</v>
      </c>
      <c r="L1196" t="str">
        <v>Gội Combo 3 - Chăm da</v>
      </c>
      <c r="M1196">
        <v>0.02127659574468077</v>
      </c>
      <c r="N1196">
        <v>239000</v>
      </c>
      <c r="O1196">
        <v>244000</v>
      </c>
      <c r="P1196">
        <v>5000</v>
      </c>
    </row>
    <row r="1197">
      <c r="H1197">
        <v>60</v>
      </c>
      <c r="I1197" t="str">
        <v>80 PL BD</v>
      </c>
      <c r="J1197" t="str">
        <v>DV_Gội</v>
      </c>
      <c r="K1197">
        <v>1060</v>
      </c>
      <c r="L1197" t="str">
        <v>Gội Combo 4</v>
      </c>
      <c r="M1197">
        <v>0.02127659574468077</v>
      </c>
      <c r="N1197">
        <v>289000</v>
      </c>
      <c r="O1197">
        <v>295000</v>
      </c>
      <c r="P1197">
        <v>6000</v>
      </c>
    </row>
    <row r="1198">
      <c r="H1198">
        <v>60</v>
      </c>
      <c r="I1198" t="str">
        <v>80 PL BD</v>
      </c>
      <c r="J1198" t="str">
        <v>DV_Gội</v>
      </c>
      <c r="K1198">
        <v>1066</v>
      </c>
      <c r="L1198" t="str">
        <v>Gội trải nghiệm 75p</v>
      </c>
      <c r="M1198">
        <v>0.02127659574468077</v>
      </c>
      <c r="N1198">
        <v>589000</v>
      </c>
      <c r="O1198">
        <v>602000</v>
      </c>
      <c r="P1198">
        <v>13000</v>
      </c>
    </row>
    <row r="1199">
      <c r="H1199">
        <v>60</v>
      </c>
      <c r="I1199" t="str">
        <v>80 PL BD</v>
      </c>
      <c r="J1199" t="str">
        <v>DV_Gội</v>
      </c>
      <c r="K1199">
        <v>1067</v>
      </c>
      <c r="L1199" t="str">
        <v>Gội trải nghiệm 90p</v>
      </c>
      <c r="M1199">
        <v>0.02127659574468077</v>
      </c>
      <c r="N1199">
        <v>789000</v>
      </c>
      <c r="O1199">
        <v>806000</v>
      </c>
      <c r="P1199">
        <v>17000</v>
      </c>
    </row>
    <row r="1200">
      <c r="H1200">
        <v>60</v>
      </c>
      <c r="I1200" t="str">
        <v>80 PL BD</v>
      </c>
      <c r="J1200" t="str">
        <v>DV_Gội</v>
      </c>
      <c r="K1200">
        <v>1068</v>
      </c>
      <c r="L1200" t="str">
        <v>Gội trải nghiệm 115p</v>
      </c>
      <c r="M1200">
        <v>0.02127659574468077</v>
      </c>
      <c r="N1200">
        <v>999000</v>
      </c>
      <c r="O1200">
        <v>1020000</v>
      </c>
      <c r="P1200">
        <v>21000</v>
      </c>
    </row>
    <row r="1201">
      <c r="H1201">
        <v>60</v>
      </c>
      <c r="I1201" t="str">
        <v>80 PL BD</v>
      </c>
      <c r="J1201" t="str">
        <v>DV_Spa</v>
      </c>
      <c r="K1201">
        <v>936</v>
      </c>
      <c r="L1201" t="str">
        <v>[NEW] Chăm sóc da Shine Spa 199k (có phân tích da)</v>
      </c>
      <c r="M1201">
        <v>0.02127659574468077</v>
      </c>
      <c r="N1201">
        <v>199000</v>
      </c>
      <c r="O1201">
        <v>203000</v>
      </c>
      <c r="P1201">
        <v>4000</v>
      </c>
    </row>
    <row r="1202">
      <c r="H1202">
        <v>232</v>
      </c>
      <c r="I1202" t="str">
        <v>80 TP TH</v>
      </c>
      <c r="J1202" t="str">
        <v>DV_Cắt</v>
      </c>
      <c r="K1202">
        <v>513</v>
      </c>
      <c r="L1202" t="str">
        <v>[DV] ShineCombo 10 bước Ultra Care 2023</v>
      </c>
      <c r="M1202">
        <v>0.06796116504854366</v>
      </c>
      <c r="N1202">
        <v>122000</v>
      </c>
      <c r="O1202">
        <v>122000</v>
      </c>
    </row>
    <row r="1203">
      <c r="H1203">
        <v>232</v>
      </c>
      <c r="I1203" t="str">
        <v>80 TP TH</v>
      </c>
      <c r="J1203" t="str">
        <v>DV_Cắt</v>
      </c>
      <c r="K1203">
        <v>891</v>
      </c>
      <c r="L1203" t="str">
        <v>Cắt xả tạo kiểu</v>
      </c>
      <c r="M1203">
        <v>0.06796116504854366</v>
      </c>
      <c r="N1203">
        <v>103000</v>
      </c>
      <c r="O1203">
        <v>110000</v>
      </c>
      <c r="P1203">
        <v>7000</v>
      </c>
    </row>
    <row r="1204">
      <c r="H1204">
        <v>232</v>
      </c>
      <c r="I1204" t="str">
        <v>80 TP TH</v>
      </c>
      <c r="J1204" t="str">
        <v>DV_Cắt</v>
      </c>
      <c r="K1204">
        <v>1002</v>
      </c>
      <c r="L1204" t="str">
        <v>Kid Cắt</v>
      </c>
      <c r="M1204">
        <v>0.06796116504854366</v>
      </c>
      <c r="N1204">
        <v>84000</v>
      </c>
      <c r="O1204">
        <v>90000</v>
      </c>
      <c r="P1204">
        <v>6000</v>
      </c>
    </row>
    <row r="1205">
      <c r="H1205">
        <v>232</v>
      </c>
      <c r="I1205" t="str">
        <v>80 TP TH</v>
      </c>
      <c r="J1205" t="str">
        <v>DV_Cắt</v>
      </c>
      <c r="K1205">
        <v>1070</v>
      </c>
      <c r="L1205" t="str">
        <v>Combo Cắt gội Kid</v>
      </c>
      <c r="M1205">
        <v>0.06796116504854366</v>
      </c>
      <c r="N1205">
        <v>100000</v>
      </c>
      <c r="O1205">
        <v>107000</v>
      </c>
      <c r="P1205">
        <v>7000</v>
      </c>
    </row>
    <row r="1206">
      <c r="H1206">
        <v>232</v>
      </c>
      <c r="I1206" t="str">
        <v>80 TP TH</v>
      </c>
      <c r="J1206" t="str">
        <v>DV_Cắt</v>
      </c>
      <c r="K1206">
        <v>1255</v>
      </c>
      <c r="L1206" t="str">
        <v>VH Cắt gội dưỡng sinh Vip</v>
      </c>
      <c r="M1206">
        <v>0.06796116504854366</v>
      </c>
      <c r="N1206">
        <v>258000</v>
      </c>
      <c r="O1206">
        <v>276000</v>
      </c>
      <c r="P1206">
        <v>18000</v>
      </c>
    </row>
    <row r="1207">
      <c r="H1207">
        <v>232</v>
      </c>
      <c r="I1207" t="str">
        <v>80 TP TH</v>
      </c>
      <c r="J1207" t="str">
        <v>DV_Cắt_Vip</v>
      </c>
      <c r="K1207">
        <v>1046</v>
      </c>
      <c r="L1207" t="str">
        <v>Shinecombo 2</v>
      </c>
      <c r="M1207">
        <v>0.06796116504854366</v>
      </c>
      <c r="N1207">
        <v>208000</v>
      </c>
      <c r="O1207">
        <v>222000</v>
      </c>
      <c r="P1207">
        <v>14000</v>
      </c>
    </row>
    <row r="1208">
      <c r="H1208">
        <v>232</v>
      </c>
      <c r="I1208" t="str">
        <v>80 TP TH</v>
      </c>
      <c r="J1208" t="str">
        <v>DV_Cắt_Vip</v>
      </c>
      <c r="K1208">
        <v>1047</v>
      </c>
      <c r="L1208" t="str">
        <v>Cắt Gội Combo 3 - Chăm da</v>
      </c>
      <c r="M1208">
        <v>0.06796116504854366</v>
      </c>
      <c r="N1208">
        <v>308000</v>
      </c>
      <c r="O1208">
        <v>329000</v>
      </c>
      <c r="P1208">
        <v>21000</v>
      </c>
    </row>
    <row r="1209">
      <c r="H1209">
        <v>232</v>
      </c>
      <c r="I1209" t="str">
        <v>80 TP TH</v>
      </c>
      <c r="J1209" t="str">
        <v>DV_Cắt_Vip</v>
      </c>
      <c r="K1209">
        <v>1048</v>
      </c>
      <c r="L1209" t="str">
        <v>Combo 4</v>
      </c>
      <c r="M1209">
        <v>0.06796116504854366</v>
      </c>
      <c r="N1209">
        <v>398000</v>
      </c>
      <c r="O1209">
        <v>425000</v>
      </c>
      <c r="P1209">
        <v>27000</v>
      </c>
    </row>
    <row r="1210">
      <c r="H1210">
        <v>232</v>
      </c>
      <c r="I1210" t="str">
        <v>80 TP TH</v>
      </c>
      <c r="J1210" t="str">
        <v>DV_Cắt_Vip</v>
      </c>
      <c r="K1210">
        <v>1064</v>
      </c>
      <c r="L1210" t="str">
        <v>Cắt Gội Combo 5 - Dưỡng sinh</v>
      </c>
      <c r="M1210">
        <v>0.06796116504854366</v>
      </c>
      <c r="N1210">
        <v>459000</v>
      </c>
      <c r="O1210">
        <v>490000</v>
      </c>
      <c r="P1210">
        <v>31000</v>
      </c>
    </row>
    <row r="1211">
      <c r="H1211">
        <v>232</v>
      </c>
      <c r="I1211" t="str">
        <v>80 TP TH</v>
      </c>
      <c r="J1211" t="str">
        <v>DV_Cắt_Vip</v>
      </c>
      <c r="K1211">
        <v>1065</v>
      </c>
      <c r="L1211" t="str">
        <v>Cắt Gội Combo 3 - Dưỡng sinh</v>
      </c>
      <c r="M1211">
        <v>0.06796116504854366</v>
      </c>
      <c r="N1211">
        <v>308000</v>
      </c>
      <c r="O1211">
        <v>329000</v>
      </c>
      <c r="P1211">
        <v>21000</v>
      </c>
    </row>
    <row r="1212">
      <c r="H1212">
        <v>232</v>
      </c>
      <c r="I1212" t="str">
        <v>80 TP TH</v>
      </c>
      <c r="J1212" t="str">
        <v>DV_Cắt_Vip</v>
      </c>
      <c r="K1212">
        <v>1256</v>
      </c>
      <c r="L1212" t="str">
        <v>VH Cắt gội dưỡng sinh Vip LRT</v>
      </c>
      <c r="M1212">
        <v>0.06796116504854366</v>
      </c>
      <c r="N1212">
        <v>308000</v>
      </c>
      <c r="O1212">
        <v>329000</v>
      </c>
      <c r="P1212">
        <v>21000</v>
      </c>
    </row>
    <row r="1213">
      <c r="H1213">
        <v>232</v>
      </c>
      <c r="I1213" t="str">
        <v>80 TP TH</v>
      </c>
      <c r="J1213" t="str">
        <v>DV_Cắt_Vip</v>
      </c>
      <c r="K1213">
        <v>1257</v>
      </c>
      <c r="L1213" t="str">
        <v>VH Cắt gội thư giãn phục hồi</v>
      </c>
      <c r="M1213">
        <v>0.06796116504854366</v>
      </c>
      <c r="N1213">
        <v>458000</v>
      </c>
      <c r="O1213">
        <v>489000</v>
      </c>
      <c r="P1213">
        <v>31000</v>
      </c>
    </row>
    <row r="1214">
      <c r="H1214">
        <v>232</v>
      </c>
      <c r="I1214" t="str">
        <v>80 TP TH</v>
      </c>
      <c r="J1214" t="str">
        <v>DV_Gội</v>
      </c>
      <c r="K1214">
        <v>867</v>
      </c>
      <c r="L1214" t="str">
        <v>Gội dưỡng sinh cổ vai gáy</v>
      </c>
      <c r="M1214">
        <v>0.06796116504854366</v>
      </c>
      <c r="N1214">
        <v>99000</v>
      </c>
      <c r="O1214">
        <v>106000</v>
      </c>
      <c r="P1214">
        <v>7000</v>
      </c>
    </row>
    <row r="1215">
      <c r="H1215">
        <v>232</v>
      </c>
      <c r="I1215" t="str">
        <v>80 TP TH</v>
      </c>
      <c r="J1215" t="str">
        <v>DV_Gội</v>
      </c>
      <c r="K1215">
        <v>930</v>
      </c>
      <c r="L1215" t="str">
        <v>[NEW] Gội dưỡng sinh cổ vai gáy và chăm sóc da</v>
      </c>
      <c r="M1215">
        <v>0.06796116504854366</v>
      </c>
      <c r="N1215">
        <v>139000</v>
      </c>
      <c r="O1215">
        <v>148000</v>
      </c>
      <c r="P1215">
        <v>9000</v>
      </c>
    </row>
    <row r="1216">
      <c r="H1216">
        <v>232</v>
      </c>
      <c r="I1216" t="str">
        <v>80 TP TH</v>
      </c>
      <c r="J1216" t="str">
        <v>DV_Gội</v>
      </c>
      <c r="K1216">
        <v>934</v>
      </c>
      <c r="L1216" t="str">
        <v>Gội combo 3 - Dưỡng sinh</v>
      </c>
      <c r="M1216">
        <v>0.06796116504854366</v>
      </c>
      <c r="N1216">
        <v>229000</v>
      </c>
      <c r="O1216">
        <v>245000</v>
      </c>
      <c r="P1216">
        <v>16000</v>
      </c>
    </row>
    <row r="1217">
      <c r="H1217">
        <v>232</v>
      </c>
      <c r="I1217" t="str">
        <v>80 TP TH</v>
      </c>
      <c r="J1217" t="str">
        <v>DV_Gội</v>
      </c>
      <c r="K1217">
        <v>940</v>
      </c>
      <c r="L1217" t="str">
        <v>[NEW] Gội dưỡng sinh</v>
      </c>
      <c r="M1217">
        <v>0.06796116504854366</v>
      </c>
      <c r="N1217">
        <v>59000</v>
      </c>
      <c r="O1217">
        <v>63000</v>
      </c>
      <c r="P1217">
        <v>4000</v>
      </c>
    </row>
    <row r="1218">
      <c r="H1218">
        <v>232</v>
      </c>
      <c r="I1218" t="str">
        <v>80 TP TH</v>
      </c>
      <c r="J1218" t="str">
        <v>DV_Gội</v>
      </c>
      <c r="K1218">
        <v>1058</v>
      </c>
      <c r="L1218" t="str">
        <v>Gội Combo 2</v>
      </c>
      <c r="M1218">
        <v>0.06796116504854366</v>
      </c>
      <c r="N1218">
        <v>159000</v>
      </c>
      <c r="O1218">
        <v>170000</v>
      </c>
      <c r="P1218">
        <v>11000</v>
      </c>
    </row>
    <row r="1219">
      <c r="H1219">
        <v>232</v>
      </c>
      <c r="I1219" t="str">
        <v>80 TP TH</v>
      </c>
      <c r="J1219" t="str">
        <v>DV_Gội</v>
      </c>
      <c r="K1219">
        <v>1059</v>
      </c>
      <c r="L1219" t="str">
        <v>Gội Combo 3 - Chăm da</v>
      </c>
      <c r="M1219">
        <v>0.06796116504854366</v>
      </c>
      <c r="N1219">
        <v>219000</v>
      </c>
      <c r="O1219">
        <v>234000</v>
      </c>
      <c r="P1219">
        <v>15000</v>
      </c>
    </row>
    <row r="1220">
      <c r="H1220">
        <v>232</v>
      </c>
      <c r="I1220" t="str">
        <v>80 TP TH</v>
      </c>
      <c r="J1220" t="str">
        <v>DV_Gội</v>
      </c>
      <c r="K1220">
        <v>1060</v>
      </c>
      <c r="L1220" t="str">
        <v>Gội Combo 4</v>
      </c>
      <c r="M1220">
        <v>0.06796116504854366</v>
      </c>
      <c r="N1220">
        <v>289000</v>
      </c>
      <c r="O1220">
        <v>309000</v>
      </c>
      <c r="P1220">
        <v>20000</v>
      </c>
    </row>
    <row r="1221">
      <c r="H1221">
        <v>232</v>
      </c>
      <c r="I1221" t="str">
        <v>80 TP TH</v>
      </c>
      <c r="J1221" t="str">
        <v>DV_Gội</v>
      </c>
      <c r="K1221">
        <v>1066</v>
      </c>
      <c r="L1221" t="str">
        <v>Gội trải nghiệm 75p</v>
      </c>
      <c r="M1221">
        <v>0.06796116504854366</v>
      </c>
      <c r="N1221">
        <v>589000</v>
      </c>
      <c r="O1221">
        <v>629000</v>
      </c>
      <c r="P1221">
        <v>40000</v>
      </c>
    </row>
    <row r="1222">
      <c r="H1222">
        <v>232</v>
      </c>
      <c r="I1222" t="str">
        <v>80 TP TH</v>
      </c>
      <c r="J1222" t="str">
        <v>DV_Gội</v>
      </c>
      <c r="K1222">
        <v>1067</v>
      </c>
      <c r="L1222" t="str">
        <v>Gội trải nghiệm 90p</v>
      </c>
      <c r="M1222">
        <v>0.06796116504854366</v>
      </c>
      <c r="N1222">
        <v>789000</v>
      </c>
      <c r="O1222">
        <v>843000</v>
      </c>
      <c r="P1222">
        <v>54000</v>
      </c>
    </row>
    <row r="1223">
      <c r="H1223">
        <v>232</v>
      </c>
      <c r="I1223" t="str">
        <v>80 TP TH</v>
      </c>
      <c r="J1223" t="str">
        <v>DV_Gội</v>
      </c>
      <c r="K1223">
        <v>1068</v>
      </c>
      <c r="L1223" t="str">
        <v>Gội trải nghiệm 115p</v>
      </c>
      <c r="M1223">
        <v>0.06796116504854366</v>
      </c>
      <c r="N1223">
        <v>999000</v>
      </c>
      <c r="O1223">
        <v>1067000</v>
      </c>
      <c r="P1223">
        <v>68000</v>
      </c>
    </row>
    <row r="1224">
      <c r="H1224">
        <v>232</v>
      </c>
      <c r="I1224" t="str">
        <v>80 TP TH</v>
      </c>
      <c r="J1224" t="str">
        <v>DV_Gội</v>
      </c>
      <c r="K1224">
        <v>1258</v>
      </c>
      <c r="L1224" t="str">
        <v>VH Gội Vip Dưỡng Sinh</v>
      </c>
      <c r="M1224">
        <v>0.06796116504854366</v>
      </c>
      <c r="N1224">
        <v>199000</v>
      </c>
      <c r="O1224">
        <v>213000</v>
      </c>
      <c r="P1224">
        <v>14000</v>
      </c>
    </row>
    <row r="1225">
      <c r="H1225">
        <v>232</v>
      </c>
      <c r="I1225" t="str">
        <v>80 TP TH</v>
      </c>
      <c r="J1225" t="str">
        <v>DV_Gội</v>
      </c>
      <c r="K1225">
        <v>1259</v>
      </c>
      <c r="L1225" t="str">
        <v>VH Gội Vip Dưỡng Sinh LRT</v>
      </c>
      <c r="M1225">
        <v>0.06796116504854366</v>
      </c>
      <c r="N1225">
        <v>259000</v>
      </c>
      <c r="O1225">
        <v>277000</v>
      </c>
      <c r="P1225">
        <v>18000</v>
      </c>
    </row>
    <row r="1226">
      <c r="H1226">
        <v>232</v>
      </c>
      <c r="I1226" t="str">
        <v>80 TP TH</v>
      </c>
      <c r="J1226" t="str">
        <v>DV_Gội</v>
      </c>
      <c r="K1226">
        <v>1260</v>
      </c>
      <c r="L1226" t="str">
        <v>VH Combo Gội Dưỡng Sinh Phục Hồi</v>
      </c>
      <c r="M1226">
        <v>0.06796116504854366</v>
      </c>
      <c r="N1226">
        <v>399000</v>
      </c>
      <c r="O1226">
        <v>426000</v>
      </c>
      <c r="P1226">
        <v>27000</v>
      </c>
    </row>
    <row r="1227">
      <c r="H1227">
        <v>232</v>
      </c>
      <c r="I1227" t="str">
        <v>80 TP TH</v>
      </c>
      <c r="J1227" t="str">
        <v>DV_Spa</v>
      </c>
      <c r="K1227">
        <v>936</v>
      </c>
      <c r="L1227" t="str">
        <v>[NEW] Chăm sóc da Shine Spa 199k (có phân tích da)</v>
      </c>
      <c r="M1227">
        <v>0.06796116504854366</v>
      </c>
      <c r="N1227">
        <v>199000</v>
      </c>
      <c r="O1227">
        <v>213000</v>
      </c>
      <c r="P1227">
        <v>14000</v>
      </c>
    </row>
    <row r="1228">
      <c r="H1228">
        <v>194</v>
      </c>
      <c r="I1228" t="str">
        <v>90 NH</v>
      </c>
      <c r="J1228" t="str">
        <v>DV_Cắt</v>
      </c>
      <c r="K1228">
        <v>513</v>
      </c>
      <c r="L1228" t="str">
        <v>[DV] ShineCombo 10 bước Ultra Care 2023</v>
      </c>
      <c r="M1228">
        <v>0.06382978723404253</v>
      </c>
      <c r="N1228">
        <v>122000</v>
      </c>
      <c r="O1228">
        <v>122000</v>
      </c>
    </row>
    <row r="1229">
      <c r="H1229">
        <v>194</v>
      </c>
      <c r="I1229" t="str">
        <v>90 NH</v>
      </c>
      <c r="J1229" t="str">
        <v>DV_Cắt</v>
      </c>
      <c r="K1229">
        <v>891</v>
      </c>
      <c r="L1229" t="str">
        <v>Cắt xả tạo kiểu</v>
      </c>
      <c r="M1229">
        <v>0.06382978723404253</v>
      </c>
      <c r="N1229">
        <v>94000</v>
      </c>
      <c r="O1229">
        <v>100000</v>
      </c>
      <c r="P1229">
        <v>6000</v>
      </c>
    </row>
    <row r="1230">
      <c r="H1230">
        <v>194</v>
      </c>
      <c r="I1230" t="str">
        <v>90 NH</v>
      </c>
      <c r="J1230" t="str">
        <v>DV_Cắt</v>
      </c>
      <c r="K1230">
        <v>1002</v>
      </c>
      <c r="L1230" t="str">
        <v>Kid Cắt</v>
      </c>
      <c r="M1230">
        <v>0.06382978723404253</v>
      </c>
      <c r="N1230">
        <v>75000</v>
      </c>
      <c r="O1230">
        <v>80000</v>
      </c>
      <c r="P1230">
        <v>5000</v>
      </c>
    </row>
    <row r="1231">
      <c r="H1231">
        <v>194</v>
      </c>
      <c r="I1231" t="str">
        <v>90 NH</v>
      </c>
      <c r="J1231" t="str">
        <v>DV_Cắt</v>
      </c>
      <c r="K1231">
        <v>1070</v>
      </c>
      <c r="L1231" t="str">
        <v>Combo Cắt gội Kid</v>
      </c>
      <c r="M1231">
        <v>0.06382978723404253</v>
      </c>
      <c r="N1231">
        <v>100000</v>
      </c>
      <c r="O1231">
        <v>106000</v>
      </c>
      <c r="P1231">
        <v>6000</v>
      </c>
    </row>
    <row r="1232">
      <c r="H1232">
        <v>194</v>
      </c>
      <c r="I1232" t="str">
        <v>90 NH</v>
      </c>
      <c r="J1232" t="str">
        <v>DV_Cắt_Vip</v>
      </c>
      <c r="K1232">
        <v>1046</v>
      </c>
      <c r="L1232" t="str">
        <v>Shinecombo 2</v>
      </c>
      <c r="M1232">
        <v>0.06382978723404253</v>
      </c>
      <c r="N1232">
        <v>199000</v>
      </c>
      <c r="O1232">
        <v>212000</v>
      </c>
      <c r="P1232">
        <v>13000</v>
      </c>
    </row>
    <row r="1233">
      <c r="H1233">
        <v>194</v>
      </c>
      <c r="I1233" t="str">
        <v>90 NH</v>
      </c>
      <c r="J1233" t="str">
        <v>DV_Cắt_Vip</v>
      </c>
      <c r="K1233">
        <v>1047</v>
      </c>
      <c r="L1233" t="str">
        <v>Cắt Gội Combo 3 - Chăm da</v>
      </c>
      <c r="M1233">
        <v>0.06382978723404253</v>
      </c>
      <c r="N1233">
        <v>299000</v>
      </c>
      <c r="O1233">
        <v>318000</v>
      </c>
      <c r="P1233">
        <v>19000</v>
      </c>
    </row>
    <row r="1234">
      <c r="H1234">
        <v>194</v>
      </c>
      <c r="I1234" t="str">
        <v>90 NH</v>
      </c>
      <c r="J1234" t="str">
        <v>DV_Cắt_Vip</v>
      </c>
      <c r="K1234">
        <v>1048</v>
      </c>
      <c r="L1234" t="str">
        <v>Combo 4</v>
      </c>
      <c r="M1234">
        <v>0.06382978723404253</v>
      </c>
      <c r="N1234">
        <v>389000</v>
      </c>
      <c r="O1234">
        <v>414000</v>
      </c>
      <c r="P1234">
        <v>25000</v>
      </c>
    </row>
    <row r="1235">
      <c r="H1235">
        <v>194</v>
      </c>
      <c r="I1235" t="str">
        <v>90 NH</v>
      </c>
      <c r="J1235" t="str">
        <v>DV_Cắt_Vip</v>
      </c>
      <c r="K1235">
        <v>1064</v>
      </c>
      <c r="L1235" t="str">
        <v>Cắt Gội Combo 5 - Dưỡng sinh</v>
      </c>
      <c r="M1235">
        <v>0.06382978723404253</v>
      </c>
      <c r="N1235">
        <v>459000</v>
      </c>
      <c r="O1235">
        <v>488000</v>
      </c>
      <c r="P1235">
        <v>29000</v>
      </c>
    </row>
    <row r="1236">
      <c r="H1236">
        <v>194</v>
      </c>
      <c r="I1236" t="str">
        <v>90 NH</v>
      </c>
      <c r="J1236" t="str">
        <v>DV_Cắt_Vip</v>
      </c>
      <c r="K1236">
        <v>1065</v>
      </c>
      <c r="L1236" t="str">
        <v>Cắt Gội Combo 3 - Dưỡng sinh</v>
      </c>
      <c r="M1236">
        <v>0.06382978723404253</v>
      </c>
      <c r="N1236">
        <v>299000</v>
      </c>
      <c r="O1236">
        <v>318000</v>
      </c>
      <c r="P1236">
        <v>19000</v>
      </c>
    </row>
    <row r="1237">
      <c r="H1237">
        <v>194</v>
      </c>
      <c r="I1237" t="str">
        <v>90 NH</v>
      </c>
      <c r="J1237" t="str">
        <v>DV_Gội</v>
      </c>
      <c r="K1237">
        <v>867</v>
      </c>
      <c r="L1237" t="str">
        <v>Gội dưỡng sinh cổ vai gáy</v>
      </c>
      <c r="M1237">
        <v>0.06382978723404253</v>
      </c>
      <c r="N1237">
        <v>99000</v>
      </c>
      <c r="O1237">
        <v>105000</v>
      </c>
      <c r="P1237">
        <v>6000</v>
      </c>
    </row>
    <row r="1238">
      <c r="H1238">
        <v>194</v>
      </c>
      <c r="I1238" t="str">
        <v>90 NH</v>
      </c>
      <c r="J1238" t="str">
        <v>DV_Gội</v>
      </c>
      <c r="K1238">
        <v>930</v>
      </c>
      <c r="L1238" t="str">
        <v>[NEW] Gội dưỡng sinh cổ vai gáy và chăm sóc da</v>
      </c>
      <c r="M1238">
        <v>0.06382978723404253</v>
      </c>
      <c r="N1238">
        <v>139000</v>
      </c>
      <c r="O1238">
        <v>148000</v>
      </c>
      <c r="P1238">
        <v>9000</v>
      </c>
    </row>
    <row r="1239">
      <c r="H1239">
        <v>194</v>
      </c>
      <c r="I1239" t="str">
        <v>90 NH</v>
      </c>
      <c r="J1239" t="str">
        <v>DV_Gội</v>
      </c>
      <c r="K1239">
        <v>934</v>
      </c>
      <c r="L1239" t="str">
        <v>Gội combo 3 - Dưỡng sinh</v>
      </c>
      <c r="M1239">
        <v>0.06382978723404253</v>
      </c>
      <c r="N1239">
        <v>229000</v>
      </c>
      <c r="O1239">
        <v>244000</v>
      </c>
      <c r="P1239">
        <v>15000</v>
      </c>
    </row>
    <row r="1240">
      <c r="H1240">
        <v>194</v>
      </c>
      <c r="I1240" t="str">
        <v>90 NH</v>
      </c>
      <c r="J1240" t="str">
        <v>DV_Gội</v>
      </c>
      <c r="K1240">
        <v>940</v>
      </c>
      <c r="L1240" t="str">
        <v>[NEW] Gội dưỡng sinh</v>
      </c>
      <c r="M1240">
        <v>0.06382978723404253</v>
      </c>
      <c r="N1240">
        <v>59000</v>
      </c>
      <c r="O1240">
        <v>63000</v>
      </c>
      <c r="P1240">
        <v>4000</v>
      </c>
    </row>
    <row r="1241">
      <c r="H1241">
        <v>194</v>
      </c>
      <c r="I1241" t="str">
        <v>90 NH</v>
      </c>
      <c r="J1241" t="str">
        <v>DV_Gội</v>
      </c>
      <c r="K1241">
        <v>1058</v>
      </c>
      <c r="L1241" t="str">
        <v>Gội Combo 2</v>
      </c>
      <c r="M1241">
        <v>0.06382978723404253</v>
      </c>
      <c r="N1241">
        <v>159000</v>
      </c>
      <c r="O1241">
        <v>169000</v>
      </c>
      <c r="P1241">
        <v>10000</v>
      </c>
    </row>
    <row r="1242">
      <c r="H1242">
        <v>194</v>
      </c>
      <c r="I1242" t="str">
        <v>90 NH</v>
      </c>
      <c r="J1242" t="str">
        <v>DV_Gội</v>
      </c>
      <c r="K1242">
        <v>1059</v>
      </c>
      <c r="L1242" t="str">
        <v>Gội Combo 3 - Chăm da</v>
      </c>
      <c r="M1242">
        <v>0.06382978723404253</v>
      </c>
      <c r="N1242">
        <v>239000</v>
      </c>
      <c r="O1242">
        <v>254000</v>
      </c>
      <c r="P1242">
        <v>15000</v>
      </c>
    </row>
    <row r="1243">
      <c r="H1243">
        <v>194</v>
      </c>
      <c r="I1243" t="str">
        <v>90 NH</v>
      </c>
      <c r="J1243" t="str">
        <v>DV_Gội</v>
      </c>
      <c r="K1243">
        <v>1060</v>
      </c>
      <c r="L1243" t="str">
        <v>Gội Combo 4</v>
      </c>
      <c r="M1243">
        <v>0.06382978723404253</v>
      </c>
      <c r="N1243">
        <v>319000</v>
      </c>
      <c r="O1243">
        <v>339000</v>
      </c>
      <c r="P1243">
        <v>20000</v>
      </c>
    </row>
    <row r="1244">
      <c r="H1244">
        <v>194</v>
      </c>
      <c r="I1244" t="str">
        <v>90 NH</v>
      </c>
      <c r="J1244" t="str">
        <v>DV_Gội</v>
      </c>
      <c r="K1244">
        <v>1066</v>
      </c>
      <c r="L1244" t="str">
        <v>Gội trải nghiệm 75p</v>
      </c>
      <c r="M1244">
        <v>0.06382978723404253</v>
      </c>
      <c r="N1244">
        <v>589000</v>
      </c>
      <c r="O1244">
        <v>627000</v>
      </c>
      <c r="P1244">
        <v>38000</v>
      </c>
    </row>
    <row r="1245">
      <c r="H1245">
        <v>194</v>
      </c>
      <c r="I1245" t="str">
        <v>90 NH</v>
      </c>
      <c r="J1245" t="str">
        <v>DV_Gội</v>
      </c>
      <c r="K1245">
        <v>1067</v>
      </c>
      <c r="L1245" t="str">
        <v>Gội trải nghiệm 90p</v>
      </c>
      <c r="M1245">
        <v>0.06382978723404253</v>
      </c>
      <c r="N1245">
        <v>789000</v>
      </c>
      <c r="O1245">
        <v>839000</v>
      </c>
      <c r="P1245">
        <v>50000</v>
      </c>
    </row>
    <row r="1246">
      <c r="H1246">
        <v>194</v>
      </c>
      <c r="I1246" t="str">
        <v>90 NH</v>
      </c>
      <c r="J1246" t="str">
        <v>DV_Gội</v>
      </c>
      <c r="K1246">
        <v>1068</v>
      </c>
      <c r="L1246" t="str">
        <v>Gội trải nghiệm 115p</v>
      </c>
      <c r="M1246">
        <v>0.06382978723404253</v>
      </c>
      <c r="N1246">
        <v>999000</v>
      </c>
      <c r="O1246">
        <v>1063000</v>
      </c>
      <c r="P1246">
        <v>64000</v>
      </c>
    </row>
    <row r="1247">
      <c r="H1247">
        <v>194</v>
      </c>
      <c r="I1247" t="str">
        <v>90 NH</v>
      </c>
      <c r="J1247" t="str">
        <v>DV_Gội</v>
      </c>
      <c r="K1247">
        <v>1069</v>
      </c>
      <c r="L1247" t="str">
        <v>Gội trải nghiệm 140p</v>
      </c>
      <c r="M1247">
        <v>0.06382978723404253</v>
      </c>
      <c r="N1247">
        <v>1199000</v>
      </c>
      <c r="O1247">
        <v>1276000</v>
      </c>
      <c r="P1247">
        <v>77000</v>
      </c>
    </row>
    <row r="1248">
      <c r="H1248">
        <v>194</v>
      </c>
      <c r="I1248" t="str">
        <v>90 NH</v>
      </c>
      <c r="J1248" t="str">
        <v>DV_Spa</v>
      </c>
      <c r="K1248">
        <v>936</v>
      </c>
      <c r="L1248" t="str">
        <v>[NEW] Chăm sóc da Shine Spa 199k (có phân tích da)</v>
      </c>
      <c r="M1248">
        <v>0.06382978723404253</v>
      </c>
      <c r="N1248">
        <v>199000</v>
      </c>
      <c r="O1248">
        <v>212000</v>
      </c>
      <c r="P1248">
        <v>13000</v>
      </c>
    </row>
    <row r="1249">
      <c r="H1249">
        <v>22</v>
      </c>
      <c r="I1249" t="str">
        <v>927 HG</v>
      </c>
      <c r="J1249" t="str">
        <v>DV_Cắt</v>
      </c>
      <c r="K1249">
        <v>513</v>
      </c>
      <c r="L1249" t="str">
        <v>[DV] ShineCombo 10 bước Ultra Care 2023</v>
      </c>
      <c r="M1249">
        <v>0</v>
      </c>
      <c r="N1249">
        <v>122000</v>
      </c>
      <c r="O1249">
        <v>122000</v>
      </c>
    </row>
    <row r="1250">
      <c r="H1250">
        <v>22</v>
      </c>
      <c r="I1250" t="str">
        <v>927 HG</v>
      </c>
      <c r="J1250" t="str">
        <v>DV_Cắt</v>
      </c>
      <c r="K1250">
        <v>891</v>
      </c>
      <c r="L1250" t="str">
        <v>Cắt xả tạo kiểu</v>
      </c>
      <c r="M1250">
        <v>0</v>
      </c>
      <c r="N1250">
        <v>100000</v>
      </c>
      <c r="O1250">
        <v>100000</v>
      </c>
    </row>
    <row r="1251">
      <c r="H1251">
        <v>22</v>
      </c>
      <c r="I1251" t="str">
        <v>927 HG</v>
      </c>
      <c r="J1251" t="str">
        <v>DV_Cắt</v>
      </c>
      <c r="K1251">
        <v>1002</v>
      </c>
      <c r="L1251" t="str">
        <v>Kid Cắt</v>
      </c>
      <c r="M1251">
        <v>0</v>
      </c>
      <c r="N1251">
        <v>81000</v>
      </c>
      <c r="O1251">
        <v>81000</v>
      </c>
    </row>
    <row r="1252">
      <c r="H1252">
        <v>22</v>
      </c>
      <c r="I1252" t="str">
        <v>927 HG</v>
      </c>
      <c r="J1252" t="str">
        <v>DV_Cắt</v>
      </c>
      <c r="K1252">
        <v>1052</v>
      </c>
      <c r="L1252" t="str">
        <v>Combo 1 - First Class 1</v>
      </c>
      <c r="M1252">
        <v>0</v>
      </c>
      <c r="N1252">
        <v>139000</v>
      </c>
      <c r="O1252">
        <v>139000</v>
      </c>
    </row>
    <row r="1253">
      <c r="H1253">
        <v>22</v>
      </c>
      <c r="I1253" t="str">
        <v>927 HG</v>
      </c>
      <c r="J1253" t="str">
        <v>DV_Cắt</v>
      </c>
      <c r="K1253">
        <v>1070</v>
      </c>
      <c r="L1253" t="str">
        <v>Combo Cắt gội Kid</v>
      </c>
      <c r="M1253">
        <v>0</v>
      </c>
      <c r="N1253">
        <v>100000</v>
      </c>
      <c r="O1253">
        <v>100000</v>
      </c>
    </row>
    <row r="1254">
      <c r="H1254">
        <v>22</v>
      </c>
      <c r="I1254" t="str">
        <v>927 HG</v>
      </c>
      <c r="J1254" t="str">
        <v>DV_Cắt_Vip</v>
      </c>
      <c r="K1254">
        <v>1046</v>
      </c>
      <c r="L1254" t="str">
        <v>Shinecombo 2</v>
      </c>
      <c r="M1254">
        <v>0</v>
      </c>
      <c r="N1254">
        <v>205000</v>
      </c>
      <c r="O1254">
        <v>205000</v>
      </c>
    </row>
    <row r="1255">
      <c r="H1255">
        <v>22</v>
      </c>
      <c r="I1255" t="str">
        <v>927 HG</v>
      </c>
      <c r="J1255" t="str">
        <v>DV_Cắt_Vip</v>
      </c>
      <c r="K1255">
        <v>1047</v>
      </c>
      <c r="L1255" t="str">
        <v>Cắt Gội Combo 3 - Chăm da</v>
      </c>
      <c r="M1255">
        <v>0</v>
      </c>
      <c r="N1255">
        <v>305000</v>
      </c>
      <c r="O1255">
        <v>305000</v>
      </c>
    </row>
    <row r="1256">
      <c r="H1256">
        <v>22</v>
      </c>
      <c r="I1256" t="str">
        <v>927 HG</v>
      </c>
      <c r="J1256" t="str">
        <v>DV_Cắt_Vip</v>
      </c>
      <c r="K1256">
        <v>1048</v>
      </c>
      <c r="L1256" t="str">
        <v>Combo 4</v>
      </c>
      <c r="M1256">
        <v>0</v>
      </c>
      <c r="N1256">
        <v>395000</v>
      </c>
      <c r="O1256">
        <v>395000</v>
      </c>
    </row>
    <row r="1257">
      <c r="H1257">
        <v>22</v>
      </c>
      <c r="I1257" t="str">
        <v>927 HG</v>
      </c>
      <c r="J1257" t="str">
        <v>DV_Cắt_Vip</v>
      </c>
      <c r="K1257">
        <v>1049</v>
      </c>
      <c r="L1257" t="str">
        <v>Cắt Gội Combo 5 - Chăm da</v>
      </c>
      <c r="M1257">
        <v>0</v>
      </c>
      <c r="N1257">
        <v>399000</v>
      </c>
      <c r="O1257">
        <v>399000</v>
      </c>
    </row>
    <row r="1258">
      <c r="H1258">
        <v>22</v>
      </c>
      <c r="I1258" t="str">
        <v>927 HG</v>
      </c>
      <c r="J1258" t="str">
        <v>DV_Cắt_Vip</v>
      </c>
      <c r="K1258">
        <v>1053</v>
      </c>
      <c r="L1258" t="str">
        <v>Combo 2 - First Class 2</v>
      </c>
      <c r="M1258">
        <v>0</v>
      </c>
      <c r="N1258">
        <v>245000</v>
      </c>
      <c r="O1258">
        <v>245000</v>
      </c>
    </row>
    <row r="1259">
      <c r="H1259">
        <v>22</v>
      </c>
      <c r="I1259" t="str">
        <v>927 HG</v>
      </c>
      <c r="J1259" t="str">
        <v>DV_Cắt_Vip</v>
      </c>
      <c r="K1259">
        <v>1054</v>
      </c>
      <c r="L1259" t="str">
        <v>Combo 3 - First Class 3</v>
      </c>
      <c r="M1259">
        <v>0</v>
      </c>
      <c r="N1259">
        <v>315000</v>
      </c>
      <c r="O1259">
        <v>315000</v>
      </c>
    </row>
    <row r="1260">
      <c r="H1260">
        <v>22</v>
      </c>
      <c r="I1260" t="str">
        <v>927 HG</v>
      </c>
      <c r="J1260" t="str">
        <v>DV_Cắt_Vip</v>
      </c>
      <c r="K1260">
        <v>1055</v>
      </c>
      <c r="L1260" t="str">
        <v>Combo 4- First Class 4</v>
      </c>
      <c r="M1260">
        <v>0</v>
      </c>
      <c r="N1260">
        <v>415000</v>
      </c>
      <c r="O1260">
        <v>415000</v>
      </c>
    </row>
    <row r="1261">
      <c r="H1261">
        <v>22</v>
      </c>
      <c r="I1261" t="str">
        <v>927 HG</v>
      </c>
      <c r="J1261" t="str">
        <v>DV_Cắt_Vip</v>
      </c>
      <c r="K1261">
        <v>1064</v>
      </c>
      <c r="L1261" t="str">
        <v>Cắt Gội Combo 5 - Dưỡng sinh</v>
      </c>
      <c r="M1261">
        <v>0</v>
      </c>
      <c r="N1261">
        <v>459000</v>
      </c>
      <c r="O1261">
        <v>459000</v>
      </c>
    </row>
    <row r="1262">
      <c r="H1262">
        <v>22</v>
      </c>
      <c r="I1262" t="str">
        <v>927 HG</v>
      </c>
      <c r="J1262" t="str">
        <v>DV_Cắt_Vip</v>
      </c>
      <c r="K1262">
        <v>1065</v>
      </c>
      <c r="L1262" t="str">
        <v>Cắt Gội Combo 3 - Dưỡng sinh</v>
      </c>
      <c r="M1262">
        <v>0</v>
      </c>
      <c r="N1262">
        <v>299000</v>
      </c>
      <c r="O1262">
        <v>299000</v>
      </c>
    </row>
    <row r="1263">
      <c r="H1263">
        <v>22</v>
      </c>
      <c r="I1263" t="str">
        <v>927 HG</v>
      </c>
      <c r="J1263" t="str">
        <v>DV_Gội</v>
      </c>
      <c r="K1263">
        <v>867</v>
      </c>
      <c r="L1263" t="str">
        <v>Gội dưỡng sinh cổ vai gáy</v>
      </c>
      <c r="M1263">
        <v>0</v>
      </c>
      <c r="N1263">
        <v>99000</v>
      </c>
      <c r="O1263">
        <v>99000</v>
      </c>
    </row>
    <row r="1264">
      <c r="H1264">
        <v>22</v>
      </c>
      <c r="I1264" t="str">
        <v>927 HG</v>
      </c>
      <c r="J1264" t="str">
        <v>DV_Gội</v>
      </c>
      <c r="K1264">
        <v>930</v>
      </c>
      <c r="L1264" t="str">
        <v>[NEW] Gội dưỡng sinh cổ vai gáy và chăm sóc da</v>
      </c>
      <c r="M1264">
        <v>0</v>
      </c>
      <c r="N1264">
        <v>139000</v>
      </c>
      <c r="O1264">
        <v>139000</v>
      </c>
    </row>
    <row r="1265">
      <c r="H1265">
        <v>22</v>
      </c>
      <c r="I1265" t="str">
        <v>927 HG</v>
      </c>
      <c r="J1265" t="str">
        <v>DV_Gội</v>
      </c>
      <c r="K1265">
        <v>932</v>
      </c>
      <c r="L1265" t="str">
        <v>Gội combo 5 dưỡng sinh</v>
      </c>
      <c r="M1265">
        <v>0</v>
      </c>
      <c r="N1265">
        <v>399000</v>
      </c>
      <c r="O1265">
        <v>399000</v>
      </c>
    </row>
    <row r="1266">
      <c r="H1266">
        <v>22</v>
      </c>
      <c r="I1266" t="str">
        <v>927 HG</v>
      </c>
      <c r="J1266" t="str">
        <v>DV_Gội</v>
      </c>
      <c r="K1266">
        <v>934</v>
      </c>
      <c r="L1266" t="str">
        <v>Gội combo 3 - Dưỡng sinh</v>
      </c>
      <c r="M1266">
        <v>0</v>
      </c>
      <c r="N1266">
        <v>229000</v>
      </c>
      <c r="O1266">
        <v>229000</v>
      </c>
    </row>
    <row r="1267">
      <c r="H1267">
        <v>22</v>
      </c>
      <c r="I1267" t="str">
        <v>927 HG</v>
      </c>
      <c r="J1267" t="str">
        <v>DV_Gội</v>
      </c>
      <c r="K1267">
        <v>940</v>
      </c>
      <c r="L1267" t="str">
        <v>[NEW] Gội dưỡng sinh</v>
      </c>
      <c r="M1267">
        <v>0</v>
      </c>
      <c r="N1267">
        <v>50000</v>
      </c>
      <c r="O1267">
        <v>50000</v>
      </c>
    </row>
    <row r="1268">
      <c r="H1268">
        <v>22</v>
      </c>
      <c r="I1268" t="str">
        <v>927 HG</v>
      </c>
      <c r="J1268" t="str">
        <v>DV_Gội</v>
      </c>
      <c r="K1268">
        <v>1058</v>
      </c>
      <c r="L1268" t="str">
        <v>Gội Combo 2</v>
      </c>
      <c r="M1268">
        <v>0</v>
      </c>
      <c r="N1268">
        <v>159000</v>
      </c>
      <c r="O1268">
        <v>159000</v>
      </c>
    </row>
    <row r="1269">
      <c r="H1269">
        <v>22</v>
      </c>
      <c r="I1269" t="str">
        <v>927 HG</v>
      </c>
      <c r="J1269" t="str">
        <v>DV_Gội</v>
      </c>
      <c r="K1269">
        <v>1059</v>
      </c>
      <c r="L1269" t="str">
        <v>Gội Combo 3 - Chăm da</v>
      </c>
      <c r="M1269">
        <v>0</v>
      </c>
      <c r="N1269">
        <v>239000</v>
      </c>
      <c r="O1269">
        <v>239000</v>
      </c>
    </row>
    <row r="1270">
      <c r="H1270">
        <v>22</v>
      </c>
      <c r="I1270" t="str">
        <v>927 HG</v>
      </c>
      <c r="J1270" t="str">
        <v>DV_Gội</v>
      </c>
      <c r="K1270">
        <v>1060</v>
      </c>
      <c r="L1270" t="str">
        <v>Gội Combo 4</v>
      </c>
      <c r="M1270">
        <v>0</v>
      </c>
      <c r="N1270">
        <v>329000</v>
      </c>
      <c r="O1270">
        <v>329000</v>
      </c>
    </row>
    <row r="1271">
      <c r="H1271">
        <v>22</v>
      </c>
      <c r="I1271" t="str">
        <v>927 HG</v>
      </c>
      <c r="J1271" t="str">
        <v>DV_Gội</v>
      </c>
      <c r="K1271">
        <v>1061</v>
      </c>
      <c r="L1271" t="str">
        <v>Gội Combo 5 - Chăm da</v>
      </c>
      <c r="M1271">
        <v>0</v>
      </c>
      <c r="N1271">
        <v>359000</v>
      </c>
      <c r="O1271">
        <v>359000</v>
      </c>
    </row>
    <row r="1272">
      <c r="H1272">
        <v>22</v>
      </c>
      <c r="I1272" t="str">
        <v>927 HG</v>
      </c>
      <c r="J1272" t="str">
        <v>DV_Gội</v>
      </c>
      <c r="K1272">
        <v>1066</v>
      </c>
      <c r="L1272" t="str">
        <v>Gội trải nghiệm 75p</v>
      </c>
      <c r="M1272">
        <v>0</v>
      </c>
      <c r="N1272">
        <v>589000</v>
      </c>
      <c r="O1272">
        <v>589000</v>
      </c>
    </row>
    <row r="1273">
      <c r="H1273">
        <v>22</v>
      </c>
      <c r="I1273" t="str">
        <v>927 HG</v>
      </c>
      <c r="J1273" t="str">
        <v>DV_Gội</v>
      </c>
      <c r="K1273">
        <v>1067</v>
      </c>
      <c r="L1273" t="str">
        <v>Gội trải nghiệm 90p</v>
      </c>
      <c r="M1273">
        <v>0</v>
      </c>
      <c r="N1273">
        <v>789000</v>
      </c>
      <c r="O1273">
        <v>789000</v>
      </c>
    </row>
    <row r="1274">
      <c r="H1274">
        <v>22</v>
      </c>
      <c r="I1274" t="str">
        <v>927 HG</v>
      </c>
      <c r="J1274" t="str">
        <v>DV_Gội</v>
      </c>
      <c r="K1274">
        <v>1068</v>
      </c>
      <c r="L1274" t="str">
        <v>Gội trải nghiệm 115p</v>
      </c>
      <c r="M1274">
        <v>0</v>
      </c>
      <c r="N1274">
        <v>999000</v>
      </c>
      <c r="O1274">
        <v>999000</v>
      </c>
    </row>
    <row r="1275">
      <c r="H1275">
        <v>22</v>
      </c>
      <c r="I1275" t="str">
        <v>927 HG</v>
      </c>
      <c r="J1275" t="str">
        <v>DV_Gội</v>
      </c>
      <c r="K1275">
        <v>1069</v>
      </c>
      <c r="L1275" t="str">
        <v>Gội trải nghiệm 140p</v>
      </c>
      <c r="M1275">
        <v>0</v>
      </c>
      <c r="N1275">
        <v>1199000</v>
      </c>
      <c r="O1275">
        <v>1199000</v>
      </c>
    </row>
    <row r="1276">
      <c r="H1276">
        <v>22</v>
      </c>
      <c r="I1276" t="str">
        <v>927 HG</v>
      </c>
      <c r="J1276" t="str">
        <v>DV_Spa</v>
      </c>
      <c r="K1276">
        <v>936</v>
      </c>
      <c r="L1276" t="str">
        <v>[NEW] Chăm sóc da Shine Spa 199k (có phân tích da)</v>
      </c>
      <c r="M1276">
        <v>0</v>
      </c>
      <c r="N1276">
        <v>199000</v>
      </c>
      <c r="O1276">
        <v>199000</v>
      </c>
    </row>
    <row r="1277">
      <c r="H1277">
        <v>147</v>
      </c>
      <c r="I1277" t="str">
        <v>99 TSN</v>
      </c>
      <c r="J1277" t="str">
        <v>DV_Cắt</v>
      </c>
      <c r="K1277">
        <v>513</v>
      </c>
      <c r="L1277" t="str">
        <v>[DV] ShineCombo 10 bước Ultra Care 2023</v>
      </c>
      <c r="M1277">
        <v>0.04000000000000004</v>
      </c>
      <c r="N1277">
        <v>122000</v>
      </c>
      <c r="O1277">
        <v>122000</v>
      </c>
    </row>
    <row r="1278">
      <c r="H1278">
        <v>147</v>
      </c>
      <c r="I1278" t="str">
        <v>99 TSN</v>
      </c>
      <c r="J1278" t="str">
        <v>DV_Cắt</v>
      </c>
      <c r="K1278">
        <v>891</v>
      </c>
      <c r="L1278" t="str">
        <v>Cắt xả tạo kiểu</v>
      </c>
      <c r="M1278">
        <v>0.04000000000000004</v>
      </c>
      <c r="N1278">
        <v>100000</v>
      </c>
      <c r="O1278">
        <v>104000</v>
      </c>
      <c r="P1278">
        <v>4000</v>
      </c>
    </row>
    <row r="1279">
      <c r="H1279">
        <v>147</v>
      </c>
      <c r="I1279" t="str">
        <v>99 TSN</v>
      </c>
      <c r="J1279" t="str">
        <v>DV_Cắt</v>
      </c>
      <c r="K1279">
        <v>1002</v>
      </c>
      <c r="L1279" t="str">
        <v>Kid Cắt</v>
      </c>
      <c r="M1279">
        <v>0.04000000000000004</v>
      </c>
      <c r="N1279">
        <v>81000</v>
      </c>
      <c r="O1279">
        <v>84000</v>
      </c>
      <c r="P1279">
        <v>3000</v>
      </c>
    </row>
    <row r="1280">
      <c r="H1280">
        <v>147</v>
      </c>
      <c r="I1280" t="str">
        <v>99 TSN</v>
      </c>
      <c r="J1280" t="str">
        <v>DV_Cắt</v>
      </c>
      <c r="K1280">
        <v>1070</v>
      </c>
      <c r="L1280" t="str">
        <v>Combo Cắt gội Kid</v>
      </c>
      <c r="M1280">
        <v>0.04000000000000004</v>
      </c>
      <c r="N1280">
        <v>100000</v>
      </c>
      <c r="O1280">
        <v>104000</v>
      </c>
      <c r="P1280">
        <v>4000</v>
      </c>
    </row>
    <row r="1281">
      <c r="H1281">
        <v>147</v>
      </c>
      <c r="I1281" t="str">
        <v>99 TSN</v>
      </c>
      <c r="J1281" t="str">
        <v>DV_Cắt_Vip</v>
      </c>
      <c r="K1281">
        <v>1046</v>
      </c>
      <c r="L1281" t="str">
        <v>Shinecombo 2</v>
      </c>
      <c r="M1281">
        <v>0.04000000000000004</v>
      </c>
      <c r="N1281">
        <v>205000</v>
      </c>
      <c r="O1281">
        <v>213000</v>
      </c>
      <c r="P1281">
        <v>8000</v>
      </c>
    </row>
    <row r="1282">
      <c r="H1282">
        <v>147</v>
      </c>
      <c r="I1282" t="str">
        <v>99 TSN</v>
      </c>
      <c r="J1282" t="str">
        <v>DV_Cắt_Vip</v>
      </c>
      <c r="K1282">
        <v>1047</v>
      </c>
      <c r="L1282" t="str">
        <v>Cắt Gội Combo 3 - Chăm da</v>
      </c>
      <c r="M1282">
        <v>0.04000000000000004</v>
      </c>
      <c r="N1282">
        <v>305000</v>
      </c>
      <c r="O1282">
        <v>317000</v>
      </c>
      <c r="P1282">
        <v>12000</v>
      </c>
    </row>
    <row r="1283">
      <c r="H1283">
        <v>147</v>
      </c>
      <c r="I1283" t="str">
        <v>99 TSN</v>
      </c>
      <c r="J1283" t="str">
        <v>DV_Cắt_Vip</v>
      </c>
      <c r="K1283">
        <v>1048</v>
      </c>
      <c r="L1283" t="str">
        <v>Combo 4</v>
      </c>
      <c r="M1283">
        <v>0.04000000000000004</v>
      </c>
      <c r="N1283">
        <v>395000</v>
      </c>
      <c r="O1283">
        <v>411000</v>
      </c>
      <c r="P1283">
        <v>16000</v>
      </c>
    </row>
    <row r="1284">
      <c r="H1284">
        <v>147</v>
      </c>
      <c r="I1284" t="str">
        <v>99 TSN</v>
      </c>
      <c r="J1284" t="str">
        <v>DV_Cắt_Vip</v>
      </c>
      <c r="K1284">
        <v>1049</v>
      </c>
      <c r="L1284" t="str">
        <v>Cắt Gội Combo 5 - Chăm da</v>
      </c>
      <c r="M1284">
        <v>0.04000000000000004</v>
      </c>
      <c r="N1284">
        <v>399000</v>
      </c>
      <c r="O1284">
        <v>415000</v>
      </c>
      <c r="P1284">
        <v>16000</v>
      </c>
    </row>
    <row r="1285">
      <c r="H1285">
        <v>147</v>
      </c>
      <c r="I1285" t="str">
        <v>99 TSN</v>
      </c>
      <c r="J1285" t="str">
        <v>DV_Cắt_Vip</v>
      </c>
      <c r="K1285">
        <v>1064</v>
      </c>
      <c r="L1285" t="str">
        <v>Cắt Gội Combo 5 - Dưỡng sinh</v>
      </c>
      <c r="M1285">
        <v>0.04000000000000004</v>
      </c>
      <c r="N1285">
        <v>465000</v>
      </c>
      <c r="O1285">
        <v>484000</v>
      </c>
      <c r="P1285">
        <v>19000</v>
      </c>
    </row>
    <row r="1286">
      <c r="H1286">
        <v>147</v>
      </c>
      <c r="I1286" t="str">
        <v>99 TSN</v>
      </c>
      <c r="J1286" t="str">
        <v>DV_Cắt_Vip</v>
      </c>
      <c r="K1286">
        <v>1065</v>
      </c>
      <c r="L1286" t="str">
        <v>Cắt Gội Combo 3 - Dưỡng sinh</v>
      </c>
      <c r="M1286">
        <v>0.04000000000000004</v>
      </c>
      <c r="N1286">
        <v>305000</v>
      </c>
      <c r="O1286">
        <v>317000</v>
      </c>
      <c r="P1286">
        <v>12000</v>
      </c>
    </row>
    <row r="1287">
      <c r="H1287">
        <v>147</v>
      </c>
      <c r="I1287" t="str">
        <v>99 TSN</v>
      </c>
      <c r="J1287" t="str">
        <v>DV_Gội</v>
      </c>
      <c r="K1287">
        <v>867</v>
      </c>
      <c r="L1287" t="str">
        <v>Gội dưỡng sinh cổ vai gáy</v>
      </c>
      <c r="M1287">
        <v>0.04000000000000004</v>
      </c>
      <c r="N1287">
        <v>100000</v>
      </c>
      <c r="O1287">
        <v>104000</v>
      </c>
      <c r="P1287">
        <v>4000</v>
      </c>
    </row>
    <row r="1288">
      <c r="H1288">
        <v>147</v>
      </c>
      <c r="I1288" t="str">
        <v>99 TSN</v>
      </c>
      <c r="J1288" t="str">
        <v>DV_Gội</v>
      </c>
      <c r="K1288">
        <v>930</v>
      </c>
      <c r="L1288" t="str">
        <v>[NEW] Gội dưỡng sinh cổ vai gáy và chăm sóc da</v>
      </c>
      <c r="M1288">
        <v>0.04000000000000004</v>
      </c>
      <c r="N1288">
        <v>139000</v>
      </c>
      <c r="O1288">
        <v>145000</v>
      </c>
      <c r="P1288">
        <v>6000</v>
      </c>
    </row>
    <row r="1289">
      <c r="H1289">
        <v>147</v>
      </c>
      <c r="I1289" t="str">
        <v>99 TSN</v>
      </c>
      <c r="J1289" t="str">
        <v>DV_Gội</v>
      </c>
      <c r="K1289">
        <v>932</v>
      </c>
      <c r="L1289" t="str">
        <v>Gội combo 5 dưỡng sinh</v>
      </c>
      <c r="M1289">
        <v>0.04000000000000004</v>
      </c>
      <c r="N1289">
        <v>399000</v>
      </c>
      <c r="O1289">
        <v>415000</v>
      </c>
      <c r="P1289">
        <v>16000</v>
      </c>
    </row>
    <row r="1290">
      <c r="H1290">
        <v>147</v>
      </c>
      <c r="I1290" t="str">
        <v>99 TSN</v>
      </c>
      <c r="J1290" t="str">
        <v>DV_Gội</v>
      </c>
      <c r="K1290">
        <v>934</v>
      </c>
      <c r="L1290" t="str">
        <v>Gội combo 3 - Dưỡng sinh</v>
      </c>
      <c r="M1290">
        <v>0.04000000000000004</v>
      </c>
      <c r="N1290">
        <v>229000</v>
      </c>
      <c r="O1290">
        <v>238000</v>
      </c>
      <c r="P1290">
        <v>9000</v>
      </c>
    </row>
    <row r="1291">
      <c r="H1291">
        <v>147</v>
      </c>
      <c r="I1291" t="str">
        <v>99 TSN</v>
      </c>
      <c r="J1291" t="str">
        <v>DV_Gội</v>
      </c>
      <c r="K1291">
        <v>940</v>
      </c>
      <c r="L1291" t="str">
        <v>[NEW] Gội dưỡng sinh</v>
      </c>
      <c r="M1291">
        <v>0.04000000000000004</v>
      </c>
      <c r="N1291">
        <v>59000</v>
      </c>
      <c r="O1291">
        <v>61000</v>
      </c>
      <c r="P1291">
        <v>2000</v>
      </c>
    </row>
    <row r="1292">
      <c r="H1292">
        <v>147</v>
      </c>
      <c r="I1292" t="str">
        <v>99 TSN</v>
      </c>
      <c r="J1292" t="str">
        <v>DV_Gội</v>
      </c>
      <c r="K1292">
        <v>1058</v>
      </c>
      <c r="L1292" t="str">
        <v>Gội Combo 2</v>
      </c>
      <c r="M1292">
        <v>0.04000000000000004</v>
      </c>
      <c r="N1292">
        <v>159000</v>
      </c>
      <c r="O1292">
        <v>165000</v>
      </c>
      <c r="P1292">
        <v>6000</v>
      </c>
    </row>
    <row r="1293">
      <c r="H1293">
        <v>147</v>
      </c>
      <c r="I1293" t="str">
        <v>99 TSN</v>
      </c>
      <c r="J1293" t="str">
        <v>DV_Gội</v>
      </c>
      <c r="K1293">
        <v>1059</v>
      </c>
      <c r="L1293" t="str">
        <v>Gội Combo 3 - Chăm da</v>
      </c>
      <c r="M1293">
        <v>0.04000000000000004</v>
      </c>
      <c r="N1293">
        <v>239000</v>
      </c>
      <c r="O1293">
        <v>249000</v>
      </c>
      <c r="P1293">
        <v>10000</v>
      </c>
    </row>
    <row r="1294">
      <c r="H1294">
        <v>147</v>
      </c>
      <c r="I1294" t="str">
        <v>99 TSN</v>
      </c>
      <c r="J1294" t="str">
        <v>DV_Gội</v>
      </c>
      <c r="K1294">
        <v>1060</v>
      </c>
      <c r="L1294" t="str">
        <v>Gội Combo 4</v>
      </c>
      <c r="M1294">
        <v>0.04000000000000004</v>
      </c>
      <c r="N1294">
        <v>319000</v>
      </c>
      <c r="O1294">
        <v>332000</v>
      </c>
      <c r="P1294">
        <v>13000</v>
      </c>
    </row>
    <row r="1295">
      <c r="H1295">
        <v>147</v>
      </c>
      <c r="I1295" t="str">
        <v>99 TSN</v>
      </c>
      <c r="J1295" t="str">
        <v>DV_Gội</v>
      </c>
      <c r="K1295">
        <v>1061</v>
      </c>
      <c r="L1295" t="str">
        <v>Gội Combo 5 - Chăm da</v>
      </c>
      <c r="M1295">
        <v>0.04000000000000004</v>
      </c>
      <c r="N1295">
        <v>359000</v>
      </c>
      <c r="O1295">
        <v>373000</v>
      </c>
      <c r="P1295">
        <v>14000</v>
      </c>
    </row>
    <row r="1296">
      <c r="H1296">
        <v>147</v>
      </c>
      <c r="I1296" t="str">
        <v>99 TSN</v>
      </c>
      <c r="J1296" t="str">
        <v>DV_Gội</v>
      </c>
      <c r="K1296">
        <v>1066</v>
      </c>
      <c r="L1296" t="str">
        <v>Gội trải nghiệm 75p</v>
      </c>
      <c r="M1296">
        <v>0.04000000000000004</v>
      </c>
      <c r="N1296">
        <v>589000</v>
      </c>
      <c r="O1296">
        <v>613000</v>
      </c>
      <c r="P1296">
        <v>24000</v>
      </c>
    </row>
    <row r="1297">
      <c r="H1297">
        <v>147</v>
      </c>
      <c r="I1297" t="str">
        <v>99 TSN</v>
      </c>
      <c r="J1297" t="str">
        <v>DV_Gội</v>
      </c>
      <c r="K1297">
        <v>1067</v>
      </c>
      <c r="L1297" t="str">
        <v>Gội trải nghiệm 90p</v>
      </c>
      <c r="M1297">
        <v>0.04000000000000004</v>
      </c>
      <c r="N1297">
        <v>789000</v>
      </c>
      <c r="O1297">
        <v>821000</v>
      </c>
      <c r="P1297">
        <v>32000</v>
      </c>
    </row>
    <row r="1298">
      <c r="H1298">
        <v>147</v>
      </c>
      <c r="I1298" t="str">
        <v>99 TSN</v>
      </c>
      <c r="J1298" t="str">
        <v>DV_Gội</v>
      </c>
      <c r="K1298">
        <v>1068</v>
      </c>
      <c r="L1298" t="str">
        <v>Gội trải nghiệm 115p</v>
      </c>
      <c r="M1298">
        <v>0.04000000000000004</v>
      </c>
      <c r="N1298">
        <v>999000</v>
      </c>
      <c r="O1298">
        <v>1039000</v>
      </c>
      <c r="P1298">
        <v>40000</v>
      </c>
    </row>
    <row r="1299">
      <c r="H1299">
        <v>147</v>
      </c>
      <c r="I1299" t="str">
        <v>99 TSN</v>
      </c>
      <c r="J1299" t="str">
        <v>DV_Spa</v>
      </c>
      <c r="K1299">
        <v>936</v>
      </c>
      <c r="L1299" t="str">
        <v>[NEW] Chăm sóc da Shine Spa 199k (có phân tích da)</v>
      </c>
      <c r="M1299">
        <v>0.04000000000000004</v>
      </c>
      <c r="N1299">
        <v>199000</v>
      </c>
      <c r="O1299">
        <v>207000</v>
      </c>
      <c r="P1299">
        <v>8000</v>
      </c>
    </row>
    <row r="1300">
      <c r="H1300">
        <v>217</v>
      </c>
      <c r="I1300" t="str">
        <v>TG 25/4 QN</v>
      </c>
      <c r="J1300" t="str">
        <v>DV_Cắt</v>
      </c>
      <c r="K1300">
        <v>513</v>
      </c>
      <c r="L1300" t="str">
        <v>[DV] ShineCombo 10 bước Ultra Care 2023</v>
      </c>
      <c r="M1300">
        <v>0</v>
      </c>
      <c r="N1300">
        <v>122000</v>
      </c>
      <c r="O1300">
        <v>122000</v>
      </c>
    </row>
    <row r="1301">
      <c r="H1301">
        <v>217</v>
      </c>
      <c r="I1301" t="str">
        <v>TG 25/4 QN</v>
      </c>
      <c r="J1301" t="str">
        <v>DV_Cắt</v>
      </c>
      <c r="K1301">
        <v>891</v>
      </c>
      <c r="L1301" t="str">
        <v>Cắt xả tạo kiểu</v>
      </c>
      <c r="M1301">
        <v>0</v>
      </c>
      <c r="N1301">
        <v>94000</v>
      </c>
      <c r="O1301">
        <v>94000</v>
      </c>
    </row>
    <row r="1302">
      <c r="H1302">
        <v>217</v>
      </c>
      <c r="I1302" t="str">
        <v>TG 25/4 QN</v>
      </c>
      <c r="J1302" t="str">
        <v>DV_Cắt</v>
      </c>
      <c r="K1302">
        <v>1002</v>
      </c>
      <c r="L1302" t="str">
        <v>Kid Cắt</v>
      </c>
      <c r="M1302">
        <v>0</v>
      </c>
      <c r="N1302">
        <v>75000</v>
      </c>
      <c r="O1302">
        <v>75000</v>
      </c>
    </row>
    <row r="1303">
      <c r="H1303">
        <v>217</v>
      </c>
      <c r="I1303" t="str">
        <v>TG 25/4 QN</v>
      </c>
      <c r="J1303" t="str">
        <v>DV_Cắt</v>
      </c>
      <c r="K1303">
        <v>1070</v>
      </c>
      <c r="L1303" t="str">
        <v>Combo Cắt gội Kid</v>
      </c>
      <c r="M1303">
        <v>0</v>
      </c>
      <c r="N1303">
        <v>100000</v>
      </c>
      <c r="O1303">
        <v>100000</v>
      </c>
    </row>
    <row r="1304">
      <c r="H1304">
        <v>217</v>
      </c>
      <c r="I1304" t="str">
        <v>TG 25/4 QN</v>
      </c>
      <c r="J1304" t="str">
        <v>DV_Cắt_Vip</v>
      </c>
      <c r="K1304">
        <v>1046</v>
      </c>
      <c r="L1304" t="str">
        <v>Shinecombo 2</v>
      </c>
      <c r="M1304">
        <v>0</v>
      </c>
      <c r="N1304">
        <v>199000</v>
      </c>
      <c r="O1304">
        <v>199000</v>
      </c>
    </row>
    <row r="1305">
      <c r="H1305">
        <v>217</v>
      </c>
      <c r="I1305" t="str">
        <v>TG 25/4 QN</v>
      </c>
      <c r="J1305" t="str">
        <v>DV_Cắt_Vip</v>
      </c>
      <c r="K1305">
        <v>1047</v>
      </c>
      <c r="L1305" t="str">
        <v>Cắt Gội Combo 3 - Chăm da</v>
      </c>
      <c r="M1305">
        <v>0</v>
      </c>
      <c r="N1305">
        <v>299000</v>
      </c>
      <c r="O1305">
        <v>299000</v>
      </c>
    </row>
    <row r="1306">
      <c r="H1306">
        <v>217</v>
      </c>
      <c r="I1306" t="str">
        <v>TG 25/4 QN</v>
      </c>
      <c r="J1306" t="str">
        <v>DV_Cắt_Vip</v>
      </c>
      <c r="K1306">
        <v>1048</v>
      </c>
      <c r="L1306" t="str">
        <v>Combo 4</v>
      </c>
      <c r="M1306">
        <v>0</v>
      </c>
      <c r="N1306">
        <v>389000</v>
      </c>
      <c r="O1306">
        <v>389000</v>
      </c>
    </row>
    <row r="1307">
      <c r="H1307">
        <v>217</v>
      </c>
      <c r="I1307" t="str">
        <v>TG 25/4 QN</v>
      </c>
      <c r="J1307" t="str">
        <v>DV_Cắt_Vip</v>
      </c>
      <c r="K1307">
        <v>1064</v>
      </c>
      <c r="L1307" t="str">
        <v>Cắt Gội Combo 5 - Dưỡng sinh</v>
      </c>
      <c r="M1307">
        <v>0</v>
      </c>
      <c r="N1307">
        <v>459000</v>
      </c>
      <c r="O1307">
        <v>459000</v>
      </c>
    </row>
    <row r="1308">
      <c r="H1308">
        <v>217</v>
      </c>
      <c r="I1308" t="str">
        <v>TG 25/4 QN</v>
      </c>
      <c r="J1308" t="str">
        <v>DV_Gội</v>
      </c>
      <c r="K1308">
        <v>867</v>
      </c>
      <c r="L1308" t="str">
        <v>Gội dưỡng sinh cổ vai gáy</v>
      </c>
      <c r="M1308">
        <v>0</v>
      </c>
      <c r="N1308">
        <v>99000</v>
      </c>
      <c r="O1308">
        <v>99000</v>
      </c>
    </row>
    <row r="1309">
      <c r="H1309">
        <v>217</v>
      </c>
      <c r="I1309" t="str">
        <v>TG 25/4 QN</v>
      </c>
      <c r="J1309" t="str">
        <v>DV_Gội</v>
      </c>
      <c r="K1309">
        <v>930</v>
      </c>
      <c r="L1309" t="str">
        <v>[NEW] Gội dưỡng sinh cổ vai gáy và chăm sóc da</v>
      </c>
      <c r="M1309">
        <v>0</v>
      </c>
      <c r="N1309">
        <v>139000</v>
      </c>
      <c r="O1309">
        <v>139000</v>
      </c>
    </row>
    <row r="1310">
      <c r="H1310">
        <v>217</v>
      </c>
      <c r="I1310" t="str">
        <v>TG 25/4 QN</v>
      </c>
      <c r="J1310" t="str">
        <v>DV_Gội</v>
      </c>
      <c r="K1310">
        <v>934</v>
      </c>
      <c r="L1310" t="str">
        <v>Gội combo 3 - Dưỡng sinh</v>
      </c>
      <c r="M1310">
        <v>0</v>
      </c>
      <c r="N1310">
        <v>229000</v>
      </c>
      <c r="O1310">
        <v>229000</v>
      </c>
    </row>
    <row r="1311">
      <c r="H1311">
        <v>217</v>
      </c>
      <c r="I1311" t="str">
        <v>TG 25/4 QN</v>
      </c>
      <c r="J1311" t="str">
        <v>DV_Gội</v>
      </c>
      <c r="K1311">
        <v>940</v>
      </c>
      <c r="L1311" t="str">
        <v>[NEW] Gội dưỡng sinh</v>
      </c>
      <c r="M1311">
        <v>0</v>
      </c>
      <c r="N1311">
        <v>59000</v>
      </c>
      <c r="O1311">
        <v>59000</v>
      </c>
    </row>
    <row r="1312">
      <c r="H1312">
        <v>217</v>
      </c>
      <c r="I1312" t="str">
        <v>TG 25/4 QN</v>
      </c>
      <c r="J1312" t="str">
        <v>DV_Gội</v>
      </c>
      <c r="K1312">
        <v>1058</v>
      </c>
      <c r="L1312" t="str">
        <v>Gội Combo 2</v>
      </c>
      <c r="M1312">
        <v>0</v>
      </c>
      <c r="N1312">
        <v>159000</v>
      </c>
      <c r="O1312">
        <v>159000</v>
      </c>
    </row>
    <row r="1313">
      <c r="H1313">
        <v>217</v>
      </c>
      <c r="I1313" t="str">
        <v>TG 25/4 QN</v>
      </c>
      <c r="J1313" t="str">
        <v>DV_Gội</v>
      </c>
      <c r="K1313">
        <v>1059</v>
      </c>
      <c r="L1313" t="str">
        <v>Gội Combo 3 - Chăm da</v>
      </c>
      <c r="M1313">
        <v>0</v>
      </c>
      <c r="N1313">
        <v>239000</v>
      </c>
      <c r="O1313">
        <v>239000</v>
      </c>
    </row>
    <row r="1314">
      <c r="H1314">
        <v>217</v>
      </c>
      <c r="I1314" t="str">
        <v>TG 25/4 QN</v>
      </c>
      <c r="J1314" t="str">
        <v>DV_Gội</v>
      </c>
      <c r="K1314">
        <v>1060</v>
      </c>
      <c r="L1314" t="str">
        <v>Gội Combo 4</v>
      </c>
      <c r="M1314">
        <v>0</v>
      </c>
      <c r="N1314">
        <v>289000</v>
      </c>
      <c r="O1314">
        <v>289000</v>
      </c>
    </row>
    <row r="1315">
      <c r="H1315">
        <v>217</v>
      </c>
      <c r="I1315" t="str">
        <v>TG 25/4 QN</v>
      </c>
      <c r="J1315" t="str">
        <v>DV_Gội</v>
      </c>
      <c r="K1315">
        <v>1066</v>
      </c>
      <c r="L1315" t="str">
        <v>Gội trải nghiệm 75p</v>
      </c>
      <c r="M1315">
        <v>0</v>
      </c>
      <c r="N1315">
        <v>589000</v>
      </c>
      <c r="O1315">
        <v>589000</v>
      </c>
    </row>
    <row r="1316">
      <c r="H1316">
        <v>217</v>
      </c>
      <c r="I1316" t="str">
        <v>TG 25/4 QN</v>
      </c>
      <c r="J1316" t="str">
        <v>DV_Gội</v>
      </c>
      <c r="K1316">
        <v>1067</v>
      </c>
      <c r="L1316" t="str">
        <v>Gội trải nghiệm 90p</v>
      </c>
      <c r="M1316">
        <v>0</v>
      </c>
      <c r="N1316">
        <v>789000</v>
      </c>
      <c r="O1316">
        <v>789000</v>
      </c>
    </row>
    <row r="1317">
      <c r="H1317">
        <v>217</v>
      </c>
      <c r="I1317" t="str">
        <v>TG 25/4 QN</v>
      </c>
      <c r="J1317" t="str">
        <v>DV_Gội</v>
      </c>
      <c r="K1317">
        <v>1068</v>
      </c>
      <c r="L1317" t="str">
        <v>Gội trải nghiệm 115p</v>
      </c>
      <c r="M1317">
        <v>0</v>
      </c>
      <c r="N1317">
        <v>999000</v>
      </c>
      <c r="O1317">
        <v>999000</v>
      </c>
    </row>
    <row r="1318">
      <c r="H1318">
        <v>217</v>
      </c>
      <c r="I1318" t="str">
        <v>TG 25/4 QN</v>
      </c>
      <c r="J1318" t="str">
        <v>DV_Spa</v>
      </c>
      <c r="K1318">
        <v>936</v>
      </c>
      <c r="L1318" t="str">
        <v>[NEW] Chăm sóc da Shine Spa 199k (có phân tích da)</v>
      </c>
      <c r="M1318">
        <v>0</v>
      </c>
      <c r="N1318">
        <v>199000</v>
      </c>
      <c r="O1318">
        <v>199000</v>
      </c>
    </row>
    <row r="1319">
      <c r="I1319" t="str">
        <v>TỔNG (có thay đổi)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20"/>
    <col collapsed="false" customWidth="true" hidden="false" max="2" min="2" style="0" width="20"/>
    <col collapsed="false" customWidth="true" hidden="false" max="3" min="3" style="0" width="21"/>
    <col collapsed="false" customWidth="true" hidden="true" max="3" min="3" style="0" width="21"/>
    <col collapsed="false" customWidth="true" hidden="false" max="4" min="4" style="0" width="21"/>
    <col collapsed="false" customWidth="true" hidden="false" max="8" min="8" style="0" width="20"/>
    <col collapsed="false" customWidth="true" hidden="false" max="9" min="9" style="0" width="15"/>
  </cols>
  <sheetData>
    <row customHeight="true" ht="19" r="1">
      <c r="A1" s="38" t="str">
        <v>DT thay đổi khi đề xuất giá Uốn mới</v>
      </c>
      <c r="B1" s="38"/>
      <c r="C1" s="38"/>
      <c r="D1" s="38"/>
      <c r="E1" s="39"/>
      <c r="Q1" s="37" t="str">
        <v>CR cần tăng để giữ AOV cho salon</v>
      </c>
      <c r="Z1">
        <f>SUM(Z5:Z59)</f>
      </c>
      <c r="AA1">
        <f>SUM(AA5:AA59)</f>
      </c>
    </row>
    <row r="2">
      <c r="A2" s="40" t="str">
        <v>Chỉ số</v>
      </c>
      <c r="B2" s="40" t="str">
        <v>Thay đổi 11 ngày T3</v>
      </c>
      <c r="C2" s="40" t="str">
        <v>Ước tính tháng 3</v>
      </c>
      <c r="D2" s="40" t="str">
        <v>Ước tính số DT thay đổi từ 13-31 tháng 3</v>
      </c>
      <c r="E2" s="41" t="str">
        <v>AOV giảm</v>
      </c>
      <c r="G2" s="63" t="str">
        <v>Salon</v>
      </c>
      <c r="H2" s="63" t="str">
        <v>Số gói (11 ngày T3)</v>
      </c>
      <c r="I2" s="63" t="str">
        <v>Giá hiện tại</v>
      </c>
      <c r="J2" s="63" t="str">
        <v>Giá mới</v>
      </c>
      <c r="K2" s="63" t="str">
        <v>Chênh lệch giá
 (đ/gói)</v>
      </c>
      <c r="L2" s="63" t="str">
        <v>DT hiện tại
 11 ngày</v>
      </c>
      <c r="M2" s="63" t="str">
        <v>DT mới
 11 ngày</v>
      </c>
      <c r="N2" s="63" t="str">
        <v>Thay đổi DT
 11 ngày</v>
      </c>
      <c r="O2" s="63" t="str">
        <v>Thay đổi DT
 tháng</v>
      </c>
      <c r="Q2" s="77" t="str">
        <v>CHI TIẾT THEO SALON (sắp xếp: % CR cần tăng nhiều nhất → ít nhất)</v>
      </c>
      <c r="R2" s="77"/>
      <c r="S2" s="77"/>
      <c r="T2" s="77"/>
      <c r="U2" s="77"/>
      <c r="V2" s="77"/>
      <c r="W2" s="77"/>
      <c r="X2" s="77"/>
      <c r="Y2" s="77"/>
      <c r="Z2" s="77"/>
      <c r="AA2" s="77"/>
    </row>
    <row r="3">
      <c r="A3" s="44" t="str">
        <v>DT thay đổi</v>
      </c>
      <c r="B3" s="42">
        <v>-41973000</v>
      </c>
      <c r="C3" s="42">
        <v>-114471000</v>
      </c>
      <c r="D3" s="42">
        <f>C3-B3</f>
      </c>
      <c r="E3" s="43">
        <f>-41973000/39301</f>
      </c>
      <c r="G3" t="str">
        <v>237 NTT</v>
      </c>
      <c r="H3" s="36">
        <v>18</v>
      </c>
      <c r="I3" s="36">
        <v>396000</v>
      </c>
      <c r="J3" s="36">
        <v>237000</v>
      </c>
      <c r="K3" s="36">
        <v>-159000</v>
      </c>
      <c r="L3" s="36">
        <v>6969600</v>
      </c>
      <c r="M3" s="36">
        <v>4107600</v>
      </c>
      <c r="N3" s="36">
        <v>-2862000</v>
      </c>
      <c r="O3" s="36">
        <v>-7805455</v>
      </c>
      <c r="Q3" s="73" t="str">
        <v>Thông tin</v>
      </c>
      <c r="R3" s="73"/>
      <c r="S3" s="74" t="str">
        <v>Dịch vụ &amp; Giá</v>
      </c>
      <c r="T3" s="74"/>
      <c r="U3" s="74"/>
      <c r="V3" s="76" t="str">
        <v>Conversion Rate (CR)</v>
      </c>
      <c r="W3" s="76"/>
      <c r="X3" s="76"/>
      <c r="Y3" s="75" t="str">
        <v>Kết quả cần đạt</v>
      </c>
      <c r="Z3" s="75"/>
      <c r="AA3" s="75"/>
    </row>
    <row r="4">
      <c r="A4" s="45" t="str">
        <v>→ DV_Uốn</v>
      </c>
      <c r="B4" s="42">
        <v>-41973000</v>
      </c>
      <c r="C4" s="42">
        <v>-114471000</v>
      </c>
      <c r="D4" s="42">
        <f>C4-B4</f>
      </c>
      <c r="E4" s="43">
        <f>-41973000/39301</f>
      </c>
      <c r="G4" t="str">
        <v>927 HG</v>
      </c>
      <c r="H4" s="36">
        <v>14</v>
      </c>
      <c r="I4" s="36">
        <v>396000</v>
      </c>
      <c r="J4" s="36">
        <v>236000</v>
      </c>
      <c r="K4" s="36">
        <v>-160000</v>
      </c>
      <c r="L4" s="36">
        <v>5425200</v>
      </c>
      <c r="M4" s="36">
        <v>3185200</v>
      </c>
      <c r="N4" s="36">
        <v>-2240000</v>
      </c>
      <c r="O4" s="36">
        <v>-6109091</v>
      </c>
      <c r="Q4" s="63" t="str">
        <v>Salon</v>
      </c>
      <c r="R4" s="64" t="str">
        <v>Tổng khách
 (11 ngày)</v>
      </c>
      <c r="S4" s="64" t="str">
        <v>Số gói hiện tại</v>
      </c>
      <c r="T4" s="64" t="str">
        <v>Giá cũ (đ)</v>
      </c>
      <c r="U4" s="64" t="str">
        <v>Giá mới (đ)</v>
      </c>
      <c r="V4" s="64" t="str">
        <v>CR hiện tại
 (Cu)</v>
      </c>
      <c r="W4" s="64" t="str">
        <v>CR cần đạt
 (Mới)</v>
      </c>
      <c r="X4" s="64" t="str">
        <v>∆ CR (pp)</v>
      </c>
      <c r="Y4" s="64" t="str">
        <v>% CR cần tăng trưởng</v>
      </c>
      <c r="Z4" s="64" t="str">
        <v>Số gói cần
 tăng thêm</v>
      </c>
      <c r="AA4" s="64" t="str">
        <v>Số gói cần
 đạt</v>
      </c>
    </row>
    <row r="5">
      <c r="G5" t="str">
        <v>99 TSN</v>
      </c>
      <c r="H5" s="36">
        <v>13</v>
      </c>
      <c r="I5" s="36">
        <v>396000</v>
      </c>
      <c r="J5" s="36">
        <v>236000</v>
      </c>
      <c r="K5" s="36">
        <v>-160000</v>
      </c>
      <c r="L5" s="36">
        <v>5112050</v>
      </c>
      <c r="M5" s="36">
        <v>3032050</v>
      </c>
      <c r="N5" s="36">
        <v>-2080000</v>
      </c>
      <c r="O5" s="36">
        <v>-5672727</v>
      </c>
      <c r="Q5" s="67" t="str">
        <v>113 THD AG</v>
      </c>
      <c r="R5" s="68">
        <v>304</v>
      </c>
      <c r="S5" s="68">
        <v>4</v>
      </c>
      <c r="T5" s="68">
        <v>396000</v>
      </c>
      <c r="U5" s="68">
        <v>201000</v>
      </c>
      <c r="V5" s="68" t="str">
        <v>1,32%</v>
      </c>
      <c r="W5" s="68" t="str">
        <v>2,59%</v>
      </c>
      <c r="X5" s="68" t="str">
        <v>1,28%</v>
      </c>
      <c r="Y5" s="69" t="str">
        <v>97,01%</v>
      </c>
      <c r="Z5" s="69">
        <v>4</v>
      </c>
      <c r="AA5" s="68">
        <v>8</v>
      </c>
    </row>
    <row r="6">
      <c r="G6" t="str">
        <v>8 CVL</v>
      </c>
      <c r="H6" s="36">
        <v>13</v>
      </c>
      <c r="I6" s="36">
        <v>396000</v>
      </c>
      <c r="J6" s="36">
        <v>239000</v>
      </c>
      <c r="K6" s="36">
        <v>-157000</v>
      </c>
      <c r="L6" s="36">
        <v>5112050</v>
      </c>
      <c r="M6" s="36">
        <v>3071050</v>
      </c>
      <c r="N6" s="36">
        <v>-2041000</v>
      </c>
      <c r="O6" s="36">
        <v>-5566364</v>
      </c>
      <c r="Q6" s="67" t="str">
        <v>7 DTP LA</v>
      </c>
      <c r="R6" s="68">
        <v>296</v>
      </c>
      <c r="S6" s="68">
        <v>4</v>
      </c>
      <c r="T6" s="68">
        <v>396000</v>
      </c>
      <c r="U6" s="68">
        <v>219000</v>
      </c>
      <c r="V6" s="68" t="str">
        <v>1,35%</v>
      </c>
      <c r="W6" s="68" t="str">
        <v>2,44%</v>
      </c>
      <c r="X6" s="68" t="str">
        <v>1,09%</v>
      </c>
      <c r="Y6" s="69" t="str">
        <v>80,82%</v>
      </c>
      <c r="Z6" s="69">
        <v>3</v>
      </c>
      <c r="AA6" s="68">
        <v>7</v>
      </c>
    </row>
    <row r="7">
      <c r="A7" s="2" t="str">
        <v>TRIẾT LÝ CỐT LÕI</v>
      </c>
      <c r="G7" t="str">
        <v>382 NT</v>
      </c>
      <c r="H7" s="36">
        <v>14</v>
      </c>
      <c r="I7" s="36">
        <v>396000</v>
      </c>
      <c r="J7" s="36">
        <v>266000</v>
      </c>
      <c r="K7" s="36">
        <v>-130000</v>
      </c>
      <c r="L7" s="36">
        <v>5472100</v>
      </c>
      <c r="M7" s="36">
        <v>3652100</v>
      </c>
      <c r="N7" s="36">
        <v>-1820000</v>
      </c>
      <c r="O7" s="36">
        <v>-4963636</v>
      </c>
      <c r="Q7" s="67" t="str">
        <v>363 LNQ TN</v>
      </c>
      <c r="R7" s="68">
        <v>462</v>
      </c>
      <c r="S7" s="68">
        <v>2</v>
      </c>
      <c r="T7" s="68">
        <v>416000</v>
      </c>
      <c r="U7" s="68">
        <v>237000</v>
      </c>
      <c r="V7" s="68" t="str">
        <v>0,43%</v>
      </c>
      <c r="W7" s="68" t="str">
        <v>0,76%</v>
      </c>
      <c r="X7" s="68" t="str">
        <v>0,33%</v>
      </c>
      <c r="Y7" s="69" t="str">
        <v>75,53%</v>
      </c>
      <c r="Z7" s="69">
        <v>2</v>
      </c>
      <c r="AA7" s="68">
        <v>4</v>
      </c>
    </row>
    <row r="8">
      <c r="A8" s="1" t="str">
        <v>Tầng 1: WTP → Xác định KHUNG GIÁ [Sàn L ; Trần H]</v>
      </c>
      <c r="G8" t="str">
        <v>420 HTP</v>
      </c>
      <c r="H8" s="36">
        <v>11</v>
      </c>
      <c r="I8" s="36">
        <v>396000</v>
      </c>
      <c r="J8" s="36">
        <v>253000</v>
      </c>
      <c r="K8" s="36">
        <v>-143000</v>
      </c>
      <c r="L8" s="36">
        <v>4318980</v>
      </c>
      <c r="M8" s="36">
        <v>2745980</v>
      </c>
      <c r="N8" s="36">
        <v>-1573000</v>
      </c>
      <c r="O8" s="36">
        <v>-4290000</v>
      </c>
      <c r="Q8" s="67" t="str">
        <v>190 HB</v>
      </c>
      <c r="R8" s="68">
        <v>559</v>
      </c>
      <c r="S8" s="68">
        <v>4</v>
      </c>
      <c r="T8" s="68">
        <v>396000</v>
      </c>
      <c r="U8" s="68">
        <v>226000</v>
      </c>
      <c r="V8" s="68" t="str">
        <v>0,72%</v>
      </c>
      <c r="W8" s="68" t="str">
        <v>1,25%</v>
      </c>
      <c r="X8" s="68" t="str">
        <v>0,54%</v>
      </c>
      <c r="Y8" s="69" t="str">
        <v>75,22%</v>
      </c>
      <c r="Z8" s="69">
        <v>3</v>
      </c>
      <c r="AA8" s="68">
        <v>7</v>
      </c>
    </row>
    <row r="9">
      <c r="A9" s="1" t="str">
        <v>Tầng 2: CPI × EPI → Xác định VỊ TRÍ trong khung WTP</v>
      </c>
      <c r="G9" t="str">
        <v>362 NGT BN</v>
      </c>
      <c r="H9" s="36">
        <v>14</v>
      </c>
      <c r="I9" s="36">
        <v>396000</v>
      </c>
      <c r="J9" s="36">
        <v>289000</v>
      </c>
      <c r="K9" s="36">
        <v>-107000</v>
      </c>
      <c r="L9" s="36">
        <v>5341510</v>
      </c>
      <c r="M9" s="36">
        <v>3843510</v>
      </c>
      <c r="N9" s="36">
        <v>-1498000</v>
      </c>
      <c r="O9" s="36">
        <v>-4085455</v>
      </c>
      <c r="Q9" s="67" t="str">
        <v>1146 KVC</v>
      </c>
      <c r="R9" s="68">
        <v>425</v>
      </c>
      <c r="S9" s="68">
        <v>6</v>
      </c>
      <c r="T9" s="68">
        <v>396000</v>
      </c>
      <c r="U9" s="68">
        <v>226000</v>
      </c>
      <c r="V9" s="68" t="str">
        <v>1,41%</v>
      </c>
      <c r="W9" s="68" t="str">
        <v>2,47%</v>
      </c>
      <c r="X9" s="68" t="str">
        <v>1,06%</v>
      </c>
      <c r="Y9" s="69" t="str">
        <v>75,22%</v>
      </c>
      <c r="Z9" s="69">
        <v>5</v>
      </c>
      <c r="AA9" s="68">
        <v>11</v>
      </c>
    </row>
    <row r="10">
      <c r="A10" s="1" t="str">
        <v>Công thức: P_min = L + α_low × (H-L), P_max = L + α_high × (H-L)</v>
      </c>
      <c r="G10" t="str">
        <v>312 LVS</v>
      </c>
      <c r="H10" s="36">
        <v>12</v>
      </c>
      <c r="I10" s="36">
        <v>396000</v>
      </c>
      <c r="J10" s="36">
        <v>284000</v>
      </c>
      <c r="K10" s="36">
        <v>-112000</v>
      </c>
      <c r="L10" s="36">
        <v>4672520</v>
      </c>
      <c r="M10" s="36">
        <v>3328520</v>
      </c>
      <c r="N10" s="36">
        <v>-1344000</v>
      </c>
      <c r="O10" s="36">
        <v>-3665455</v>
      </c>
      <c r="Q10" s="67" t="str">
        <v>65 CD</v>
      </c>
      <c r="R10" s="68">
        <v>384</v>
      </c>
      <c r="S10" s="68">
        <v>2</v>
      </c>
      <c r="T10" s="68">
        <v>416000</v>
      </c>
      <c r="U10" s="68">
        <v>238000</v>
      </c>
      <c r="V10" s="68" t="str">
        <v>0,52%</v>
      </c>
      <c r="W10" s="68" t="str">
        <v>0,91%</v>
      </c>
      <c r="X10" s="68" t="str">
        <v>0,39%</v>
      </c>
      <c r="Y10" s="69" t="str">
        <v>74,79%</v>
      </c>
      <c r="Z10" s="69">
        <v>1</v>
      </c>
      <c r="AA10" s="68">
        <v>3</v>
      </c>
    </row>
    <row r="11">
      <c r="G11" t="str">
        <v>483 TN</v>
      </c>
      <c r="H11" s="36">
        <v>9</v>
      </c>
      <c r="I11" s="36">
        <v>396000</v>
      </c>
      <c r="J11" s="36">
        <v>253000</v>
      </c>
      <c r="K11" s="36">
        <v>-143000</v>
      </c>
      <c r="L11" s="36">
        <v>3526980</v>
      </c>
      <c r="M11" s="36">
        <v>2239980</v>
      </c>
      <c r="N11" s="36">
        <v>-1287000</v>
      </c>
      <c r="O11" s="36">
        <v>-3510000</v>
      </c>
      <c r="Q11" s="67" t="str">
        <v>236 DBT</v>
      </c>
      <c r="R11" s="68">
        <v>812</v>
      </c>
      <c r="S11" s="68">
        <v>7</v>
      </c>
      <c r="T11" s="68">
        <v>396000</v>
      </c>
      <c r="U11" s="68">
        <v>236000</v>
      </c>
      <c r="V11" s="68" t="str">
        <v>0,86%</v>
      </c>
      <c r="W11" s="68" t="str">
        <v>1,45%</v>
      </c>
      <c r="X11" s="68" t="str">
        <v>0,58%</v>
      </c>
      <c r="Y11" s="69" t="str">
        <v>67,80%</v>
      </c>
      <c r="Z11" s="69">
        <v>5</v>
      </c>
      <c r="AA11" s="68">
        <v>12</v>
      </c>
    </row>
    <row r="12">
      <c r="A12" s="2" t="str">
        <v>MA TRẬN CPI × EPI → HỆ SỐ α</v>
      </c>
      <c r="G12" t="str">
        <v>1371 PVT</v>
      </c>
      <c r="H12" s="36">
        <v>8</v>
      </c>
      <c r="I12" s="36">
        <v>396000</v>
      </c>
      <c r="J12" s="36">
        <v>238000</v>
      </c>
      <c r="K12" s="36">
        <v>-158000</v>
      </c>
      <c r="L12" s="36">
        <v>3139010</v>
      </c>
      <c r="M12" s="36">
        <v>1875010</v>
      </c>
      <c r="N12" s="36">
        <v>-1264000</v>
      </c>
      <c r="O12" s="36">
        <v>-3447273</v>
      </c>
      <c r="Q12" s="67" t="str">
        <v>99 TSN</v>
      </c>
      <c r="R12" s="68">
        <v>1085</v>
      </c>
      <c r="S12" s="68">
        <v>13</v>
      </c>
      <c r="T12" s="68">
        <v>396000</v>
      </c>
      <c r="U12" s="68">
        <v>236000</v>
      </c>
      <c r="V12" s="68" t="str">
        <v>1,20%</v>
      </c>
      <c r="W12" s="68" t="str">
        <v>2,01%</v>
      </c>
      <c r="X12" s="68" t="str">
        <v>0,81%</v>
      </c>
      <c r="Y12" s="69" t="str">
        <v>67,80%</v>
      </c>
      <c r="Z12" s="69">
        <v>9</v>
      </c>
      <c r="AA12" s="68">
        <v>22</v>
      </c>
    </row>
    <row r="13">
      <c r="A13" s="7" t="str">
        <v>CPI \ EPI</v>
      </c>
      <c r="B13" s="7" t="str">
        <v>EPI Thấp</v>
      </c>
      <c r="C13" s="7" t="str">
        <v>EPI Trung</v>
      </c>
      <c r="D13" s="7" t="str">
        <v>EPI Trung</v>
      </c>
      <c r="G13" t="str">
        <v>25 TD</v>
      </c>
      <c r="H13" s="36">
        <v>8</v>
      </c>
      <c r="I13" s="36">
        <v>416000</v>
      </c>
      <c r="J13" s="36">
        <v>268000</v>
      </c>
      <c r="K13" s="36">
        <v>-148000</v>
      </c>
      <c r="L13" s="36">
        <v>3278700</v>
      </c>
      <c r="M13" s="36">
        <v>2094700</v>
      </c>
      <c r="N13" s="36">
        <v>-1184000</v>
      </c>
      <c r="O13" s="36">
        <v>-3229091</v>
      </c>
      <c r="Q13" s="67" t="str">
        <v>927 HG</v>
      </c>
      <c r="R13" s="68">
        <v>1103</v>
      </c>
      <c r="S13" s="68">
        <v>14</v>
      </c>
      <c r="T13" s="68">
        <v>396000</v>
      </c>
      <c r="U13" s="68">
        <v>236000</v>
      </c>
      <c r="V13" s="68" t="str">
        <v>1,27%</v>
      </c>
      <c r="W13" s="68" t="str">
        <v>2,13%</v>
      </c>
      <c r="X13" s="68" t="str">
        <v>0,86%</v>
      </c>
      <c r="Y13" s="69" t="str">
        <v>67,80%</v>
      </c>
      <c r="Z13" s="69">
        <v>9</v>
      </c>
      <c r="AA13" s="68">
        <v>23</v>
      </c>
    </row>
    <row r="14">
      <c r="A14" s="3" t="str">
        <v>CPI Cao</v>
      </c>
      <c r="B14" s="1" t="str">
        <v>[0.15 ; 0.35]</v>
      </c>
      <c r="C14" s="1" t="str">
        <v>[0.25 ; 0.45]</v>
      </c>
      <c r="D14" s="1" t="str">
        <v>[0.25 ; 0.45]</v>
      </c>
      <c r="G14" t="str">
        <v>103 TN</v>
      </c>
      <c r="H14" s="36">
        <v>11</v>
      </c>
      <c r="I14" s="36">
        <v>406000</v>
      </c>
      <c r="J14" s="36">
        <v>301000</v>
      </c>
      <c r="K14" s="36">
        <v>-105000</v>
      </c>
      <c r="L14" s="36">
        <v>4546000</v>
      </c>
      <c r="M14" s="36">
        <v>3391000</v>
      </c>
      <c r="N14" s="36">
        <v>-1155000</v>
      </c>
      <c r="O14" s="36">
        <v>-3150000</v>
      </c>
      <c r="Q14" s="67" t="str">
        <v>62 LH</v>
      </c>
      <c r="R14" s="68">
        <v>458</v>
      </c>
      <c r="S14" s="68">
        <v>2</v>
      </c>
      <c r="T14" s="68">
        <v>396000</v>
      </c>
      <c r="U14" s="68">
        <v>236000</v>
      </c>
      <c r="V14" s="68" t="str">
        <v>0,44%</v>
      </c>
      <c r="W14" s="68" t="str">
        <v>0,73%</v>
      </c>
      <c r="X14" s="68" t="str">
        <v>0,30%</v>
      </c>
      <c r="Y14" s="69" t="str">
        <v>67,80%</v>
      </c>
      <c r="Z14" s="69">
        <v>1</v>
      </c>
      <c r="AA14" s="68">
        <v>3</v>
      </c>
    </row>
    <row r="15">
      <c r="A15" s="3" t="str">
        <v>CPI Trung</v>
      </c>
      <c r="B15" s="1" t="str">
        <v>[0.25 ; 0.50]</v>
      </c>
      <c r="C15" s="1" t="str">
        <v>[0.40 ; 0.65]</v>
      </c>
      <c r="D15" s="1" t="str">
        <v>[0.40 ; 0.65]</v>
      </c>
      <c r="G15" t="str">
        <v>186 DTH</v>
      </c>
      <c r="H15" s="36">
        <v>8</v>
      </c>
      <c r="I15" s="36">
        <v>396000</v>
      </c>
      <c r="J15" s="36">
        <v>253000</v>
      </c>
      <c r="K15" s="36">
        <v>-143000</v>
      </c>
      <c r="L15" s="36">
        <v>3138700</v>
      </c>
      <c r="M15" s="36">
        <v>1994700</v>
      </c>
      <c r="N15" s="36">
        <v>-1144000</v>
      </c>
      <c r="O15" s="36">
        <v>-3120000</v>
      </c>
      <c r="Q15" s="67" t="str">
        <v>575 AC</v>
      </c>
      <c r="R15" s="68">
        <v>763</v>
      </c>
      <c r="S15" s="68">
        <v>4</v>
      </c>
      <c r="T15" s="68">
        <v>396000</v>
      </c>
      <c r="U15" s="68">
        <v>236000</v>
      </c>
      <c r="V15" s="68" t="str">
        <v>0,52%</v>
      </c>
      <c r="W15" s="68" t="str">
        <v>0,88%</v>
      </c>
      <c r="X15" s="68" t="str">
        <v>0,36%</v>
      </c>
      <c r="Y15" s="69" t="str">
        <v>67,80%</v>
      </c>
      <c r="Z15" s="69">
        <v>3</v>
      </c>
      <c r="AA15" s="68">
        <v>7</v>
      </c>
    </row>
    <row r="16">
      <c r="A16" s="3" t="str">
        <v>CPI Thấp</v>
      </c>
      <c r="B16" s="1" t="str">
        <v>[0.40 ; 0.65]</v>
      </c>
      <c r="C16" s="1" t="str">
        <v>[0.55 ; 0.85]</v>
      </c>
      <c r="D16" s="1" t="str">
        <v>[0.55 ; 0.85]</v>
      </c>
      <c r="G16" t="str">
        <v>236 DBT</v>
      </c>
      <c r="H16" s="36">
        <v>7</v>
      </c>
      <c r="I16" s="36">
        <v>396000</v>
      </c>
      <c r="J16" s="36">
        <v>236000</v>
      </c>
      <c r="K16" s="36">
        <v>-160000</v>
      </c>
      <c r="L16" s="36">
        <v>2649360</v>
      </c>
      <c r="M16" s="36">
        <v>1529360</v>
      </c>
      <c r="N16" s="36">
        <v>-1120000</v>
      </c>
      <c r="O16" s="36">
        <v>-3054545</v>
      </c>
      <c r="Q16" s="67" t="str">
        <v>304 NT TH</v>
      </c>
      <c r="R16" s="68">
        <v>259</v>
      </c>
      <c r="S16" s="68">
        <v>1</v>
      </c>
      <c r="T16" s="68">
        <v>396000</v>
      </c>
      <c r="U16" s="68">
        <v>237000</v>
      </c>
      <c r="V16" s="68" t="str">
        <v>0,39%</v>
      </c>
      <c r="W16" s="68" t="str">
        <v>0,65%</v>
      </c>
      <c r="X16" s="68" t="str">
        <v>0,26%</v>
      </c>
      <c r="Y16" s="69" t="str">
        <v>67,09%</v>
      </c>
      <c r="Z16" s="69">
        <v>1</v>
      </c>
      <c r="AA16" s="68">
        <v>2</v>
      </c>
    </row>
    <row r="17">
      <c r="G17" t="str">
        <v>255 NAN</v>
      </c>
      <c r="H17" s="36">
        <v>7</v>
      </c>
      <c r="I17" s="36">
        <v>396000</v>
      </c>
      <c r="J17" s="36">
        <v>238000</v>
      </c>
      <c r="K17" s="36">
        <v>-158000</v>
      </c>
      <c r="L17" s="36">
        <v>2728470</v>
      </c>
      <c r="M17" s="36">
        <v>1622470</v>
      </c>
      <c r="N17" s="36">
        <v>-1106000</v>
      </c>
      <c r="O17" s="36">
        <v>-3016364</v>
      </c>
      <c r="Q17" s="67" t="str">
        <v>80 TP TH</v>
      </c>
      <c r="R17" s="68">
        <v>398</v>
      </c>
      <c r="S17" s="68">
        <v>1</v>
      </c>
      <c r="T17" s="68">
        <v>396000</v>
      </c>
      <c r="U17" s="68">
        <v>237000</v>
      </c>
      <c r="V17" s="68" t="str">
        <v>0,25%</v>
      </c>
      <c r="W17" s="68" t="str">
        <v>0,42%</v>
      </c>
      <c r="X17" s="68" t="str">
        <v>0,17%</v>
      </c>
      <c r="Y17" s="69" t="str">
        <v>67,09%</v>
      </c>
      <c r="Z17" s="69">
        <v>1</v>
      </c>
      <c r="AA17" s="68">
        <v>2</v>
      </c>
    </row>
    <row r="18">
      <c r="A18" s="2" t="str">
        <v>4 KỊCH BẢN VẬN HÀNH</v>
      </c>
      <c r="G18" t="str">
        <v>1146 KVC</v>
      </c>
      <c r="H18" s="36">
        <v>6</v>
      </c>
      <c r="I18" s="36">
        <v>396000</v>
      </c>
      <c r="J18" s="36">
        <v>226000</v>
      </c>
      <c r="K18" s="36">
        <v>-170000</v>
      </c>
      <c r="L18" s="36">
        <v>2376000</v>
      </c>
      <c r="M18" s="36">
        <v>1356000</v>
      </c>
      <c r="N18" s="36">
        <v>-1020000</v>
      </c>
      <c r="O18" s="36">
        <v>-2781818</v>
      </c>
      <c r="Q18" s="67" t="str">
        <v>145 THT</v>
      </c>
      <c r="R18" s="68">
        <v>1410</v>
      </c>
      <c r="S18" s="68">
        <v>5</v>
      </c>
      <c r="T18" s="68">
        <v>396000</v>
      </c>
      <c r="U18" s="68">
        <v>237000</v>
      </c>
      <c r="V18" s="68" t="str">
        <v>0,35%</v>
      </c>
      <c r="W18" s="68" t="str">
        <v>0,59%</v>
      </c>
      <c r="X18" s="68" t="str">
        <v>0,24%</v>
      </c>
      <c r="Y18" s="69" t="str">
        <v>67,09%</v>
      </c>
      <c r="Z18" s="69">
        <v>3</v>
      </c>
      <c r="AA18" s="68">
        <v>8</v>
      </c>
    </row>
    <row r="19">
      <c r="A19" s="1" t="str">
        <v>KB1: Hút Traffic</v>
      </c>
      <c r="B19" s="4" t="str">
        <v>=P_min</v>
      </c>
      <c r="C19" s="1" t="str">
        <v>Thu hút khách mới</v>
      </c>
      <c r="D19" s="1" t="str">
        <v>Thu hút khách mới</v>
      </c>
      <c r="G19" t="str">
        <v>730 TL10</v>
      </c>
      <c r="H19" s="36">
        <v>7</v>
      </c>
      <c r="I19" s="36">
        <v>396000</v>
      </c>
      <c r="J19" s="36">
        <v>253000</v>
      </c>
      <c r="K19" s="36">
        <v>-143000</v>
      </c>
      <c r="L19" s="36">
        <v>2772000</v>
      </c>
      <c r="M19" s="36">
        <v>1771000</v>
      </c>
      <c r="N19" s="36">
        <v>-1001000</v>
      </c>
      <c r="O19" s="36">
        <v>-2730000</v>
      </c>
      <c r="Q19" s="67" t="str">
        <v>237 NTT</v>
      </c>
      <c r="R19" s="68">
        <v>1372</v>
      </c>
      <c r="S19" s="68">
        <v>18</v>
      </c>
      <c r="T19" s="68">
        <v>396000</v>
      </c>
      <c r="U19" s="68">
        <v>237000</v>
      </c>
      <c r="V19" s="68" t="str">
        <v>1,31%</v>
      </c>
      <c r="W19" s="68" t="str">
        <v>2,19%</v>
      </c>
      <c r="X19" s="68" t="str">
        <v>0,88%</v>
      </c>
      <c r="Y19" s="69" t="str">
        <v>67,09%</v>
      </c>
      <c r="Z19" s="69">
        <v>12</v>
      </c>
      <c r="AA19" s="68">
        <v>30</v>
      </c>
    </row>
    <row r="20">
      <c r="A20" s="1" t="str">
        <v>KB2: Tăng AOV</v>
      </c>
      <c r="B20" s="4" t="str">
        <v>=P_max</v>
      </c>
      <c r="C20" s="1" t="str">
        <v>Tăng doanh thu/margin</v>
      </c>
      <c r="D20" s="1" t="str">
        <v>Tăng doanh thu/margin</v>
      </c>
      <c r="G20" t="str">
        <v>151 CG</v>
      </c>
      <c r="H20" s="36">
        <v>9</v>
      </c>
      <c r="I20" s="36">
        <v>396000</v>
      </c>
      <c r="J20" s="36">
        <v>286000</v>
      </c>
      <c r="K20" s="36">
        <v>-110000</v>
      </c>
      <c r="L20" s="36">
        <v>3564000</v>
      </c>
      <c r="M20" s="36">
        <v>2574000</v>
      </c>
      <c r="N20" s="36">
        <v>-990000</v>
      </c>
      <c r="O20" s="36">
        <v>-2700000</v>
      </c>
      <c r="Q20" s="67" t="str">
        <v>255 NAN</v>
      </c>
      <c r="R20" s="68">
        <v>711</v>
      </c>
      <c r="S20" s="68">
        <v>7</v>
      </c>
      <c r="T20" s="68">
        <v>396000</v>
      </c>
      <c r="U20" s="68">
        <v>238000</v>
      </c>
      <c r="V20" s="68" t="str">
        <v>0,98%</v>
      </c>
      <c r="W20" s="68" t="str">
        <v>1,64%</v>
      </c>
      <c r="X20" s="68" t="str">
        <v>0,65%</v>
      </c>
      <c r="Y20" s="69" t="str">
        <v>66,39%</v>
      </c>
      <c r="Z20" s="69">
        <v>5</v>
      </c>
      <c r="AA20" s="68">
        <v>12</v>
      </c>
    </row>
    <row r="21">
      <c r="A21" s="1" t="str">
        <v>KB3: Cân Bằng</v>
      </c>
      <c r="B21" s="4" t="str">
        <v>=(P_min + P_max) / 2</v>
      </c>
      <c r="C21" s="1" t="str">
        <v>Cân bằng lượng và giá</v>
      </c>
      <c r="D21" s="1" t="str">
        <v>Cân bằng lượng và giá</v>
      </c>
      <c r="G21" t="str">
        <v>1180 QT</v>
      </c>
      <c r="H21" s="36">
        <v>6</v>
      </c>
      <c r="I21" s="36">
        <v>396000</v>
      </c>
      <c r="J21" s="36">
        <v>261000</v>
      </c>
      <c r="K21" s="36">
        <v>-135000</v>
      </c>
      <c r="L21" s="36">
        <v>2309680</v>
      </c>
      <c r="M21" s="36">
        <v>1499680</v>
      </c>
      <c r="N21" s="36">
        <v>-810000</v>
      </c>
      <c r="O21" s="36">
        <v>-2209091</v>
      </c>
      <c r="Q21" s="67" t="str">
        <v>1371 PVT</v>
      </c>
      <c r="R21" s="68">
        <v>395</v>
      </c>
      <c r="S21" s="68">
        <v>8</v>
      </c>
      <c r="T21" s="68">
        <v>396000</v>
      </c>
      <c r="U21" s="68">
        <v>238000</v>
      </c>
      <c r="V21" s="68" t="str">
        <v>2,03%</v>
      </c>
      <c r="W21" s="68" t="str">
        <v>3,37%</v>
      </c>
      <c r="X21" s="68" t="str">
        <v>1,34%</v>
      </c>
      <c r="Y21" s="69" t="str">
        <v>66,39%</v>
      </c>
      <c r="Z21" s="69">
        <v>5</v>
      </c>
      <c r="AA21" s="68">
        <v>13</v>
      </c>
    </row>
    <row r="22">
      <c r="A22" s="1" t="str">
        <v>KB4: Giảm Quá Tải</v>
      </c>
      <c r="B22" s="4" t="str">
        <v>= P_min + 0.85 × (P_max - P_min)</v>
      </c>
      <c r="C22" s="1" t="str">
        <v>Điều tiết khi quá đông</v>
      </c>
      <c r="D22" s="1" t="str">
        <v>Điều tiết khi quá đông</v>
      </c>
      <c r="G22" t="str">
        <v>145 THT</v>
      </c>
      <c r="H22" s="36">
        <v>5</v>
      </c>
      <c r="I22" s="36">
        <v>396000</v>
      </c>
      <c r="J22" s="36">
        <v>237000</v>
      </c>
      <c r="K22" s="36">
        <v>-159000</v>
      </c>
      <c r="L22" s="36">
        <v>1980000</v>
      </c>
      <c r="M22" s="36">
        <v>1185000</v>
      </c>
      <c r="N22" s="36">
        <v>-795000</v>
      </c>
      <c r="O22" s="36">
        <v>-2168182</v>
      </c>
      <c r="Q22" s="67" t="str">
        <v>29 HB</v>
      </c>
      <c r="R22" s="68">
        <v>762</v>
      </c>
      <c r="S22" s="68">
        <v>3</v>
      </c>
      <c r="T22" s="68">
        <v>396000</v>
      </c>
      <c r="U22" s="68">
        <v>238000</v>
      </c>
      <c r="V22" s="68" t="str">
        <v>0,39%</v>
      </c>
      <c r="W22" s="68" t="str">
        <v>0,66%</v>
      </c>
      <c r="X22" s="68" t="str">
        <v>0,26%</v>
      </c>
      <c r="Y22" s="69" t="str">
        <v>66,39%</v>
      </c>
      <c r="Z22" s="69">
        <v>2</v>
      </c>
      <c r="AA22" s="68">
        <v>5</v>
      </c>
    </row>
    <row r="23">
      <c r="G23" t="str">
        <v>113 THD AG</v>
      </c>
      <c r="H23" s="36">
        <v>4</v>
      </c>
      <c r="I23" s="36">
        <v>396000</v>
      </c>
      <c r="J23" s="36">
        <v>201000</v>
      </c>
      <c r="K23" s="36">
        <v>-195000</v>
      </c>
      <c r="L23" s="36">
        <v>1584000</v>
      </c>
      <c r="M23" s="36">
        <v>804000</v>
      </c>
      <c r="N23" s="36">
        <v>-780000</v>
      </c>
      <c r="O23" s="36">
        <v>-2127273</v>
      </c>
      <c r="Q23" s="67" t="str">
        <v>451 PVT</v>
      </c>
      <c r="R23" s="68">
        <v>280</v>
      </c>
      <c r="S23" s="68">
        <v>2</v>
      </c>
      <c r="T23" s="68">
        <v>396000</v>
      </c>
      <c r="U23" s="68">
        <v>238000</v>
      </c>
      <c r="V23" s="68" t="str">
        <v>0,71%</v>
      </c>
      <c r="W23" s="68" t="str">
        <v>1,19%</v>
      </c>
      <c r="X23" s="68" t="str">
        <v>0,47%</v>
      </c>
      <c r="Y23" s="69" t="str">
        <v>66,39%</v>
      </c>
      <c r="Z23" s="69">
        <v>1</v>
      </c>
      <c r="AA23" s="68">
        <v>3</v>
      </c>
    </row>
    <row r="24">
      <c r="G24" t="str">
        <v>10 TP</v>
      </c>
      <c r="H24" s="36">
        <v>5</v>
      </c>
      <c r="I24" s="36">
        <v>396000</v>
      </c>
      <c r="J24" s="36">
        <v>243000</v>
      </c>
      <c r="K24" s="36">
        <v>-153000</v>
      </c>
      <c r="L24" s="36">
        <v>1980000</v>
      </c>
      <c r="M24" s="36">
        <v>1215000</v>
      </c>
      <c r="N24" s="36">
        <v>-765000</v>
      </c>
      <c r="O24" s="36">
        <v>-2086364</v>
      </c>
      <c r="Q24" s="67" t="str">
        <v>90 NH</v>
      </c>
      <c r="R24" s="68">
        <v>516</v>
      </c>
      <c r="S24" s="68">
        <v>2</v>
      </c>
      <c r="T24" s="68">
        <v>396000</v>
      </c>
      <c r="U24" s="68">
        <v>238000</v>
      </c>
      <c r="V24" s="68" t="str">
        <v>0,39%</v>
      </c>
      <c r="W24" s="68" t="str">
        <v>0,64%</v>
      </c>
      <c r="X24" s="68" t="str">
        <v>0,26%</v>
      </c>
      <c r="Y24" s="69" t="str">
        <v>66,39%</v>
      </c>
      <c r="Z24" s="69">
        <v>1</v>
      </c>
      <c r="AA24" s="68">
        <v>3</v>
      </c>
    </row>
    <row r="25">
      <c r="G25" t="str">
        <v>7 DTP LA</v>
      </c>
      <c r="H25" s="36">
        <v>4</v>
      </c>
      <c r="I25" s="36">
        <v>396000</v>
      </c>
      <c r="J25" s="36">
        <v>219000</v>
      </c>
      <c r="K25" s="36">
        <v>-177000</v>
      </c>
      <c r="L25" s="36">
        <v>1584000</v>
      </c>
      <c r="M25" s="36">
        <v>876000</v>
      </c>
      <c r="N25" s="36">
        <v>-708000</v>
      </c>
      <c r="O25" s="36">
        <v>-1930909</v>
      </c>
      <c r="Q25" s="67" t="str">
        <v>401/1 NDT</v>
      </c>
      <c r="R25" s="68">
        <v>415</v>
      </c>
      <c r="S25" s="68">
        <v>2</v>
      </c>
      <c r="T25" s="68">
        <v>396000</v>
      </c>
      <c r="U25" s="68">
        <v>238000</v>
      </c>
      <c r="V25" s="68" t="str">
        <v>0,48%</v>
      </c>
      <c r="W25" s="68" t="str">
        <v>0,80%</v>
      </c>
      <c r="X25" s="68" t="str">
        <v>0,32%</v>
      </c>
      <c r="Y25" s="69" t="str">
        <v>66,39%</v>
      </c>
      <c r="Z25" s="69">
        <v>1</v>
      </c>
      <c r="AA25" s="68">
        <v>3</v>
      </c>
    </row>
    <row r="26">
      <c r="G26" t="str">
        <v>190 HB</v>
      </c>
      <c r="H26" s="36">
        <v>4</v>
      </c>
      <c r="I26" s="36">
        <v>396000</v>
      </c>
      <c r="J26" s="36">
        <v>226000</v>
      </c>
      <c r="K26" s="36">
        <v>-170000</v>
      </c>
      <c r="L26" s="36">
        <v>1584000</v>
      </c>
      <c r="M26" s="36">
        <v>904000</v>
      </c>
      <c r="N26" s="36">
        <v>-680000</v>
      </c>
      <c r="O26" s="36">
        <v>-1854545</v>
      </c>
      <c r="Q26" s="67" t="str">
        <v>341 XVNT</v>
      </c>
      <c r="R26" s="68">
        <v>380</v>
      </c>
      <c r="S26" s="68">
        <v>4</v>
      </c>
      <c r="T26" s="68">
        <v>396000</v>
      </c>
      <c r="U26" s="68">
        <v>239000</v>
      </c>
      <c r="V26" s="68" t="str">
        <v>1,05%</v>
      </c>
      <c r="W26" s="68" t="str">
        <v>1,74%</v>
      </c>
      <c r="X26" s="68" t="str">
        <v>0,69%</v>
      </c>
      <c r="Y26" s="69" t="str">
        <v>65,69%</v>
      </c>
      <c r="Z26" s="69">
        <v>3</v>
      </c>
      <c r="AA26" s="68">
        <v>7</v>
      </c>
    </row>
    <row r="27">
      <c r="G27" t="str">
        <v>575 AC</v>
      </c>
      <c r="H27" s="36">
        <v>4</v>
      </c>
      <c r="I27" s="36">
        <v>396000</v>
      </c>
      <c r="J27" s="36">
        <v>236000</v>
      </c>
      <c r="K27" s="36">
        <v>-160000</v>
      </c>
      <c r="L27" s="36">
        <v>1584000</v>
      </c>
      <c r="M27" s="36">
        <v>944000</v>
      </c>
      <c r="N27" s="36">
        <v>-640000</v>
      </c>
      <c r="O27" s="36">
        <v>-1745455</v>
      </c>
      <c r="Q27" s="67" t="str">
        <v>8 CVL</v>
      </c>
      <c r="R27" s="68">
        <v>862</v>
      </c>
      <c r="S27" s="68">
        <v>13</v>
      </c>
      <c r="T27" s="68">
        <v>396000</v>
      </c>
      <c r="U27" s="68">
        <v>239000</v>
      </c>
      <c r="V27" s="68" t="str">
        <v>1,51%</v>
      </c>
      <c r="W27" s="68" t="str">
        <v>2,50%</v>
      </c>
      <c r="X27" s="68" t="str">
        <v>0,99%</v>
      </c>
      <c r="Y27" s="69" t="str">
        <v>65,69%</v>
      </c>
      <c r="Z27" s="69">
        <v>9</v>
      </c>
      <c r="AA27" s="68">
        <v>22</v>
      </c>
    </row>
    <row r="28">
      <c r="G28" t="str">
        <v>341 XVNT</v>
      </c>
      <c r="H28" s="36">
        <v>4</v>
      </c>
      <c r="I28" s="36">
        <v>396000</v>
      </c>
      <c r="J28" s="36">
        <v>239000</v>
      </c>
      <c r="K28" s="36">
        <v>-157000</v>
      </c>
      <c r="L28" s="36">
        <v>1504800</v>
      </c>
      <c r="M28" s="36">
        <v>876800</v>
      </c>
      <c r="N28" s="36">
        <v>-628000</v>
      </c>
      <c r="O28" s="36">
        <v>-1712727</v>
      </c>
      <c r="Q28" s="67" t="str">
        <v>10 TP</v>
      </c>
      <c r="R28" s="68">
        <v>768</v>
      </c>
      <c r="S28" s="68">
        <v>5</v>
      </c>
      <c r="T28" s="68">
        <v>396000</v>
      </c>
      <c r="U28" s="68">
        <v>243000</v>
      </c>
      <c r="V28" s="68" t="str">
        <v>0,65%</v>
      </c>
      <c r="W28" s="68" t="str">
        <v>1,06%</v>
      </c>
      <c r="X28" s="68" t="str">
        <v>0,41%</v>
      </c>
      <c r="Y28" s="69" t="str">
        <v>62,96%</v>
      </c>
      <c r="Z28" s="69">
        <v>3</v>
      </c>
      <c r="AA28" s="68">
        <v>8</v>
      </c>
    </row>
    <row r="29">
      <c r="G29" t="str">
        <v>346 KT</v>
      </c>
      <c r="H29" s="36">
        <v>5</v>
      </c>
      <c r="I29" s="36">
        <v>416000</v>
      </c>
      <c r="J29" s="36">
        <v>296000</v>
      </c>
      <c r="K29" s="36">
        <v>-120000</v>
      </c>
      <c r="L29" s="36">
        <v>2080000</v>
      </c>
      <c r="M29" s="36">
        <v>1480000</v>
      </c>
      <c r="N29" s="36">
        <v>-600000</v>
      </c>
      <c r="O29" s="36">
        <v>-1636364</v>
      </c>
      <c r="Q29" s="67" t="str">
        <v>483 TN</v>
      </c>
      <c r="R29" s="68">
        <v>644</v>
      </c>
      <c r="S29" s="68">
        <v>9</v>
      </c>
      <c r="T29" s="68">
        <v>396000</v>
      </c>
      <c r="U29" s="68">
        <v>253000</v>
      </c>
      <c r="V29" s="68" t="str">
        <v>1,40%</v>
      </c>
      <c r="W29" s="68" t="str">
        <v>2,19%</v>
      </c>
      <c r="X29" s="68" t="str">
        <v>0,79%</v>
      </c>
      <c r="Y29" s="69" t="str">
        <v>56,52%</v>
      </c>
      <c r="Z29" s="69">
        <v>5</v>
      </c>
      <c r="AA29" s="68">
        <v>14</v>
      </c>
    </row>
    <row r="30">
      <c r="G30" t="str">
        <v>11 PKT</v>
      </c>
      <c r="H30" s="36">
        <v>4</v>
      </c>
      <c r="I30" s="36">
        <v>396000</v>
      </c>
      <c r="J30" s="36">
        <v>253000</v>
      </c>
      <c r="K30" s="36">
        <v>-143000</v>
      </c>
      <c r="L30" s="36">
        <v>1584000</v>
      </c>
      <c r="M30" s="36">
        <v>1012000</v>
      </c>
      <c r="N30" s="36">
        <v>-572000</v>
      </c>
      <c r="O30" s="36">
        <v>-1560000</v>
      </c>
      <c r="Q30" s="67" t="str">
        <v>11 PKT</v>
      </c>
      <c r="R30" s="68">
        <v>442</v>
      </c>
      <c r="S30" s="68">
        <v>4</v>
      </c>
      <c r="T30" s="68">
        <v>396000</v>
      </c>
      <c r="U30" s="68">
        <v>253000</v>
      </c>
      <c r="V30" s="68" t="str">
        <v>0,90%</v>
      </c>
      <c r="W30" s="68" t="str">
        <v>1,42%</v>
      </c>
      <c r="X30" s="68" t="str">
        <v>0,51%</v>
      </c>
      <c r="Y30" s="69" t="str">
        <v>56,52%</v>
      </c>
      <c r="Z30" s="69">
        <v>2</v>
      </c>
      <c r="AA30" s="68">
        <v>6</v>
      </c>
    </row>
    <row r="31">
      <c r="G31" t="str">
        <v>109 TQH</v>
      </c>
      <c r="H31" s="36">
        <v>6</v>
      </c>
      <c r="I31" s="36">
        <v>396000</v>
      </c>
      <c r="J31" s="36">
        <v>301000</v>
      </c>
      <c r="K31" s="36">
        <v>-95000</v>
      </c>
      <c r="L31" s="36">
        <v>2332470</v>
      </c>
      <c r="M31" s="36">
        <v>1762470</v>
      </c>
      <c r="N31" s="36">
        <v>-570000</v>
      </c>
      <c r="O31" s="36">
        <v>-1554545</v>
      </c>
      <c r="Q31" s="67" t="str">
        <v>730 TL10</v>
      </c>
      <c r="R31" s="68">
        <v>860</v>
      </c>
      <c r="S31" s="68">
        <v>7</v>
      </c>
      <c r="T31" s="68">
        <v>396000</v>
      </c>
      <c r="U31" s="68">
        <v>253000</v>
      </c>
      <c r="V31" s="68" t="str">
        <v>0,81%</v>
      </c>
      <c r="W31" s="68" t="str">
        <v>1,27%</v>
      </c>
      <c r="X31" s="68" t="str">
        <v>0,46%</v>
      </c>
      <c r="Y31" s="69" t="str">
        <v>56,52%</v>
      </c>
      <c r="Z31" s="69">
        <v>4</v>
      </c>
      <c r="AA31" s="68">
        <v>11</v>
      </c>
    </row>
    <row r="32">
      <c r="G32" t="str">
        <v>148 TD</v>
      </c>
      <c r="H32" s="36">
        <v>6</v>
      </c>
      <c r="I32" s="36">
        <v>396000</v>
      </c>
      <c r="J32" s="36">
        <v>305000</v>
      </c>
      <c r="K32" s="36">
        <v>-91000</v>
      </c>
      <c r="L32" s="36">
        <v>2376000</v>
      </c>
      <c r="M32" s="36">
        <v>1830000</v>
      </c>
      <c r="N32" s="36">
        <v>-546000</v>
      </c>
      <c r="O32" s="36">
        <v>-1489091</v>
      </c>
      <c r="Q32" s="67" t="str">
        <v>420 HTP</v>
      </c>
      <c r="R32" s="68">
        <v>1100</v>
      </c>
      <c r="S32" s="68">
        <v>11</v>
      </c>
      <c r="T32" s="68">
        <v>396000</v>
      </c>
      <c r="U32" s="68">
        <v>253000</v>
      </c>
      <c r="V32" s="68" t="str">
        <v>1,00%</v>
      </c>
      <c r="W32" s="68" t="str">
        <v>1,57%</v>
      </c>
      <c r="X32" s="68" t="str">
        <v>0,57%</v>
      </c>
      <c r="Y32" s="69" t="str">
        <v>56,52%</v>
      </c>
      <c r="Z32" s="69">
        <v>6</v>
      </c>
      <c r="AA32" s="68">
        <v>17</v>
      </c>
    </row>
    <row r="33">
      <c r="G33" t="str">
        <v>168 NVC</v>
      </c>
      <c r="H33" s="36">
        <v>11</v>
      </c>
      <c r="I33" s="36">
        <v>416000</v>
      </c>
      <c r="J33" s="36">
        <v>367000</v>
      </c>
      <c r="K33" s="36">
        <v>-49000</v>
      </c>
      <c r="L33" s="36">
        <v>4501100</v>
      </c>
      <c r="M33" s="36">
        <v>3962100</v>
      </c>
      <c r="N33" s="36">
        <v>-539000</v>
      </c>
      <c r="O33" s="36">
        <v>-1470000</v>
      </c>
      <c r="Q33" s="67" t="str">
        <v>186 DTH</v>
      </c>
      <c r="R33" s="68">
        <v>834</v>
      </c>
      <c r="S33" s="68">
        <v>8</v>
      </c>
      <c r="T33" s="68">
        <v>396000</v>
      </c>
      <c r="U33" s="68">
        <v>253000</v>
      </c>
      <c r="V33" s="68" t="str">
        <v>0,96%</v>
      </c>
      <c r="W33" s="68" t="str">
        <v>1,50%</v>
      </c>
      <c r="X33" s="68" t="str">
        <v>0,54%</v>
      </c>
      <c r="Y33" s="69" t="str">
        <v>56,52%</v>
      </c>
      <c r="Z33" s="69">
        <v>5</v>
      </c>
      <c r="AA33" s="68">
        <v>13</v>
      </c>
    </row>
    <row r="34">
      <c r="G34" t="str">
        <v>12 LDT</v>
      </c>
      <c r="H34" s="36">
        <v>5</v>
      </c>
      <c r="I34" s="36">
        <v>396000</v>
      </c>
      <c r="J34" s="36">
        <v>291000</v>
      </c>
      <c r="K34" s="36">
        <v>-105000</v>
      </c>
      <c r="L34" s="36">
        <v>1980000</v>
      </c>
      <c r="M34" s="36">
        <v>1455000</v>
      </c>
      <c r="N34" s="36">
        <v>-525000</v>
      </c>
      <c r="O34" s="36">
        <v>-1431818</v>
      </c>
      <c r="Q34" s="67" t="str">
        <v>25 TD</v>
      </c>
      <c r="R34" s="68">
        <v>961</v>
      </c>
      <c r="S34" s="68">
        <v>8</v>
      </c>
      <c r="T34" s="68">
        <v>416000</v>
      </c>
      <c r="U34" s="68">
        <v>268000</v>
      </c>
      <c r="V34" s="68" t="str">
        <v>0,83%</v>
      </c>
      <c r="W34" s="68" t="str">
        <v>1,29%</v>
      </c>
      <c r="X34" s="68" t="str">
        <v>0,46%</v>
      </c>
      <c r="Y34" s="69" t="str">
        <v>55,22%</v>
      </c>
      <c r="Z34" s="69">
        <v>4</v>
      </c>
      <c r="AA34" s="68">
        <v>12</v>
      </c>
    </row>
    <row r="35">
      <c r="G35" t="str">
        <v>708 LTT</v>
      </c>
      <c r="H35" s="36">
        <v>4</v>
      </c>
      <c r="I35" s="36">
        <v>396000</v>
      </c>
      <c r="J35" s="36">
        <v>267000</v>
      </c>
      <c r="K35" s="36">
        <v>-129000</v>
      </c>
      <c r="L35" s="36">
        <v>1540470</v>
      </c>
      <c r="M35" s="36">
        <v>1024470</v>
      </c>
      <c r="N35" s="36">
        <v>-516000</v>
      </c>
      <c r="O35" s="36">
        <v>-1407273</v>
      </c>
      <c r="Q35" s="67" t="str">
        <v>1180 QT</v>
      </c>
      <c r="R35" s="68">
        <v>528</v>
      </c>
      <c r="S35" s="68">
        <v>6</v>
      </c>
      <c r="T35" s="68">
        <v>396000</v>
      </c>
      <c r="U35" s="68">
        <v>261000</v>
      </c>
      <c r="V35" s="68" t="str">
        <v>1,14%</v>
      </c>
      <c r="W35" s="68" t="str">
        <v>1,72%</v>
      </c>
      <c r="X35" s="68" t="str">
        <v>0,59%</v>
      </c>
      <c r="Y35" s="69" t="str">
        <v>51,72%</v>
      </c>
      <c r="Z35" s="69">
        <v>3</v>
      </c>
      <c r="AA35" s="68">
        <v>9</v>
      </c>
    </row>
    <row r="36">
      <c r="G36" t="str">
        <v>29 HB</v>
      </c>
      <c r="H36" s="36">
        <v>3</v>
      </c>
      <c r="I36" s="36">
        <v>396000</v>
      </c>
      <c r="J36" s="36">
        <v>238000</v>
      </c>
      <c r="K36" s="36">
        <v>-158000</v>
      </c>
      <c r="L36" s="36">
        <v>1144470</v>
      </c>
      <c r="M36" s="36">
        <v>670470</v>
      </c>
      <c r="N36" s="36">
        <v>-474000</v>
      </c>
      <c r="O36" s="36">
        <v>-1292727</v>
      </c>
      <c r="Q36" s="67" t="str">
        <v>382 NT</v>
      </c>
      <c r="R36" s="68">
        <v>1304</v>
      </c>
      <c r="S36" s="68">
        <v>14</v>
      </c>
      <c r="T36" s="68">
        <v>396000</v>
      </c>
      <c r="U36" s="68">
        <v>266000</v>
      </c>
      <c r="V36" s="68" t="str">
        <v>1,07%</v>
      </c>
      <c r="W36" s="68" t="str">
        <v>1,60%</v>
      </c>
      <c r="X36" s="68" t="str">
        <v>0,52%</v>
      </c>
      <c r="Y36" s="69" t="str">
        <v>48,87%</v>
      </c>
      <c r="Z36" s="69">
        <v>7</v>
      </c>
      <c r="AA36" s="68">
        <v>21</v>
      </c>
    </row>
    <row r="37">
      <c r="G37" t="str">
        <v>80 PL BD</v>
      </c>
      <c r="H37" s="36">
        <v>5</v>
      </c>
      <c r="I37" s="36">
        <v>396000</v>
      </c>
      <c r="J37" s="36">
        <v>310000</v>
      </c>
      <c r="K37" s="36">
        <v>-86000</v>
      </c>
      <c r="L37" s="36">
        <v>1936470</v>
      </c>
      <c r="M37" s="36">
        <v>1506470</v>
      </c>
      <c r="N37" s="36">
        <v>-430000</v>
      </c>
      <c r="O37" s="36">
        <v>-1172727</v>
      </c>
      <c r="Q37" s="67" t="str">
        <v>76 PVH</v>
      </c>
      <c r="R37" s="68">
        <v>436</v>
      </c>
      <c r="S37" s="68">
        <v>1</v>
      </c>
      <c r="T37" s="68">
        <v>396000</v>
      </c>
      <c r="U37" s="68">
        <v>267000</v>
      </c>
      <c r="V37" s="68" t="str">
        <v>0,23%</v>
      </c>
      <c r="W37" s="68" t="str">
        <v>0,34%</v>
      </c>
      <c r="X37" s="68" t="str">
        <v>0,11%</v>
      </c>
      <c r="Y37" s="69" t="str">
        <v>48,31%</v>
      </c>
      <c r="Z37" s="69">
        <v>0</v>
      </c>
      <c r="AA37" s="68">
        <v>1</v>
      </c>
    </row>
    <row r="38">
      <c r="G38" t="str">
        <v>173 TN</v>
      </c>
      <c r="H38" s="36">
        <v>5</v>
      </c>
      <c r="I38" s="36">
        <v>396000</v>
      </c>
      <c r="J38" s="36">
        <v>311000</v>
      </c>
      <c r="K38" s="36">
        <v>-85000</v>
      </c>
      <c r="L38" s="36">
        <v>1936470</v>
      </c>
      <c r="M38" s="36">
        <v>1511470</v>
      </c>
      <c r="N38" s="36">
        <v>-425000</v>
      </c>
      <c r="O38" s="36">
        <v>-1159091</v>
      </c>
      <c r="Q38" s="67" t="str">
        <v>708 LTT</v>
      </c>
      <c r="R38" s="68">
        <v>429</v>
      </c>
      <c r="S38" s="68">
        <v>4</v>
      </c>
      <c r="T38" s="68">
        <v>396000</v>
      </c>
      <c r="U38" s="68">
        <v>267000</v>
      </c>
      <c r="V38" s="68" t="str">
        <v>0,93%</v>
      </c>
      <c r="W38" s="68" t="str">
        <v>1,38%</v>
      </c>
      <c r="X38" s="68" t="str">
        <v>0,45%</v>
      </c>
      <c r="Y38" s="69" t="str">
        <v>48,31%</v>
      </c>
      <c r="Z38" s="69">
        <v>2</v>
      </c>
      <c r="AA38" s="68">
        <v>6</v>
      </c>
    </row>
    <row r="39">
      <c r="G39" t="str">
        <v>186 QT</v>
      </c>
      <c r="H39" s="36">
        <v>3</v>
      </c>
      <c r="I39" s="36">
        <v>396000</v>
      </c>
      <c r="J39" s="36">
        <v>270000</v>
      </c>
      <c r="K39" s="36">
        <v>-126000</v>
      </c>
      <c r="L39" s="36">
        <v>1069200</v>
      </c>
      <c r="M39" s="36">
        <v>691200</v>
      </c>
      <c r="N39" s="36">
        <v>-378000</v>
      </c>
      <c r="O39" s="36">
        <v>-1030909</v>
      </c>
      <c r="Q39" s="67" t="str">
        <v>186 QT</v>
      </c>
      <c r="R39" s="68">
        <v>228</v>
      </c>
      <c r="S39" s="68">
        <v>3</v>
      </c>
      <c r="T39" s="68">
        <v>396000</v>
      </c>
      <c r="U39" s="68">
        <v>270000</v>
      </c>
      <c r="V39" s="68" t="str">
        <v>1,32%</v>
      </c>
      <c r="W39" s="68" t="str">
        <v>1,93%</v>
      </c>
      <c r="X39" s="68" t="str">
        <v>0,61%</v>
      </c>
      <c r="Y39" s="69" t="str">
        <v>46,67%</v>
      </c>
      <c r="Z39" s="69">
        <v>1</v>
      </c>
      <c r="AA39" s="68">
        <v>4</v>
      </c>
    </row>
    <row r="40">
      <c r="G40" t="str">
        <v>32 NAT</v>
      </c>
      <c r="H40" s="36">
        <v>3</v>
      </c>
      <c r="I40" s="36">
        <v>396000</v>
      </c>
      <c r="J40" s="36">
        <v>275000</v>
      </c>
      <c r="K40" s="36">
        <v>-121000</v>
      </c>
      <c r="L40" s="36">
        <v>1158700</v>
      </c>
      <c r="M40" s="36">
        <v>795700</v>
      </c>
      <c r="N40" s="36">
        <v>-363000</v>
      </c>
      <c r="O40" s="36">
        <v>-990000</v>
      </c>
      <c r="Q40" s="67" t="str">
        <v>32 NAT</v>
      </c>
      <c r="R40" s="68">
        <v>331</v>
      </c>
      <c r="S40" s="68">
        <v>3</v>
      </c>
      <c r="T40" s="68">
        <v>396000</v>
      </c>
      <c r="U40" s="68">
        <v>275000</v>
      </c>
      <c r="V40" s="68" t="str">
        <v>0,91%</v>
      </c>
      <c r="W40" s="68" t="str">
        <v>1,31%</v>
      </c>
      <c r="X40" s="68" t="str">
        <v>0,40%</v>
      </c>
      <c r="Y40" s="69" t="str">
        <v>44,00%</v>
      </c>
      <c r="Z40" s="69">
        <v>1</v>
      </c>
      <c r="AA40" s="68">
        <v>4</v>
      </c>
    </row>
    <row r="41">
      <c r="G41" t="str">
        <v>363 LNQ TN</v>
      </c>
      <c r="H41" s="36">
        <v>2</v>
      </c>
      <c r="I41" s="36">
        <v>416000</v>
      </c>
      <c r="J41" s="36">
        <v>237000</v>
      </c>
      <c r="K41" s="36">
        <v>-179000</v>
      </c>
      <c r="L41" s="36">
        <v>832000</v>
      </c>
      <c r="M41" s="36">
        <v>474000</v>
      </c>
      <c r="N41" s="36">
        <v>-358000</v>
      </c>
      <c r="O41" s="36">
        <v>-976364</v>
      </c>
      <c r="Q41" s="67" t="str">
        <v>55A NVL</v>
      </c>
      <c r="R41" s="68">
        <v>621</v>
      </c>
      <c r="S41" s="68">
        <v>2</v>
      </c>
      <c r="T41" s="68">
        <v>396000</v>
      </c>
      <c r="U41" s="68">
        <v>281000</v>
      </c>
      <c r="V41" s="68" t="str">
        <v>0,32%</v>
      </c>
      <c r="W41" s="68" t="str">
        <v>0,45%</v>
      </c>
      <c r="X41" s="68" t="str">
        <v>0,13%</v>
      </c>
      <c r="Y41" s="69" t="str">
        <v>40,93%</v>
      </c>
      <c r="Z41" s="69">
        <v>1</v>
      </c>
      <c r="AA41" s="68">
        <v>3</v>
      </c>
    </row>
    <row r="42">
      <c r="G42" t="str">
        <v>65 CD</v>
      </c>
      <c r="H42" s="36">
        <v>2</v>
      </c>
      <c r="I42" s="36">
        <v>416000</v>
      </c>
      <c r="J42" s="36">
        <v>238000</v>
      </c>
      <c r="K42" s="36">
        <v>-178000</v>
      </c>
      <c r="L42" s="36">
        <v>832000</v>
      </c>
      <c r="M42" s="36">
        <v>476000</v>
      </c>
      <c r="N42" s="36">
        <v>-356000</v>
      </c>
      <c r="O42" s="36">
        <v>-970909</v>
      </c>
      <c r="Q42" s="67" t="str">
        <v>346 KT</v>
      </c>
      <c r="R42" s="68">
        <v>505</v>
      </c>
      <c r="S42" s="68">
        <v>5</v>
      </c>
      <c r="T42" s="68">
        <v>416000</v>
      </c>
      <c r="U42" s="68">
        <v>296000</v>
      </c>
      <c r="V42" s="68" t="str">
        <v>0,99%</v>
      </c>
      <c r="W42" s="68" t="str">
        <v>1,39%</v>
      </c>
      <c r="X42" s="68" t="str">
        <v>0,40%</v>
      </c>
      <c r="Y42" s="69" t="str">
        <v>40,54%</v>
      </c>
      <c r="Z42" s="69">
        <v>2</v>
      </c>
      <c r="AA42" s="68">
        <v>7</v>
      </c>
    </row>
    <row r="43">
      <c r="G43" t="str">
        <v>62 LH</v>
      </c>
      <c r="H43" s="36">
        <v>2</v>
      </c>
      <c r="I43" s="36">
        <v>396000</v>
      </c>
      <c r="J43" s="36">
        <v>236000</v>
      </c>
      <c r="K43" s="36">
        <v>-160000</v>
      </c>
      <c r="L43" s="36">
        <v>748470</v>
      </c>
      <c r="M43" s="36">
        <v>428470</v>
      </c>
      <c r="N43" s="36">
        <v>-320000</v>
      </c>
      <c r="O43" s="36">
        <v>-872727</v>
      </c>
      <c r="Q43" s="67" t="str">
        <v>312 LVS</v>
      </c>
      <c r="R43" s="68">
        <v>1191</v>
      </c>
      <c r="S43" s="68">
        <v>12</v>
      </c>
      <c r="T43" s="68">
        <v>396000</v>
      </c>
      <c r="U43" s="68">
        <v>284000</v>
      </c>
      <c r="V43" s="68" t="str">
        <v>1,01%</v>
      </c>
      <c r="W43" s="68" t="str">
        <v>1,40%</v>
      </c>
      <c r="X43" s="68" t="str">
        <v>0,40%</v>
      </c>
      <c r="Y43" s="69" t="str">
        <v>39,44%</v>
      </c>
      <c r="Z43" s="69">
        <v>5</v>
      </c>
      <c r="AA43" s="68">
        <v>17</v>
      </c>
    </row>
    <row r="44">
      <c r="G44" t="str">
        <v>90 NH</v>
      </c>
      <c r="H44" s="36">
        <v>2</v>
      </c>
      <c r="I44" s="36">
        <v>396000</v>
      </c>
      <c r="J44" s="36">
        <v>238000</v>
      </c>
      <c r="K44" s="36">
        <v>-158000</v>
      </c>
      <c r="L44" s="36">
        <v>792000</v>
      </c>
      <c r="M44" s="36">
        <v>476000</v>
      </c>
      <c r="N44" s="36">
        <v>-316000</v>
      </c>
      <c r="O44" s="36">
        <v>-861818</v>
      </c>
      <c r="Q44" s="67" t="str">
        <v>151 CG</v>
      </c>
      <c r="R44" s="68">
        <v>572</v>
      </c>
      <c r="S44" s="68">
        <v>9</v>
      </c>
      <c r="T44" s="68">
        <v>396000</v>
      </c>
      <c r="U44" s="68">
        <v>286000</v>
      </c>
      <c r="V44" s="68" t="str">
        <v>1,57%</v>
      </c>
      <c r="W44" s="68" t="str">
        <v>2,18%</v>
      </c>
      <c r="X44" s="68" t="str">
        <v>0,61%</v>
      </c>
      <c r="Y44" s="69" t="str">
        <v>38,46%</v>
      </c>
      <c r="Z44" s="69">
        <v>3</v>
      </c>
      <c r="AA44" s="68">
        <v>12</v>
      </c>
    </row>
    <row r="45">
      <c r="G45" t="str">
        <v>401/1 NDT</v>
      </c>
      <c r="H45" s="36">
        <v>2</v>
      </c>
      <c r="I45" s="36">
        <v>396000</v>
      </c>
      <c r="J45" s="36">
        <v>238000</v>
      </c>
      <c r="K45" s="36">
        <v>-158000</v>
      </c>
      <c r="L45" s="36">
        <v>792000</v>
      </c>
      <c r="M45" s="36">
        <v>476000</v>
      </c>
      <c r="N45" s="36">
        <v>-316000</v>
      </c>
      <c r="O45" s="36">
        <v>-861818</v>
      </c>
      <c r="Q45" s="67" t="str">
        <v>TG 25/4 QN</v>
      </c>
      <c r="R45" s="68">
        <v>114</v>
      </c>
      <c r="S45" s="68">
        <v>1</v>
      </c>
      <c r="T45" s="68">
        <v>396000</v>
      </c>
      <c r="U45" s="68">
        <v>288000</v>
      </c>
      <c r="V45" s="68" t="str">
        <v>0,88%</v>
      </c>
      <c r="W45" s="68" t="str">
        <v>1,21%</v>
      </c>
      <c r="X45" s="68" t="str">
        <v>0,33%</v>
      </c>
      <c r="Y45" s="69" t="str">
        <v>37,50%</v>
      </c>
      <c r="Z45" s="69">
        <v>0</v>
      </c>
      <c r="AA45" s="68">
        <v>1</v>
      </c>
    </row>
    <row r="46">
      <c r="G46" t="str">
        <v>451 PVT</v>
      </c>
      <c r="H46" s="36">
        <v>2</v>
      </c>
      <c r="I46" s="36">
        <v>396000</v>
      </c>
      <c r="J46" s="36">
        <v>238000</v>
      </c>
      <c r="K46" s="36">
        <v>-158000</v>
      </c>
      <c r="L46" s="36">
        <v>792000</v>
      </c>
      <c r="M46" s="36">
        <v>476000</v>
      </c>
      <c r="N46" s="36">
        <v>-316000</v>
      </c>
      <c r="O46" s="36">
        <v>-861818</v>
      </c>
      <c r="Q46" s="67" t="str">
        <v>362 NGT BN</v>
      </c>
      <c r="R46" s="68">
        <v>926</v>
      </c>
      <c r="S46" s="68">
        <v>14</v>
      </c>
      <c r="T46" s="68">
        <v>396000</v>
      </c>
      <c r="U46" s="68">
        <v>289000</v>
      </c>
      <c r="V46" s="68" t="str">
        <v>1,51%</v>
      </c>
      <c r="W46" s="68" t="str">
        <v>2,07%</v>
      </c>
      <c r="X46" s="68" t="str">
        <v>0,56%</v>
      </c>
      <c r="Y46" s="69" t="str">
        <v>37,02%</v>
      </c>
      <c r="Z46" s="69">
        <v>5</v>
      </c>
      <c r="AA46" s="68">
        <v>19</v>
      </c>
    </row>
    <row r="47">
      <c r="G47" t="str">
        <v>264 LLQ</v>
      </c>
      <c r="H47" s="36">
        <v>6</v>
      </c>
      <c r="I47" s="36">
        <v>396000</v>
      </c>
      <c r="J47" s="36">
        <v>352000</v>
      </c>
      <c r="K47" s="36">
        <v>-44000</v>
      </c>
      <c r="L47" s="36">
        <v>2340050</v>
      </c>
      <c r="M47" s="36">
        <v>2076050</v>
      </c>
      <c r="N47" s="36">
        <v>-264000</v>
      </c>
      <c r="O47" s="36">
        <v>-720000</v>
      </c>
      <c r="Q47" s="67" t="str">
        <v>12 LDT</v>
      </c>
      <c r="R47" s="68">
        <v>655</v>
      </c>
      <c r="S47" s="68">
        <v>5</v>
      </c>
      <c r="T47" s="68">
        <v>396000</v>
      </c>
      <c r="U47" s="68">
        <v>291000</v>
      </c>
      <c r="V47" s="68" t="str">
        <v>0,76%</v>
      </c>
      <c r="W47" s="68" t="str">
        <v>1,04%</v>
      </c>
      <c r="X47" s="68" t="str">
        <v>0,28%</v>
      </c>
      <c r="Y47" s="69" t="str">
        <v>36,08%</v>
      </c>
      <c r="Z47" s="69">
        <v>2</v>
      </c>
      <c r="AA47" s="68">
        <v>7</v>
      </c>
    </row>
    <row r="48">
      <c r="G48" t="str">
        <v>202 DC</v>
      </c>
      <c r="H48" s="36">
        <v>5</v>
      </c>
      <c r="I48" s="36">
        <v>396000</v>
      </c>
      <c r="J48" s="36">
        <v>344000</v>
      </c>
      <c r="K48" s="36">
        <v>-52000</v>
      </c>
      <c r="L48" s="36">
        <v>1980000</v>
      </c>
      <c r="M48" s="36">
        <v>1720000</v>
      </c>
      <c r="N48" s="36">
        <v>-260000</v>
      </c>
      <c r="O48" s="36">
        <v>-709091</v>
      </c>
      <c r="Q48" s="67" t="str">
        <v>103 TN</v>
      </c>
      <c r="R48" s="68">
        <v>1738</v>
      </c>
      <c r="S48" s="68">
        <v>11</v>
      </c>
      <c r="T48" s="68">
        <v>406000</v>
      </c>
      <c r="U48" s="68">
        <v>301000</v>
      </c>
      <c r="V48" s="68" t="str">
        <v>0,63%</v>
      </c>
      <c r="W48" s="68" t="str">
        <v>0,85%</v>
      </c>
      <c r="X48" s="68" t="str">
        <v>0,22%</v>
      </c>
      <c r="Y48" s="69" t="str">
        <v>34,88%</v>
      </c>
      <c r="Z48" s="69">
        <v>4</v>
      </c>
      <c r="AA48" s="68">
        <v>15</v>
      </c>
    </row>
    <row r="49">
      <c r="G49" t="str">
        <v>55A NVL</v>
      </c>
      <c r="H49" s="36">
        <v>2</v>
      </c>
      <c r="I49" s="36">
        <v>396000</v>
      </c>
      <c r="J49" s="36">
        <v>281000</v>
      </c>
      <c r="K49" s="36">
        <v>-115000</v>
      </c>
      <c r="L49" s="36">
        <v>792000</v>
      </c>
      <c r="M49" s="36">
        <v>562000</v>
      </c>
      <c r="N49" s="36">
        <v>-230000</v>
      </c>
      <c r="O49" s="36">
        <v>-627273</v>
      </c>
      <c r="Q49" s="67" t="str">
        <v>109 TQH</v>
      </c>
      <c r="R49" s="68">
        <v>941</v>
      </c>
      <c r="S49" s="68">
        <v>6</v>
      </c>
      <c r="T49" s="68">
        <v>396000</v>
      </c>
      <c r="U49" s="68">
        <v>301000</v>
      </c>
      <c r="V49" s="68" t="str">
        <v>0,64%</v>
      </c>
      <c r="W49" s="68" t="str">
        <v>0,84%</v>
      </c>
      <c r="X49" s="68" t="str">
        <v>0,20%</v>
      </c>
      <c r="Y49" s="69" t="str">
        <v>31,56%</v>
      </c>
      <c r="Z49" s="69">
        <v>2</v>
      </c>
      <c r="AA49" s="68">
        <v>8</v>
      </c>
    </row>
    <row r="50">
      <c r="G50" t="str">
        <v>304 NT TH</v>
      </c>
      <c r="H50" s="36">
        <v>1</v>
      </c>
      <c r="I50" s="36">
        <v>396000</v>
      </c>
      <c r="J50" s="36">
        <v>237000</v>
      </c>
      <c r="K50" s="36">
        <v>-159000</v>
      </c>
      <c r="L50" s="36">
        <v>352470</v>
      </c>
      <c r="M50" s="36">
        <v>193470</v>
      </c>
      <c r="N50" s="36">
        <v>-159000</v>
      </c>
      <c r="O50" s="36">
        <v>-433636</v>
      </c>
      <c r="Q50" s="72" t="str">
        <v>148 TD</v>
      </c>
      <c r="R50" s="71">
        <v>396</v>
      </c>
      <c r="S50" s="71">
        <v>6</v>
      </c>
      <c r="T50" s="71">
        <v>396000</v>
      </c>
      <c r="U50" s="71">
        <v>305000</v>
      </c>
      <c r="V50" s="71" t="str">
        <v>1,52%</v>
      </c>
      <c r="W50" s="71" t="str">
        <v>1,97%</v>
      </c>
      <c r="X50" s="71" t="str">
        <v>0,45%</v>
      </c>
      <c r="Y50" s="70" t="str">
        <v>29,84%</v>
      </c>
      <c r="Z50" s="70">
        <v>2</v>
      </c>
      <c r="AA50" s="71">
        <v>8</v>
      </c>
    </row>
    <row r="51">
      <c r="G51" t="str">
        <v>80 TP TH</v>
      </c>
      <c r="H51" s="36">
        <v>1</v>
      </c>
      <c r="I51" s="36">
        <v>396000</v>
      </c>
      <c r="J51" s="36">
        <v>237000</v>
      </c>
      <c r="K51" s="36">
        <v>-159000</v>
      </c>
      <c r="L51" s="36">
        <v>396000</v>
      </c>
      <c r="M51" s="36">
        <v>237000</v>
      </c>
      <c r="N51" s="36">
        <v>-159000</v>
      </c>
      <c r="O51" s="36">
        <v>-433636</v>
      </c>
      <c r="Q51" s="72" t="str">
        <v>80 PL BD</v>
      </c>
      <c r="R51" s="71">
        <v>654</v>
      </c>
      <c r="S51" s="71">
        <v>5</v>
      </c>
      <c r="T51" s="71">
        <v>396000</v>
      </c>
      <c r="U51" s="71">
        <v>310000</v>
      </c>
      <c r="V51" s="71" t="str">
        <v>0,76%</v>
      </c>
      <c r="W51" s="71" t="str">
        <v>0,98%</v>
      </c>
      <c r="X51" s="71" t="str">
        <v>0,21%</v>
      </c>
      <c r="Y51" s="70" t="str">
        <v>27,74%</v>
      </c>
      <c r="Z51" s="70">
        <v>1</v>
      </c>
      <c r="AA51" s="71">
        <v>6</v>
      </c>
    </row>
    <row r="52">
      <c r="G52" t="str">
        <v>290 QT TH</v>
      </c>
      <c r="H52" s="36">
        <v>3</v>
      </c>
      <c r="I52" s="36">
        <v>396000</v>
      </c>
      <c r="J52" s="36">
        <v>352000</v>
      </c>
      <c r="K52" s="36">
        <v>-44000</v>
      </c>
      <c r="L52" s="36">
        <v>1188000</v>
      </c>
      <c r="M52" s="36">
        <v>1056000</v>
      </c>
      <c r="N52" s="36">
        <v>-132000</v>
      </c>
      <c r="O52" s="36">
        <v>-360000</v>
      </c>
      <c r="Q52" s="72" t="str">
        <v>173 TN</v>
      </c>
      <c r="R52" s="71">
        <v>608</v>
      </c>
      <c r="S52" s="71">
        <v>5</v>
      </c>
      <c r="T52" s="71">
        <v>396000</v>
      </c>
      <c r="U52" s="71">
        <v>311000</v>
      </c>
      <c r="V52" s="71" t="str">
        <v>0,82%</v>
      </c>
      <c r="W52" s="71" t="str">
        <v>1,05%</v>
      </c>
      <c r="X52" s="71" t="str">
        <v>0,22%</v>
      </c>
      <c r="Y52" s="70" t="str">
        <v>27,33%</v>
      </c>
      <c r="Z52" s="70">
        <v>1</v>
      </c>
      <c r="AA52" s="71">
        <v>6</v>
      </c>
    </row>
    <row r="53">
      <c r="G53" t="str">
        <v>76 PVH</v>
      </c>
      <c r="H53" s="36">
        <v>1</v>
      </c>
      <c r="I53" s="36">
        <v>396000</v>
      </c>
      <c r="J53" s="36">
        <v>267000</v>
      </c>
      <c r="K53" s="36">
        <v>-129000</v>
      </c>
      <c r="L53" s="36">
        <v>396000</v>
      </c>
      <c r="M53" s="36">
        <v>267000</v>
      </c>
      <c r="N53" s="36">
        <v>-129000</v>
      </c>
      <c r="O53" s="36">
        <v>-351818</v>
      </c>
      <c r="Q53" s="72" t="str">
        <v>58 NVC NA</v>
      </c>
      <c r="R53" s="71">
        <v>443</v>
      </c>
      <c r="S53" s="71">
        <v>1</v>
      </c>
      <c r="T53" s="71">
        <v>396000</v>
      </c>
      <c r="U53" s="71">
        <v>319000</v>
      </c>
      <c r="V53" s="71" t="str">
        <v>0,23%</v>
      </c>
      <c r="W53" s="71" t="str">
        <v>0,28%</v>
      </c>
      <c r="X53" s="71" t="str">
        <v>0,05%</v>
      </c>
      <c r="Y53" s="70" t="str">
        <v>24,14%</v>
      </c>
      <c r="Z53" s="70">
        <v>0</v>
      </c>
      <c r="AA53" s="71">
        <v>1</v>
      </c>
    </row>
    <row r="54">
      <c r="G54" t="str">
        <v>TG 25/4 QN</v>
      </c>
      <c r="H54" s="36">
        <v>1</v>
      </c>
      <c r="I54" s="36">
        <v>396000</v>
      </c>
      <c r="J54" s="36">
        <v>288000</v>
      </c>
      <c r="K54" s="36">
        <v>-108000</v>
      </c>
      <c r="L54" s="36">
        <v>396000</v>
      </c>
      <c r="M54" s="36">
        <v>288000</v>
      </c>
      <c r="N54" s="36">
        <v>-108000</v>
      </c>
      <c r="O54" s="36">
        <v>-294545</v>
      </c>
      <c r="Q54" s="72" t="str">
        <v>202 DC</v>
      </c>
      <c r="R54" s="71">
        <v>693</v>
      </c>
      <c r="S54" s="71">
        <v>5</v>
      </c>
      <c r="T54" s="71">
        <v>396000</v>
      </c>
      <c r="U54" s="71">
        <v>344000</v>
      </c>
      <c r="V54" s="71" t="str">
        <v>0,72%</v>
      </c>
      <c r="W54" s="71" t="str">
        <v>0,83%</v>
      </c>
      <c r="X54" s="71" t="str">
        <v>0,11%</v>
      </c>
      <c r="Y54" s="70" t="str">
        <v>15,12%</v>
      </c>
      <c r="Z54" s="70">
        <v>1</v>
      </c>
      <c r="AA54" s="71">
        <v>6</v>
      </c>
    </row>
    <row r="55">
      <c r="G55" t="str">
        <v>58 NVC NA</v>
      </c>
      <c r="H55" s="36">
        <v>1</v>
      </c>
      <c r="I55" s="36">
        <v>396000</v>
      </c>
      <c r="J55" s="36">
        <v>319000</v>
      </c>
      <c r="K55" s="36">
        <v>-77000</v>
      </c>
      <c r="L55" s="36">
        <v>396000</v>
      </c>
      <c r="M55" s="36">
        <v>319000</v>
      </c>
      <c r="N55" s="36">
        <v>-77000</v>
      </c>
      <c r="O55" s="36">
        <v>-210000</v>
      </c>
      <c r="Q55" s="72" t="str">
        <v>168 NVC</v>
      </c>
      <c r="R55" s="71">
        <v>1050</v>
      </c>
      <c r="S55" s="71">
        <v>11</v>
      </c>
      <c r="T55" s="71">
        <v>416000</v>
      </c>
      <c r="U55" s="71">
        <v>367000</v>
      </c>
      <c r="V55" s="71" t="str">
        <v>1,05%</v>
      </c>
      <c r="W55" s="71" t="str">
        <v>1,19%</v>
      </c>
      <c r="X55" s="71" t="str">
        <v>0,14%</v>
      </c>
      <c r="Y55" s="70" t="str">
        <v>13,35%</v>
      </c>
      <c r="Z55" s="70">
        <v>1</v>
      </c>
      <c r="AA55" s="71">
        <v>12</v>
      </c>
    </row>
    <row r="56">
      <c r="G56" t="str">
        <v>TỔNG</v>
      </c>
      <c r="H56" s="36">
        <v>318</v>
      </c>
      <c r="I56" s="36"/>
      <c r="J56" s="36"/>
      <c r="K56" s="36"/>
      <c r="L56" s="36">
        <v>124918050</v>
      </c>
      <c r="M56" s="36">
        <v>82945050</v>
      </c>
      <c r="N56" s="36">
        <v>-41973000</v>
      </c>
      <c r="O56" s="36">
        <v>-114471818</v>
      </c>
      <c r="Q56" s="72" t="str">
        <v>264 LLQ</v>
      </c>
      <c r="R56" s="71">
        <v>562</v>
      </c>
      <c r="S56" s="71">
        <v>6</v>
      </c>
      <c r="T56" s="71">
        <v>396000</v>
      </c>
      <c r="U56" s="71">
        <v>352000</v>
      </c>
      <c r="V56" s="71" t="str">
        <v>1,07%</v>
      </c>
      <c r="W56" s="71" t="str">
        <v>1,20%</v>
      </c>
      <c r="X56" s="71" t="str">
        <v>0,13%</v>
      </c>
      <c r="Y56" s="70" t="str">
        <v>12,50%</v>
      </c>
      <c r="Z56" s="70">
        <v>1</v>
      </c>
      <c r="AA56" s="71">
        <v>7</v>
      </c>
    </row>
    <row r="57">
      <c r="Q57" s="72" t="str">
        <v>290 QT TH</v>
      </c>
      <c r="R57" s="71">
        <v>319</v>
      </c>
      <c r="S57" s="71">
        <v>3</v>
      </c>
      <c r="T57" s="71">
        <v>396000</v>
      </c>
      <c r="U57" s="71">
        <v>352000</v>
      </c>
      <c r="V57" s="71" t="str">
        <v>0,94%</v>
      </c>
      <c r="W57" s="71" t="str">
        <v>1,06%</v>
      </c>
      <c r="X57" s="71" t="str">
        <v>0,12%</v>
      </c>
      <c r="Y57" s="70" t="str">
        <v>12,50%</v>
      </c>
      <c r="Z57" s="70">
        <v>0</v>
      </c>
      <c r="AA57" s="71">
        <v>3</v>
      </c>
    </row>
  </sheetData>
  <mergeCells>
    <mergeCell ref="Q2:AA2"/>
    <mergeCell ref="Y3:AA3"/>
    <mergeCell ref="V3:X3"/>
    <mergeCell ref="S3:U3"/>
    <mergeCell ref="Q3:R3"/>
  </mergeCell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0"/>
    <col collapsed="false" customWidth="true" hidden="false" max="3" min="3" style="0" width="21"/>
    <col collapsed="false" customWidth="true" hidden="true" max="3" min="3" style="0" width="21"/>
    <col collapsed="false" customWidth="true" hidden="false" max="4" min="4" style="0" width="21"/>
  </cols>
  <sheetData>
    <row customHeight="true" ht="19" r="1">
      <c r="A1" s="38" t="str">
        <v>Option giảm giá Uốn</v>
      </c>
      <c r="B1" s="38"/>
      <c r="C1" s="38"/>
      <c r="D1" s="38"/>
      <c r="E1" s="39"/>
      <c r="Q1">
        <f>SUM(Q5:Q69)</f>
      </c>
      <c r="R1">
        <f>SUM(R5:R69)</f>
      </c>
    </row>
    <row r="2">
      <c r="A2" s="40" t="str">
        <v>Chỉ số</v>
      </c>
      <c r="B2" s="40" t="str">
        <v>11 ngày T3</v>
      </c>
      <c r="C2" s="40" t="str">
        <v>Quy tháng (×30/11)</v>
      </c>
      <c r="D2" s="40" t="str">
        <v>Ước tính số DT thay đổi từ 13-31 tháng 3</v>
      </c>
      <c r="E2" s="41" t="str">
        <v>AOV giảm</v>
      </c>
      <c r="F2" s="46"/>
      <c r="H2" s="77" t="str">
        <v>CHI TIẾT THEO SALON (sắp xếp: % CR cần tăng nhiều nhất → ít nhất)</v>
      </c>
      <c r="I2" s="77"/>
      <c r="J2" s="77"/>
      <c r="K2" s="77"/>
      <c r="L2" s="77"/>
      <c r="M2" s="77"/>
      <c r="N2" s="77"/>
      <c r="O2" s="77"/>
      <c r="P2" s="77"/>
      <c r="Q2" s="77"/>
      <c r="R2" s="77"/>
    </row>
    <row r="3">
      <c r="A3" s="44" t="str">
        <v>DT thay đổi</v>
      </c>
      <c r="B3" s="42">
        <v>-28510000</v>
      </c>
      <c r="C3" s="42">
        <v>-77754000</v>
      </c>
      <c r="D3" s="42">
        <f>C3-B3</f>
      </c>
      <c r="E3" s="43">
        <f>-28510000/39301</f>
      </c>
      <c r="F3" s="46"/>
      <c r="H3" s="73" t="str">
        <v>Thông tin</v>
      </c>
      <c r="I3" s="73"/>
      <c r="J3" s="74" t="str">
        <v>Dịch vụ &amp; Giá</v>
      </c>
      <c r="K3" s="74"/>
      <c r="L3" s="74"/>
      <c r="M3" s="76" t="str">
        <v>Conversion Rate (CR)</v>
      </c>
      <c r="N3" s="76"/>
      <c r="O3" s="76"/>
      <c r="P3" s="75" t="str">
        <v>Kết quả cần đạt</v>
      </c>
      <c r="Q3" s="75"/>
      <c r="R3" s="75"/>
    </row>
    <row r="4">
      <c r="A4" s="45" t="str">
        <v>→ DV_Uốn</v>
      </c>
      <c r="B4" s="42">
        <v>-28510000</v>
      </c>
      <c r="C4" s="42">
        <v>-77754000</v>
      </c>
      <c r="D4" s="42">
        <f>C4-B4</f>
      </c>
      <c r="E4" s="47"/>
      <c r="F4" s="46"/>
      <c r="H4" s="63" t="str">
        <v>Salon</v>
      </c>
      <c r="I4" s="64" t="str">
        <v>Tổng khách
 (11 ngày)</v>
      </c>
      <c r="J4" s="64" t="str">
        <v>Số gói
 hiện tại</v>
      </c>
      <c r="K4" s="64" t="str">
        <v>Giá cũ (đ)</v>
      </c>
      <c r="L4" s="64" t="str">
        <v>Giá mới (đ)</v>
      </c>
      <c r="M4" s="64" t="str">
        <v>CR hiện tại
 (cũ)</v>
      </c>
      <c r="N4" s="64" t="str">
        <v>CR cần đạt
 (mới)</v>
      </c>
      <c r="O4" s="64" t="str">
        <v>∆ CR</v>
      </c>
      <c r="P4" s="64" t="str">
        <v>% CR
 tăng trưởng</v>
      </c>
      <c r="Q4" s="64" t="str">
        <v>Gói cần
 tăng thêm</v>
      </c>
      <c r="R4" s="64" t="str">
        <v>Gói cần
 đạt</v>
      </c>
    </row>
    <row r="5">
      <c r="A5" s="46"/>
      <c r="B5" s="46"/>
      <c r="C5" s="46"/>
      <c r="D5" s="46"/>
      <c r="E5" s="46"/>
      <c r="H5" s="67" t="str">
        <v>7 DTP LA</v>
      </c>
      <c r="I5" s="78">
        <v>296</v>
      </c>
      <c r="J5" s="68">
        <v>1</v>
      </c>
      <c r="K5" s="68">
        <v>366000</v>
      </c>
      <c r="L5" s="68">
        <v>189000</v>
      </c>
      <c r="M5" s="68" t="str">
        <v>0,34%</v>
      </c>
      <c r="N5" s="68" t="str">
        <v>0,65%</v>
      </c>
      <c r="O5" s="68" t="str">
        <v>0,32%</v>
      </c>
      <c r="P5" s="69" t="str">
        <v>93,65%</v>
      </c>
      <c r="Q5" s="69">
        <v>1</v>
      </c>
      <c r="R5" s="68">
        <v>2</v>
      </c>
    </row>
    <row r="6">
      <c r="H6" s="67" t="str">
        <v>68 LN NA</v>
      </c>
      <c r="I6" s="78">
        <v>328</v>
      </c>
      <c r="J6" s="68">
        <v>1</v>
      </c>
      <c r="K6" s="68">
        <v>332000</v>
      </c>
      <c r="L6" s="68">
        <v>188000</v>
      </c>
      <c r="M6" s="68" t="str">
        <v>0,30%</v>
      </c>
      <c r="N6" s="68" t="str">
        <v>0,54%</v>
      </c>
      <c r="O6" s="68" t="str">
        <v>0,23%</v>
      </c>
      <c r="P6" s="69" t="str">
        <v>76,60%</v>
      </c>
      <c r="Q6" s="69">
        <v>1</v>
      </c>
      <c r="R6" s="68">
        <v>2</v>
      </c>
    </row>
    <row r="7">
      <c r="A7" s="2" t="str">
        <v>TRIẾT LÝ CỐT LÕI</v>
      </c>
      <c r="H7" s="67" t="str">
        <v>148 TD</v>
      </c>
      <c r="I7" s="78">
        <v>396</v>
      </c>
      <c r="J7" s="68">
        <v>2</v>
      </c>
      <c r="K7" s="68">
        <v>366000</v>
      </c>
      <c r="L7" s="68">
        <v>217000</v>
      </c>
      <c r="M7" s="68" t="str">
        <v>0,51%</v>
      </c>
      <c r="N7" s="68" t="str">
        <v>0,85%</v>
      </c>
      <c r="O7" s="68" t="str">
        <v>0,35%</v>
      </c>
      <c r="P7" s="69" t="str">
        <v>68,66%</v>
      </c>
      <c r="Q7" s="69">
        <v>1</v>
      </c>
      <c r="R7" s="68">
        <v>3</v>
      </c>
    </row>
    <row r="8">
      <c r="A8" s="1" t="str">
        <v>Tầng 1: WTP → Xác định KHUNG GIÁ [Sàn L ; Trần H]</v>
      </c>
      <c r="H8" s="67" t="str">
        <v>1371 PVT</v>
      </c>
      <c r="I8" s="78">
        <v>395</v>
      </c>
      <c r="J8" s="68">
        <v>4</v>
      </c>
      <c r="K8" s="68">
        <v>346000</v>
      </c>
      <c r="L8" s="68">
        <v>210000</v>
      </c>
      <c r="M8" s="68" t="str">
        <v>1,01%</v>
      </c>
      <c r="N8" s="68" t="str">
        <v>1,67%</v>
      </c>
      <c r="O8" s="68" t="str">
        <v>0,66%</v>
      </c>
      <c r="P8" s="69" t="str">
        <v>64,76%</v>
      </c>
      <c r="Q8" s="69">
        <v>3</v>
      </c>
      <c r="R8" s="68">
        <v>7</v>
      </c>
    </row>
    <row r="9">
      <c r="A9" s="1" t="str">
        <v>Tầng 2: CPI × EPI → Xác định VỊ TRÍ trong khung WTP</v>
      </c>
      <c r="H9" s="67" t="str">
        <v>312 LVS</v>
      </c>
      <c r="I9" s="78">
        <v>1191</v>
      </c>
      <c r="J9" s="68">
        <v>9</v>
      </c>
      <c r="K9" s="68">
        <v>366000</v>
      </c>
      <c r="L9" s="68">
        <v>223000</v>
      </c>
      <c r="M9" s="68" t="str">
        <v>0,76%</v>
      </c>
      <c r="N9" s="68" t="str">
        <v>1,24%</v>
      </c>
      <c r="O9" s="68" t="str">
        <v>0,48%</v>
      </c>
      <c r="P9" s="69" t="str">
        <v>64,13%</v>
      </c>
      <c r="Q9" s="69">
        <v>6</v>
      </c>
      <c r="R9" s="68">
        <v>15</v>
      </c>
    </row>
    <row r="10">
      <c r="A10" s="1" t="str">
        <v>Công thức: P_min = L + α_low × (H-L), P_max = L + α_high × (H-L)</v>
      </c>
      <c r="H10" s="67" t="str">
        <v>99 TSN</v>
      </c>
      <c r="I10" s="78">
        <v>1085</v>
      </c>
      <c r="J10" s="68">
        <v>7</v>
      </c>
      <c r="K10" s="68">
        <v>366000</v>
      </c>
      <c r="L10" s="68">
        <v>225000</v>
      </c>
      <c r="M10" s="68" t="str">
        <v>0,65%</v>
      </c>
      <c r="N10" s="68" t="str">
        <v>1,05%</v>
      </c>
      <c r="O10" s="68" t="str">
        <v>0,40%</v>
      </c>
      <c r="P10" s="69" t="str">
        <v>62,67%</v>
      </c>
      <c r="Q10" s="69">
        <v>4</v>
      </c>
      <c r="R10" s="68">
        <v>11</v>
      </c>
    </row>
    <row r="11">
      <c r="H11" s="67" t="str">
        <v>10 TP</v>
      </c>
      <c r="I11" s="78">
        <v>768</v>
      </c>
      <c r="J11" s="68">
        <v>3</v>
      </c>
      <c r="K11" s="68">
        <v>366000</v>
      </c>
      <c r="L11" s="68">
        <v>225000</v>
      </c>
      <c r="M11" s="68" t="str">
        <v>0,39%</v>
      </c>
      <c r="N11" s="68" t="str">
        <v>0,64%</v>
      </c>
      <c r="O11" s="68" t="str">
        <v>0,24%</v>
      </c>
      <c r="P11" s="69" t="str">
        <v>62,67%</v>
      </c>
      <c r="Q11" s="69">
        <v>2</v>
      </c>
      <c r="R11" s="68">
        <v>5</v>
      </c>
    </row>
    <row r="12">
      <c r="A12" s="2" t="str">
        <v>MA TRẬN CPI × EPI → HỆ SỐ α</v>
      </c>
      <c r="H12" s="67" t="str">
        <v>575 AC</v>
      </c>
      <c r="I12" s="78">
        <v>763</v>
      </c>
      <c r="J12" s="68">
        <v>6</v>
      </c>
      <c r="K12" s="68">
        <v>366000</v>
      </c>
      <c r="L12" s="68">
        <v>225000</v>
      </c>
      <c r="M12" s="68" t="str">
        <v>0,79%</v>
      </c>
      <c r="N12" s="68" t="str">
        <v>1,28%</v>
      </c>
      <c r="O12" s="68" t="str">
        <v>0,49%</v>
      </c>
      <c r="P12" s="69" t="str">
        <v>62,67%</v>
      </c>
      <c r="Q12" s="69">
        <v>4</v>
      </c>
      <c r="R12" s="68">
        <v>10</v>
      </c>
    </row>
    <row r="13">
      <c r="A13" s="7" t="str">
        <v>CPI \ EPI</v>
      </c>
      <c r="B13" s="7" t="str">
        <v>EPI Thấp</v>
      </c>
      <c r="C13" s="7" t="str">
        <v>EPI Trung</v>
      </c>
      <c r="D13" s="7" t="str">
        <v>EPI Trung</v>
      </c>
      <c r="H13" s="67" t="str">
        <v>8 CVL</v>
      </c>
      <c r="I13" s="78">
        <v>862</v>
      </c>
      <c r="J13" s="68">
        <v>6</v>
      </c>
      <c r="K13" s="68">
        <v>366000</v>
      </c>
      <c r="L13" s="68">
        <v>226000</v>
      </c>
      <c r="M13" s="68" t="str">
        <v>0,70%</v>
      </c>
      <c r="N13" s="68" t="str">
        <v>1,13%</v>
      </c>
      <c r="O13" s="68" t="str">
        <v>0,43%</v>
      </c>
      <c r="P13" s="69" t="str">
        <v>61,95%</v>
      </c>
      <c r="Q13" s="69">
        <v>4</v>
      </c>
      <c r="R13" s="68">
        <v>10</v>
      </c>
    </row>
    <row r="14">
      <c r="A14" s="3" t="str">
        <v>CPI Cao</v>
      </c>
      <c r="B14" s="1" t="str">
        <v>[0.15 ; 0.35]</v>
      </c>
      <c r="C14" s="1" t="str">
        <v>[0.25 ; 0.45]</v>
      </c>
      <c r="D14" s="1" t="str">
        <v>[0.25 ; 0.45]</v>
      </c>
      <c r="H14" s="67" t="str">
        <v>173 TN</v>
      </c>
      <c r="I14" s="78">
        <v>608</v>
      </c>
      <c r="J14" s="68">
        <v>2</v>
      </c>
      <c r="K14" s="68">
        <v>366000</v>
      </c>
      <c r="L14" s="68">
        <v>226000</v>
      </c>
      <c r="M14" s="68" t="str">
        <v>0,33%</v>
      </c>
      <c r="N14" s="68" t="str">
        <v>0,53%</v>
      </c>
      <c r="O14" s="68" t="str">
        <v>0,20%</v>
      </c>
      <c r="P14" s="69" t="str">
        <v>61,95%</v>
      </c>
      <c r="Q14" s="69">
        <v>1</v>
      </c>
      <c r="R14" s="68">
        <v>3</v>
      </c>
    </row>
    <row r="15">
      <c r="A15" s="3" t="str">
        <v>CPI Trung</v>
      </c>
      <c r="B15" s="1" t="str">
        <v>[0.25 ; 0.50]</v>
      </c>
      <c r="C15" s="1" t="str">
        <v>[0.40 ; 0.65]</v>
      </c>
      <c r="D15" s="1" t="str">
        <v>[0.40 ; 0.65]</v>
      </c>
      <c r="H15" s="67" t="str">
        <v>927 HG</v>
      </c>
      <c r="I15" s="78">
        <v>1103</v>
      </c>
      <c r="J15" s="68">
        <v>4</v>
      </c>
      <c r="K15" s="68">
        <v>366000</v>
      </c>
      <c r="L15" s="68">
        <v>226000</v>
      </c>
      <c r="M15" s="68" t="str">
        <v>0,36%</v>
      </c>
      <c r="N15" s="68" t="str">
        <v>0,59%</v>
      </c>
      <c r="O15" s="68" t="str">
        <v>0,22%</v>
      </c>
      <c r="P15" s="69" t="str">
        <v>61,95%</v>
      </c>
      <c r="Q15" s="69">
        <v>2</v>
      </c>
      <c r="R15" s="68">
        <v>6</v>
      </c>
    </row>
    <row r="16">
      <c r="A16" s="3" t="str">
        <v>CPI Thấp</v>
      </c>
      <c r="B16" s="1" t="str">
        <v>[0.40 ; 0.65]</v>
      </c>
      <c r="C16" s="1" t="str">
        <v>[0.55 ; 0.85]</v>
      </c>
      <c r="D16" s="1" t="str">
        <v>[0.55 ; 0.85]</v>
      </c>
      <c r="H16" s="67" t="str">
        <v>113 THD AG</v>
      </c>
      <c r="I16" s="78">
        <v>304</v>
      </c>
      <c r="J16" s="68">
        <v>3</v>
      </c>
      <c r="K16" s="68">
        <v>346000</v>
      </c>
      <c r="L16" s="68">
        <v>214000</v>
      </c>
      <c r="M16" s="68" t="str">
        <v>0,99%</v>
      </c>
      <c r="N16" s="68" t="str">
        <v>1,60%</v>
      </c>
      <c r="O16" s="68" t="str">
        <v>0,61%</v>
      </c>
      <c r="P16" s="69" t="str">
        <v>61,68%</v>
      </c>
      <c r="Q16" s="69">
        <v>2</v>
      </c>
      <c r="R16" s="68">
        <v>5</v>
      </c>
    </row>
    <row r="17">
      <c r="H17" s="67" t="str">
        <v>237 NTT</v>
      </c>
      <c r="I17" s="78">
        <v>1372</v>
      </c>
      <c r="J17" s="68">
        <v>12</v>
      </c>
      <c r="K17" s="68">
        <v>366000</v>
      </c>
      <c r="L17" s="68">
        <v>227000</v>
      </c>
      <c r="M17" s="68" t="str">
        <v>0,87%</v>
      </c>
      <c r="N17" s="68" t="str">
        <v>1,41%</v>
      </c>
      <c r="O17" s="68" t="str">
        <v>0,54%</v>
      </c>
      <c r="P17" s="69" t="str">
        <v>61,23%</v>
      </c>
      <c r="Q17" s="69">
        <v>7</v>
      </c>
      <c r="R17" s="68">
        <v>19</v>
      </c>
    </row>
    <row r="18">
      <c r="A18" s="2" t="str">
        <v>4 KỊCH BẢN VẬN HÀNH</v>
      </c>
      <c r="H18" s="67" t="str">
        <v>12 LDT</v>
      </c>
      <c r="I18" s="78">
        <v>655</v>
      </c>
      <c r="J18" s="68">
        <v>2</v>
      </c>
      <c r="K18" s="68">
        <v>366000</v>
      </c>
      <c r="L18" s="68">
        <v>227000</v>
      </c>
      <c r="M18" s="68" t="str">
        <v>0,31%</v>
      </c>
      <c r="N18" s="68" t="str">
        <v>0,49%</v>
      </c>
      <c r="O18" s="68" t="str">
        <v>0,19%</v>
      </c>
      <c r="P18" s="69" t="str">
        <v>61,23%</v>
      </c>
      <c r="Q18" s="69">
        <v>1</v>
      </c>
      <c r="R18" s="68">
        <v>3</v>
      </c>
    </row>
    <row r="19">
      <c r="A19" s="1" t="str">
        <v>KB1: Hút Traffic</v>
      </c>
      <c r="B19" s="4" t="str">
        <v>=P_min</v>
      </c>
      <c r="C19" s="1" t="str">
        <v>Thu hút khách mới</v>
      </c>
      <c r="D19" s="1" t="str">
        <v>Thu hút khách mới</v>
      </c>
      <c r="H19" s="67" t="str">
        <v>186 DTH</v>
      </c>
      <c r="I19" s="78">
        <v>834</v>
      </c>
      <c r="J19" s="68">
        <v>5</v>
      </c>
      <c r="K19" s="68">
        <v>366000</v>
      </c>
      <c r="L19" s="68">
        <v>227000</v>
      </c>
      <c r="M19" s="68" t="str">
        <v>0,60%</v>
      </c>
      <c r="N19" s="68" t="str">
        <v>0,97%</v>
      </c>
      <c r="O19" s="68" t="str">
        <v>0,37%</v>
      </c>
      <c r="P19" s="69" t="str">
        <v>61,23%</v>
      </c>
      <c r="Q19" s="69">
        <v>3</v>
      </c>
      <c r="R19" s="68">
        <v>8</v>
      </c>
    </row>
    <row r="20">
      <c r="A20" s="1" t="str">
        <v>KB2: Tăng AOV</v>
      </c>
      <c r="B20" s="4" t="str">
        <v>=P_max</v>
      </c>
      <c r="C20" s="1" t="str">
        <v>Tăng doanh thu/margin</v>
      </c>
      <c r="D20" s="1" t="str">
        <v>Tăng doanh thu/margin</v>
      </c>
      <c r="H20" s="67" t="str">
        <v>236 DBT</v>
      </c>
      <c r="I20" s="78">
        <v>812</v>
      </c>
      <c r="J20" s="68">
        <v>9</v>
      </c>
      <c r="K20" s="68">
        <v>366000</v>
      </c>
      <c r="L20" s="68">
        <v>228000</v>
      </c>
      <c r="M20" s="68" t="str">
        <v>1,11%</v>
      </c>
      <c r="N20" s="68" t="str">
        <v>1,78%</v>
      </c>
      <c r="O20" s="68" t="str">
        <v>0,67%</v>
      </c>
      <c r="P20" s="69" t="str">
        <v>60,53%</v>
      </c>
      <c r="Q20" s="69">
        <v>5</v>
      </c>
      <c r="R20" s="68">
        <v>14</v>
      </c>
    </row>
    <row r="21">
      <c r="A21" s="1" t="str">
        <v>KB3: Cân Bằng</v>
      </c>
      <c r="B21" s="4" t="str">
        <v>=(P_min + P_max) / 2</v>
      </c>
      <c r="C21" s="1" t="str">
        <v>Cân bằng lượng và giá</v>
      </c>
      <c r="D21" s="1" t="str">
        <v>Cân bằng lượng và giá</v>
      </c>
      <c r="H21" s="67" t="str">
        <v>190 HB</v>
      </c>
      <c r="I21" s="78">
        <v>559</v>
      </c>
      <c r="J21" s="68">
        <v>2</v>
      </c>
      <c r="K21" s="68">
        <v>346000</v>
      </c>
      <c r="L21" s="68">
        <v>216000</v>
      </c>
      <c r="M21" s="68" t="str">
        <v>0,36%</v>
      </c>
      <c r="N21" s="68" t="str">
        <v>0,57%</v>
      </c>
      <c r="O21" s="68" t="str">
        <v>0,22%</v>
      </c>
      <c r="P21" s="69" t="str">
        <v>60,19%</v>
      </c>
      <c r="Q21" s="69">
        <v>1</v>
      </c>
      <c r="R21" s="68">
        <v>3</v>
      </c>
    </row>
    <row r="22">
      <c r="A22" s="1" t="str">
        <v>KB4: Giảm Quá Tải</v>
      </c>
      <c r="B22" s="4" t="str">
        <v>= P_min + 0.85 × (P_max - P_min)</v>
      </c>
      <c r="C22" s="1" t="str">
        <v>Điều tiết khi quá đông</v>
      </c>
      <c r="D22" s="1" t="str">
        <v>Điều tiết khi quá đông</v>
      </c>
      <c r="H22" s="67" t="str">
        <v>1146 KVC</v>
      </c>
      <c r="I22" s="78">
        <v>425</v>
      </c>
      <c r="J22" s="68">
        <v>1</v>
      </c>
      <c r="K22" s="68">
        <v>346000</v>
      </c>
      <c r="L22" s="68">
        <v>218000</v>
      </c>
      <c r="M22" s="68" t="str">
        <v>0,24%</v>
      </c>
      <c r="N22" s="68" t="str">
        <v>0,37%</v>
      </c>
      <c r="O22" s="68" t="str">
        <v>0,14%</v>
      </c>
      <c r="P22" s="69" t="str">
        <v>58,72%</v>
      </c>
      <c r="Q22" s="69">
        <v>1</v>
      </c>
      <c r="R22" s="68">
        <v>2</v>
      </c>
    </row>
    <row r="23">
      <c r="H23" s="67" t="str">
        <v>451 PVT</v>
      </c>
      <c r="I23" s="78">
        <v>280</v>
      </c>
      <c r="J23" s="68">
        <v>4</v>
      </c>
      <c r="K23" s="68">
        <v>332000</v>
      </c>
      <c r="L23" s="68">
        <v>210000</v>
      </c>
      <c r="M23" s="68" t="str">
        <v>1,43%</v>
      </c>
      <c r="N23" s="68" t="str">
        <v>2,26%</v>
      </c>
      <c r="O23" s="68" t="str">
        <v>0,83%</v>
      </c>
      <c r="P23" s="69" t="str">
        <v>58,10%</v>
      </c>
      <c r="Q23" s="69">
        <v>2</v>
      </c>
      <c r="R23" s="68">
        <v>6</v>
      </c>
    </row>
    <row r="24">
      <c r="H24" s="67" t="str">
        <v>1180 QT</v>
      </c>
      <c r="I24" s="78">
        <v>528</v>
      </c>
      <c r="J24" s="68">
        <v>2</v>
      </c>
      <c r="K24" s="68">
        <v>346000</v>
      </c>
      <c r="L24" s="68">
        <v>219000</v>
      </c>
      <c r="M24" s="68" t="str">
        <v>0,38%</v>
      </c>
      <c r="N24" s="68" t="str">
        <v>0,60%</v>
      </c>
      <c r="O24" s="68" t="str">
        <v>0,22%</v>
      </c>
      <c r="P24" s="69" t="str">
        <v>57,99%</v>
      </c>
      <c r="Q24" s="69">
        <v>1</v>
      </c>
      <c r="R24" s="68">
        <v>3</v>
      </c>
    </row>
    <row r="25">
      <c r="H25" s="67" t="str">
        <v>25 TD</v>
      </c>
      <c r="I25" s="78">
        <v>961</v>
      </c>
      <c r="J25" s="68">
        <v>13</v>
      </c>
      <c r="K25" s="68">
        <v>369000</v>
      </c>
      <c r="L25" s="68">
        <v>237000</v>
      </c>
      <c r="M25" s="68" t="str">
        <v>1,35%</v>
      </c>
      <c r="N25" s="68" t="str">
        <v>2,11%</v>
      </c>
      <c r="O25" s="68" t="str">
        <v>0,75%</v>
      </c>
      <c r="P25" s="69" t="str">
        <v>55,70%</v>
      </c>
      <c r="Q25" s="69">
        <v>7</v>
      </c>
      <c r="R25" s="68">
        <v>20</v>
      </c>
    </row>
    <row r="26">
      <c r="H26" s="67" t="str">
        <v>65 CD</v>
      </c>
      <c r="I26" s="78">
        <v>384</v>
      </c>
      <c r="J26" s="68">
        <v>4</v>
      </c>
      <c r="K26" s="68">
        <v>366000</v>
      </c>
      <c r="L26" s="68">
        <v>240000</v>
      </c>
      <c r="M26" s="68" t="str">
        <v>1,04%</v>
      </c>
      <c r="N26" s="68" t="str">
        <v>1,59%</v>
      </c>
      <c r="O26" s="68" t="str">
        <v>0,55%</v>
      </c>
      <c r="P26" s="69" t="str">
        <v>52,50%</v>
      </c>
      <c r="Q26" s="69">
        <v>2</v>
      </c>
      <c r="R26" s="68">
        <v>6</v>
      </c>
    </row>
    <row r="27">
      <c r="H27" s="67" t="str">
        <v>730 TL10</v>
      </c>
      <c r="I27" s="78">
        <v>860</v>
      </c>
      <c r="J27" s="68">
        <v>5</v>
      </c>
      <c r="K27" s="68">
        <v>366000</v>
      </c>
      <c r="L27" s="68">
        <v>240000</v>
      </c>
      <c r="M27" s="68" t="str">
        <v>0,58%</v>
      </c>
      <c r="N27" s="68" t="str">
        <v>0,89%</v>
      </c>
      <c r="O27" s="68" t="str">
        <v>0,31%</v>
      </c>
      <c r="P27" s="69" t="str">
        <v>52,50%</v>
      </c>
      <c r="Q27" s="69">
        <v>3</v>
      </c>
      <c r="R27" s="68">
        <v>8</v>
      </c>
    </row>
    <row r="28">
      <c r="H28" s="67" t="str">
        <v>29 HB</v>
      </c>
      <c r="I28" s="78">
        <v>762</v>
      </c>
      <c r="J28" s="68">
        <v>9</v>
      </c>
      <c r="K28" s="68">
        <v>346000</v>
      </c>
      <c r="L28" s="68">
        <v>227000</v>
      </c>
      <c r="M28" s="68" t="str">
        <v>1,18%</v>
      </c>
      <c r="N28" s="68" t="str">
        <v>1,80%</v>
      </c>
      <c r="O28" s="68" t="str">
        <v>0,62%</v>
      </c>
      <c r="P28" s="69" t="str">
        <v>52,42%</v>
      </c>
      <c r="Q28" s="69">
        <v>5</v>
      </c>
      <c r="R28" s="68">
        <v>14</v>
      </c>
    </row>
    <row r="29">
      <c r="H29" s="67" t="str">
        <v>58 NVC NA</v>
      </c>
      <c r="I29" s="78">
        <v>443</v>
      </c>
      <c r="J29" s="68">
        <v>1</v>
      </c>
      <c r="K29" s="68">
        <v>346000</v>
      </c>
      <c r="L29" s="68">
        <v>227000</v>
      </c>
      <c r="M29" s="68" t="str">
        <v>0,23%</v>
      </c>
      <c r="N29" s="68" t="str">
        <v>0,34%</v>
      </c>
      <c r="O29" s="68" t="str">
        <v>0,12%</v>
      </c>
      <c r="P29" s="69" t="str">
        <v>52,42%</v>
      </c>
      <c r="Q29" s="69">
        <v>1</v>
      </c>
      <c r="R29" s="68">
        <v>2</v>
      </c>
    </row>
    <row r="30">
      <c r="H30" s="67" t="str">
        <v>401/1 NDT</v>
      </c>
      <c r="I30" s="78">
        <v>415</v>
      </c>
      <c r="J30" s="68">
        <v>1</v>
      </c>
      <c r="K30" s="68">
        <v>346000</v>
      </c>
      <c r="L30" s="68">
        <v>227000</v>
      </c>
      <c r="M30" s="68" t="str">
        <v>0,24%</v>
      </c>
      <c r="N30" s="68" t="str">
        <v>0,37%</v>
      </c>
      <c r="O30" s="68" t="str">
        <v>0,13%</v>
      </c>
      <c r="P30" s="69" t="str">
        <v>52,42%</v>
      </c>
      <c r="Q30" s="69">
        <v>1</v>
      </c>
      <c r="R30" s="68">
        <v>2</v>
      </c>
    </row>
    <row r="31">
      <c r="H31" s="67" t="str">
        <v>420 HTP</v>
      </c>
      <c r="I31" s="78">
        <v>1100</v>
      </c>
      <c r="J31" s="68">
        <v>8</v>
      </c>
      <c r="K31" s="68">
        <v>366000</v>
      </c>
      <c r="L31" s="68">
        <v>241000</v>
      </c>
      <c r="M31" s="68" t="str">
        <v>0,73%</v>
      </c>
      <c r="N31" s="68" t="str">
        <v>1,10%</v>
      </c>
      <c r="O31" s="68" t="str">
        <v>0,38%</v>
      </c>
      <c r="P31" s="69" t="str">
        <v>51,87%</v>
      </c>
      <c r="Q31" s="69">
        <v>4</v>
      </c>
      <c r="R31" s="68">
        <v>12</v>
      </c>
    </row>
    <row r="32">
      <c r="H32" s="67" t="str">
        <v>708 LTT</v>
      </c>
      <c r="I32" s="78">
        <v>429</v>
      </c>
      <c r="J32" s="68">
        <v>9</v>
      </c>
      <c r="K32" s="68">
        <v>346000</v>
      </c>
      <c r="L32" s="68">
        <v>228000</v>
      </c>
      <c r="M32" s="68" t="str">
        <v>2,10%</v>
      </c>
      <c r="N32" s="68" t="str">
        <v>3,18%</v>
      </c>
      <c r="O32" s="68" t="str">
        <v>1,09%</v>
      </c>
      <c r="P32" s="69" t="str">
        <v>51,75%</v>
      </c>
      <c r="Q32" s="69">
        <v>5</v>
      </c>
      <c r="R32" s="68">
        <v>14</v>
      </c>
    </row>
    <row r="33">
      <c r="H33" s="67" t="str">
        <v>76 PVH</v>
      </c>
      <c r="I33" s="78">
        <v>436</v>
      </c>
      <c r="J33" s="68">
        <v>4</v>
      </c>
      <c r="K33" s="68">
        <v>346000</v>
      </c>
      <c r="L33" s="68">
        <v>228000</v>
      </c>
      <c r="M33" s="68" t="str">
        <v>0,92%</v>
      </c>
      <c r="N33" s="68" t="str">
        <v>1,39%</v>
      </c>
      <c r="O33" s="68" t="str">
        <v>0,47%</v>
      </c>
      <c r="P33" s="69" t="str">
        <v>51,75%</v>
      </c>
      <c r="Q33" s="69">
        <v>2</v>
      </c>
      <c r="R33" s="68">
        <v>6</v>
      </c>
    </row>
    <row r="34">
      <c r="H34" s="67" t="str">
        <v>362 NGT BN</v>
      </c>
      <c r="I34" s="78">
        <v>926</v>
      </c>
      <c r="J34" s="68">
        <v>8</v>
      </c>
      <c r="K34" s="68">
        <v>366000</v>
      </c>
      <c r="L34" s="68">
        <v>243000</v>
      </c>
      <c r="M34" s="68" t="str">
        <v>0,86%</v>
      </c>
      <c r="N34" s="68" t="str">
        <v>1,30%</v>
      </c>
      <c r="O34" s="68" t="str">
        <v>0,44%</v>
      </c>
      <c r="P34" s="69" t="str">
        <v>50,62%</v>
      </c>
      <c r="Q34" s="69">
        <v>4</v>
      </c>
      <c r="R34" s="68">
        <v>12</v>
      </c>
    </row>
    <row r="35">
      <c r="H35" s="67" t="str">
        <v>145 THT</v>
      </c>
      <c r="I35" s="78">
        <v>1410</v>
      </c>
      <c r="J35" s="68">
        <v>16</v>
      </c>
      <c r="K35" s="68">
        <v>332000</v>
      </c>
      <c r="L35" s="68">
        <v>226000</v>
      </c>
      <c r="M35" s="68" t="str">
        <v>1,13%</v>
      </c>
      <c r="N35" s="68" t="str">
        <v>1,67%</v>
      </c>
      <c r="O35" s="68" t="str">
        <v>0,53%</v>
      </c>
      <c r="P35" s="69" t="str">
        <v>46,90%</v>
      </c>
      <c r="Q35" s="69">
        <v>8</v>
      </c>
      <c r="R35" s="68">
        <v>24</v>
      </c>
    </row>
    <row r="36">
      <c r="H36" s="67" t="str">
        <v>62 LH</v>
      </c>
      <c r="I36" s="78">
        <v>458</v>
      </c>
      <c r="J36" s="68">
        <v>3</v>
      </c>
      <c r="K36" s="68">
        <v>332000</v>
      </c>
      <c r="L36" s="68">
        <v>226000</v>
      </c>
      <c r="M36" s="68" t="str">
        <v>0,66%</v>
      </c>
      <c r="N36" s="68" t="str">
        <v>0,96%</v>
      </c>
      <c r="O36" s="68" t="str">
        <v>0,31%</v>
      </c>
      <c r="P36" s="69" t="str">
        <v>46,90%</v>
      </c>
      <c r="Q36" s="69">
        <v>1</v>
      </c>
      <c r="R36" s="68">
        <v>4</v>
      </c>
    </row>
    <row r="37">
      <c r="H37" s="67" t="str">
        <v>55A NVL</v>
      </c>
      <c r="I37" s="78">
        <v>621</v>
      </c>
      <c r="J37" s="68">
        <v>2</v>
      </c>
      <c r="K37" s="68">
        <v>369000</v>
      </c>
      <c r="L37" s="68">
        <v>254000</v>
      </c>
      <c r="M37" s="68" t="str">
        <v>0,32%</v>
      </c>
      <c r="N37" s="68" t="str">
        <v>0,47%</v>
      </c>
      <c r="O37" s="68" t="str">
        <v>0,15%</v>
      </c>
      <c r="P37" s="69" t="str">
        <v>45,28%</v>
      </c>
      <c r="Q37" s="69">
        <v>1</v>
      </c>
      <c r="R37" s="68">
        <v>3</v>
      </c>
    </row>
    <row r="38">
      <c r="H38" s="67" t="str">
        <v>346 KT</v>
      </c>
      <c r="I38" s="78">
        <v>505</v>
      </c>
      <c r="J38" s="68">
        <v>7</v>
      </c>
      <c r="K38" s="68">
        <v>369000</v>
      </c>
      <c r="L38" s="68">
        <v>255000</v>
      </c>
      <c r="M38" s="68" t="str">
        <v>1,39%</v>
      </c>
      <c r="N38" s="68" t="str">
        <v>2,01%</v>
      </c>
      <c r="O38" s="68" t="str">
        <v>0,62%</v>
      </c>
      <c r="P38" s="69" t="str">
        <v>44,71%</v>
      </c>
      <c r="Q38" s="69">
        <v>3</v>
      </c>
      <c r="R38" s="68">
        <v>10</v>
      </c>
    </row>
    <row r="39">
      <c r="H39" s="67" t="str">
        <v>90 NH</v>
      </c>
      <c r="I39" s="78">
        <v>516</v>
      </c>
      <c r="J39" s="68">
        <v>5</v>
      </c>
      <c r="K39" s="68">
        <v>346000</v>
      </c>
      <c r="L39" s="68">
        <v>240000</v>
      </c>
      <c r="M39" s="68" t="str">
        <v>0,97%</v>
      </c>
      <c r="N39" s="68" t="str">
        <v>1,40%</v>
      </c>
      <c r="O39" s="68" t="str">
        <v>0,43%</v>
      </c>
      <c r="P39" s="69" t="str">
        <v>44,17%</v>
      </c>
      <c r="Q39" s="69">
        <v>2</v>
      </c>
      <c r="R39" s="68">
        <v>7</v>
      </c>
    </row>
    <row r="40">
      <c r="H40" s="67" t="str">
        <v>103 TN</v>
      </c>
      <c r="I40" s="78">
        <v>1738</v>
      </c>
      <c r="J40" s="68">
        <v>11</v>
      </c>
      <c r="K40" s="68">
        <v>369000</v>
      </c>
      <c r="L40" s="68">
        <v>256000</v>
      </c>
      <c r="M40" s="68" t="str">
        <v>0,63%</v>
      </c>
      <c r="N40" s="68" t="str">
        <v>0,91%</v>
      </c>
      <c r="O40" s="68" t="str">
        <v>0,28%</v>
      </c>
      <c r="P40" s="69" t="str">
        <v>44,14%</v>
      </c>
      <c r="Q40" s="69">
        <v>5</v>
      </c>
      <c r="R40" s="68">
        <v>16</v>
      </c>
    </row>
    <row r="41">
      <c r="H41" s="67" t="str">
        <v>32 NAT</v>
      </c>
      <c r="I41" s="78">
        <v>331</v>
      </c>
      <c r="J41" s="68">
        <v>2</v>
      </c>
      <c r="K41" s="68">
        <v>332000</v>
      </c>
      <c r="L41" s="68">
        <v>243000</v>
      </c>
      <c r="M41" s="68" t="str">
        <v>0,60%</v>
      </c>
      <c r="N41" s="68" t="str">
        <v>0,83%</v>
      </c>
      <c r="O41" s="68" t="str">
        <v>0,22%</v>
      </c>
      <c r="P41" s="69" t="str">
        <v>36,63%</v>
      </c>
      <c r="Q41" s="69">
        <v>1</v>
      </c>
      <c r="R41" s="68">
        <v>3</v>
      </c>
    </row>
    <row r="42">
      <c r="H42" s="67" t="str">
        <v>483 TN</v>
      </c>
      <c r="I42" s="78">
        <v>644</v>
      </c>
      <c r="J42" s="68">
        <v>5</v>
      </c>
      <c r="K42" s="68">
        <v>332000</v>
      </c>
      <c r="L42" s="68">
        <v>243000</v>
      </c>
      <c r="M42" s="68" t="str">
        <v>0,78%</v>
      </c>
      <c r="N42" s="68" t="str">
        <v>1,06%</v>
      </c>
      <c r="O42" s="68" t="str">
        <v>0,28%</v>
      </c>
      <c r="P42" s="69" t="str">
        <v>36,63%</v>
      </c>
      <c r="Q42" s="69">
        <v>2</v>
      </c>
      <c r="R42" s="68">
        <v>7</v>
      </c>
    </row>
    <row r="43">
      <c r="H43" s="67" t="str">
        <v>382 NT</v>
      </c>
      <c r="I43" s="78">
        <v>1304</v>
      </c>
      <c r="J43" s="68">
        <v>10</v>
      </c>
      <c r="K43" s="68">
        <v>369000</v>
      </c>
      <c r="L43" s="68">
        <v>271000</v>
      </c>
      <c r="M43" s="68" t="str">
        <v>0,77%</v>
      </c>
      <c r="N43" s="68" t="str">
        <v>1,04%</v>
      </c>
      <c r="O43" s="68" t="str">
        <v>0,28%</v>
      </c>
      <c r="P43" s="69" t="str">
        <v>36,16%</v>
      </c>
      <c r="Q43" s="69">
        <v>4</v>
      </c>
      <c r="R43" s="68">
        <v>14</v>
      </c>
    </row>
    <row r="44">
      <c r="H44" s="67" t="str">
        <v>202 DC</v>
      </c>
      <c r="I44" s="78">
        <v>693</v>
      </c>
      <c r="J44" s="68">
        <v>6</v>
      </c>
      <c r="K44" s="68">
        <v>369000</v>
      </c>
      <c r="L44" s="68">
        <v>273000</v>
      </c>
      <c r="M44" s="68" t="str">
        <v>0,87%</v>
      </c>
      <c r="N44" s="68" t="str">
        <v>1,17%</v>
      </c>
      <c r="O44" s="68" t="str">
        <v>0,30%</v>
      </c>
      <c r="P44" s="69" t="str">
        <v>35,16%</v>
      </c>
      <c r="Q44" s="69">
        <v>2</v>
      </c>
      <c r="R44" s="68">
        <v>8</v>
      </c>
    </row>
    <row r="45">
      <c r="H45" s="67" t="str">
        <v>109 TQH</v>
      </c>
      <c r="I45" s="78">
        <v>941</v>
      </c>
      <c r="J45" s="68">
        <v>7</v>
      </c>
      <c r="K45" s="68">
        <v>366000</v>
      </c>
      <c r="L45" s="68">
        <v>274000</v>
      </c>
      <c r="M45" s="68" t="str">
        <v>0,74%</v>
      </c>
      <c r="N45" s="68" t="str">
        <v>0,99%</v>
      </c>
      <c r="O45" s="68" t="str">
        <v>0,25%</v>
      </c>
      <c r="P45" s="69" t="str">
        <v>33,58%</v>
      </c>
      <c r="Q45" s="69">
        <v>2</v>
      </c>
      <c r="R45" s="68">
        <v>9</v>
      </c>
    </row>
    <row r="46">
      <c r="H46" s="67" t="str">
        <v>186 QT</v>
      </c>
      <c r="I46" s="78">
        <v>228</v>
      </c>
      <c r="J46" s="68">
        <v>1</v>
      </c>
      <c r="K46" s="68">
        <v>332000</v>
      </c>
      <c r="L46" s="68">
        <v>251000</v>
      </c>
      <c r="M46" s="68" t="str">
        <v>0,44%</v>
      </c>
      <c r="N46" s="68" t="str">
        <v>0,58%</v>
      </c>
      <c r="O46" s="68" t="str">
        <v>0,14%</v>
      </c>
      <c r="P46" s="69" t="str">
        <v>32,27%</v>
      </c>
      <c r="Q46" s="69">
        <v>0</v>
      </c>
      <c r="R46" s="68">
        <v>1</v>
      </c>
    </row>
    <row r="47">
      <c r="H47" s="67" t="str">
        <v>151 CG</v>
      </c>
      <c r="I47" s="78">
        <v>572</v>
      </c>
      <c r="J47" s="68">
        <v>5</v>
      </c>
      <c r="K47" s="68">
        <v>346000</v>
      </c>
      <c r="L47" s="68">
        <v>264000</v>
      </c>
      <c r="M47" s="68" t="str">
        <v>0,87%</v>
      </c>
      <c r="N47" s="68" t="str">
        <v>1,15%</v>
      </c>
      <c r="O47" s="68" t="str">
        <v>0,27%</v>
      </c>
      <c r="P47" s="69" t="str">
        <v>31,06%</v>
      </c>
      <c r="Q47" s="69">
        <v>2</v>
      </c>
      <c r="R47" s="68">
        <v>7</v>
      </c>
    </row>
    <row r="48">
      <c r="H48" s="72" t="str">
        <v>11 PKT</v>
      </c>
      <c r="I48" s="79">
        <v>442</v>
      </c>
      <c r="J48" s="71">
        <v>4</v>
      </c>
      <c r="K48" s="71">
        <v>332000</v>
      </c>
      <c r="L48" s="71">
        <v>261000</v>
      </c>
      <c r="M48" s="71" t="str">
        <v>0,90%</v>
      </c>
      <c r="N48" s="71" t="str">
        <v>1,15%</v>
      </c>
      <c r="O48" s="71" t="str">
        <v>0,25%</v>
      </c>
      <c r="P48" s="70" t="str">
        <v>27,20%</v>
      </c>
      <c r="Q48" s="70">
        <v>1</v>
      </c>
      <c r="R48" s="71">
        <v>5</v>
      </c>
    </row>
    <row r="49">
      <c r="H49" s="72" t="str">
        <v>80 PL BD</v>
      </c>
      <c r="I49" s="79">
        <v>654</v>
      </c>
      <c r="J49" s="71">
        <v>1</v>
      </c>
      <c r="K49" s="71">
        <v>332000</v>
      </c>
      <c r="L49" s="71">
        <v>274000</v>
      </c>
      <c r="M49" s="71" t="str">
        <v>0,15%</v>
      </c>
      <c r="N49" s="71" t="str">
        <v>0,19%</v>
      </c>
      <c r="O49" s="71" t="str">
        <v>0,03%</v>
      </c>
      <c r="P49" s="70" t="str">
        <v>21,17%</v>
      </c>
      <c r="Q49" s="70">
        <v>0</v>
      </c>
      <c r="R49" s="71">
        <v>1</v>
      </c>
    </row>
    <row r="50">
      <c r="H50" s="72" t="str">
        <v>264 LLQ</v>
      </c>
      <c r="I50" s="79">
        <v>562</v>
      </c>
      <c r="J50" s="71">
        <v>5</v>
      </c>
      <c r="K50" s="71">
        <v>332000</v>
      </c>
      <c r="L50" s="71">
        <v>283000</v>
      </c>
      <c r="M50" s="71" t="str">
        <v>0,89%</v>
      </c>
      <c r="N50" s="71" t="str">
        <v>1,04%</v>
      </c>
      <c r="O50" s="71" t="str">
        <v>0,15%</v>
      </c>
      <c r="P50" s="70" t="str">
        <v>17,31%</v>
      </c>
      <c r="Q50" s="70">
        <v>1</v>
      </c>
      <c r="R50" s="71">
        <v>6</v>
      </c>
    </row>
    <row r="51">
      <c r="H51" s="72" t="str">
        <v>255 NAN</v>
      </c>
      <c r="I51" s="79">
        <v>711</v>
      </c>
      <c r="J51" s="71">
        <v>2</v>
      </c>
      <c r="K51" s="71">
        <v>346000</v>
      </c>
      <c r="L51" s="71">
        <v>311000</v>
      </c>
      <c r="M51" s="71" t="str">
        <v>0,28%</v>
      </c>
      <c r="N51" s="71" t="str">
        <v>0,31%</v>
      </c>
      <c r="O51" s="71" t="str">
        <v>0,03%</v>
      </c>
      <c r="P51" s="70" t="str">
        <v>11,25%</v>
      </c>
      <c r="Q51" s="70">
        <v>0</v>
      </c>
      <c r="R51" s="71">
        <v>2</v>
      </c>
    </row>
    <row r="52">
      <c r="H52" s="72" t="str">
        <v>168 NVC</v>
      </c>
      <c r="I52" s="79">
        <v>1050</v>
      </c>
      <c r="J52" s="71">
        <v>2</v>
      </c>
      <c r="K52" s="71">
        <v>346000</v>
      </c>
      <c r="L52" s="71">
        <v>312000</v>
      </c>
      <c r="M52" s="71" t="str">
        <v>0,19%</v>
      </c>
      <c r="N52" s="71" t="str">
        <v>0,21%</v>
      </c>
      <c r="O52" s="71" t="str">
        <v>0,02%</v>
      </c>
      <c r="P52" s="70" t="str">
        <v>10,90%</v>
      </c>
      <c r="Q52" s="70">
        <v>0</v>
      </c>
      <c r="R52" s="71">
        <v>2</v>
      </c>
    </row>
    <row r="53">
      <c r="H53" s="72" t="str">
        <v>341 XVNT</v>
      </c>
      <c r="I53" s="79">
        <v>380</v>
      </c>
      <c r="J53" s="71">
        <v>2</v>
      </c>
      <c r="K53" s="71">
        <v>332000</v>
      </c>
      <c r="L53" s="71">
        <v>300000</v>
      </c>
      <c r="M53" s="71" t="str">
        <v>0,53%</v>
      </c>
      <c r="N53" s="71" t="str">
        <v>0,58%</v>
      </c>
      <c r="O53" s="71" t="str">
        <v>0,06%</v>
      </c>
      <c r="P53" s="70" t="str">
        <v>10,67%</v>
      </c>
      <c r="Q53" s="70">
        <v>0</v>
      </c>
      <c r="R53" s="71">
        <v>2</v>
      </c>
    </row>
    <row r="54">
      <c r="H54" s="81" t="str">
        <v>36 N1 BD</v>
      </c>
      <c r="I54" s="80">
        <v>441</v>
      </c>
      <c r="J54" s="56">
        <v>3</v>
      </c>
      <c r="K54" s="56">
        <v>332000</v>
      </c>
      <c r="L54" s="56">
        <v>311000</v>
      </c>
      <c r="M54" s="56" t="str">
        <v>0,68%</v>
      </c>
      <c r="N54" s="56" t="str">
        <v>0,73%</v>
      </c>
      <c r="O54" s="56" t="str">
        <v>0,05%</v>
      </c>
      <c r="P54" s="82" t="str">
        <v>6,75%</v>
      </c>
      <c r="Q54" s="82">
        <v>0</v>
      </c>
      <c r="R54" s="56">
        <v>3</v>
      </c>
    </row>
    <row r="55">
      <c r="H55" s="85" t="str">
        <v>595 BT TH</v>
      </c>
      <c r="I55" s="84">
        <v>313</v>
      </c>
      <c r="J55" s="52">
        <v>2</v>
      </c>
      <c r="K55" s="52">
        <v>332000</v>
      </c>
      <c r="L55" s="52">
        <v>313000</v>
      </c>
      <c r="M55" s="52" t="str">
        <v>0,64%</v>
      </c>
      <c r="N55" s="52" t="str">
        <v>0,68%</v>
      </c>
      <c r="O55" s="52" t="str">
        <v>0,04%</v>
      </c>
      <c r="P55" s="83" t="str">
        <v>6,07%</v>
      </c>
      <c r="Q55" s="83">
        <v>0</v>
      </c>
      <c r="R55" s="52">
        <v>2</v>
      </c>
    </row>
    <row r="56">
      <c r="H56" s="81" t="str">
        <v>363 LNQ TN</v>
      </c>
      <c r="I56" s="80">
        <v>462</v>
      </c>
      <c r="J56" s="56">
        <v>1</v>
      </c>
      <c r="K56" s="56">
        <v>366000</v>
      </c>
      <c r="L56" s="56">
        <v>347000</v>
      </c>
      <c r="M56" s="56" t="str">
        <v>0,22%</v>
      </c>
      <c r="N56" s="56" t="str">
        <v>0,23%</v>
      </c>
      <c r="O56" s="56" t="str">
        <v>0,01%</v>
      </c>
      <c r="P56" s="82" t="str">
        <v>5,48%</v>
      </c>
      <c r="Q56" s="82">
        <v>0</v>
      </c>
      <c r="R56" s="56">
        <v>1</v>
      </c>
    </row>
  </sheetData>
  <mergeCells>
    <mergeCell ref="P3:R3"/>
    <mergeCell ref="M3:O3"/>
    <mergeCell ref="J3:L3"/>
    <mergeCell ref="H3:I3"/>
    <mergeCell ref="H2:R2"/>
  </mergeCell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4" min="4" style="0" width="26"/>
    <col collapsed="false" customWidth="true" hidden="false" max="5" min="5" style="0" width="43"/>
    <col collapsed="false" customWidth="true" hidden="false" max="6" min="6" style="0" width="46"/>
    <col collapsed="false" customWidth="true" hidden="false" max="7" min="7" style="0" width="19"/>
  </cols>
  <sheetData>
    <row customHeight="true" ht="19" r="1">
      <c r="A1" s="5" t="str">
        <v>Rule định giá DV</v>
      </c>
      <c r="F1" s="37" t="str">
        <v>Tên dịch vụ</v>
      </c>
      <c r="G1" s="37" t="str">
        <v>Phân loại dịch vụ</v>
      </c>
    </row>
    <row customHeight="true" ht="19" r="2">
      <c r="A2" s="37"/>
      <c r="F2" t="str">
        <v>Trẻ hóa da đầu - kích thích mọc tóc</v>
      </c>
      <c r="G2" t="str">
        <v>Add-on</v>
      </c>
    </row>
    <row customHeight="true" ht="19" r="3">
      <c r="A3" s="37" t="str">
        <v>Bước 1: Tính tỷ lệ tăng giá DV Cắt xả ID 891</v>
      </c>
      <c r="F3" t="str">
        <v>VH Gội Vip Dưỡng Sinh</v>
      </c>
      <c r="G3" t="str">
        <v>Cao cấp</v>
      </c>
    </row>
    <row r="4">
      <c r="A4" t="str">
        <v>a% = (Giá mới DV 891 - Giá cũ DV 891) / Giá cũ DV 891 × 100</v>
      </c>
      <c r="F4" t="str">
        <v>VH Gội Vip Dưỡng Sinh LRT</v>
      </c>
      <c r="G4" t="str">
        <v>Cao cấp</v>
      </c>
    </row>
    <row customHeight="true" ht="19" r="5">
      <c r="A5" s="37" t="str">
        <v>Bước 2: Áp dụng rule theo mức a%</v>
      </c>
      <c r="F5" t="str">
        <v>Đánh bay mụn cám lột mụn (Full Face)</v>
      </c>
      <c r="G5" t="str">
        <v>Cao cấp</v>
      </c>
    </row>
    <row r="6">
      <c r="A6" t="str">
        <v>Trường hợp 1: a% ≤ 10% (tăng nhẹ → tăng theo tỷ lệ)</v>
      </c>
      <c r="F6" t="str">
        <v>Combo 2 - First Class 2</v>
      </c>
      <c r="G6" t="str">
        <v>Cao cấp</v>
      </c>
    </row>
    <row r="7">
      <c r="A7" s="5" t="str">
        <v>Giá mới nhóm DV khác = Giá cũ DV phụ × (1 + a%)</v>
      </c>
      <c r="F7" t="str">
        <v>Combo 3 - First Class 3</v>
      </c>
      <c r="G7" t="str">
        <v>Cao cấp</v>
      </c>
    </row>
    <row r="8">
      <c r="A8" s="5" t="str">
        <v>Ý nghĩa: Tất cả DV tăng cùng tỷ lệ % với DV 891. Ví dụ DV 891 tăng 2% thì tất cả DV khác cũng tăng 2%.</v>
      </c>
      <c r="F8" t="str">
        <v>Combo 4</v>
      </c>
      <c r="G8" t="str">
        <v>Cao cấp</v>
      </c>
    </row>
    <row customHeight="true" ht="19" r="9">
      <c r="F9" t="str">
        <v>Combo 4- First Class 4</v>
      </c>
      <c r="G9" t="str">
        <v>Cao cấp</v>
      </c>
    </row>
    <row r="10">
      <c r="A10" t="str">
        <v>Trường hợp 2: a% &gt; 10% (tăng mạnh → tăng cùng số tiền)</v>
      </c>
      <c r="F10" t="str">
        <v>Combo Best choice</v>
      </c>
      <c r="G10" t="str">
        <v>Cao cấp</v>
      </c>
    </row>
    <row r="11">
      <c r="A11" s="5" t="str">
        <v>Giá mới DV khác = Giá cũ DV + Chênh lệch giá DV 891</v>
      </c>
      <c r="F11" t="str">
        <v>Cắt Gội Combo 3 - Chăm da</v>
      </c>
      <c r="G11" t="str">
        <v>Cao cấp</v>
      </c>
    </row>
    <row r="12">
      <c r="A12" t="str">
        <v>Ý nghĩa: Khi mức tăng % quá lớn (&gt;10%), nếu áp theo tỷ lệ thì DV giá cao sẽ tăng quá nhiều. Nên chuyển sang tăng cùng số tiền tuyệt đối với DV 891.</v>
      </c>
      <c r="F12" t="str">
        <v>Cắt Gội Combo 3 - Dưỡng sinh</v>
      </c>
      <c r="G12" t="str">
        <v>Cao cấp</v>
      </c>
    </row>
    <row r="13">
      <c r="F13" t="str">
        <v>Cắt Gội Combo 5 - Chăm da</v>
      </c>
      <c r="G13" t="str">
        <v>Cao cấp</v>
      </c>
    </row>
    <row r="14">
      <c r="A14" s="37" t="str">
        <v>VÍ DỤ MINH HỌA</v>
      </c>
      <c r="F14" t="str">
        <v>Cắt Gội Combo 5 - Dưỡng sinh</v>
      </c>
      <c r="G14" t="str">
        <v>Cao cấp</v>
      </c>
    </row>
    <row r="15">
      <c r="A15" t="str">
        <v>Ví dụ 1: Salon 341 XVNT — a% = 2.1% (≤ 10% → tăng theo tỷ lệ)</v>
      </c>
      <c r="F15" t="str" xml:space="preserve">
        <v>VH Cắt gội dưỡng sinh Vip </v>
      </c>
      <c r="G15" t="str">
        <v>Cao cấp</v>
      </c>
    </row>
    <row r="16">
      <c r="A16" t="str">
        <v>DV 891: 95.000đ → 97.000đ (+2.000đ) → a% = 2.1%</v>
      </c>
      <c r="F16" t="str">
        <v>VH Cắt gội dưỡng sinh Vip LRT</v>
      </c>
      <c r="G16" t="str">
        <v>Cao cấp</v>
      </c>
    </row>
    <row r="17">
      <c r="A17" t="str">
        <v>Dịch vụ phụ</v>
      </c>
      <c r="B17" t="str">
        <v>Giá cũ</v>
      </c>
      <c r="C17" t="str">
        <v>Công thức</v>
      </c>
      <c r="D17" t="str">
        <v>Giá mới theo rule</v>
      </c>
      <c r="F17" t="str">
        <v>VH Cắt gội thư giãn phục hồi</v>
      </c>
      <c r="G17" t="str">
        <v>Cao cấp</v>
      </c>
    </row>
    <row r="18">
      <c r="A18" t="str">
        <v>Kid Cắt</v>
      </c>
      <c r="B18" t="str">
        <v>76.000đ</v>
      </c>
      <c r="C18" t="str">
        <v>76.000 × 1.021</v>
      </c>
      <c r="D18" t="str">
        <v>78.000đ (+2.000đ)</v>
      </c>
      <c r="F18" t="str">
        <v>Combo 1 - First Class 1</v>
      </c>
      <c r="G18" t="str">
        <v>Cao cấp</v>
      </c>
    </row>
    <row r="19">
      <c r="A19" t="str">
        <v>Shinecombo 2</v>
      </c>
      <c r="B19" t="str">
        <v>200.000đ</v>
      </c>
      <c r="C19" t="str">
        <v>200.000 × 1.021</v>
      </c>
      <c r="D19" t="str">
        <v>204.000đ (+4.000đ)</v>
      </c>
      <c r="F19" t="str">
        <v>GenZ - Combo 3</v>
      </c>
      <c r="G19" t="str">
        <v>Cao cấp</v>
      </c>
    </row>
    <row r="20">
      <c r="A20" t="str">
        <v>Cắt Gội Combo 3 CD</v>
      </c>
      <c r="B20" t="str">
        <v>300.000đ</v>
      </c>
      <c r="C20" t="str">
        <v>300.000 × 1.021</v>
      </c>
      <c r="D20" t="str">
        <v>306.000đ (+6.000đ)</v>
      </c>
      <c r="F20" t="str">
        <v>GenZ - Shine combo</v>
      </c>
      <c r="G20" t="str">
        <v>Cao cấp</v>
      </c>
    </row>
    <row r="21">
      <c r="A21" t="str">
        <v>Gội trải nghiệm 75p</v>
      </c>
      <c r="B21" t="str">
        <v>585.000đ</v>
      </c>
      <c r="C21" t="str">
        <v>585.000 × 1.021</v>
      </c>
      <c r="D21" t="str">
        <v>597.000đ (+12.000đ)</v>
      </c>
      <c r="F21" t="str">
        <v>Shine cut Genz</v>
      </c>
      <c r="G21" t="str">
        <v>Cao cấp</v>
      </c>
    </row>
    <row r="22">
      <c r="F22" t="str" xml:space="preserve">
        <v>Shinecombo 2 </v>
      </c>
      <c r="G22" t="str">
        <v>Core</v>
      </c>
    </row>
    <row r="23">
      <c r="A23" t="str">
        <v>→ DV giá thấp (Kid Cắt 76K) chỉ tăng 2K, DV giá cao (Gội TN 597K) tăng 12K — tỷ lệ đều 2.1%</v>
      </c>
      <c r="F23" t="str">
        <v>Shinecombo Genz</v>
      </c>
      <c r="G23" t="str">
        <v>Neo ngành</v>
      </c>
    </row>
    <row r="24">
      <c r="A24" t="str">
        <v>Ví dụ 2: Salon 264 LLQ — a% = 19.1% (&gt; 10% → tăng cùng số tiền)</v>
      </c>
      <c r="F24" t="str">
        <v>[DV] ShineCombo 10 bước Ultra Care 2023</v>
      </c>
      <c r="G24" t="str">
        <v>Core</v>
      </c>
    </row>
    <row r="25">
      <c r="A25" t="str">
        <v>DV 891: 94.000đ → 112.000đ (+18.000đ) → a% = 19.1% (&gt; 10%)</v>
      </c>
      <c r="F25" t="str">
        <v>combo cắt gội tiện lợi</v>
      </c>
      <c r="G25" t="str">
        <v>Cao cấp</v>
      </c>
    </row>
    <row r="26">
      <c r="A26" t="str">
        <v>Dịch vụ phụ</v>
      </c>
      <c r="B26" t="str">
        <v>Giá cũ</v>
      </c>
      <c r="C26" t="str">
        <v>Công thức</v>
      </c>
      <c r="D26" t="str">
        <v>Giá mới theo rule</v>
      </c>
      <c r="F26" t="str">
        <v>Combo cắt gội đỉnh cao thư giãn vip</v>
      </c>
      <c r="G26" t="str">
        <v>Cao cấp</v>
      </c>
    </row>
    <row r="27">
      <c r="A27" t="str">
        <v>Kid Cắt</v>
      </c>
      <c r="B27" t="str">
        <v>75.000đ</v>
      </c>
      <c r="C27" t="str">
        <v>75.000 + 18.000</v>
      </c>
      <c r="D27" t="str">
        <v>93.000đ (+18.000đ)</v>
      </c>
      <c r="F27" t="str">
        <v>Combo Cắt gội Kid</v>
      </c>
      <c r="G27" t="str">
        <v>Neo ngành</v>
      </c>
    </row>
    <row r="28">
      <c r="A28" t="str">
        <v>Shinecombo 2</v>
      </c>
      <c r="B28" t="str">
        <v>199.000đ</v>
      </c>
      <c r="C28" t="str">
        <v>199.000 + 18.000</v>
      </c>
      <c r="D28" t="str">
        <v>217.000đ (+18.000đ)</v>
      </c>
      <c r="F28" t="str">
        <v>Kid Cắt</v>
      </c>
      <c r="G28" t="str">
        <v>Add-on</v>
      </c>
    </row>
    <row r="29">
      <c r="A29" t="str">
        <v>Cắt Gội Combo 3 CD</v>
      </c>
      <c r="B29" t="str">
        <v>299.000đ</v>
      </c>
      <c r="C29" t="str">
        <v>299.000 + 18.000</v>
      </c>
      <c r="D29" t="str">
        <v>317.000đ (+18.000đ)</v>
      </c>
      <c r="F29" t="str">
        <v>Cắt xả tạo kiểu</v>
      </c>
      <c r="G29" t="str">
        <v>Core</v>
      </c>
    </row>
    <row r="30">
      <c r="A30" t="str">
        <v>Gội trải nghiệm 75p</v>
      </c>
      <c r="B30" t="str">
        <v>589.000đ</v>
      </c>
      <c r="C30" t="str">
        <v>589.000 + 18.000</v>
      </c>
      <c r="D30" t="str">
        <v>607.000đ (+18.000đ)</v>
      </c>
      <c r="F30" t="str">
        <v>[DV] Vuốt sáp - sấy tạo kiểu 10k</v>
      </c>
      <c r="G30" t="str">
        <v>Add-on</v>
      </c>
    </row>
    <row r="31">
      <c r="F31" t="str" xml:space="preserve">
        <v>Gội Combo 2 </v>
      </c>
      <c r="G31" t="str">
        <v>Cao cấp</v>
      </c>
    </row>
    <row r="32">
      <c r="A32" t="str">
        <v>→ Tất cả DV đều tăng đúng 18.000đ — cùng số tiền tuyệt đối</v>
      </c>
      <c r="F32" t="str">
        <v>Gội Combo 3 - Chăm da</v>
      </c>
      <c r="G32" t="str">
        <v>Cao cấp</v>
      </c>
    </row>
    <row r="33">
      <c r="F33" t="str">
        <v>Gội Combo 4</v>
      </c>
      <c r="G33" t="str">
        <v>Cao cấp</v>
      </c>
    </row>
    <row r="34">
      <c r="F34" t="str">
        <v>Gội Combo 5 - Chăm da</v>
      </c>
      <c r="G34" t="str">
        <v>Cao cấp</v>
      </c>
    </row>
    <row r="35">
      <c r="F35" t="str">
        <v>Gội Detox Scalp Pro</v>
      </c>
      <c r="G35" t="str">
        <v>Cao cấp</v>
      </c>
    </row>
    <row r="36">
      <c r="F36" t="str">
        <v>Gội dưỡng sinh cổ vai gáy</v>
      </c>
      <c r="G36" t="str">
        <v>Neo ngành</v>
      </c>
    </row>
    <row r="37">
      <c r="F37" t="str">
        <v>Gội paradise LRT plus</v>
      </c>
      <c r="G37" t="str">
        <v>Cao cấp</v>
      </c>
    </row>
    <row r="38">
      <c r="F38" t="str">
        <v>[NEW] Gội dưỡng sinh</v>
      </c>
      <c r="G38" t="str">
        <v>Neo ngành</v>
      </c>
    </row>
    <row r="39">
      <c r="F39" t="str">
        <v>[NEW] Gội dưỡng sinh cổ vai gáy và chăm sóc da</v>
      </c>
      <c r="G39" t="str">
        <v>Neo ngành</v>
      </c>
    </row>
    <row r="40">
      <c r="F40" t="str">
        <v>[NEW] Gội dưỡng sinh đá nóng - Paradise dưỡng sinh đá nóng</v>
      </c>
      <c r="G40" t="str">
        <v>Cao cấp</v>
      </c>
    </row>
    <row r="41">
      <c r="F41" t="str">
        <v>Gội combo 3 - Dưỡng sinh</v>
      </c>
      <c r="G41" t="str">
        <v>Cao cấp</v>
      </c>
    </row>
    <row r="42">
      <c r="F42" t="str">
        <v>Gội combo 5 dưỡng sinh</v>
      </c>
      <c r="G42" t="str">
        <v>Cao cấp</v>
      </c>
    </row>
    <row r="43">
      <c r="F43" t="str">
        <v>Gội trải nghiệm 115p</v>
      </c>
      <c r="G43" t="str">
        <v>Cao cấp đặc biệt</v>
      </c>
    </row>
    <row r="44">
      <c r="F44" t="str">
        <v>Gội trải nghiệm 140p</v>
      </c>
      <c r="G44" t="str">
        <v>Cao cấp đặc biệt</v>
      </c>
    </row>
    <row r="45">
      <c r="F45" t="str">
        <v>Gội trải nghiệm 75p</v>
      </c>
      <c r="G45" t="str">
        <v>Cao cấp đặc biệt</v>
      </c>
    </row>
    <row r="46">
      <c r="F46" t="str">
        <v>Gội trải nghiệm 90p</v>
      </c>
      <c r="G46" t="str">
        <v>Cao cấp đặc biệt</v>
      </c>
    </row>
    <row r="47">
      <c r="F47" t="str">
        <v>Thư giãn phục hồi (dưỡng sinh đá nóng)</v>
      </c>
      <c r="G47" t="str">
        <v>Cao cấp</v>
      </c>
    </row>
    <row r="48">
      <c r="F48" t="str">
        <v>VH Combo Gội Dưỡng Sinh Phục Hồi</v>
      </c>
      <c r="G48" t="str">
        <v>Cao cấp</v>
      </c>
    </row>
    <row r="49">
      <c r="F49" t="str">
        <v>[DV] Mặt nạ lạnh Hàn Quốc</v>
      </c>
      <c r="G49" t="str">
        <v>Entry</v>
      </c>
    </row>
    <row r="50">
      <c r="F50" t="str">
        <v>[DV] Mặt nạ tẩy da chết sủi bọt cao cấp</v>
      </c>
      <c r="G50" t="str">
        <v>Entry</v>
      </c>
    </row>
    <row r="51">
      <c r="F51" t="str">
        <v>[DV] Tẩy da chết sủi bọt Hàn Quốc</v>
      </c>
      <c r="G51" t="str">
        <v>Entry</v>
      </c>
    </row>
    <row r="52">
      <c r="F52" t="str">
        <v>Nhổ tóc bạc buổi trưa</v>
      </c>
      <c r="G52" t="str">
        <v>Entry</v>
      </c>
    </row>
    <row r="53">
      <c r="F53" t="str">
        <v>[DV] Detox tẩy da chết da đầu</v>
      </c>
      <c r="G53" t="str">
        <v>Entry</v>
      </c>
    </row>
    <row r="54">
      <c r="F54" t="str">
        <v>[DV] Thư giãn cổ, vai, gáy bạc hà cam ngọt - Thư giãn tai sảng khoái 9 tầng mây 45k</v>
      </c>
      <c r="G54" t="str">
        <v>Entry</v>
      </c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35"/>
    <col collapsed="false" customWidth="true" hidden="false" max="3" min="3" style="0" width="35"/>
    <col collapsed="false" customWidth="true" hidden="false" max="4" min="4" style="0" width="51"/>
  </cols>
  <sheetData>
    <row r="1">
      <c r="A1" s="88" t="str">
        <v>RULE BACK GIÁ DỊCH VỤ - 7 NGUYÊN TẮC</v>
      </c>
      <c r="B1" s="88"/>
      <c r="C1" s="88"/>
      <c r="D1" s="88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>
      <c r="A3" s="86" t="str">
        <v>Rule</v>
      </c>
      <c r="B3" s="86" t="str">
        <v>Nguyên tắc</v>
      </c>
      <c r="C3" s="86" t="str">
        <v>Điều kiện áp dụng</v>
      </c>
      <c r="D3" s="86" t="str">
        <v>Lý do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>
      <c r="A4" s="87" t="str">
        <v>Rule 1</v>
      </c>
      <c r="B4" s="87" t="str">
        <v>DV Cắt xả (891): KHÔNG BACK</v>
      </c>
      <c r="C4" s="87" t="str">
        <v>Mức tăng 1K-4K. Ngoại lệ: 264 LLQ (+18K), 7 DTP LA (+7K)</v>
      </c>
      <c r="D4" s="87" t="str">
        <v>Cắt xả là DV cơ bản, khách hàng ít so sánh giá cross-salon. Salerate tăng ở hầu hết salon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>
      <c r="A5" s="87" t="str">
        <v>Rule 2</v>
      </c>
      <c r="B5" s="87" t="str">
        <v>DV Gội trải nghiệm: BACK</v>
      </c>
      <c r="C5" s="87" t="str">
        <v>Tăng &gt; 15.000đ (Gội TN 75p/90p/115p/140p)</v>
      </c>
      <c r="D5" s="87" t="str">
        <v>DV trải nghiệm có elasticity cao (mua thêm, không bắt buộc). Tăng &gt; 15K vượt ngưỡng chịu đựng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>
      <c r="A6" s="87" t="str">
        <v>Rule 3</v>
      </c>
      <c r="B6" s="87" t="str">
        <v>DV Gội Combo 2: BACK</v>
      </c>
      <c r="C6" s="87" t="str">
        <v>Tăng &gt; 5.000đ VÀ salon CPI ≥ 0.6</v>
      </c>
      <c r="D6" s="87" t="str">
        <v>DV tần suất cao, khách dùng thường xuyên → nhạy giá hơn DV low-frequency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>
      <c r="A7" s="87" t="str">
        <v>Rule 4</v>
      </c>
      <c r="B7" s="87" t="str">
        <v>Cắt VIP Combo 4: BACK</v>
      </c>
      <c r="C7" s="87" t="str">
        <v>Tăng &gt; 10.000đ</v>
      </c>
      <c r="D7" s="87" t="str">
        <v>Combo 4 là "upgrade" từ Combo 3, giá cao hơn → khách dễ trade-down về Combo 3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>
      <c r="A8" s="87" t="str">
        <v>Rule 5</v>
      </c>
      <c r="B8" s="87" t="str">
        <v>Cắt Gội Combo 3 (CD/DS): BACK</v>
      </c>
      <c r="C8" s="87" t="str">
        <v>Tăng &gt; 8.000đ VÀ salon CPI ≥ 0.5</v>
      </c>
      <c r="D8" s="87" t="str">
        <v>DV giữa cắt cơ bản và VIP cao cấp, khách dễ chuyển xuống SC nếu giá tăng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>
      <c r="A9" s="87" t="str">
        <v>Rule 6</v>
      </c>
      <c r="B9" s="87" t="str">
        <v>Gội dưỡng sinh CVG: BACK</v>
      </c>
      <c r="C9" s="87" t="str">
        <v>Tăng &gt; 3.000đ</v>
      </c>
      <c r="D9" s="87" t="str">
        <v>DV giá base thấp → mức tăng nhỏ cũng tạo % tăng lớn. Nhiều salon mất hoàn toàn salerate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>
      <c r="A10" s="87" t="str">
        <v>Rule 7</v>
      </c>
      <c r="B10" s="87" t="str">
        <v>Salon độc lập: Ưu tiên back</v>
      </c>
      <c r="C10" s="87" t="str">
        <v>Không có cụm so sánh</v>
      </c>
      <c r="D10" s="87" t="str">
        <v>Salon độc lập không hưởng lợi từ "chuẩn giá vùng" - khách không có reference point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>
      <c r="A11" s="33" t="str">
        <v>Rule 8</v>
      </c>
      <c r="B11" s="87" t="str">
        <v>Các salon cùng cụm ưu tiên có giá dịch vụ Core Cắt xả giống nhau</v>
      </c>
      <c r="C11" s="33" t="str">
        <v>Các salon cùng 1 cụm</v>
      </c>
      <c r="D11" s="33" t="str">
        <v>Tránh khách hàng so sánh giá giữa các salon gần nhau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>
      <c r="A12" s="90" t="str">
        <v>NGƯỠNG TĂNG AN TOÀN THEO CPI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>
      <c r="A13" s="89" t="str">
        <v>CPI Level</v>
      </c>
      <c r="B13" s="89" t="str">
        <v>Ngưỡng an toàn DV phụ</v>
      </c>
      <c r="C13" s="89" t="str">
        <v>Ngưỡng gây giảm CR</v>
      </c>
      <c r="D13" s="89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>
      <c r="A14" s="87" t="str">
        <v>CPI Cao (≥0.6)</v>
      </c>
      <c r="B14" s="87" t="str">
        <v>≤ 5.000đ</v>
      </c>
      <c r="C14" s="87" t="str">
        <v>&gt; 8.000đ</v>
      </c>
      <c r="D14" s="87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>
      <c r="A15" s="87" t="str">
        <v>CPI Trung (0.4-0.6)</v>
      </c>
      <c r="B15" s="87" t="str">
        <v>≤ 8.000đ</v>
      </c>
      <c r="C15" s="87" t="str">
        <v>&gt; 12.000đ</v>
      </c>
      <c r="D15" s="87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</sheetData>
  <mergeCells>
    <mergeCell ref="A1:D1"/>
  </mergeCell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4"/>
    <col collapsed="false" customWidth="true" hidden="false" max="10" min="10" style="0" width="50"/>
  </cols>
  <sheetData>
    <row customHeight="true" ht="29" r="1">
      <c r="A1" s="86" t="str">
        <v>Tổng quan</v>
      </c>
      <c r="B1" s="86"/>
      <c r="C1" s="86"/>
      <c r="D1" s="86"/>
      <c r="E1" s="86"/>
      <c r="F1" s="86"/>
      <c r="G1" s="86"/>
      <c r="H1" s="86"/>
      <c r="I1" s="86"/>
      <c r="J1" s="86"/>
    </row>
    <row r="2">
      <c r="A2" s="86" t="str">
        <v>Tên Salon</v>
      </c>
      <c r="B2" s="86" t="str">
        <v>ID Salon</v>
      </c>
      <c r="C2" s="86" t="str">
        <v>Cụm</v>
      </c>
      <c r="D2" s="86" t="str">
        <v>CPI</v>
      </c>
      <c r="E2" s="86" t="str">
        <v>CPI Level</v>
      </c>
      <c r="F2" s="86" t="str">
        <v>EPI</v>
      </c>
      <c r="G2" s="86" t="str">
        <v>EPI Level</v>
      </c>
      <c r="H2" s="86" t="str">
        <v>CR thay đổi (%)</v>
      </c>
      <c r="I2" s="86" t="str">
        <v>Nhóm đề xuất</v>
      </c>
      <c r="J2" s="86" t="str">
        <v>Logic / Benchmark cụm</v>
      </c>
    </row>
    <row r="3">
      <c r="A3" s="87" t="str">
        <v>264 LLQ</v>
      </c>
      <c r="B3" s="87">
        <v>192</v>
      </c>
      <c r="C3" s="93">
        <v>29</v>
      </c>
      <c r="D3" s="87">
        <v>0.57</v>
      </c>
      <c r="E3" s="87" t="str">
        <v>Trung</v>
      </c>
      <c r="F3" s="87">
        <v>0.43</v>
      </c>
      <c r="G3" s="87" t="str">
        <v>Trung</v>
      </c>
      <c r="H3" s="87">
        <v>-5.7</v>
      </c>
      <c r="I3" s="87" t="str">
        <v>Back ngay</v>
      </c>
      <c r="J3" s="87" t="str">
        <v>Tăng đồng loạt +18K, vượt xa cụm (168 NVC chỉ +9K). Back về +9K chuẩn cụm 29</v>
      </c>
    </row>
    <row r="4">
      <c r="A4" s="87" t="str">
        <v>7 DTP LA</v>
      </c>
      <c r="B4" s="87">
        <v>199</v>
      </c>
      <c r="C4" s="93" t="str">
        <v>Độc lập</v>
      </c>
      <c r="D4" s="87">
        <v>0.53</v>
      </c>
      <c r="E4" s="87" t="str">
        <v>Trung</v>
      </c>
      <c r="F4" s="87">
        <v>0.38</v>
      </c>
      <c r="G4" s="87" t="str">
        <v>Thấp</v>
      </c>
      <c r="H4" s="87">
        <v>-10.7</v>
      </c>
      <c r="I4" s="87" t="str">
        <v>Back ngay</v>
      </c>
      <c r="J4" s="87" t="str">
        <v>Salon độc lập Long An, CPI 0.53 Trung + EPI 0.38 Thấp. DV phụ tăng quá cao cho thị trường tỉnh</v>
      </c>
    </row>
    <row r="5">
      <c r="A5" s="87" t="str">
        <v>80 TP TH</v>
      </c>
      <c r="B5" s="87">
        <v>232</v>
      </c>
      <c r="C5" s="93">
        <v>9</v>
      </c>
      <c r="D5" s="87">
        <v>0.52</v>
      </c>
      <c r="E5" s="87" t="str">
        <v>Trung</v>
      </c>
      <c r="F5" s="87">
        <v>0.41</v>
      </c>
      <c r="G5" s="87" t="str">
        <v>Thấp</v>
      </c>
      <c r="H5" s="87">
        <v>-14.1</v>
      </c>
      <c r="I5" s="87" t="str">
        <v>Back ngay</v>
      </c>
      <c r="J5" s="87" t="str">
        <v>Thanh Hóa thị trường nhạy giá. DV phụ tăng 14K-68K vượt khả năng chịu giá</v>
      </c>
    </row>
    <row r="6">
      <c r="A6" s="87" t="str">
        <v>708 LTT</v>
      </c>
      <c r="B6" s="87">
        <v>47</v>
      </c>
      <c r="C6" s="93">
        <v>25</v>
      </c>
      <c r="D6" s="87">
        <v>0.56</v>
      </c>
      <c r="E6" s="87" t="str">
        <v>Trung</v>
      </c>
      <c r="F6" s="87">
        <v>0.36</v>
      </c>
      <c r="G6" s="87" t="str">
        <v>Thấp</v>
      </c>
      <c r="H6" s="87">
        <v>-8.8</v>
      </c>
      <c r="I6" s="87" t="str">
        <v>Back ngay</v>
      </c>
      <c r="J6" s="87" t="str">
        <v>32 NAT cùng cụm EPI 0.42 → CR +10%. 708 LTT EPI 0.36 → khách ít sẵn sàng chi</v>
      </c>
    </row>
    <row r="7">
      <c r="A7" s="87" t="str">
        <v>346 KT</v>
      </c>
      <c r="B7" s="87">
        <v>2</v>
      </c>
      <c r="C7" s="93">
        <v>3</v>
      </c>
      <c r="D7" s="87">
        <v>0.66</v>
      </c>
      <c r="E7" s="87" t="str">
        <v>Cao</v>
      </c>
      <c r="F7" s="87">
        <v>0.47</v>
      </c>
      <c r="G7" s="87" t="str">
        <v>Cao</v>
      </c>
      <c r="H7" s="87">
        <v>-6.9</v>
      </c>
      <c r="I7" s="87" t="str">
        <v>Back ngay</v>
      </c>
      <c r="J7" s="87" t="str">
        <v>CPI 0.66 Cao, Cắt Gội C3 CD là DV nhạy nhất</v>
      </c>
    </row>
    <row r="8">
      <c r="A8" s="87" t="str">
        <v>575 AC</v>
      </c>
      <c r="B8" s="87">
        <v>21</v>
      </c>
      <c r="C8" s="93">
        <v>18</v>
      </c>
      <c r="D8" s="87">
        <v>0.64</v>
      </c>
      <c r="E8" s="87" t="str">
        <v>Cao</v>
      </c>
      <c r="F8" s="87">
        <v>0.45</v>
      </c>
      <c r="G8" s="87" t="str">
        <v>Trung</v>
      </c>
      <c r="H8" s="87">
        <v>-12.9</v>
      </c>
      <c r="I8" s="87" t="str">
        <v>Back chọn lọc</v>
      </c>
      <c r="J8" s="87" t="str">
        <v>99 TSN cùng cụm, cùng mức tăng → CR OK. Khác biệt do cơ cấu khách</v>
      </c>
    </row>
    <row r="9">
      <c r="A9" s="87" t="str">
        <v>148 TD</v>
      </c>
      <c r="B9" s="87">
        <v>210</v>
      </c>
      <c r="C9" s="93">
        <v>6</v>
      </c>
      <c r="D9" s="87">
        <v>0.64</v>
      </c>
      <c r="E9" s="87" t="str">
        <v>Cao</v>
      </c>
      <c r="F9" s="87">
        <v>0.36</v>
      </c>
      <c r="G9" s="87" t="str">
        <v>Thấp</v>
      </c>
      <c r="H9" s="87">
        <v>-5.3</v>
      </c>
      <c r="I9" s="87" t="str">
        <v>Back chọn lọc</v>
      </c>
      <c r="J9" s="87" t="str">
        <v>173 TN cùng cụm chỉ tăng 2K → CR -1.4%. 148 TD DV phụ cao hơn</v>
      </c>
    </row>
    <row r="10">
      <c r="A10" s="87" t="str">
        <v>76 PVH</v>
      </c>
      <c r="B10" s="87">
        <v>106</v>
      </c>
      <c r="C10" s="93">
        <v>25</v>
      </c>
      <c r="D10" s="87">
        <v>0.5</v>
      </c>
      <c r="E10" s="87" t="str">
        <v>Trung</v>
      </c>
      <c r="F10" s="87">
        <v>0.37</v>
      </c>
      <c r="G10" s="87" t="str">
        <v>Thấp</v>
      </c>
      <c r="H10" s="87">
        <v>-3.9</v>
      </c>
      <c r="I10" s="87" t="str">
        <v>Back chọn lọc</v>
      </c>
      <c r="J10" s="87" t="str">
        <v>CPI 0.50 thấp nhất cụm 25, nhạy giá hơn 32 NAT (0.56)</v>
      </c>
    </row>
    <row r="11">
      <c r="A11" s="87" t="str">
        <v>11 PKT</v>
      </c>
      <c r="B11" s="87">
        <v>244</v>
      </c>
      <c r="C11" s="93">
        <v>30</v>
      </c>
      <c r="D11" s="87">
        <v>0.45</v>
      </c>
      <c r="E11" s="87" t="str">
        <v>Trung</v>
      </c>
      <c r="F11" s="87">
        <v>0.44</v>
      </c>
      <c r="G11" s="87" t="str">
        <v>Trung</v>
      </c>
      <c r="H11" s="87">
        <v>-27.5</v>
      </c>
      <c r="I11" s="87" t="str">
        <v>Back chọn lọc</v>
      </c>
      <c r="J11" s="87" t="str">
        <v>CPI 0.45 thấp nhất cụm 30. Khách nhạy giá hơn</v>
      </c>
    </row>
    <row r="12">
      <c r="A12" s="87" t="str">
        <v>236 DBT</v>
      </c>
      <c r="B12" s="87">
        <v>141</v>
      </c>
      <c r="C12" s="93">
        <v>20</v>
      </c>
      <c r="D12" s="87">
        <v>0.65</v>
      </c>
      <c r="E12" s="87" t="str">
        <v>Cao</v>
      </c>
      <c r="F12" s="87">
        <v>0.42</v>
      </c>
      <c r="G12" s="87" t="str">
        <v>Trung</v>
      </c>
      <c r="H12" s="87">
        <v>-3.7</v>
      </c>
      <c r="I12" s="87" t="str">
        <v>Theo dõi</v>
      </c>
      <c r="J12" s="87" t="str">
        <v>Mức tăng thấp 3K. Giảm do Gội C2 &amp; SC10 giá không đổi</v>
      </c>
    </row>
    <row r="13">
      <c r="A13" s="87" t="str">
        <v>186 DTH</v>
      </c>
      <c r="B13" s="87">
        <v>182</v>
      </c>
      <c r="C13" s="93">
        <v>24</v>
      </c>
      <c r="D13" s="87">
        <v>0.63</v>
      </c>
      <c r="E13" s="87" t="str">
        <v>Cao</v>
      </c>
      <c r="F13" s="87">
        <v>0.44</v>
      </c>
      <c r="G13" s="87" t="str">
        <v>Trung</v>
      </c>
      <c r="H13" s="87">
        <v>-2.9</v>
      </c>
      <c r="I13" s="87" t="str">
        <v>Theo dõi</v>
      </c>
      <c r="J13" s="87" t="str">
        <v>Mức tăng 1K. Giảm nhẹ, tự phục hồi</v>
      </c>
    </row>
    <row r="14">
      <c r="A14" s="87" t="str">
        <v>10 TP</v>
      </c>
      <c r="B14" s="87">
        <v>143</v>
      </c>
      <c r="C14" s="93">
        <v>7</v>
      </c>
      <c r="D14" s="87">
        <v>0.68</v>
      </c>
      <c r="E14" s="87" t="str">
        <v>Cao</v>
      </c>
      <c r="F14" s="87">
        <v>0.45</v>
      </c>
      <c r="G14" s="87" t="str">
        <v>Trung</v>
      </c>
      <c r="H14" s="87">
        <v>-3.9</v>
      </c>
      <c r="I14" s="87" t="str">
        <v>Theo dõi</v>
      </c>
      <c r="J14" s="87" t="str">
        <v>Mức tăng 1K. Xem xét back Gội C2 nếu tiếp tục giảm</v>
      </c>
    </row>
    <row r="15">
      <c r="A15" s="87" t="str">
        <v>103 TN</v>
      </c>
      <c r="B15" s="87">
        <v>44</v>
      </c>
      <c r="C15" s="93">
        <v>24</v>
      </c>
      <c r="D15" s="87">
        <v>0.56</v>
      </c>
      <c r="E15" s="87" t="str">
        <v>Trung</v>
      </c>
      <c r="F15" s="87">
        <v>0.49</v>
      </c>
      <c r="G15" s="87" t="str">
        <v>Cao</v>
      </c>
      <c r="H15" s="87">
        <v>-1.8</v>
      </c>
      <c r="I15" s="87" t="str">
        <v>Theo dõi</v>
      </c>
      <c r="J15" s="87" t="str">
        <v>Combo 2 FC2 tăng tốt. Cấu trúc OK</v>
      </c>
    </row>
    <row r="16">
      <c r="A16" s="87" t="str">
        <v>173 TN</v>
      </c>
      <c r="B16" s="87">
        <v>250</v>
      </c>
      <c r="C16" s="93">
        <v>6</v>
      </c>
      <c r="D16" s="87">
        <v>0.65</v>
      </c>
      <c r="E16" s="87" t="str">
        <v>Cao</v>
      </c>
      <c r="F16" s="87">
        <v>0.44</v>
      </c>
      <c r="G16" s="87" t="str">
        <v>Trung</v>
      </c>
      <c r="H16" s="87">
        <v>-1.4</v>
      </c>
      <c r="I16" s="87" t="str">
        <v>Theo dõi</v>
      </c>
      <c r="J16" s="87" t="str">
        <v>Giảm do SC10 giảm tự nhiên</v>
      </c>
    </row>
    <row r="17">
      <c r="A17" s="87" t="str">
        <v>68 LN NA</v>
      </c>
      <c r="B17" s="87">
        <v>240</v>
      </c>
      <c r="C17" s="93" t="str">
        <v>Độc lập</v>
      </c>
      <c r="D17" s="87">
        <v>0.45</v>
      </c>
      <c r="E17" s="87" t="str">
        <v>Trung</v>
      </c>
      <c r="F17" s="87">
        <v>0.39</v>
      </c>
      <c r="G17" s="87" t="str">
        <v>Thấp</v>
      </c>
      <c r="H17" s="87">
        <v>-10.9</v>
      </c>
      <c r="I17" s="87" t="str">
        <v>Không back (vận hành)</v>
      </c>
      <c r="J17" s="87" t="str">
        <v>Giá chỉ tăng 3K. Giảm CR do LRT -65% &amp; CS -63% (giá không đổi) → Vận hành</v>
      </c>
    </row>
    <row r="18"/>
    <row r="19">
      <c r="A19" s="37" t="str">
        <v>Chi tiết</v>
      </c>
    </row>
    <row r="20">
      <c r="A20" s="94" t="str">
        <v>Tên Salon</v>
      </c>
      <c r="B20" s="94" t="str">
        <v>ID Salon</v>
      </c>
      <c r="C20" s="94" t="str">
        <v>Tên dịch vụ</v>
      </c>
      <c r="D20" s="94" t="str">
        <v>ID DV</v>
      </c>
      <c r="E20" s="94" t="str">
        <v>Nhóm ngành</v>
      </c>
      <c r="F20" s="94" t="str">
        <v>Giá cũ (trước 14/3)</v>
      </c>
      <c r="G20" s="94" t="str">
        <v>Giá đang chạy (hiện tại)</v>
      </c>
      <c r="H20" s="94" t="str">
        <v>Giá đề xuất điều chỉnh</v>
      </c>
      <c r="I20" s="94" t="str">
        <v>Chênh lệch (đề xuất vs hiện tại)</v>
      </c>
      <c r="J20" s="94" t="str">
        <v>Rule áp dụng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1">
      <c r="A21" s="87" t="str">
        <v>11 PKT</v>
      </c>
      <c r="B21" s="87">
        <v>244</v>
      </c>
      <c r="C21" s="87" t="str">
        <v>Cắt Gội Combo 3 - Chăm da</v>
      </c>
      <c r="D21" s="87">
        <v>1047</v>
      </c>
      <c r="E21" s="87" t="str">
        <v>DV_Cắt_Vip</v>
      </c>
      <c r="F21" s="91">
        <v>305000</v>
      </c>
      <c r="G21" s="91">
        <v>317000</v>
      </c>
      <c r="H21" s="91">
        <v>309000</v>
      </c>
      <c r="I21" s="92">
        <v>-8000</v>
      </c>
      <c r="J21" s="87" t="str">
        <v>Rule 5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87" t="str">
        <v>11 PKT</v>
      </c>
      <c r="B22" s="87">
        <v>244</v>
      </c>
      <c r="C22" s="87" t="str">
        <v>Gội Combo 3 - Chăm da</v>
      </c>
      <c r="D22" s="87">
        <v>1059</v>
      </c>
      <c r="E22" s="87" t="str">
        <v>DV_Gội</v>
      </c>
      <c r="F22" s="91">
        <v>239000</v>
      </c>
      <c r="G22" s="91">
        <v>249000</v>
      </c>
      <c r="H22" s="91">
        <v>243000</v>
      </c>
      <c r="I22" s="92">
        <v>-6000</v>
      </c>
      <c r="J22" s="87" t="str">
        <v>Rule 5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87" t="str">
        <v>11 PKT</v>
      </c>
      <c r="B23" s="87">
        <v>244</v>
      </c>
      <c r="C23" s="87" t="str">
        <v>Gội Combo 4</v>
      </c>
      <c r="D23" s="87">
        <v>1060</v>
      </c>
      <c r="E23" s="87" t="str">
        <v>DV_Gội</v>
      </c>
      <c r="F23" s="91">
        <v>289000</v>
      </c>
      <c r="G23" s="91">
        <v>302000</v>
      </c>
      <c r="H23" s="91">
        <v>289000</v>
      </c>
      <c r="I23" s="92">
        <v>-13000</v>
      </c>
      <c r="J23" s="87" t="str">
        <v>Rule 4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87" t="str">
        <v>11 PKT</v>
      </c>
      <c r="B24" s="87">
        <v>244</v>
      </c>
      <c r="C24" s="87" t="str">
        <v>Gội dưỡng sinh cổ vai gáy</v>
      </c>
      <c r="D24" s="87">
        <v>867</v>
      </c>
      <c r="E24" s="87" t="str">
        <v>DV_Gội</v>
      </c>
      <c r="F24" s="91">
        <v>99000</v>
      </c>
      <c r="G24" s="91">
        <v>103000</v>
      </c>
      <c r="H24" s="91">
        <v>99000</v>
      </c>
      <c r="I24" s="92">
        <v>-4000</v>
      </c>
      <c r="J24" s="87" t="str">
        <v>Rule 6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87" t="str">
        <v>11 PKT</v>
      </c>
      <c r="B25" s="87">
        <v>244</v>
      </c>
      <c r="C25" s="87" t="str">
        <v>Gội trải nghiệm 75p</v>
      </c>
      <c r="D25" s="87">
        <v>1066</v>
      </c>
      <c r="E25" s="87" t="str">
        <v>DV_Gội</v>
      </c>
      <c r="F25" s="91">
        <v>589000</v>
      </c>
      <c r="G25" s="91">
        <v>613000</v>
      </c>
      <c r="H25" s="91">
        <v>594000</v>
      </c>
      <c r="I25" s="92">
        <v>-19000</v>
      </c>
      <c r="J25" s="87" t="str">
        <v>Rule 2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87" t="str">
        <v>11 PKT</v>
      </c>
      <c r="B26" s="87">
        <v>244</v>
      </c>
      <c r="C26" s="87" t="str">
        <v>Shinecombo 2</v>
      </c>
      <c r="D26" s="87">
        <v>1046</v>
      </c>
      <c r="E26" s="87" t="str">
        <v>DV_Cắt_Vip</v>
      </c>
      <c r="F26" s="91">
        <v>205000</v>
      </c>
      <c r="G26" s="91">
        <v>213000</v>
      </c>
      <c r="H26" s="91">
        <v>209000</v>
      </c>
      <c r="I26" s="92">
        <v>-4000</v>
      </c>
      <c r="J26" s="87" t="str">
        <v>Benchmark cụm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87" t="str">
        <v>11 PKT</v>
      </c>
      <c r="B27" s="87">
        <v>244</v>
      </c>
      <c r="C27" s="87" t="str">
        <v>[NEW] Gội dưỡng sinh</v>
      </c>
      <c r="D27" s="87">
        <v>940</v>
      </c>
      <c r="E27" s="87" t="str">
        <v>DV_Gội</v>
      </c>
      <c r="F27" s="91">
        <v>59000</v>
      </c>
      <c r="G27" s="91">
        <v>61000</v>
      </c>
      <c r="H27" s="91">
        <v>59000</v>
      </c>
      <c r="I27" s="92">
        <v>-2000</v>
      </c>
      <c r="J27" s="87" t="str">
        <v>Rule 2/3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87" t="str">
        <v>11 PKT</v>
      </c>
      <c r="B28" s="87">
        <v>244</v>
      </c>
      <c r="C28" s="87" t="str">
        <v>[NEW] Gội dưỡng sinh cổ vai gáy và chăm sóc da</v>
      </c>
      <c r="D28" s="87">
        <v>930</v>
      </c>
      <c r="E28" s="87" t="str">
        <v>DV_Gội</v>
      </c>
      <c r="F28" s="91">
        <v>139000</v>
      </c>
      <c r="G28" s="91">
        <v>145000</v>
      </c>
      <c r="H28" s="91">
        <v>139000</v>
      </c>
      <c r="I28" s="92">
        <v>-6000</v>
      </c>
      <c r="J28" s="87" t="str">
        <v>Rule 6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87" t="str">
        <v>148 TD</v>
      </c>
      <c r="B29" s="87">
        <v>210</v>
      </c>
      <c r="C29" s="87" t="str">
        <v>Combo 4</v>
      </c>
      <c r="D29" s="87">
        <v>1048</v>
      </c>
      <c r="E29" s="87" t="str">
        <v>DV_Cắt_Vip</v>
      </c>
      <c r="F29" s="91">
        <v>391000</v>
      </c>
      <c r="G29" s="91">
        <v>407000</v>
      </c>
      <c r="H29" s="91">
        <v>399000</v>
      </c>
      <c r="I29" s="92">
        <v>-8000</v>
      </c>
      <c r="J29" s="87" t="str">
        <v>Rule 4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87" t="str">
        <v>148 TD</v>
      </c>
      <c r="B30" s="87">
        <v>210</v>
      </c>
      <c r="C30" s="87" t="str">
        <v>Gội Combo 2</v>
      </c>
      <c r="D30" s="87">
        <v>1058</v>
      </c>
      <c r="E30" s="87" t="str">
        <v>DV_Gội</v>
      </c>
      <c r="F30" s="91">
        <v>159000</v>
      </c>
      <c r="G30" s="91">
        <v>166000</v>
      </c>
      <c r="H30" s="91">
        <v>162000</v>
      </c>
      <c r="I30" s="92">
        <v>-4000</v>
      </c>
      <c r="J30" s="87" t="str">
        <v>Rule 3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87" t="str">
        <v>148 TD</v>
      </c>
      <c r="B31" s="87">
        <v>210</v>
      </c>
      <c r="C31" s="87" t="str">
        <v>Gội Combo 4</v>
      </c>
      <c r="D31" s="87">
        <v>1060</v>
      </c>
      <c r="E31" s="87" t="str">
        <v>DV_Gội</v>
      </c>
      <c r="F31" s="91">
        <v>289000</v>
      </c>
      <c r="G31" s="91">
        <v>302000</v>
      </c>
      <c r="H31" s="91">
        <v>297000</v>
      </c>
      <c r="I31" s="92">
        <v>-5000</v>
      </c>
      <c r="J31" s="87" t="str">
        <v>Rule 4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87" t="str">
        <v>148 TD</v>
      </c>
      <c r="B32" s="87">
        <v>210</v>
      </c>
      <c r="C32" s="87" t="str">
        <v>Gội trải nghiệm 75p</v>
      </c>
      <c r="D32" s="87">
        <v>1066</v>
      </c>
      <c r="E32" s="87" t="str">
        <v>DV_Gội</v>
      </c>
      <c r="F32" s="91">
        <v>589000</v>
      </c>
      <c r="G32" s="91">
        <v>614000</v>
      </c>
      <c r="H32" s="91">
        <v>597000</v>
      </c>
      <c r="I32" s="92">
        <v>-17000</v>
      </c>
      <c r="J32" s="87" t="str">
        <v>Rule 2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>
      <c r="A33" s="87" t="str">
        <v>264 LLQ</v>
      </c>
      <c r="B33" s="87">
        <v>192</v>
      </c>
      <c r="C33" s="87" t="str">
        <v>Combo 4</v>
      </c>
      <c r="D33" s="87">
        <v>1048</v>
      </c>
      <c r="E33" s="87" t="str">
        <v>DV_Cắt_Vip</v>
      </c>
      <c r="F33" s="91">
        <v>389000</v>
      </c>
      <c r="G33" s="91">
        <v>407000</v>
      </c>
      <c r="H33" s="91">
        <v>398000</v>
      </c>
      <c r="I33" s="92">
        <v>-9000</v>
      </c>
      <c r="J33" s="87" t="str">
        <v>Rule 4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>
      <c r="A34" s="87" t="str">
        <v>264 LLQ</v>
      </c>
      <c r="B34" s="87">
        <v>192</v>
      </c>
      <c r="C34" s="87" t="str">
        <v>Combo Cắt gội Kid</v>
      </c>
      <c r="D34" s="87">
        <v>1070</v>
      </c>
      <c r="E34" s="87" t="str">
        <v>DV_Cắt</v>
      </c>
      <c r="F34" s="91">
        <v>100000</v>
      </c>
      <c r="G34" s="91">
        <v>118000</v>
      </c>
      <c r="H34" s="91">
        <v>109000</v>
      </c>
      <c r="I34" s="92">
        <v>-9000</v>
      </c>
      <c r="J34" s="87" t="str">
        <v>Benchmark cụm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>
      <c r="A35" s="87" t="str">
        <v>264 LLQ</v>
      </c>
      <c r="B35" s="87">
        <v>192</v>
      </c>
      <c r="C35" s="87" t="str">
        <v>Cắt Gội Combo 3 - Chăm da</v>
      </c>
      <c r="D35" s="87">
        <v>1047</v>
      </c>
      <c r="E35" s="87" t="str">
        <v>DV_Cắt_Vip</v>
      </c>
      <c r="F35" s="91">
        <v>299000</v>
      </c>
      <c r="G35" s="91">
        <v>317000</v>
      </c>
      <c r="H35" s="91">
        <v>308000</v>
      </c>
      <c r="I35" s="92">
        <v>-9000</v>
      </c>
      <c r="J35" s="87" t="str">
        <v>Rule 5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>
      <c r="A36" s="87" t="str">
        <v>264 LLQ</v>
      </c>
      <c r="B36" s="87">
        <v>192</v>
      </c>
      <c r="C36" s="87" t="str">
        <v>Cắt Gội Combo 5 - Dưỡng sinh</v>
      </c>
      <c r="D36" s="87">
        <v>1064</v>
      </c>
      <c r="E36" s="87" t="str">
        <v>DV_Cắt_Vip</v>
      </c>
      <c r="F36" s="91">
        <v>459000</v>
      </c>
      <c r="G36" s="91">
        <v>477000</v>
      </c>
      <c r="H36" s="91">
        <v>468000</v>
      </c>
      <c r="I36" s="92">
        <v>-9000</v>
      </c>
      <c r="J36" s="87" t="str">
        <v>Rule 2/3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>
      <c r="A37" s="87" t="str">
        <v>264 LLQ</v>
      </c>
      <c r="B37" s="87">
        <v>192</v>
      </c>
      <c r="C37" s="87" t="str">
        <v>Cắt xả tạo kiểu</v>
      </c>
      <c r="D37" s="87">
        <v>891</v>
      </c>
      <c r="E37" s="87" t="str">
        <v>DV_Cắt</v>
      </c>
      <c r="F37" s="91">
        <v>94000</v>
      </c>
      <c r="G37" s="91">
        <v>112000</v>
      </c>
      <c r="H37" s="91">
        <v>103000</v>
      </c>
      <c r="I37" s="92">
        <v>-9000</v>
      </c>
      <c r="J37" s="87" t="str">
        <v>Rule 1 (ngoại lệ)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>
      <c r="A38" s="87" t="str">
        <v>264 LLQ</v>
      </c>
      <c r="B38" s="87">
        <v>192</v>
      </c>
      <c r="C38" s="87" t="str">
        <v>Gội Combo 2</v>
      </c>
      <c r="D38" s="87">
        <v>1058</v>
      </c>
      <c r="E38" s="87" t="str">
        <v>DV_Gội</v>
      </c>
      <c r="F38" s="91">
        <v>159000</v>
      </c>
      <c r="G38" s="91">
        <v>177000</v>
      </c>
      <c r="H38" s="91">
        <v>168000</v>
      </c>
      <c r="I38" s="92">
        <v>-9000</v>
      </c>
      <c r="J38" s="87" t="str">
        <v>Rule 3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>
      <c r="A39" s="87" t="str">
        <v>264 LLQ</v>
      </c>
      <c r="B39" s="87">
        <v>192</v>
      </c>
      <c r="C39" s="87" t="str">
        <v>Gội Combo 3 - Chăm da</v>
      </c>
      <c r="D39" s="87">
        <v>1059</v>
      </c>
      <c r="E39" s="87" t="str">
        <v>DV_Gội</v>
      </c>
      <c r="F39" s="91">
        <v>239000</v>
      </c>
      <c r="G39" s="91">
        <v>257000</v>
      </c>
      <c r="H39" s="91">
        <v>248000</v>
      </c>
      <c r="I39" s="92">
        <v>-9000</v>
      </c>
      <c r="J39" s="87" t="str">
        <v>Rule 5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>
      <c r="A40" s="87" t="str">
        <v>264 LLQ</v>
      </c>
      <c r="B40" s="87">
        <v>192</v>
      </c>
      <c r="C40" s="87" t="str">
        <v>Gội Combo 4</v>
      </c>
      <c r="D40" s="87">
        <v>1060</v>
      </c>
      <c r="E40" s="87" t="str">
        <v>DV_Gội</v>
      </c>
      <c r="F40" s="91">
        <v>319000</v>
      </c>
      <c r="G40" s="91">
        <v>337000</v>
      </c>
      <c r="H40" s="91">
        <v>328000</v>
      </c>
      <c r="I40" s="92">
        <v>-9000</v>
      </c>
      <c r="J40" s="87" t="str">
        <v>Rule 4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>
      <c r="A41" s="87" t="str">
        <v>264 LLQ</v>
      </c>
      <c r="B41" s="87">
        <v>192</v>
      </c>
      <c r="C41" s="87" t="str">
        <v>Gội combo 3 - Dưỡng sinh</v>
      </c>
      <c r="D41" s="87">
        <v>934</v>
      </c>
      <c r="E41" s="87" t="str">
        <v>DV_Gội</v>
      </c>
      <c r="F41" s="91">
        <v>229000</v>
      </c>
      <c r="G41" s="91">
        <v>247000</v>
      </c>
      <c r="H41" s="91">
        <v>238000</v>
      </c>
      <c r="I41" s="92">
        <v>-9000</v>
      </c>
      <c r="J41" s="87" t="str">
        <v>Rule 2/3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>
      <c r="A42" s="87" t="str">
        <v>264 LLQ</v>
      </c>
      <c r="B42" s="87">
        <v>192</v>
      </c>
      <c r="C42" s="87" t="str">
        <v>Gội dưỡng sinh cổ vai gáy</v>
      </c>
      <c r="D42" s="87">
        <v>867</v>
      </c>
      <c r="E42" s="87" t="str">
        <v>DV_Gội</v>
      </c>
      <c r="F42" s="91">
        <v>99000</v>
      </c>
      <c r="G42" s="91">
        <v>117000</v>
      </c>
      <c r="H42" s="91">
        <v>108000</v>
      </c>
      <c r="I42" s="92">
        <v>-9000</v>
      </c>
      <c r="J42" s="87" t="str">
        <v>Rule 6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>
      <c r="A43" s="87" t="str">
        <v>264 LLQ</v>
      </c>
      <c r="B43" s="87">
        <v>192</v>
      </c>
      <c r="C43" s="87" t="str">
        <v>Gội trải nghiệm 115p</v>
      </c>
      <c r="D43" s="87">
        <v>1068</v>
      </c>
      <c r="E43" s="87" t="str">
        <v>DV_Gội</v>
      </c>
      <c r="F43" s="91">
        <v>999000</v>
      </c>
      <c r="G43" s="91">
        <v>1017000</v>
      </c>
      <c r="H43" s="91">
        <v>1008000</v>
      </c>
      <c r="I43" s="92">
        <v>-9000</v>
      </c>
      <c r="J43" s="87" t="str">
        <v>Rule 2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>
      <c r="A44" s="87" t="str">
        <v>264 LLQ</v>
      </c>
      <c r="B44" s="87">
        <v>192</v>
      </c>
      <c r="C44" s="87" t="str">
        <v>Gội trải nghiệm 140p</v>
      </c>
      <c r="D44" s="87">
        <v>1069</v>
      </c>
      <c r="E44" s="87" t="str">
        <v>DV_Gội</v>
      </c>
      <c r="F44" s="91">
        <v>1199000</v>
      </c>
      <c r="G44" s="91">
        <v>1217000</v>
      </c>
      <c r="H44" s="91">
        <v>1208000</v>
      </c>
      <c r="I44" s="92">
        <v>-9000</v>
      </c>
      <c r="J44" s="87" t="str">
        <v>Rule 2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>
      <c r="A45" s="87" t="str">
        <v>264 LLQ</v>
      </c>
      <c r="B45" s="87">
        <v>192</v>
      </c>
      <c r="C45" s="87" t="str">
        <v>Gội trải nghiệm 75p</v>
      </c>
      <c r="D45" s="87">
        <v>1066</v>
      </c>
      <c r="E45" s="87" t="str">
        <v>DV_Gội</v>
      </c>
      <c r="F45" s="91">
        <v>589000</v>
      </c>
      <c r="G45" s="91">
        <v>607000</v>
      </c>
      <c r="H45" s="91">
        <v>598000</v>
      </c>
      <c r="I45" s="92">
        <v>-9000</v>
      </c>
      <c r="J45" s="87" t="str">
        <v>Rule 2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>
      <c r="A46" s="87" t="str">
        <v>264 LLQ</v>
      </c>
      <c r="B46" s="87">
        <v>192</v>
      </c>
      <c r="C46" s="87" t="str">
        <v>Gội trải nghiệm 90p</v>
      </c>
      <c r="D46" s="87">
        <v>1067</v>
      </c>
      <c r="E46" s="87" t="str">
        <v>DV_Gội</v>
      </c>
      <c r="F46" s="91">
        <v>789000</v>
      </c>
      <c r="G46" s="91">
        <v>807000</v>
      </c>
      <c r="H46" s="91">
        <v>798000</v>
      </c>
      <c r="I46" s="92">
        <v>-9000</v>
      </c>
      <c r="J46" s="87" t="str">
        <v>Rule 2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>
      <c r="A47" s="87" t="str">
        <v>264 LLQ</v>
      </c>
      <c r="B47" s="87">
        <v>192</v>
      </c>
      <c r="C47" s="87" t="str">
        <v>Kid Cắt</v>
      </c>
      <c r="D47" s="87">
        <v>1002</v>
      </c>
      <c r="E47" s="87" t="str">
        <v>DV_Cắt</v>
      </c>
      <c r="F47" s="91">
        <v>75000</v>
      </c>
      <c r="G47" s="91">
        <v>93000</v>
      </c>
      <c r="H47" s="91">
        <v>84000</v>
      </c>
      <c r="I47" s="92">
        <v>-9000</v>
      </c>
      <c r="J47" s="87" t="str">
        <v>Benchmark cụm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>
      <c r="A48" s="87" t="str">
        <v>264 LLQ</v>
      </c>
      <c r="B48" s="87">
        <v>192</v>
      </c>
      <c r="C48" s="87" t="str">
        <v>Shinecombo 2</v>
      </c>
      <c r="D48" s="87">
        <v>1046</v>
      </c>
      <c r="E48" s="87" t="str">
        <v>DV_Cắt_Vip</v>
      </c>
      <c r="F48" s="91">
        <v>199000</v>
      </c>
      <c r="G48" s="91">
        <v>217000</v>
      </c>
      <c r="H48" s="91">
        <v>208000</v>
      </c>
      <c r="I48" s="92">
        <v>-9000</v>
      </c>
      <c r="J48" s="87" t="str">
        <v>Benchmark cụm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>
      <c r="A49" s="87" t="str">
        <v>264 LLQ</v>
      </c>
      <c r="B49" s="87">
        <v>192</v>
      </c>
      <c r="C49" s="87" t="str">
        <v>[NEW] Gội dưỡng sinh</v>
      </c>
      <c r="D49" s="87">
        <v>940</v>
      </c>
      <c r="E49" s="87" t="str">
        <v>DV_Gội</v>
      </c>
      <c r="F49" s="91">
        <v>59000</v>
      </c>
      <c r="G49" s="91">
        <v>77000</v>
      </c>
      <c r="H49" s="91">
        <v>68000</v>
      </c>
      <c r="I49" s="92">
        <v>-9000</v>
      </c>
      <c r="J49" s="87" t="str">
        <v>Rule 2/3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>
      <c r="A50" s="87" t="str">
        <v>264 LLQ</v>
      </c>
      <c r="B50" s="87">
        <v>192</v>
      </c>
      <c r="C50" s="87" t="str">
        <v>[NEW] Gội dưỡng sinh cổ vai gáy và chăm sóc da</v>
      </c>
      <c r="D50" s="87">
        <v>930</v>
      </c>
      <c r="E50" s="87" t="str">
        <v>DV_Gội</v>
      </c>
      <c r="F50" s="91">
        <v>139000</v>
      </c>
      <c r="G50" s="91">
        <v>157000</v>
      </c>
      <c r="H50" s="91">
        <v>148000</v>
      </c>
      <c r="I50" s="92">
        <v>-9000</v>
      </c>
      <c r="J50" s="87" t="str">
        <v>Rule 6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>
      <c r="A51" s="87" t="str">
        <v>346 KT</v>
      </c>
      <c r="B51" s="87">
        <v>2</v>
      </c>
      <c r="C51" s="87" t="str">
        <v>Cắt Gội Combo 3 - Chăm da</v>
      </c>
      <c r="D51" s="87">
        <v>1047</v>
      </c>
      <c r="E51" s="87" t="str">
        <v>DV_Cắt_Vip</v>
      </c>
      <c r="F51" s="91">
        <v>305000</v>
      </c>
      <c r="G51" s="91">
        <v>308000</v>
      </c>
      <c r="H51" s="91">
        <v>305000</v>
      </c>
      <c r="I51" s="92">
        <v>-3000</v>
      </c>
      <c r="J51" s="87" t="str">
        <v>Rule 5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>
      <c r="A52" s="87" t="str">
        <v>575 AC</v>
      </c>
      <c r="B52" s="87">
        <v>21</v>
      </c>
      <c r="C52" s="87" t="str">
        <v>Cắt Gội Combo 3 - Dưỡng sinh</v>
      </c>
      <c r="D52" s="87">
        <v>1065</v>
      </c>
      <c r="E52" s="87" t="str">
        <v>DV_Cắt_Vip</v>
      </c>
      <c r="F52" s="91">
        <v>305000</v>
      </c>
      <c r="G52" s="91">
        <v>317000</v>
      </c>
      <c r="H52" s="91">
        <v>310000</v>
      </c>
      <c r="I52" s="92">
        <v>-7000</v>
      </c>
      <c r="J52" s="87" t="str">
        <v>Rule 5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</row>
    <row r="53">
      <c r="A53" s="87" t="str">
        <v>575 AC</v>
      </c>
      <c r="B53" s="87">
        <v>21</v>
      </c>
      <c r="C53" s="87" t="str">
        <v>Cắt Gội Combo 5 - Dưỡng sinh</v>
      </c>
      <c r="D53" s="87">
        <v>1064</v>
      </c>
      <c r="E53" s="87" t="str">
        <v>DV_Cắt_Vip</v>
      </c>
      <c r="F53" s="91">
        <v>465000</v>
      </c>
      <c r="G53" s="91">
        <v>484000</v>
      </c>
      <c r="H53" s="91">
        <v>473000</v>
      </c>
      <c r="I53" s="92">
        <v>-11000</v>
      </c>
      <c r="J53" s="87" t="str">
        <v>Rule 2/3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>
      <c r="A54" s="87" t="str">
        <v>575 AC</v>
      </c>
      <c r="B54" s="87">
        <v>21</v>
      </c>
      <c r="C54" s="87" t="str">
        <v>Gội Combo 4</v>
      </c>
      <c r="D54" s="87">
        <v>1060</v>
      </c>
      <c r="E54" s="87" t="str">
        <v>DV_Gội</v>
      </c>
      <c r="F54" s="91">
        <v>289000</v>
      </c>
      <c r="G54" s="91">
        <v>302000</v>
      </c>
      <c r="H54" s="91">
        <v>294000</v>
      </c>
      <c r="I54" s="92">
        <v>-8000</v>
      </c>
      <c r="J54" s="87" t="str">
        <v>Rule 4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>
      <c r="A55" s="87" t="str">
        <v>575 AC</v>
      </c>
      <c r="B55" s="87">
        <v>21</v>
      </c>
      <c r="C55" s="87" t="str">
        <v>Gội dưỡng sinh cổ vai gáy</v>
      </c>
      <c r="D55" s="87">
        <v>867</v>
      </c>
      <c r="E55" s="87" t="str">
        <v>DV_Gội</v>
      </c>
      <c r="F55" s="91">
        <v>100000</v>
      </c>
      <c r="G55" s="91">
        <v>104000</v>
      </c>
      <c r="H55" s="91">
        <v>100000</v>
      </c>
      <c r="I55" s="92">
        <v>-4000</v>
      </c>
      <c r="J55" s="87" t="str">
        <v>Rule 6</v>
      </c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>
      <c r="A56" s="87" t="str">
        <v>575 AC</v>
      </c>
      <c r="B56" s="87">
        <v>21</v>
      </c>
      <c r="C56" s="87" t="str">
        <v>Gội trải nghiệm 90p</v>
      </c>
      <c r="D56" s="87">
        <v>1067</v>
      </c>
      <c r="E56" s="87" t="str">
        <v>DV_Gội</v>
      </c>
      <c r="F56" s="91">
        <v>789000</v>
      </c>
      <c r="G56" s="91">
        <v>821000</v>
      </c>
      <c r="H56" s="91">
        <v>789000</v>
      </c>
      <c r="I56" s="92">
        <v>-32000</v>
      </c>
      <c r="J56" s="87" t="str">
        <v>Rule 2</v>
      </c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>
      <c r="A57" s="87" t="str">
        <v>575 AC</v>
      </c>
      <c r="B57" s="87">
        <v>21</v>
      </c>
      <c r="C57" s="87" t="str">
        <v>[NEW] Gội dưỡng sinh cổ vai gáy và chăm sóc da</v>
      </c>
      <c r="D57" s="87">
        <v>930</v>
      </c>
      <c r="E57" s="87" t="str">
        <v>DV_Gội</v>
      </c>
      <c r="F57" s="91">
        <v>139000</v>
      </c>
      <c r="G57" s="91">
        <v>145000</v>
      </c>
      <c r="H57" s="91">
        <v>139000</v>
      </c>
      <c r="I57" s="92">
        <v>-6000</v>
      </c>
      <c r="J57" s="87" t="str">
        <v>Rule 6</v>
      </c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>
      <c r="A58" s="87" t="str">
        <v>7 DTP LA</v>
      </c>
      <c r="B58" s="87">
        <v>199</v>
      </c>
      <c r="C58" s="87" t="str">
        <v>Combo 4</v>
      </c>
      <c r="D58" s="87">
        <v>1048</v>
      </c>
      <c r="E58" s="87" t="str">
        <v>DV_Cắt_Vip</v>
      </c>
      <c r="F58" s="91">
        <v>398000</v>
      </c>
      <c r="G58" s="91">
        <v>425000</v>
      </c>
      <c r="H58" s="91">
        <v>403000</v>
      </c>
      <c r="I58" s="92">
        <v>-22000</v>
      </c>
      <c r="J58" s="87" t="str">
        <v>Rule 4, Rule 7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>
      <c r="A59" s="87" t="str">
        <v>7 DTP LA</v>
      </c>
      <c r="B59" s="87">
        <v>199</v>
      </c>
      <c r="C59" s="87" t="str">
        <v>Combo Cắt gội Kid</v>
      </c>
      <c r="D59" s="87">
        <v>1070</v>
      </c>
      <c r="E59" s="87" t="str">
        <v>DV_Cắt</v>
      </c>
      <c r="F59" s="91">
        <v>100000</v>
      </c>
      <c r="G59" s="91">
        <v>107000</v>
      </c>
      <c r="H59" s="91">
        <v>105000</v>
      </c>
      <c r="I59" s="92">
        <v>-2000</v>
      </c>
      <c r="J59" s="87" t="str">
        <v>Rule 7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>
      <c r="A60" s="87" t="str">
        <v>7 DTP LA</v>
      </c>
      <c r="B60" s="87">
        <v>199</v>
      </c>
      <c r="C60" s="87" t="str">
        <v>Cắt Gội Combo 3 - Chăm da</v>
      </c>
      <c r="D60" s="87">
        <v>1047</v>
      </c>
      <c r="E60" s="87" t="str">
        <v>DV_Cắt_Vip</v>
      </c>
      <c r="F60" s="91">
        <v>308000</v>
      </c>
      <c r="G60" s="91">
        <v>329000</v>
      </c>
      <c r="H60" s="91">
        <v>313000</v>
      </c>
      <c r="I60" s="92">
        <v>-16000</v>
      </c>
      <c r="J60" s="87" t="str">
        <v>Rule 5, Rule 7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>
      <c r="A61" s="87" t="str">
        <v>7 DTP LA</v>
      </c>
      <c r="B61" s="87">
        <v>199</v>
      </c>
      <c r="C61" s="87" t="str">
        <v>Cắt Gội Combo 5 - Dưỡng sinh</v>
      </c>
      <c r="D61" s="87">
        <v>1064</v>
      </c>
      <c r="E61" s="87" t="str">
        <v>DV_Cắt_Vip</v>
      </c>
      <c r="F61" s="91">
        <v>459000</v>
      </c>
      <c r="G61" s="91">
        <v>490000</v>
      </c>
      <c r="H61" s="91">
        <v>464000</v>
      </c>
      <c r="I61" s="92">
        <v>-26000</v>
      </c>
      <c r="J61" s="87" t="str">
        <v>Rule 7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>
      <c r="A62" s="87" t="str">
        <v>7 DTP LA</v>
      </c>
      <c r="B62" s="87">
        <v>199</v>
      </c>
      <c r="C62" s="87" t="str">
        <v>Cắt xả tạo kiểu</v>
      </c>
      <c r="D62" s="87">
        <v>891</v>
      </c>
      <c r="E62" s="87" t="str">
        <v>DV_Cắt</v>
      </c>
      <c r="F62" s="91">
        <v>103000</v>
      </c>
      <c r="G62" s="91">
        <v>110000</v>
      </c>
      <c r="H62" s="91">
        <v>106000</v>
      </c>
      <c r="I62" s="92">
        <v>-4000</v>
      </c>
      <c r="J62" s="87" t="str">
        <v>Rule 1 (ngoại lệ), Rule 7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>
      <c r="A63" s="87" t="str">
        <v>7 DTP LA</v>
      </c>
      <c r="B63" s="87">
        <v>199</v>
      </c>
      <c r="C63" s="87" t="str">
        <v>Gội Combo 2</v>
      </c>
      <c r="D63" s="87">
        <v>1058</v>
      </c>
      <c r="E63" s="87" t="str">
        <v>DV_Gội</v>
      </c>
      <c r="F63" s="91">
        <v>159000</v>
      </c>
      <c r="G63" s="91">
        <v>170000</v>
      </c>
      <c r="H63" s="91">
        <v>159000</v>
      </c>
      <c r="I63" s="92">
        <v>-11000</v>
      </c>
      <c r="J63" s="87" t="str">
        <v>Rule 3, Rule 7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>
      <c r="A64" s="87" t="str">
        <v>7 DTP LA</v>
      </c>
      <c r="B64" s="87">
        <v>199</v>
      </c>
      <c r="C64" s="87" t="str">
        <v>Gội Combo 3 - Chăm da</v>
      </c>
      <c r="D64" s="87">
        <v>1059</v>
      </c>
      <c r="E64" s="87" t="str">
        <v>DV_Gội</v>
      </c>
      <c r="F64" s="91">
        <v>239000</v>
      </c>
      <c r="G64" s="91">
        <v>255000</v>
      </c>
      <c r="H64" s="91">
        <v>244000</v>
      </c>
      <c r="I64" s="92">
        <v>-11000</v>
      </c>
      <c r="J64" s="87" t="str">
        <v>Rule 7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>
      <c r="A65" s="87" t="str">
        <v>7 DTP LA</v>
      </c>
      <c r="B65" s="87">
        <v>199</v>
      </c>
      <c r="C65" s="87" t="str">
        <v>Gội Combo 4</v>
      </c>
      <c r="D65" s="87">
        <v>1060</v>
      </c>
      <c r="E65" s="87" t="str">
        <v>DV_Gội</v>
      </c>
      <c r="F65" s="91">
        <v>289000</v>
      </c>
      <c r="G65" s="91">
        <v>309000</v>
      </c>
      <c r="H65" s="91">
        <v>289000</v>
      </c>
      <c r="I65" s="92">
        <v>-20000</v>
      </c>
      <c r="J65" s="87" t="str">
        <v>Rule 7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>
      <c r="A66" s="87" t="str">
        <v>7 DTP LA</v>
      </c>
      <c r="B66" s="87">
        <v>199</v>
      </c>
      <c r="C66" s="87" t="str">
        <v>Gội combo 3 - Dưỡng sinh</v>
      </c>
      <c r="D66" s="87">
        <v>934</v>
      </c>
      <c r="E66" s="87" t="str">
        <v>DV_Gội</v>
      </c>
      <c r="F66" s="91">
        <v>229000</v>
      </c>
      <c r="G66" s="91">
        <v>245000</v>
      </c>
      <c r="H66" s="91">
        <v>234000</v>
      </c>
      <c r="I66" s="92">
        <v>-11000</v>
      </c>
      <c r="J66" s="87" t="str">
        <v>Rule 7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</row>
    <row r="67">
      <c r="A67" s="87" t="str">
        <v>7 DTP LA</v>
      </c>
      <c r="B67" s="87">
        <v>199</v>
      </c>
      <c r="C67" s="87" t="str">
        <v>Gội combo 5 dưỡng sinh</v>
      </c>
      <c r="D67" s="87">
        <v>932</v>
      </c>
      <c r="E67" s="87" t="str">
        <v>DV_Gội</v>
      </c>
      <c r="F67" s="91">
        <v>399000</v>
      </c>
      <c r="G67" s="91">
        <v>426000</v>
      </c>
      <c r="H67" s="91">
        <v>404000</v>
      </c>
      <c r="I67" s="92">
        <v>-22000</v>
      </c>
      <c r="J67" s="87" t="str">
        <v>Rule 7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</row>
    <row r="68">
      <c r="A68" s="87" t="str">
        <v>7 DTP LA</v>
      </c>
      <c r="B68" s="87">
        <v>199</v>
      </c>
      <c r="C68" s="87" t="str">
        <v>Gội dưỡng sinh cổ vai gáy</v>
      </c>
      <c r="D68" s="87">
        <v>867</v>
      </c>
      <c r="E68" s="87" t="str">
        <v>DV_Gội</v>
      </c>
      <c r="F68" s="91">
        <v>99000</v>
      </c>
      <c r="G68" s="91">
        <v>106000</v>
      </c>
      <c r="H68" s="91">
        <v>104000</v>
      </c>
      <c r="I68" s="92">
        <v>-2000</v>
      </c>
      <c r="J68" s="87" t="str">
        <v>Rule 6, Rule 7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</row>
    <row r="69">
      <c r="A69" s="87" t="str">
        <v>7 DTP LA</v>
      </c>
      <c r="B69" s="87">
        <v>199</v>
      </c>
      <c r="C69" s="87" t="str">
        <v>Gội trải nghiệm 115p</v>
      </c>
      <c r="D69" s="87">
        <v>1068</v>
      </c>
      <c r="E69" s="87" t="str">
        <v>DV_Gội</v>
      </c>
      <c r="F69" s="91">
        <v>999000</v>
      </c>
      <c r="G69" s="91">
        <v>1067000</v>
      </c>
      <c r="H69" s="91">
        <v>1004000</v>
      </c>
      <c r="I69" s="92">
        <v>-63000</v>
      </c>
      <c r="J69" s="87" t="str">
        <v>Rule 2, Rule 7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>
      <c r="A70" s="87" t="str">
        <v>7 DTP LA</v>
      </c>
      <c r="B70" s="87">
        <v>199</v>
      </c>
      <c r="C70" s="87" t="str">
        <v>Gội trải nghiệm 75p</v>
      </c>
      <c r="D70" s="87">
        <v>1066</v>
      </c>
      <c r="E70" s="87" t="str">
        <v>DV_Gội</v>
      </c>
      <c r="F70" s="91">
        <v>589000</v>
      </c>
      <c r="G70" s="91">
        <v>629000</v>
      </c>
      <c r="H70" s="91">
        <v>594000</v>
      </c>
      <c r="I70" s="92">
        <v>-35000</v>
      </c>
      <c r="J70" s="87" t="str">
        <v>Rule 2, Rule 7</v>
      </c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>
      <c r="A71" s="87" t="str">
        <v>7 DTP LA</v>
      </c>
      <c r="B71" s="87">
        <v>199</v>
      </c>
      <c r="C71" s="87" t="str">
        <v>Gội trải nghiệm 90p</v>
      </c>
      <c r="D71" s="87">
        <v>1067</v>
      </c>
      <c r="E71" s="87" t="str">
        <v>DV_Gội</v>
      </c>
      <c r="F71" s="91">
        <v>789000</v>
      </c>
      <c r="G71" s="91">
        <v>843000</v>
      </c>
      <c r="H71" s="91">
        <v>794000</v>
      </c>
      <c r="I71" s="92">
        <v>-49000</v>
      </c>
      <c r="J71" s="87" t="str">
        <v>Rule 2, Rule 7</v>
      </c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>
      <c r="A72" s="87" t="str">
        <v>7 DTP LA</v>
      </c>
      <c r="B72" s="87">
        <v>199</v>
      </c>
      <c r="C72" s="87" t="str">
        <v>Kid Cắt</v>
      </c>
      <c r="D72" s="87">
        <v>1002</v>
      </c>
      <c r="E72" s="87" t="str">
        <v>DV_Cắt</v>
      </c>
      <c r="F72" s="91">
        <v>84000</v>
      </c>
      <c r="G72" s="91">
        <v>90000</v>
      </c>
      <c r="H72" s="91">
        <v>89000</v>
      </c>
      <c r="I72" s="92">
        <v>-1000</v>
      </c>
      <c r="J72" s="87" t="str">
        <v>Rule 7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</row>
    <row r="73">
      <c r="A73" s="87" t="str">
        <v>7 DTP LA</v>
      </c>
      <c r="B73" s="87">
        <v>199</v>
      </c>
      <c r="C73" s="87" t="str">
        <v>Shinecombo 2</v>
      </c>
      <c r="D73" s="87">
        <v>1046</v>
      </c>
      <c r="E73" s="87" t="str">
        <v>DV_Cắt_Vip</v>
      </c>
      <c r="F73" s="91">
        <v>208000</v>
      </c>
      <c r="G73" s="91">
        <v>222000</v>
      </c>
      <c r="H73" s="91">
        <v>213000</v>
      </c>
      <c r="I73" s="92">
        <v>-9000</v>
      </c>
      <c r="J73" s="87" t="str">
        <v>Rule 7</v>
      </c>
      <c r="K73" s="33"/>
      <c r="L73" s="33"/>
      <c r="M73" s="33"/>
      <c r="N73" s="33"/>
      <c r="O73" s="33"/>
      <c r="P73" s="33"/>
      <c r="Q73" s="33"/>
      <c r="R73" s="33"/>
      <c r="S73" s="33"/>
      <c r="T73" s="33"/>
    </row>
    <row r="74">
      <c r="A74" s="87" t="str">
        <v>7 DTP LA</v>
      </c>
      <c r="B74" s="87">
        <v>199</v>
      </c>
      <c r="C74" s="87" t="str">
        <v>[NEW] Gội dưỡng sinh cổ vai gáy và chăm sóc da</v>
      </c>
      <c r="D74" s="87">
        <v>930</v>
      </c>
      <c r="E74" s="87" t="str">
        <v>DV_Gội</v>
      </c>
      <c r="F74" s="91">
        <v>139000</v>
      </c>
      <c r="G74" s="91">
        <v>148000</v>
      </c>
      <c r="H74" s="91">
        <v>144000</v>
      </c>
      <c r="I74" s="92">
        <v>-4000</v>
      </c>
      <c r="J74" s="87" t="str">
        <v>Rule 6, Rule 7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</row>
    <row r="75">
      <c r="A75" s="87" t="str">
        <v>708 LTT</v>
      </c>
      <c r="B75" s="87">
        <v>47</v>
      </c>
      <c r="C75" s="87" t="str">
        <v>Combo 4</v>
      </c>
      <c r="D75" s="87">
        <v>1048</v>
      </c>
      <c r="E75" s="87" t="str">
        <v>DV_Cắt_Vip</v>
      </c>
      <c r="F75" s="91">
        <v>398000</v>
      </c>
      <c r="G75" s="91">
        <v>425000</v>
      </c>
      <c r="H75" s="91">
        <v>405000</v>
      </c>
      <c r="I75" s="92">
        <v>-20000</v>
      </c>
      <c r="J75" s="87" t="str">
        <v>Rule 4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>
      <c r="A76" s="87" t="str">
        <v>708 LTT</v>
      </c>
      <c r="B76" s="87">
        <v>47</v>
      </c>
      <c r="C76" s="87" t="str">
        <v>Combo Best choice</v>
      </c>
      <c r="D76" s="87">
        <v>1194</v>
      </c>
      <c r="E76" s="87" t="str">
        <v>DV_Cắt_Vip</v>
      </c>
      <c r="F76" s="91">
        <v>308000</v>
      </c>
      <c r="G76" s="91">
        <v>329000</v>
      </c>
      <c r="H76" s="91">
        <v>315000</v>
      </c>
      <c r="I76" s="92">
        <v>-14000</v>
      </c>
      <c r="J76" s="87" t="str">
        <v>Benchmark cụm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</row>
    <row r="77">
      <c r="A77" s="87" t="str">
        <v>708 LTT</v>
      </c>
      <c r="B77" s="87">
        <v>47</v>
      </c>
      <c r="C77" s="87" t="str">
        <v>Cắt Gội Combo 3 - Chăm da</v>
      </c>
      <c r="D77" s="87">
        <v>1047</v>
      </c>
      <c r="E77" s="87" t="str">
        <v>DV_Cắt_Vip</v>
      </c>
      <c r="F77" s="91">
        <v>308000</v>
      </c>
      <c r="G77" s="91">
        <v>329000</v>
      </c>
      <c r="H77" s="91">
        <v>308000</v>
      </c>
      <c r="I77" s="92">
        <v>-21000</v>
      </c>
      <c r="J77" s="87" t="str">
        <v>Rule 5</v>
      </c>
      <c r="K77" s="33"/>
      <c r="L77" s="33"/>
      <c r="M77" s="33"/>
      <c r="N77" s="33"/>
      <c r="O77" s="33"/>
      <c r="P77" s="33"/>
      <c r="Q77" s="33"/>
      <c r="R77" s="33"/>
      <c r="S77" s="33"/>
      <c r="T77" s="33"/>
    </row>
    <row r="78">
      <c r="A78" s="87" t="str">
        <v>708 LTT</v>
      </c>
      <c r="B78" s="87">
        <v>47</v>
      </c>
      <c r="C78" s="87" t="str">
        <v>Cắt Gội Combo 3 - Dưỡng sinh</v>
      </c>
      <c r="D78" s="87">
        <v>1065</v>
      </c>
      <c r="E78" s="87" t="str">
        <v>DV_Cắt_Vip</v>
      </c>
      <c r="F78" s="91">
        <v>308000</v>
      </c>
      <c r="G78" s="91">
        <v>329000</v>
      </c>
      <c r="H78" s="91">
        <v>315000</v>
      </c>
      <c r="I78" s="92">
        <v>-14000</v>
      </c>
      <c r="J78" s="87" t="str">
        <v>Rule 5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</row>
    <row r="79">
      <c r="A79" s="87" t="str">
        <v>708 LTT</v>
      </c>
      <c r="B79" s="87">
        <v>47</v>
      </c>
      <c r="C79" s="87" t="str">
        <v>Cắt Gội Combo 5 - Chăm da</v>
      </c>
      <c r="D79" s="87">
        <v>1049</v>
      </c>
      <c r="E79" s="87" t="str">
        <v>DV_Cắt_Vip</v>
      </c>
      <c r="F79" s="91">
        <v>399000</v>
      </c>
      <c r="G79" s="91">
        <v>426000</v>
      </c>
      <c r="H79" s="91">
        <v>406000</v>
      </c>
      <c r="I79" s="92">
        <v>-20000</v>
      </c>
      <c r="J79" s="87" t="str">
        <v>Rule 2/3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</row>
    <row r="80">
      <c r="A80" s="87" t="str">
        <v>708 LTT</v>
      </c>
      <c r="B80" s="87">
        <v>47</v>
      </c>
      <c r="C80" s="87" t="str">
        <v>Cắt Gội Combo 5 - Dưỡng sinh</v>
      </c>
      <c r="D80" s="87">
        <v>1064</v>
      </c>
      <c r="E80" s="87" t="str">
        <v>DV_Cắt_Vip</v>
      </c>
      <c r="F80" s="91">
        <v>459000</v>
      </c>
      <c r="G80" s="91">
        <v>490000</v>
      </c>
      <c r="H80" s="91">
        <v>466000</v>
      </c>
      <c r="I80" s="92">
        <v>-24000</v>
      </c>
      <c r="J80" s="87" t="str">
        <v>Rule 2/3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</row>
    <row r="81">
      <c r="A81" s="87" t="str">
        <v>708 LTT</v>
      </c>
      <c r="B81" s="87">
        <v>47</v>
      </c>
      <c r="C81" s="87" t="str">
        <v>Gội Combo 2</v>
      </c>
      <c r="D81" s="87">
        <v>1058</v>
      </c>
      <c r="E81" s="87" t="str">
        <v>DV_Gội</v>
      </c>
      <c r="F81" s="91">
        <v>159000</v>
      </c>
      <c r="G81" s="91">
        <v>170000</v>
      </c>
      <c r="H81" s="91">
        <v>166000</v>
      </c>
      <c r="I81" s="92">
        <v>-4000</v>
      </c>
      <c r="J81" s="87" t="str">
        <v>Rule 3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</row>
    <row r="82">
      <c r="A82" s="87" t="str">
        <v>708 LTT</v>
      </c>
      <c r="B82" s="87">
        <v>47</v>
      </c>
      <c r="C82" s="87" t="str">
        <v>Gội Combo 3 - Chăm da</v>
      </c>
      <c r="D82" s="87">
        <v>1059</v>
      </c>
      <c r="E82" s="87" t="str">
        <v>DV_Gội</v>
      </c>
      <c r="F82" s="91">
        <v>239000</v>
      </c>
      <c r="G82" s="91">
        <v>255000</v>
      </c>
      <c r="H82" s="91">
        <v>239000</v>
      </c>
      <c r="I82" s="92">
        <v>-16000</v>
      </c>
      <c r="J82" s="87" t="str">
        <v>Rule 5</v>
      </c>
      <c r="K82" s="33"/>
      <c r="L82" s="33"/>
      <c r="M82" s="33"/>
      <c r="N82" s="33"/>
      <c r="O82" s="33"/>
      <c r="P82" s="33"/>
      <c r="Q82" s="33"/>
      <c r="R82" s="33"/>
      <c r="S82" s="33"/>
      <c r="T82" s="33"/>
    </row>
    <row r="83">
      <c r="A83" s="87" t="str">
        <v>708 LTT</v>
      </c>
      <c r="B83" s="87">
        <v>47</v>
      </c>
      <c r="C83" s="87" t="str">
        <v>Gội Combo 4</v>
      </c>
      <c r="D83" s="87">
        <v>1060</v>
      </c>
      <c r="E83" s="87" t="str">
        <v>DV_Gội</v>
      </c>
      <c r="F83" s="91">
        <v>289000</v>
      </c>
      <c r="G83" s="91">
        <v>311000</v>
      </c>
      <c r="H83" s="91">
        <v>289000</v>
      </c>
      <c r="I83" s="92">
        <v>-22000</v>
      </c>
      <c r="J83" s="87" t="str">
        <v>Rule 4</v>
      </c>
      <c r="K83" s="33"/>
      <c r="L83" s="33"/>
      <c r="M83" s="33"/>
      <c r="N83" s="33"/>
      <c r="O83" s="33"/>
      <c r="P83" s="33"/>
      <c r="Q83" s="33"/>
      <c r="R83" s="33"/>
      <c r="S83" s="33"/>
      <c r="T83" s="33"/>
    </row>
    <row r="84">
      <c r="A84" s="87" t="str">
        <v>708 LTT</v>
      </c>
      <c r="B84" s="87">
        <v>47</v>
      </c>
      <c r="C84" s="87" t="str">
        <v>Gội Combo 5 - Chăm da</v>
      </c>
      <c r="D84" s="87">
        <v>1061</v>
      </c>
      <c r="E84" s="87" t="str">
        <v>DV_Gội</v>
      </c>
      <c r="F84" s="91">
        <v>359000</v>
      </c>
      <c r="G84" s="91">
        <v>383000</v>
      </c>
      <c r="H84" s="91">
        <v>366000</v>
      </c>
      <c r="I84" s="92">
        <v>-17000</v>
      </c>
      <c r="J84" s="87" t="str">
        <v>Rule 2/3</v>
      </c>
      <c r="K84" s="33"/>
      <c r="L84" s="33"/>
      <c r="M84" s="33"/>
      <c r="N84" s="33"/>
      <c r="O84" s="33"/>
      <c r="P84" s="33"/>
      <c r="Q84" s="33"/>
      <c r="R84" s="33"/>
      <c r="S84" s="33"/>
      <c r="T84" s="33"/>
    </row>
    <row r="85">
      <c r="A85" s="87" t="str">
        <v>708 LTT</v>
      </c>
      <c r="B85" s="87">
        <v>47</v>
      </c>
      <c r="C85" s="87" t="str">
        <v>Gội combo 3 - Dưỡng sinh</v>
      </c>
      <c r="D85" s="87">
        <v>934</v>
      </c>
      <c r="E85" s="87" t="str">
        <v>DV_Gội</v>
      </c>
      <c r="F85" s="91">
        <v>229000</v>
      </c>
      <c r="G85" s="91">
        <v>245000</v>
      </c>
      <c r="H85" s="91">
        <v>229000</v>
      </c>
      <c r="I85" s="92">
        <v>-16000</v>
      </c>
      <c r="J85" s="87" t="str">
        <v>Rule 2/3</v>
      </c>
      <c r="K85" s="33"/>
      <c r="L85" s="33"/>
      <c r="M85" s="33"/>
      <c r="N85" s="33"/>
      <c r="O85" s="33"/>
      <c r="P85" s="33"/>
      <c r="Q85" s="33"/>
      <c r="R85" s="33"/>
      <c r="S85" s="33"/>
      <c r="T85" s="33"/>
    </row>
    <row r="86">
      <c r="A86" s="87" t="str">
        <v>708 LTT</v>
      </c>
      <c r="B86" s="87">
        <v>47</v>
      </c>
      <c r="C86" s="87" t="str">
        <v>Gội combo 5 dưỡng sinh</v>
      </c>
      <c r="D86" s="87">
        <v>932</v>
      </c>
      <c r="E86" s="87" t="str">
        <v>DV_Gội</v>
      </c>
      <c r="F86" s="91">
        <v>389000</v>
      </c>
      <c r="G86" s="91">
        <v>415000</v>
      </c>
      <c r="H86" s="91">
        <v>396000</v>
      </c>
      <c r="I86" s="92">
        <v>-19000</v>
      </c>
      <c r="J86" s="87" t="str">
        <v>Rule 2/3</v>
      </c>
      <c r="K86" s="33"/>
      <c r="L86" s="33"/>
      <c r="M86" s="33"/>
      <c r="N86" s="33"/>
      <c r="O86" s="33"/>
      <c r="P86" s="33"/>
      <c r="Q86" s="33"/>
      <c r="R86" s="33"/>
      <c r="S86" s="33"/>
      <c r="T86" s="33"/>
    </row>
    <row r="87">
      <c r="A87" s="87" t="str">
        <v>708 LTT</v>
      </c>
      <c r="B87" s="87">
        <v>47</v>
      </c>
      <c r="C87" s="87" t="str">
        <v>Gội trải nghiệm 115p</v>
      </c>
      <c r="D87" s="87">
        <v>1068</v>
      </c>
      <c r="E87" s="87" t="str">
        <v>DV_Gội</v>
      </c>
      <c r="F87" s="91">
        <v>999000</v>
      </c>
      <c r="G87" s="91">
        <v>1067000</v>
      </c>
      <c r="H87" s="91">
        <v>999000</v>
      </c>
      <c r="I87" s="92">
        <v>-68000</v>
      </c>
      <c r="J87" s="87" t="str">
        <v>Rule 2</v>
      </c>
      <c r="K87" s="33"/>
      <c r="L87" s="33"/>
      <c r="M87" s="33"/>
      <c r="N87" s="33"/>
      <c r="O87" s="33"/>
      <c r="P87" s="33"/>
      <c r="Q87" s="33"/>
      <c r="R87" s="33"/>
      <c r="S87" s="33"/>
      <c r="T87" s="33"/>
    </row>
    <row r="88">
      <c r="A88" s="87" t="str">
        <v>708 LTT</v>
      </c>
      <c r="B88" s="87">
        <v>47</v>
      </c>
      <c r="C88" s="87" t="str">
        <v>Gội trải nghiệm 75p</v>
      </c>
      <c r="D88" s="87">
        <v>1066</v>
      </c>
      <c r="E88" s="87" t="str">
        <v>DV_Gội</v>
      </c>
      <c r="F88" s="91">
        <v>459000</v>
      </c>
      <c r="G88" s="91">
        <v>490000</v>
      </c>
      <c r="H88" s="91">
        <v>466000</v>
      </c>
      <c r="I88" s="92">
        <v>-24000</v>
      </c>
      <c r="J88" s="87" t="str">
        <v>Rule 2</v>
      </c>
      <c r="K88" s="33"/>
      <c r="L88" s="33"/>
      <c r="M88" s="33"/>
      <c r="N88" s="33"/>
      <c r="O88" s="33"/>
      <c r="P88" s="33"/>
      <c r="Q88" s="33"/>
      <c r="R88" s="33"/>
      <c r="S88" s="33"/>
      <c r="T88" s="33"/>
    </row>
    <row r="89">
      <c r="A89" s="87" t="str">
        <v>708 LTT</v>
      </c>
      <c r="B89" s="87">
        <v>47</v>
      </c>
      <c r="C89" s="87" t="str">
        <v>Gội trải nghiệm 90p</v>
      </c>
      <c r="D89" s="87">
        <v>1067</v>
      </c>
      <c r="E89" s="87" t="str">
        <v>DV_Gội</v>
      </c>
      <c r="F89" s="91">
        <v>789000</v>
      </c>
      <c r="G89" s="91">
        <v>843000</v>
      </c>
      <c r="H89" s="91">
        <v>789000</v>
      </c>
      <c r="I89" s="92">
        <v>-54000</v>
      </c>
      <c r="J89" s="87" t="str">
        <v>Rule 2</v>
      </c>
      <c r="K89" s="33"/>
      <c r="L89" s="33"/>
      <c r="M89" s="33"/>
      <c r="N89" s="33"/>
      <c r="O89" s="33"/>
      <c r="P89" s="33"/>
      <c r="Q89" s="33"/>
      <c r="R89" s="33"/>
      <c r="S89" s="33"/>
      <c r="T89" s="33"/>
    </row>
    <row r="90">
      <c r="A90" s="87" t="str">
        <v>708 LTT</v>
      </c>
      <c r="B90" s="87">
        <v>47</v>
      </c>
      <c r="C90" s="87" t="str">
        <v>Shinecombo 2</v>
      </c>
      <c r="D90" s="87">
        <v>1046</v>
      </c>
      <c r="E90" s="87" t="str">
        <v>DV_Cắt_Vip</v>
      </c>
      <c r="F90" s="91">
        <v>208000</v>
      </c>
      <c r="G90" s="91">
        <v>222000</v>
      </c>
      <c r="H90" s="91">
        <v>215000</v>
      </c>
      <c r="I90" s="92">
        <v>-7000</v>
      </c>
      <c r="J90" s="87" t="str">
        <v>Benchmark cụm</v>
      </c>
      <c r="K90" s="33"/>
      <c r="L90" s="33"/>
      <c r="M90" s="33"/>
      <c r="N90" s="33"/>
      <c r="O90" s="33"/>
      <c r="P90" s="33"/>
      <c r="Q90" s="33"/>
      <c r="R90" s="33"/>
      <c r="S90" s="33"/>
      <c r="T90" s="33"/>
    </row>
    <row r="91">
      <c r="A91" s="87" t="str">
        <v>708 LTT</v>
      </c>
      <c r="B91" s="87">
        <v>47</v>
      </c>
      <c r="C91" s="87" t="str">
        <v>[NEW] Gội dưỡng sinh cổ vai gáy và chăm sóc da</v>
      </c>
      <c r="D91" s="87">
        <v>930</v>
      </c>
      <c r="E91" s="87" t="str">
        <v>DV_Gội</v>
      </c>
      <c r="F91" s="91">
        <v>139000</v>
      </c>
      <c r="G91" s="91">
        <v>148000</v>
      </c>
      <c r="H91" s="91">
        <v>146000</v>
      </c>
      <c r="I91" s="92">
        <v>-2000</v>
      </c>
      <c r="J91" s="87" t="str">
        <v>Rule 6</v>
      </c>
      <c r="K91" s="33"/>
      <c r="L91" s="33"/>
      <c r="M91" s="33"/>
      <c r="N91" s="33"/>
      <c r="O91" s="33"/>
      <c r="P91" s="33"/>
      <c r="Q91" s="33"/>
      <c r="R91" s="33"/>
      <c r="S91" s="33"/>
      <c r="T91" s="33"/>
    </row>
    <row r="92">
      <c r="A92" s="87" t="str">
        <v>76 PVH</v>
      </c>
      <c r="B92" s="87">
        <v>106</v>
      </c>
      <c r="C92" s="87" t="str">
        <v>Combo 4</v>
      </c>
      <c r="D92" s="87">
        <v>1048</v>
      </c>
      <c r="E92" s="87" t="str">
        <v>DV_Cắt_Vip</v>
      </c>
      <c r="F92" s="91">
        <v>389000</v>
      </c>
      <c r="G92" s="91">
        <v>414000</v>
      </c>
      <c r="H92" s="91">
        <v>397000</v>
      </c>
      <c r="I92" s="92">
        <v>-17000</v>
      </c>
      <c r="J92" s="87" t="str">
        <v>Rule 4</v>
      </c>
      <c r="K92" s="33"/>
      <c r="L92" s="33"/>
      <c r="M92" s="33"/>
      <c r="N92" s="33"/>
      <c r="O92" s="33"/>
      <c r="P92" s="33"/>
      <c r="Q92" s="33"/>
      <c r="R92" s="33"/>
      <c r="S92" s="33"/>
      <c r="T92" s="33"/>
    </row>
    <row r="93">
      <c r="A93" s="87" t="str">
        <v>76 PVH</v>
      </c>
      <c r="B93" s="87">
        <v>106</v>
      </c>
      <c r="C93" s="87" t="str">
        <v>Cắt Gội Combo 3 - Chăm da</v>
      </c>
      <c r="D93" s="87">
        <v>1047</v>
      </c>
      <c r="E93" s="87" t="str">
        <v>DV_Cắt_Vip</v>
      </c>
      <c r="F93" s="91">
        <v>299000</v>
      </c>
      <c r="G93" s="91">
        <v>318000</v>
      </c>
      <c r="H93" s="91">
        <v>307000</v>
      </c>
      <c r="I93" s="92">
        <v>-11000</v>
      </c>
      <c r="J93" s="87" t="str">
        <v>Rule 5</v>
      </c>
      <c r="K93" s="33"/>
      <c r="L93" s="33"/>
      <c r="M93" s="33"/>
      <c r="N93" s="33"/>
      <c r="O93" s="33"/>
      <c r="P93" s="33"/>
      <c r="Q93" s="33"/>
      <c r="R93" s="33"/>
      <c r="S93" s="33"/>
      <c r="T93" s="33"/>
    </row>
    <row r="94">
      <c r="A94" s="87" t="str">
        <v>76 PVH</v>
      </c>
      <c r="B94" s="87">
        <v>106</v>
      </c>
      <c r="C94" s="87" t="str">
        <v>Cắt Gội Combo 3 - Dưỡng sinh</v>
      </c>
      <c r="D94" s="87">
        <v>1065</v>
      </c>
      <c r="E94" s="87" t="str">
        <v>DV_Cắt_Vip</v>
      </c>
      <c r="F94" s="91">
        <v>299000</v>
      </c>
      <c r="G94" s="91">
        <v>318000</v>
      </c>
      <c r="H94" s="91">
        <v>304000</v>
      </c>
      <c r="I94" s="92">
        <v>-14000</v>
      </c>
      <c r="J94" s="87" t="str">
        <v>Rule 5</v>
      </c>
      <c r="K94" s="33"/>
      <c r="L94" s="33"/>
      <c r="M94" s="33"/>
      <c r="N94" s="33"/>
      <c r="O94" s="33"/>
      <c r="P94" s="33"/>
      <c r="Q94" s="33"/>
      <c r="R94" s="33"/>
      <c r="S94" s="33"/>
      <c r="T94" s="33"/>
    </row>
    <row r="95">
      <c r="A95" s="87" t="str">
        <v>76 PVH</v>
      </c>
      <c r="B95" s="87">
        <v>106</v>
      </c>
      <c r="C95" s="87" t="str">
        <v>Gội Combo 3 - Chăm da</v>
      </c>
      <c r="D95" s="87">
        <v>1059</v>
      </c>
      <c r="E95" s="87" t="str">
        <v>DV_Gội</v>
      </c>
      <c r="F95" s="91">
        <v>239000</v>
      </c>
      <c r="G95" s="91">
        <v>254000</v>
      </c>
      <c r="H95" s="91">
        <v>244000</v>
      </c>
      <c r="I95" s="92">
        <v>-10000</v>
      </c>
      <c r="J95" s="87" t="str">
        <v>Rule 5</v>
      </c>
      <c r="K95" s="33"/>
      <c r="L95" s="33"/>
      <c r="M95" s="33"/>
      <c r="N95" s="33"/>
      <c r="O95" s="33"/>
      <c r="P95" s="33"/>
      <c r="Q95" s="33"/>
      <c r="R95" s="33"/>
      <c r="S95" s="33"/>
      <c r="T95" s="33"/>
    </row>
    <row r="96">
      <c r="A96" s="87" t="str">
        <v>76 PVH</v>
      </c>
      <c r="B96" s="87">
        <v>106</v>
      </c>
      <c r="C96" s="87" t="str">
        <v>Gội Combo 4</v>
      </c>
      <c r="D96" s="87">
        <v>1060</v>
      </c>
      <c r="E96" s="87" t="str">
        <v>DV_Gội</v>
      </c>
      <c r="F96" s="91">
        <v>289000</v>
      </c>
      <c r="G96" s="91">
        <v>309000</v>
      </c>
      <c r="H96" s="91">
        <v>297000</v>
      </c>
      <c r="I96" s="92">
        <v>-12000</v>
      </c>
      <c r="J96" s="87" t="str">
        <v>Rule 4</v>
      </c>
      <c r="K96" s="33"/>
      <c r="L96" s="33"/>
      <c r="M96" s="33"/>
      <c r="N96" s="33"/>
      <c r="O96" s="33"/>
      <c r="P96" s="33"/>
      <c r="Q96" s="33"/>
      <c r="R96" s="33"/>
      <c r="S96" s="33"/>
      <c r="T96" s="33"/>
    </row>
    <row r="97">
      <c r="A97" s="87" t="str">
        <v>76 PVH</v>
      </c>
      <c r="B97" s="87">
        <v>106</v>
      </c>
      <c r="C97" s="87" t="str">
        <v>Gội combo 3 - Dưỡng sinh</v>
      </c>
      <c r="D97" s="87">
        <v>934</v>
      </c>
      <c r="E97" s="87" t="str">
        <v>DV_Gội</v>
      </c>
      <c r="F97" s="91">
        <v>229000</v>
      </c>
      <c r="G97" s="91">
        <v>244000</v>
      </c>
      <c r="H97" s="91">
        <v>234000</v>
      </c>
      <c r="I97" s="92">
        <v>-10000</v>
      </c>
      <c r="J97" s="87" t="str">
        <v>Rule 2/3</v>
      </c>
      <c r="K97" s="33"/>
      <c r="L97" s="33"/>
      <c r="M97" s="33"/>
      <c r="N97" s="33"/>
      <c r="O97" s="33"/>
      <c r="P97" s="33"/>
      <c r="Q97" s="33"/>
      <c r="R97" s="33"/>
      <c r="S97" s="33"/>
      <c r="T97" s="33"/>
    </row>
    <row r="98">
      <c r="A98" s="87" t="str">
        <v>76 PVH</v>
      </c>
      <c r="B98" s="87">
        <v>106</v>
      </c>
      <c r="C98" s="87" t="str">
        <v>Gội trải nghiệm 75p</v>
      </c>
      <c r="D98" s="87">
        <v>1066</v>
      </c>
      <c r="E98" s="87" t="str">
        <v>DV_Gội</v>
      </c>
      <c r="F98" s="91">
        <v>589000</v>
      </c>
      <c r="G98" s="91">
        <v>627000</v>
      </c>
      <c r="H98" s="91">
        <v>599000</v>
      </c>
      <c r="I98" s="92">
        <v>-28000</v>
      </c>
      <c r="J98" s="87" t="str">
        <v>Rule 2</v>
      </c>
      <c r="K98" s="33"/>
      <c r="L98" s="33"/>
      <c r="M98" s="33"/>
      <c r="N98" s="33"/>
      <c r="O98" s="33"/>
      <c r="P98" s="33"/>
      <c r="Q98" s="33"/>
      <c r="R98" s="33"/>
      <c r="S98" s="33"/>
      <c r="T98" s="33"/>
    </row>
    <row r="99">
      <c r="A99" s="87" t="str">
        <v>80 TP TH</v>
      </c>
      <c r="B99" s="87">
        <v>232</v>
      </c>
      <c r="C99" s="87" t="str">
        <v>Combo 4</v>
      </c>
      <c r="D99" s="87">
        <v>1048</v>
      </c>
      <c r="E99" s="87" t="str">
        <v>DV_Cắt_Vip</v>
      </c>
      <c r="F99" s="91">
        <v>398000</v>
      </c>
      <c r="G99" s="91">
        <v>425000</v>
      </c>
      <c r="H99" s="91">
        <v>405000</v>
      </c>
      <c r="I99" s="92">
        <v>-20000</v>
      </c>
      <c r="J99" s="87" t="str">
        <v>Rule 4</v>
      </c>
      <c r="K99" s="33"/>
      <c r="L99" s="33"/>
      <c r="M99" s="33"/>
      <c r="N99" s="33"/>
      <c r="O99" s="33"/>
      <c r="P99" s="33"/>
      <c r="Q99" s="33"/>
      <c r="R99" s="33"/>
      <c r="S99" s="33"/>
      <c r="T99" s="33"/>
    </row>
    <row r="100">
      <c r="A100" s="87" t="str">
        <v>80 TP TH</v>
      </c>
      <c r="B100" s="87">
        <v>232</v>
      </c>
      <c r="C100" s="87" t="str">
        <v>Cắt Gội Combo 3 - Chăm da</v>
      </c>
      <c r="D100" s="87">
        <v>1047</v>
      </c>
      <c r="E100" s="87" t="str">
        <v>DV_Cắt_Vip</v>
      </c>
      <c r="F100" s="91">
        <v>308000</v>
      </c>
      <c r="G100" s="91">
        <v>329000</v>
      </c>
      <c r="H100" s="91">
        <v>315000</v>
      </c>
      <c r="I100" s="92">
        <v>-14000</v>
      </c>
      <c r="J100" s="87" t="str">
        <v>Rule 5</v>
      </c>
      <c r="K100" s="33"/>
      <c r="L100" s="33"/>
      <c r="M100" s="33"/>
      <c r="N100" s="33"/>
      <c r="O100" s="33"/>
      <c r="P100" s="33"/>
      <c r="Q100" s="33"/>
      <c r="R100" s="33"/>
      <c r="S100" s="33"/>
      <c r="T100" s="33"/>
    </row>
    <row r="101">
      <c r="A101" s="87" t="str">
        <v>80 TP TH</v>
      </c>
      <c r="B101" s="87">
        <v>232</v>
      </c>
      <c r="C101" s="87" t="str">
        <v>Cắt Gội Combo 3 - Dưỡng sinh</v>
      </c>
      <c r="D101" s="87">
        <v>1065</v>
      </c>
      <c r="E101" s="87" t="str">
        <v>DV_Cắt_Vip</v>
      </c>
      <c r="F101" s="91">
        <v>308000</v>
      </c>
      <c r="G101" s="91">
        <v>329000</v>
      </c>
      <c r="H101" s="91">
        <v>315000</v>
      </c>
      <c r="I101" s="92">
        <v>-14000</v>
      </c>
      <c r="J101" s="87" t="str">
        <v>Rule 5</v>
      </c>
      <c r="K101" s="33"/>
      <c r="L101" s="33"/>
      <c r="M101" s="33"/>
      <c r="N101" s="33"/>
      <c r="O101" s="33"/>
      <c r="P101" s="33"/>
      <c r="Q101" s="33"/>
      <c r="R101" s="33"/>
      <c r="S101" s="33"/>
      <c r="T101" s="33"/>
    </row>
    <row r="102">
      <c r="A102" s="87" t="str">
        <v>80 TP TH</v>
      </c>
      <c r="B102" s="87">
        <v>232</v>
      </c>
      <c r="C102" s="87" t="str">
        <v>Cắt Gội Combo 5 - Dưỡng sinh</v>
      </c>
      <c r="D102" s="87">
        <v>1064</v>
      </c>
      <c r="E102" s="87" t="str">
        <v>DV_Cắt_Vip</v>
      </c>
      <c r="F102" s="91">
        <v>459000</v>
      </c>
      <c r="G102" s="91">
        <v>490000</v>
      </c>
      <c r="H102" s="91">
        <v>466000</v>
      </c>
      <c r="I102" s="92">
        <v>-24000</v>
      </c>
      <c r="J102" s="87" t="str">
        <v>Rule 2/3</v>
      </c>
      <c r="K102" s="33"/>
      <c r="L102" s="33"/>
      <c r="M102" s="33"/>
      <c r="N102" s="33"/>
      <c r="O102" s="33"/>
      <c r="P102" s="33"/>
      <c r="Q102" s="33"/>
      <c r="R102" s="33"/>
      <c r="S102" s="33"/>
      <c r="T102" s="33"/>
    </row>
    <row r="103">
      <c r="A103" s="87" t="str">
        <v>80 TP TH</v>
      </c>
      <c r="B103" s="87">
        <v>232</v>
      </c>
      <c r="C103" s="87" t="str">
        <v>Gội Combo 2</v>
      </c>
      <c r="D103" s="87">
        <v>1058</v>
      </c>
      <c r="E103" s="87" t="str">
        <v>DV_Gội</v>
      </c>
      <c r="F103" s="91">
        <v>159000</v>
      </c>
      <c r="G103" s="91">
        <v>170000</v>
      </c>
      <c r="H103" s="91">
        <v>164000</v>
      </c>
      <c r="I103" s="92">
        <v>-6000</v>
      </c>
      <c r="J103" s="87" t="str">
        <v>Rule 3</v>
      </c>
      <c r="K103" s="33"/>
      <c r="L103" s="33"/>
      <c r="M103" s="33"/>
      <c r="N103" s="33"/>
      <c r="O103" s="33"/>
      <c r="P103" s="33"/>
      <c r="Q103" s="33"/>
      <c r="R103" s="33"/>
      <c r="S103" s="33"/>
      <c r="T103" s="33"/>
    </row>
    <row r="104">
      <c r="A104" s="87" t="str">
        <v>80 TP TH</v>
      </c>
      <c r="B104" s="87">
        <v>232</v>
      </c>
      <c r="C104" s="87" t="str">
        <v>Gội Combo 3 - Chăm da</v>
      </c>
      <c r="D104" s="87">
        <v>1059</v>
      </c>
      <c r="E104" s="87" t="str">
        <v>DV_Gội</v>
      </c>
      <c r="F104" s="91">
        <v>219000</v>
      </c>
      <c r="G104" s="91">
        <v>234000</v>
      </c>
      <c r="H104" s="91">
        <v>226000</v>
      </c>
      <c r="I104" s="92">
        <v>-8000</v>
      </c>
      <c r="J104" s="87" t="str">
        <v>Rule 5</v>
      </c>
      <c r="K104" s="33"/>
      <c r="L104" s="33"/>
      <c r="M104" s="33"/>
      <c r="N104" s="33"/>
      <c r="O104" s="33"/>
      <c r="P104" s="33"/>
      <c r="Q104" s="33"/>
      <c r="R104" s="33"/>
      <c r="S104" s="33"/>
      <c r="T104" s="33"/>
    </row>
    <row r="105">
      <c r="A105" s="87" t="str">
        <v>80 TP TH</v>
      </c>
      <c r="B105" s="87">
        <v>232</v>
      </c>
      <c r="C105" s="87" t="str">
        <v>Gội Combo 4</v>
      </c>
      <c r="D105" s="87">
        <v>1060</v>
      </c>
      <c r="E105" s="87" t="str">
        <v>DV_Gội</v>
      </c>
      <c r="F105" s="91">
        <v>289000</v>
      </c>
      <c r="G105" s="91">
        <v>309000</v>
      </c>
      <c r="H105" s="91">
        <v>296000</v>
      </c>
      <c r="I105" s="92">
        <v>-13000</v>
      </c>
      <c r="J105" s="87" t="str">
        <v>Rule 4</v>
      </c>
      <c r="K105" s="33"/>
      <c r="L105" s="33"/>
      <c r="M105" s="33"/>
      <c r="N105" s="33"/>
      <c r="O105" s="33"/>
      <c r="P105" s="33"/>
      <c r="Q105" s="33"/>
      <c r="R105" s="33"/>
      <c r="S105" s="33"/>
      <c r="T105" s="33"/>
    </row>
    <row r="106">
      <c r="A106" s="87" t="str">
        <v>80 TP TH</v>
      </c>
      <c r="B106" s="87">
        <v>232</v>
      </c>
      <c r="C106" s="87" t="str">
        <v>Gội combo 3 - Dưỡng sinh</v>
      </c>
      <c r="D106" s="87">
        <v>934</v>
      </c>
      <c r="E106" s="87" t="str">
        <v>DV_Gội</v>
      </c>
      <c r="F106" s="91">
        <v>229000</v>
      </c>
      <c r="G106" s="91">
        <v>245000</v>
      </c>
      <c r="H106" s="91">
        <v>236000</v>
      </c>
      <c r="I106" s="92">
        <v>-9000</v>
      </c>
      <c r="J106" s="87" t="str">
        <v>Rule 2/3</v>
      </c>
      <c r="K106" s="33"/>
      <c r="L106" s="33"/>
      <c r="M106" s="33"/>
      <c r="N106" s="33"/>
      <c r="O106" s="33"/>
      <c r="P106" s="33"/>
      <c r="Q106" s="33"/>
      <c r="R106" s="33"/>
      <c r="S106" s="33"/>
      <c r="T106" s="33"/>
    </row>
    <row r="107">
      <c r="A107" s="87" t="str">
        <v>80 TP TH</v>
      </c>
      <c r="B107" s="87">
        <v>232</v>
      </c>
      <c r="C107" s="87" t="str">
        <v>Gội trải nghiệm 115p</v>
      </c>
      <c r="D107" s="87">
        <v>1068</v>
      </c>
      <c r="E107" s="87" t="str">
        <v>DV_Gội</v>
      </c>
      <c r="F107" s="91">
        <v>999000</v>
      </c>
      <c r="G107" s="91">
        <v>1067000</v>
      </c>
      <c r="H107" s="91">
        <v>999000</v>
      </c>
      <c r="I107" s="92">
        <v>-68000</v>
      </c>
      <c r="J107" s="87" t="str">
        <v>Rule 2</v>
      </c>
      <c r="K107" s="33"/>
      <c r="L107" s="33"/>
      <c r="M107" s="33"/>
      <c r="N107" s="33"/>
      <c r="O107" s="33"/>
      <c r="P107" s="33"/>
      <c r="Q107" s="33"/>
      <c r="R107" s="33"/>
      <c r="S107" s="33"/>
      <c r="T107" s="33"/>
    </row>
    <row r="108">
      <c r="A108" s="87" t="str">
        <v>80 TP TH</v>
      </c>
      <c r="B108" s="87">
        <v>232</v>
      </c>
      <c r="C108" s="87" t="str">
        <v>Gội trải nghiệm 75p</v>
      </c>
      <c r="D108" s="87">
        <v>1066</v>
      </c>
      <c r="E108" s="87" t="str">
        <v>DV_Gội</v>
      </c>
      <c r="F108" s="91">
        <v>589000</v>
      </c>
      <c r="G108" s="91">
        <v>629000</v>
      </c>
      <c r="H108" s="91">
        <v>599000</v>
      </c>
      <c r="I108" s="92">
        <v>-30000</v>
      </c>
      <c r="J108" s="87" t="str">
        <v>Rule 2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</row>
    <row r="109">
      <c r="A109" s="87" t="str">
        <v>80 TP TH</v>
      </c>
      <c r="B109" s="87">
        <v>232</v>
      </c>
      <c r="C109" s="87" t="str">
        <v>Gội trải nghiệm 90p</v>
      </c>
      <c r="D109" s="87">
        <v>1067</v>
      </c>
      <c r="E109" s="87" t="str">
        <v>DV_Gội</v>
      </c>
      <c r="F109" s="91">
        <v>789000</v>
      </c>
      <c r="G109" s="91">
        <v>843000</v>
      </c>
      <c r="H109" s="91">
        <v>799000</v>
      </c>
      <c r="I109" s="92">
        <v>-44000</v>
      </c>
      <c r="J109" s="87" t="str">
        <v>Rule 2</v>
      </c>
      <c r="K109" s="33"/>
      <c r="L109" s="33"/>
      <c r="M109" s="33"/>
      <c r="N109" s="33"/>
      <c r="O109" s="33"/>
      <c r="P109" s="33"/>
      <c r="Q109" s="33"/>
      <c r="R109" s="33"/>
      <c r="S109" s="33"/>
      <c r="T109" s="33"/>
    </row>
    <row r="110">
      <c r="A110" s="87" t="str">
        <v>80 TP TH</v>
      </c>
      <c r="B110" s="87">
        <v>232</v>
      </c>
      <c r="C110" s="87" t="str">
        <v>Shinecombo 2</v>
      </c>
      <c r="D110" s="87">
        <v>1046</v>
      </c>
      <c r="E110" s="87" t="str">
        <v>DV_Cắt_Vip</v>
      </c>
      <c r="F110" s="91">
        <v>208000</v>
      </c>
      <c r="G110" s="91">
        <v>222000</v>
      </c>
      <c r="H110" s="91">
        <v>215000</v>
      </c>
      <c r="I110" s="92">
        <v>-7000</v>
      </c>
      <c r="J110" s="87" t="str">
        <v>Benchmark cụm</v>
      </c>
      <c r="K110" s="33"/>
      <c r="L110" s="33"/>
      <c r="M110" s="33"/>
      <c r="N110" s="33"/>
      <c r="O110" s="33"/>
      <c r="P110" s="33"/>
      <c r="Q110" s="33"/>
      <c r="R110" s="33"/>
      <c r="S110" s="33"/>
      <c r="T110" s="33"/>
    </row>
    <row r="111">
      <c r="A111" s="87" t="str">
        <v>80 TP TH</v>
      </c>
      <c r="B111" s="87">
        <v>232</v>
      </c>
      <c r="C111" s="87" t="str">
        <v>VH Combo Gội Dưỡng Sinh Phục Hồi</v>
      </c>
      <c r="D111" s="87">
        <v>1260</v>
      </c>
      <c r="E111" s="87" t="str">
        <v>DV_Gội</v>
      </c>
      <c r="F111" s="91">
        <v>399000</v>
      </c>
      <c r="G111" s="91">
        <v>426000</v>
      </c>
      <c r="H111" s="91">
        <v>406000</v>
      </c>
      <c r="I111" s="92">
        <v>-20000</v>
      </c>
      <c r="J111" s="87" t="str">
        <v>Rule 2/3</v>
      </c>
      <c r="K111" s="33"/>
      <c r="L111" s="33"/>
      <c r="M111" s="33"/>
      <c r="N111" s="33"/>
      <c r="O111" s="33"/>
      <c r="P111" s="33"/>
      <c r="Q111" s="33"/>
      <c r="R111" s="33"/>
      <c r="S111" s="33"/>
      <c r="T111" s="33"/>
    </row>
    <row r="112">
      <c r="A112" s="87" t="str">
        <v>80 TP TH</v>
      </c>
      <c r="B112" s="87">
        <v>232</v>
      </c>
      <c r="C112" s="87" t="str">
        <v>VH Cắt gội dưỡng sinh Vip</v>
      </c>
      <c r="D112" s="87">
        <v>1255</v>
      </c>
      <c r="E112" s="87" t="str">
        <v>DV_Cắt</v>
      </c>
      <c r="F112" s="91">
        <v>258000</v>
      </c>
      <c r="G112" s="91">
        <v>276000</v>
      </c>
      <c r="H112" s="91">
        <v>265000</v>
      </c>
      <c r="I112" s="92">
        <v>-11000</v>
      </c>
      <c r="J112" s="87" t="str">
        <v>Benchmark cụm</v>
      </c>
      <c r="K112" s="33"/>
      <c r="L112" s="33"/>
      <c r="M112" s="33"/>
      <c r="N112" s="33"/>
      <c r="O112" s="33"/>
      <c r="P112" s="33"/>
      <c r="Q112" s="33"/>
      <c r="R112" s="33"/>
      <c r="S112" s="33"/>
      <c r="T112" s="33"/>
    </row>
    <row r="113">
      <c r="A113" s="87" t="str">
        <v>80 TP TH</v>
      </c>
      <c r="B113" s="87">
        <v>232</v>
      </c>
      <c r="C113" s="87" t="str">
        <v>VH Cắt gội dưỡng sinh Vip LRT</v>
      </c>
      <c r="D113" s="87">
        <v>1256</v>
      </c>
      <c r="E113" s="87" t="str">
        <v>DV_Cắt_Vip</v>
      </c>
      <c r="F113" s="91">
        <v>308000</v>
      </c>
      <c r="G113" s="91">
        <v>329000</v>
      </c>
      <c r="H113" s="91">
        <v>315000</v>
      </c>
      <c r="I113" s="92">
        <v>-14000</v>
      </c>
      <c r="J113" s="87" t="str">
        <v>Benchmark cụm</v>
      </c>
      <c r="K113" s="33"/>
      <c r="L113" s="33"/>
      <c r="M113" s="33"/>
      <c r="N113" s="33"/>
      <c r="O113" s="33"/>
      <c r="P113" s="33"/>
      <c r="Q113" s="33"/>
      <c r="R113" s="33"/>
      <c r="S113" s="33"/>
      <c r="T113" s="33"/>
    </row>
    <row r="114">
      <c r="A114" s="87" t="str">
        <v>80 TP TH</v>
      </c>
      <c r="B114" s="87">
        <v>232</v>
      </c>
      <c r="C114" s="87" t="str">
        <v>VH Cắt gội thư giãn phục hồi</v>
      </c>
      <c r="D114" s="87">
        <v>1257</v>
      </c>
      <c r="E114" s="87" t="str">
        <v>DV_Cắt_Vip</v>
      </c>
      <c r="F114" s="91">
        <v>458000</v>
      </c>
      <c r="G114" s="91">
        <v>489000</v>
      </c>
      <c r="H114" s="91">
        <v>465000</v>
      </c>
      <c r="I114" s="92">
        <v>-24000</v>
      </c>
      <c r="J114" s="87" t="str">
        <v>Benchmark cụm</v>
      </c>
      <c r="K114" s="33"/>
      <c r="L114" s="33"/>
      <c r="M114" s="33"/>
      <c r="N114" s="33"/>
      <c r="O114" s="33"/>
      <c r="P114" s="33"/>
      <c r="Q114" s="33"/>
      <c r="R114" s="33"/>
      <c r="S114" s="33"/>
      <c r="T114" s="33"/>
    </row>
    <row r="115">
      <c r="A115" s="87" t="str">
        <v>80 TP TH</v>
      </c>
      <c r="B115" s="87">
        <v>232</v>
      </c>
      <c r="C115" s="87" t="str">
        <v>VH Gội Vip Dưỡng Sinh</v>
      </c>
      <c r="D115" s="87">
        <v>1258</v>
      </c>
      <c r="E115" s="87" t="str">
        <v>DV_Gội</v>
      </c>
      <c r="F115" s="91">
        <v>199000</v>
      </c>
      <c r="G115" s="91">
        <v>213000</v>
      </c>
      <c r="H115" s="91">
        <v>206000</v>
      </c>
      <c r="I115" s="92">
        <v>-7000</v>
      </c>
      <c r="J115" s="87" t="str">
        <v>Rule 2/3</v>
      </c>
      <c r="K115" s="33"/>
      <c r="L115" s="33"/>
      <c r="M115" s="33"/>
      <c r="N115" s="33"/>
      <c r="O115" s="33"/>
      <c r="P115" s="33"/>
      <c r="Q115" s="33"/>
      <c r="R115" s="33"/>
      <c r="S115" s="33"/>
      <c r="T115" s="33"/>
    </row>
    <row r="116">
      <c r="A116" s="87" t="str">
        <v>80 TP TH</v>
      </c>
      <c r="B116" s="87">
        <v>232</v>
      </c>
      <c r="C116" s="87" t="str">
        <v>VH Gội Vip Dưỡng Sinh LRT</v>
      </c>
      <c r="D116" s="87">
        <v>1259</v>
      </c>
      <c r="E116" s="87" t="str">
        <v>DV_Gội</v>
      </c>
      <c r="F116" s="91">
        <v>259000</v>
      </c>
      <c r="G116" s="91">
        <v>277000</v>
      </c>
      <c r="H116" s="91">
        <v>266000</v>
      </c>
      <c r="I116" s="92">
        <v>-11000</v>
      </c>
      <c r="J116" s="87" t="str">
        <v>Rule 2/3</v>
      </c>
      <c r="K116" s="33"/>
      <c r="L116" s="33"/>
      <c r="M116" s="33"/>
      <c r="N116" s="33"/>
      <c r="O116" s="33"/>
      <c r="P116" s="33"/>
      <c r="Q116" s="33"/>
      <c r="R116" s="33"/>
      <c r="S116" s="33"/>
      <c r="T116" s="33"/>
    </row>
    <row r="117">
      <c r="A117" s="87" t="str">
        <v>80 TP TH</v>
      </c>
      <c r="B117" s="87">
        <v>232</v>
      </c>
      <c r="C117" s="87" t="str">
        <v>[NEW] Gội dưỡng sinh cổ vai gáy và chăm sóc da</v>
      </c>
      <c r="D117" s="87">
        <v>930</v>
      </c>
      <c r="E117" s="87" t="str">
        <v>DV_Gội</v>
      </c>
      <c r="F117" s="91">
        <v>139000</v>
      </c>
      <c r="G117" s="91">
        <v>148000</v>
      </c>
      <c r="H117" s="91">
        <v>146000</v>
      </c>
      <c r="I117" s="92">
        <v>-2000</v>
      </c>
      <c r="J117" s="87" t="str">
        <v>Rule 6</v>
      </c>
      <c r="K117" s="33"/>
      <c r="L117" s="33"/>
      <c r="M117" s="33"/>
      <c r="N117" s="33"/>
      <c r="O117" s="33"/>
      <c r="P117" s="33"/>
      <c r="Q117" s="33"/>
      <c r="R117" s="33"/>
      <c r="S117" s="33"/>
      <c r="T117" s="3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